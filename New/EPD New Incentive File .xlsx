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bbott-my.sharepoint.com/personal/arslan_sohail_abbott_com/Documents/Desktop/EPD/"/>
    </mc:Choice>
  </mc:AlternateContent>
  <xr:revisionPtr revIDLastSave="14" documentId="11_F25DC773A252ABDACC1048D741987D6A5BDE58ED" xr6:coauthVersionLast="47" xr6:coauthVersionMax="47" xr10:uidLastSave="{0E280C1B-E026-4C84-9F49-47A745A12C3F}"/>
  <bookViews>
    <workbookView xWindow="-110" yWindow="-110" windowWidth="19420" windowHeight="10300" firstSheet="4" activeTab="8" xr2:uid="{00000000-000D-0000-FFFF-FFFF00000000}"/>
  </bookViews>
  <sheets>
    <sheet name="Staff Input" sheetId="1" r:id="rId1"/>
    <sheet name="Promo Product Input" sheetId="3" r:id="rId2"/>
    <sheet name="INPUT_ASSUMPTIONS CALC" sheetId="4" r:id="rId3"/>
    <sheet name="Summary calculation" sheetId="5" r:id="rId4"/>
    <sheet name="Summary calculation - SOURCE" sheetId="6" r:id="rId5"/>
    <sheet name="To sign" sheetId="7" r:id="rId6"/>
    <sheet name="TCFA" sheetId="9" r:id="rId7"/>
    <sheet name="TIC" sheetId="10" r:id="rId8"/>
    <sheet name="Mapping" sheetId="11" r:id="rId9"/>
  </sheets>
  <externalReferences>
    <externalReference r:id="rId10"/>
  </externalReferences>
  <definedNames>
    <definedName name="CycleList">'[1]Summary calculation'!$U$2:$U$6</definedName>
    <definedName name="TCFA_DATA">[1]TCFA!$J$2:$M$1000</definedName>
    <definedName name="TCFA_N">[1]TCFA!$H$2:$H$1000</definedName>
    <definedName name="TCFA_Q">[1]TCFA!$J$1:$M$1</definedName>
    <definedName name="TIC_DATA">[1]TIC!$N$3:$Q$100</definedName>
    <definedName name="TIC_N">[1]TIC!$L$3:$L$100</definedName>
    <definedName name="TIC_Q">[1]TIC!$N$2:$Q$2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10" l="1"/>
  <c r="I78" i="10"/>
  <c r="I72" i="10"/>
  <c r="I66" i="10"/>
  <c r="I60" i="10"/>
  <c r="I54" i="10"/>
  <c r="I48" i="10"/>
  <c r="I42" i="10"/>
  <c r="I36" i="10"/>
  <c r="I30" i="10"/>
  <c r="I24" i="10"/>
  <c r="B20" i="10"/>
  <c r="I19" i="10"/>
  <c r="B19" i="10"/>
  <c r="I18" i="10"/>
  <c r="B18" i="10"/>
  <c r="I17" i="10"/>
  <c r="B17" i="10"/>
  <c r="I16" i="10"/>
  <c r="B16" i="10"/>
  <c r="I15" i="10"/>
  <c r="B15" i="10"/>
  <c r="I14" i="10"/>
  <c r="B14" i="10"/>
  <c r="I13" i="10"/>
  <c r="B13" i="10"/>
  <c r="I12" i="10"/>
  <c r="B12" i="10"/>
  <c r="I11" i="10"/>
  <c r="B11" i="10"/>
  <c r="I10" i="10"/>
  <c r="B10" i="10"/>
  <c r="I9" i="10"/>
  <c r="B9" i="10"/>
  <c r="I8" i="10"/>
  <c r="B8" i="10"/>
  <c r="I7" i="10"/>
  <c r="B7" i="10"/>
  <c r="I6" i="10"/>
  <c r="B6" i="10"/>
  <c r="I5" i="10"/>
  <c r="B5" i="10"/>
  <c r="I4" i="10"/>
  <c r="B4" i="10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E153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F120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K101" i="9"/>
  <c r="J101" i="9"/>
  <c r="H101" i="9"/>
  <c r="B101" i="9"/>
  <c r="K100" i="9"/>
  <c r="J100" i="9"/>
  <c r="H100" i="9"/>
  <c r="B100" i="9"/>
  <c r="K99" i="9"/>
  <c r="J99" i="9"/>
  <c r="H99" i="9"/>
  <c r="B99" i="9"/>
  <c r="K98" i="9"/>
  <c r="J98" i="9"/>
  <c r="H98" i="9"/>
  <c r="B98" i="9"/>
  <c r="K97" i="9"/>
  <c r="J97" i="9"/>
  <c r="H97" i="9"/>
  <c r="B97" i="9"/>
  <c r="K96" i="9"/>
  <c r="J96" i="9"/>
  <c r="H96" i="9"/>
  <c r="B96" i="9"/>
  <c r="K95" i="9"/>
  <c r="J95" i="9"/>
  <c r="H95" i="9"/>
  <c r="B95" i="9"/>
  <c r="K94" i="9"/>
  <c r="J94" i="9"/>
  <c r="H94" i="9"/>
  <c r="B94" i="9"/>
  <c r="K93" i="9"/>
  <c r="J93" i="9"/>
  <c r="H93" i="9"/>
  <c r="B93" i="9"/>
  <c r="K92" i="9"/>
  <c r="J92" i="9"/>
  <c r="H92" i="9"/>
  <c r="B92" i="9"/>
  <c r="K91" i="9"/>
  <c r="J91" i="9"/>
  <c r="H91" i="9"/>
  <c r="B91" i="9"/>
  <c r="K90" i="9"/>
  <c r="J90" i="9"/>
  <c r="H90" i="9"/>
  <c r="B90" i="9"/>
  <c r="K89" i="9"/>
  <c r="J89" i="9"/>
  <c r="H89" i="9"/>
  <c r="B89" i="9"/>
  <c r="K88" i="9"/>
  <c r="J88" i="9"/>
  <c r="H88" i="9"/>
  <c r="B88" i="9"/>
  <c r="K87" i="9"/>
  <c r="J87" i="9"/>
  <c r="H87" i="9"/>
  <c r="B87" i="9"/>
  <c r="K86" i="9"/>
  <c r="J86" i="9"/>
  <c r="H86" i="9"/>
  <c r="B86" i="9"/>
  <c r="K85" i="9"/>
  <c r="J85" i="9"/>
  <c r="H85" i="9"/>
  <c r="B85" i="9"/>
  <c r="K84" i="9"/>
  <c r="J84" i="9"/>
  <c r="H84" i="9"/>
  <c r="B84" i="9"/>
  <c r="K83" i="9"/>
  <c r="J83" i="9"/>
  <c r="H83" i="9"/>
  <c r="B83" i="9"/>
  <c r="K82" i="9"/>
  <c r="J82" i="9"/>
  <c r="H82" i="9"/>
  <c r="B82" i="9"/>
  <c r="K81" i="9"/>
  <c r="J81" i="9"/>
  <c r="H81" i="9"/>
  <c r="B81" i="9"/>
  <c r="K80" i="9"/>
  <c r="J80" i="9"/>
  <c r="H80" i="9"/>
  <c r="B80" i="9"/>
  <c r="K79" i="9"/>
  <c r="J79" i="9"/>
  <c r="H79" i="9"/>
  <c r="B79" i="9"/>
  <c r="K78" i="9"/>
  <c r="J78" i="9"/>
  <c r="H78" i="9"/>
  <c r="B78" i="9"/>
  <c r="K77" i="9"/>
  <c r="J77" i="9"/>
  <c r="H77" i="9"/>
  <c r="B77" i="9"/>
  <c r="K76" i="9"/>
  <c r="J76" i="9"/>
  <c r="H76" i="9"/>
  <c r="B76" i="9"/>
  <c r="K75" i="9"/>
  <c r="J75" i="9"/>
  <c r="H75" i="9"/>
  <c r="B75" i="9"/>
  <c r="K74" i="9"/>
  <c r="J74" i="9"/>
  <c r="H74" i="9"/>
  <c r="B74" i="9"/>
  <c r="K73" i="9"/>
  <c r="J73" i="9"/>
  <c r="H73" i="9"/>
  <c r="B73" i="9"/>
  <c r="K72" i="9"/>
  <c r="J72" i="9"/>
  <c r="H72" i="9"/>
  <c r="B72" i="9"/>
  <c r="K71" i="9"/>
  <c r="J71" i="9"/>
  <c r="H71" i="9"/>
  <c r="B71" i="9"/>
  <c r="K70" i="9"/>
  <c r="J70" i="9"/>
  <c r="H70" i="9"/>
  <c r="B70" i="9"/>
  <c r="K69" i="9"/>
  <c r="J69" i="9"/>
  <c r="H69" i="9"/>
  <c r="B69" i="9"/>
  <c r="K68" i="9"/>
  <c r="J68" i="9"/>
  <c r="H68" i="9"/>
  <c r="B68" i="9"/>
  <c r="K67" i="9"/>
  <c r="J67" i="9"/>
  <c r="H67" i="9"/>
  <c r="B67" i="9"/>
  <c r="K66" i="9"/>
  <c r="J66" i="9"/>
  <c r="H66" i="9"/>
  <c r="B66" i="9"/>
  <c r="K65" i="9"/>
  <c r="J65" i="9"/>
  <c r="H65" i="9"/>
  <c r="B65" i="9"/>
  <c r="K64" i="9"/>
  <c r="J64" i="9"/>
  <c r="H64" i="9"/>
  <c r="B64" i="9"/>
  <c r="K63" i="9"/>
  <c r="J63" i="9"/>
  <c r="H63" i="9"/>
  <c r="B63" i="9"/>
  <c r="K62" i="9"/>
  <c r="J62" i="9"/>
  <c r="H62" i="9"/>
  <c r="B62" i="9"/>
  <c r="K61" i="9"/>
  <c r="J61" i="9"/>
  <c r="H61" i="9"/>
  <c r="B61" i="9"/>
  <c r="K60" i="9"/>
  <c r="J60" i="9"/>
  <c r="H60" i="9"/>
  <c r="B60" i="9"/>
  <c r="K59" i="9"/>
  <c r="J59" i="9"/>
  <c r="H59" i="9"/>
  <c r="B59" i="9"/>
  <c r="K58" i="9"/>
  <c r="J58" i="9"/>
  <c r="H58" i="9"/>
  <c r="B58" i="9"/>
  <c r="K57" i="9"/>
  <c r="J57" i="9"/>
  <c r="H57" i="9"/>
  <c r="B57" i="9"/>
  <c r="K56" i="9"/>
  <c r="J56" i="9"/>
  <c r="H56" i="9"/>
  <c r="B56" i="9"/>
  <c r="K55" i="9"/>
  <c r="J55" i="9"/>
  <c r="H55" i="9"/>
  <c r="B55" i="9"/>
  <c r="K54" i="9"/>
  <c r="J54" i="9"/>
  <c r="H54" i="9"/>
  <c r="B54" i="9"/>
  <c r="K53" i="9"/>
  <c r="J53" i="9"/>
  <c r="H53" i="9"/>
  <c r="B53" i="9"/>
  <c r="K52" i="9"/>
  <c r="J52" i="9"/>
  <c r="H52" i="9"/>
  <c r="B52" i="9"/>
  <c r="K51" i="9"/>
  <c r="J51" i="9"/>
  <c r="H51" i="9"/>
  <c r="B51" i="9"/>
  <c r="K50" i="9"/>
  <c r="J50" i="9"/>
  <c r="H50" i="9"/>
  <c r="B50" i="9"/>
  <c r="K49" i="9"/>
  <c r="J49" i="9"/>
  <c r="H49" i="9"/>
  <c r="B49" i="9"/>
  <c r="K48" i="9"/>
  <c r="J48" i="9"/>
  <c r="H48" i="9"/>
  <c r="B48" i="9"/>
  <c r="K47" i="9"/>
  <c r="J47" i="9"/>
  <c r="H47" i="9"/>
  <c r="B47" i="9"/>
  <c r="K46" i="9"/>
  <c r="J46" i="9"/>
  <c r="H46" i="9"/>
  <c r="B46" i="9"/>
  <c r="K45" i="9"/>
  <c r="J45" i="9"/>
  <c r="H45" i="9"/>
  <c r="B45" i="9"/>
  <c r="K44" i="9"/>
  <c r="J44" i="9"/>
  <c r="H44" i="9"/>
  <c r="B44" i="9"/>
  <c r="K43" i="9"/>
  <c r="J43" i="9"/>
  <c r="H43" i="9"/>
  <c r="B43" i="9"/>
  <c r="K42" i="9"/>
  <c r="J42" i="9"/>
  <c r="H42" i="9"/>
  <c r="B42" i="9"/>
  <c r="K41" i="9"/>
  <c r="J41" i="9"/>
  <c r="H41" i="9"/>
  <c r="B41" i="9"/>
  <c r="K40" i="9"/>
  <c r="J40" i="9"/>
  <c r="H40" i="9"/>
  <c r="B40" i="9"/>
  <c r="K39" i="9"/>
  <c r="J39" i="9"/>
  <c r="H39" i="9"/>
  <c r="B39" i="9"/>
  <c r="K38" i="9"/>
  <c r="J38" i="9"/>
  <c r="H38" i="9"/>
  <c r="B38" i="9"/>
  <c r="K37" i="9"/>
  <c r="J37" i="9"/>
  <c r="H37" i="9"/>
  <c r="B37" i="9"/>
  <c r="K36" i="9"/>
  <c r="J36" i="9"/>
  <c r="H36" i="9"/>
  <c r="B36" i="9"/>
  <c r="K35" i="9"/>
  <c r="J35" i="9"/>
  <c r="H35" i="9"/>
  <c r="B35" i="9"/>
  <c r="K34" i="9"/>
  <c r="J34" i="9"/>
  <c r="H34" i="9"/>
  <c r="B34" i="9"/>
  <c r="K33" i="9"/>
  <c r="J33" i="9"/>
  <c r="H33" i="9"/>
  <c r="B33" i="9"/>
  <c r="K32" i="9"/>
  <c r="J32" i="9"/>
  <c r="H32" i="9"/>
  <c r="B32" i="9"/>
  <c r="K31" i="9"/>
  <c r="J31" i="9"/>
  <c r="H31" i="9"/>
  <c r="B31" i="9"/>
  <c r="K30" i="9"/>
  <c r="J30" i="9"/>
  <c r="H30" i="9"/>
  <c r="B30" i="9"/>
  <c r="K29" i="9"/>
  <c r="J29" i="9"/>
  <c r="H29" i="9"/>
  <c r="B29" i="9"/>
  <c r="K28" i="9"/>
  <c r="J28" i="9"/>
  <c r="H28" i="9"/>
  <c r="B28" i="9"/>
  <c r="K27" i="9"/>
  <c r="J27" i="9"/>
  <c r="H27" i="9"/>
  <c r="B27" i="9"/>
  <c r="K26" i="9"/>
  <c r="J26" i="9"/>
  <c r="H26" i="9"/>
  <c r="B26" i="9"/>
  <c r="K25" i="9"/>
  <c r="J25" i="9"/>
  <c r="H25" i="9"/>
  <c r="B25" i="9"/>
  <c r="K24" i="9"/>
  <c r="J24" i="9"/>
  <c r="H24" i="9"/>
  <c r="B24" i="9"/>
  <c r="K23" i="9"/>
  <c r="J23" i="9"/>
  <c r="H23" i="9"/>
  <c r="B23" i="9"/>
  <c r="K22" i="9"/>
  <c r="J22" i="9"/>
  <c r="H22" i="9"/>
  <c r="B22" i="9"/>
  <c r="K21" i="9"/>
  <c r="J21" i="9"/>
  <c r="H21" i="9"/>
  <c r="B21" i="9"/>
  <c r="K20" i="9"/>
  <c r="J20" i="9"/>
  <c r="H20" i="9"/>
  <c r="B20" i="9"/>
  <c r="K19" i="9"/>
  <c r="J19" i="9"/>
  <c r="H19" i="9"/>
  <c r="B19" i="9"/>
  <c r="K18" i="9"/>
  <c r="J18" i="9"/>
  <c r="H18" i="9"/>
  <c r="B18" i="9"/>
  <c r="K17" i="9"/>
  <c r="J17" i="9"/>
  <c r="H17" i="9"/>
  <c r="B17" i="9"/>
  <c r="K16" i="9"/>
  <c r="J16" i="9"/>
  <c r="H16" i="9"/>
  <c r="B16" i="9"/>
  <c r="K15" i="9"/>
  <c r="J15" i="9"/>
  <c r="H15" i="9"/>
  <c r="B15" i="9"/>
  <c r="K14" i="9"/>
  <c r="J14" i="9"/>
  <c r="H14" i="9"/>
  <c r="B14" i="9"/>
  <c r="K13" i="9"/>
  <c r="J13" i="9"/>
  <c r="H13" i="9"/>
  <c r="B13" i="9"/>
  <c r="K12" i="9"/>
  <c r="J12" i="9"/>
  <c r="H12" i="9"/>
  <c r="B12" i="9"/>
  <c r="K11" i="9"/>
  <c r="J11" i="9"/>
  <c r="H11" i="9"/>
  <c r="B11" i="9"/>
  <c r="K10" i="9"/>
  <c r="J10" i="9"/>
  <c r="H10" i="9"/>
  <c r="B10" i="9"/>
  <c r="K9" i="9"/>
  <c r="J9" i="9"/>
  <c r="H9" i="9"/>
  <c r="B9" i="9"/>
  <c r="K8" i="9"/>
  <c r="J8" i="9"/>
  <c r="H8" i="9"/>
  <c r="B8" i="9"/>
  <c r="K7" i="9"/>
  <c r="J7" i="9"/>
  <c r="H7" i="9"/>
  <c r="B7" i="9"/>
  <c r="K6" i="9"/>
  <c r="J6" i="9"/>
  <c r="H6" i="9"/>
  <c r="B6" i="9"/>
  <c r="K5" i="9"/>
  <c r="J5" i="9"/>
  <c r="H5" i="9"/>
  <c r="B5" i="9"/>
  <c r="K4" i="9"/>
  <c r="J4" i="9"/>
  <c r="H4" i="9"/>
  <c r="B4" i="9"/>
  <c r="K3" i="9"/>
  <c r="J3" i="9"/>
  <c r="H3" i="9"/>
  <c r="K2" i="9"/>
  <c r="J2" i="9"/>
  <c r="H2" i="9"/>
  <c r="J212" i="7"/>
  <c r="I212" i="7"/>
  <c r="H212" i="7"/>
  <c r="G212" i="7"/>
  <c r="E212" i="7"/>
  <c r="F212" i="7" s="1"/>
  <c r="K212" i="7" s="1"/>
  <c r="D212" i="7"/>
  <c r="C212" i="7"/>
  <c r="B212" i="7"/>
  <c r="I211" i="7"/>
  <c r="J211" i="7" s="1"/>
  <c r="H211" i="7"/>
  <c r="G211" i="7"/>
  <c r="E211" i="7"/>
  <c r="F211" i="7" s="1"/>
  <c r="K211" i="7" s="1"/>
  <c r="D211" i="7"/>
  <c r="C211" i="7"/>
  <c r="B211" i="7"/>
  <c r="I210" i="7"/>
  <c r="J210" i="7" s="1"/>
  <c r="H210" i="7"/>
  <c r="G210" i="7"/>
  <c r="F210" i="7"/>
  <c r="K210" i="7" s="1"/>
  <c r="E210" i="7"/>
  <c r="D210" i="7"/>
  <c r="C210" i="7"/>
  <c r="B210" i="7"/>
  <c r="K209" i="7"/>
  <c r="I209" i="7"/>
  <c r="J209" i="7" s="1"/>
  <c r="H209" i="7"/>
  <c r="G209" i="7"/>
  <c r="E209" i="7"/>
  <c r="F209" i="7" s="1"/>
  <c r="D209" i="7"/>
  <c r="C209" i="7"/>
  <c r="B209" i="7"/>
  <c r="J208" i="7"/>
  <c r="I208" i="7"/>
  <c r="H208" i="7"/>
  <c r="G208" i="7"/>
  <c r="E208" i="7"/>
  <c r="F208" i="7" s="1"/>
  <c r="K208" i="7" s="1"/>
  <c r="D208" i="7"/>
  <c r="C208" i="7"/>
  <c r="B208" i="7"/>
  <c r="I207" i="7"/>
  <c r="J207" i="7" s="1"/>
  <c r="H207" i="7"/>
  <c r="G207" i="7"/>
  <c r="E207" i="7"/>
  <c r="F207" i="7" s="1"/>
  <c r="K207" i="7" s="1"/>
  <c r="D207" i="7"/>
  <c r="C207" i="7"/>
  <c r="B207" i="7"/>
  <c r="I206" i="7"/>
  <c r="J206" i="7" s="1"/>
  <c r="H206" i="7"/>
  <c r="G206" i="7"/>
  <c r="F206" i="7"/>
  <c r="K206" i="7" s="1"/>
  <c r="E206" i="7"/>
  <c r="D206" i="7"/>
  <c r="C206" i="7"/>
  <c r="B206" i="7"/>
  <c r="I205" i="7"/>
  <c r="J205" i="7" s="1"/>
  <c r="H205" i="7"/>
  <c r="G205" i="7"/>
  <c r="E205" i="7"/>
  <c r="F205" i="7" s="1"/>
  <c r="K205" i="7" s="1"/>
  <c r="D205" i="7"/>
  <c r="C205" i="7"/>
  <c r="B205" i="7"/>
  <c r="J204" i="7"/>
  <c r="I204" i="7"/>
  <c r="H204" i="7"/>
  <c r="G204" i="7"/>
  <c r="E204" i="7"/>
  <c r="F204" i="7" s="1"/>
  <c r="K204" i="7" s="1"/>
  <c r="D204" i="7"/>
  <c r="C204" i="7"/>
  <c r="B204" i="7"/>
  <c r="I203" i="7"/>
  <c r="J203" i="7" s="1"/>
  <c r="H203" i="7"/>
  <c r="G203" i="7"/>
  <c r="E203" i="7"/>
  <c r="F203" i="7" s="1"/>
  <c r="K203" i="7" s="1"/>
  <c r="D203" i="7"/>
  <c r="C203" i="7"/>
  <c r="B203" i="7"/>
  <c r="I202" i="7"/>
  <c r="J202" i="7" s="1"/>
  <c r="H202" i="7"/>
  <c r="G202" i="7"/>
  <c r="F202" i="7"/>
  <c r="K202" i="7" s="1"/>
  <c r="E202" i="7"/>
  <c r="D202" i="7"/>
  <c r="C202" i="7"/>
  <c r="B202" i="7"/>
  <c r="K201" i="7"/>
  <c r="I201" i="7"/>
  <c r="J201" i="7" s="1"/>
  <c r="H201" i="7"/>
  <c r="G201" i="7"/>
  <c r="E201" i="7"/>
  <c r="F201" i="7" s="1"/>
  <c r="D201" i="7"/>
  <c r="C201" i="7"/>
  <c r="B201" i="7"/>
  <c r="J200" i="7"/>
  <c r="I200" i="7"/>
  <c r="H200" i="7"/>
  <c r="G200" i="7"/>
  <c r="E200" i="7"/>
  <c r="F200" i="7" s="1"/>
  <c r="K200" i="7" s="1"/>
  <c r="D200" i="7"/>
  <c r="C200" i="7"/>
  <c r="B200" i="7"/>
  <c r="I199" i="7"/>
  <c r="J199" i="7" s="1"/>
  <c r="H199" i="7"/>
  <c r="G199" i="7"/>
  <c r="E199" i="7"/>
  <c r="F199" i="7" s="1"/>
  <c r="K199" i="7" s="1"/>
  <c r="D199" i="7"/>
  <c r="C199" i="7"/>
  <c r="B199" i="7"/>
  <c r="I198" i="7"/>
  <c r="J198" i="7" s="1"/>
  <c r="H198" i="7"/>
  <c r="G198" i="7"/>
  <c r="F198" i="7"/>
  <c r="K198" i="7" s="1"/>
  <c r="E198" i="7"/>
  <c r="D198" i="7"/>
  <c r="C198" i="7"/>
  <c r="B198" i="7"/>
  <c r="K197" i="7"/>
  <c r="I197" i="7"/>
  <c r="J197" i="7" s="1"/>
  <c r="H197" i="7"/>
  <c r="G197" i="7"/>
  <c r="E197" i="7"/>
  <c r="F197" i="7" s="1"/>
  <c r="D197" i="7"/>
  <c r="C197" i="7"/>
  <c r="B197" i="7"/>
  <c r="J196" i="7"/>
  <c r="I196" i="7"/>
  <c r="H196" i="7"/>
  <c r="G196" i="7"/>
  <c r="E196" i="7"/>
  <c r="F196" i="7" s="1"/>
  <c r="K196" i="7" s="1"/>
  <c r="D196" i="7"/>
  <c r="C196" i="7"/>
  <c r="B196" i="7"/>
  <c r="I195" i="7"/>
  <c r="J195" i="7" s="1"/>
  <c r="H195" i="7"/>
  <c r="G195" i="7"/>
  <c r="E195" i="7"/>
  <c r="F195" i="7" s="1"/>
  <c r="K195" i="7" s="1"/>
  <c r="D195" i="7"/>
  <c r="C195" i="7"/>
  <c r="B195" i="7"/>
  <c r="I194" i="7"/>
  <c r="J194" i="7" s="1"/>
  <c r="H194" i="7"/>
  <c r="G194" i="7"/>
  <c r="F194" i="7"/>
  <c r="K194" i="7" s="1"/>
  <c r="E194" i="7"/>
  <c r="D194" i="7"/>
  <c r="C194" i="7"/>
  <c r="B194" i="7"/>
  <c r="I193" i="7"/>
  <c r="J193" i="7" s="1"/>
  <c r="H193" i="7"/>
  <c r="G193" i="7"/>
  <c r="E193" i="7"/>
  <c r="F193" i="7" s="1"/>
  <c r="K193" i="7" s="1"/>
  <c r="D193" i="7"/>
  <c r="C193" i="7"/>
  <c r="B193" i="7"/>
  <c r="J192" i="7"/>
  <c r="I192" i="7"/>
  <c r="H192" i="7"/>
  <c r="G192" i="7"/>
  <c r="E192" i="7"/>
  <c r="F192" i="7" s="1"/>
  <c r="K192" i="7" s="1"/>
  <c r="D192" i="7"/>
  <c r="C192" i="7"/>
  <c r="B192" i="7"/>
  <c r="I191" i="7"/>
  <c r="J191" i="7" s="1"/>
  <c r="H191" i="7"/>
  <c r="G191" i="7"/>
  <c r="E191" i="7"/>
  <c r="F191" i="7" s="1"/>
  <c r="K191" i="7" s="1"/>
  <c r="D191" i="7"/>
  <c r="C191" i="7"/>
  <c r="B191" i="7"/>
  <c r="I190" i="7"/>
  <c r="J190" i="7" s="1"/>
  <c r="H190" i="7"/>
  <c r="G190" i="7"/>
  <c r="F190" i="7"/>
  <c r="K190" i="7" s="1"/>
  <c r="E190" i="7"/>
  <c r="D190" i="7"/>
  <c r="C190" i="7"/>
  <c r="B190" i="7"/>
  <c r="K189" i="7"/>
  <c r="I189" i="7"/>
  <c r="J189" i="7" s="1"/>
  <c r="H189" i="7"/>
  <c r="G189" i="7"/>
  <c r="F189" i="7"/>
  <c r="E189" i="7"/>
  <c r="D189" i="7"/>
  <c r="C189" i="7"/>
  <c r="B189" i="7"/>
  <c r="J188" i="7"/>
  <c r="I188" i="7"/>
  <c r="H188" i="7"/>
  <c r="G188" i="7"/>
  <c r="E188" i="7"/>
  <c r="F188" i="7" s="1"/>
  <c r="K188" i="7" s="1"/>
  <c r="D188" i="7"/>
  <c r="C188" i="7"/>
  <c r="B188" i="7"/>
  <c r="J187" i="7"/>
  <c r="I187" i="7"/>
  <c r="H187" i="7"/>
  <c r="G187" i="7"/>
  <c r="E187" i="7"/>
  <c r="F187" i="7" s="1"/>
  <c r="K187" i="7" s="1"/>
  <c r="D187" i="7"/>
  <c r="C187" i="7"/>
  <c r="B187" i="7"/>
  <c r="I186" i="7"/>
  <c r="J186" i="7" s="1"/>
  <c r="H186" i="7"/>
  <c r="G186" i="7"/>
  <c r="F186" i="7"/>
  <c r="K186" i="7" s="1"/>
  <c r="E186" i="7"/>
  <c r="D186" i="7"/>
  <c r="C186" i="7"/>
  <c r="B186" i="7"/>
  <c r="K185" i="7"/>
  <c r="I185" i="7"/>
  <c r="J185" i="7" s="1"/>
  <c r="H185" i="7"/>
  <c r="G185" i="7"/>
  <c r="F185" i="7"/>
  <c r="E185" i="7"/>
  <c r="D185" i="7"/>
  <c r="C185" i="7"/>
  <c r="B185" i="7"/>
  <c r="J184" i="7"/>
  <c r="I184" i="7"/>
  <c r="H184" i="7"/>
  <c r="G184" i="7"/>
  <c r="E184" i="7"/>
  <c r="F184" i="7" s="1"/>
  <c r="K184" i="7" s="1"/>
  <c r="D184" i="7"/>
  <c r="C184" i="7"/>
  <c r="B184" i="7"/>
  <c r="J183" i="7"/>
  <c r="I183" i="7"/>
  <c r="H183" i="7"/>
  <c r="G183" i="7"/>
  <c r="E183" i="7"/>
  <c r="F183" i="7" s="1"/>
  <c r="K183" i="7" s="1"/>
  <c r="D183" i="7"/>
  <c r="C183" i="7"/>
  <c r="B183" i="7"/>
  <c r="I182" i="7"/>
  <c r="J182" i="7" s="1"/>
  <c r="H182" i="7"/>
  <c r="G182" i="7"/>
  <c r="F182" i="7"/>
  <c r="K182" i="7" s="1"/>
  <c r="E182" i="7"/>
  <c r="D182" i="7"/>
  <c r="C182" i="7"/>
  <c r="B182" i="7"/>
  <c r="K181" i="7"/>
  <c r="I181" i="7"/>
  <c r="J181" i="7" s="1"/>
  <c r="H181" i="7"/>
  <c r="G181" i="7"/>
  <c r="F181" i="7"/>
  <c r="E181" i="7"/>
  <c r="D181" i="7"/>
  <c r="C181" i="7"/>
  <c r="B181" i="7"/>
  <c r="J180" i="7"/>
  <c r="I180" i="7"/>
  <c r="H180" i="7"/>
  <c r="G180" i="7"/>
  <c r="E180" i="7"/>
  <c r="F180" i="7" s="1"/>
  <c r="K180" i="7" s="1"/>
  <c r="D180" i="7"/>
  <c r="C180" i="7"/>
  <c r="B180" i="7"/>
  <c r="J179" i="7"/>
  <c r="I179" i="7"/>
  <c r="H179" i="7"/>
  <c r="G179" i="7"/>
  <c r="E179" i="7"/>
  <c r="F179" i="7" s="1"/>
  <c r="K179" i="7" s="1"/>
  <c r="D179" i="7"/>
  <c r="C179" i="7"/>
  <c r="B179" i="7"/>
  <c r="I178" i="7"/>
  <c r="J178" i="7" s="1"/>
  <c r="H178" i="7"/>
  <c r="G178" i="7"/>
  <c r="F178" i="7"/>
  <c r="K178" i="7" s="1"/>
  <c r="E178" i="7"/>
  <c r="D178" i="7"/>
  <c r="C178" i="7"/>
  <c r="B178" i="7"/>
  <c r="K177" i="7"/>
  <c r="I177" i="7"/>
  <c r="J177" i="7" s="1"/>
  <c r="H177" i="7"/>
  <c r="G177" i="7"/>
  <c r="F177" i="7"/>
  <c r="E177" i="7"/>
  <c r="D177" i="7"/>
  <c r="C177" i="7"/>
  <c r="B177" i="7"/>
  <c r="J176" i="7"/>
  <c r="I176" i="7"/>
  <c r="H176" i="7"/>
  <c r="G176" i="7"/>
  <c r="E176" i="7"/>
  <c r="F176" i="7" s="1"/>
  <c r="K176" i="7" s="1"/>
  <c r="D176" i="7"/>
  <c r="C176" i="7"/>
  <c r="B176" i="7"/>
  <c r="J175" i="7"/>
  <c r="I175" i="7"/>
  <c r="H175" i="7"/>
  <c r="G175" i="7"/>
  <c r="E175" i="7"/>
  <c r="F175" i="7" s="1"/>
  <c r="K175" i="7" s="1"/>
  <c r="D175" i="7"/>
  <c r="C175" i="7"/>
  <c r="B175" i="7"/>
  <c r="I174" i="7"/>
  <c r="J174" i="7" s="1"/>
  <c r="H174" i="7"/>
  <c r="G174" i="7"/>
  <c r="F174" i="7"/>
  <c r="K174" i="7" s="1"/>
  <c r="E174" i="7"/>
  <c r="D174" i="7"/>
  <c r="C174" i="7"/>
  <c r="B174" i="7"/>
  <c r="K173" i="7"/>
  <c r="I173" i="7"/>
  <c r="J173" i="7" s="1"/>
  <c r="H173" i="7"/>
  <c r="G173" i="7"/>
  <c r="F173" i="7"/>
  <c r="E173" i="7"/>
  <c r="D173" i="7"/>
  <c r="C173" i="7"/>
  <c r="B173" i="7"/>
  <c r="J172" i="7"/>
  <c r="I172" i="7"/>
  <c r="H172" i="7"/>
  <c r="G172" i="7"/>
  <c r="E172" i="7"/>
  <c r="F172" i="7" s="1"/>
  <c r="K172" i="7" s="1"/>
  <c r="D172" i="7"/>
  <c r="C172" i="7"/>
  <c r="B172" i="7"/>
  <c r="J171" i="7"/>
  <c r="I171" i="7"/>
  <c r="H171" i="7"/>
  <c r="G171" i="7"/>
  <c r="E171" i="7"/>
  <c r="F171" i="7" s="1"/>
  <c r="K171" i="7" s="1"/>
  <c r="D171" i="7"/>
  <c r="C171" i="7"/>
  <c r="B171" i="7"/>
  <c r="I170" i="7"/>
  <c r="J170" i="7" s="1"/>
  <c r="H170" i="7"/>
  <c r="G170" i="7"/>
  <c r="F170" i="7"/>
  <c r="K170" i="7" s="1"/>
  <c r="E170" i="7"/>
  <c r="D170" i="7"/>
  <c r="C170" i="7"/>
  <c r="B170" i="7"/>
  <c r="K169" i="7"/>
  <c r="I169" i="7"/>
  <c r="J169" i="7" s="1"/>
  <c r="H169" i="7"/>
  <c r="G169" i="7"/>
  <c r="F169" i="7"/>
  <c r="E169" i="7"/>
  <c r="D169" i="7"/>
  <c r="C169" i="7"/>
  <c r="B169" i="7"/>
  <c r="J168" i="7"/>
  <c r="I168" i="7"/>
  <c r="H168" i="7"/>
  <c r="G168" i="7"/>
  <c r="E168" i="7"/>
  <c r="F168" i="7" s="1"/>
  <c r="K168" i="7" s="1"/>
  <c r="D168" i="7"/>
  <c r="C168" i="7"/>
  <c r="B168" i="7"/>
  <c r="J167" i="7"/>
  <c r="I167" i="7"/>
  <c r="H167" i="7"/>
  <c r="G167" i="7"/>
  <c r="E167" i="7"/>
  <c r="F167" i="7" s="1"/>
  <c r="K167" i="7" s="1"/>
  <c r="D167" i="7"/>
  <c r="C167" i="7"/>
  <c r="B167" i="7"/>
  <c r="I166" i="7"/>
  <c r="J166" i="7" s="1"/>
  <c r="H166" i="7"/>
  <c r="G166" i="7"/>
  <c r="E166" i="7"/>
  <c r="F166" i="7" s="1"/>
  <c r="K166" i="7" s="1"/>
  <c r="D166" i="7"/>
  <c r="C166" i="7"/>
  <c r="B166" i="7"/>
  <c r="K165" i="7"/>
  <c r="I165" i="7"/>
  <c r="J165" i="7" s="1"/>
  <c r="H165" i="7"/>
  <c r="G165" i="7"/>
  <c r="F165" i="7"/>
  <c r="E165" i="7"/>
  <c r="D165" i="7"/>
  <c r="C165" i="7"/>
  <c r="B165" i="7"/>
  <c r="I164" i="7"/>
  <c r="J164" i="7" s="1"/>
  <c r="H164" i="7"/>
  <c r="G164" i="7"/>
  <c r="E164" i="7"/>
  <c r="F164" i="7" s="1"/>
  <c r="K164" i="7" s="1"/>
  <c r="D164" i="7"/>
  <c r="C164" i="7"/>
  <c r="B164" i="7"/>
  <c r="J163" i="7"/>
  <c r="I163" i="7"/>
  <c r="H163" i="7"/>
  <c r="G163" i="7"/>
  <c r="E163" i="7"/>
  <c r="F163" i="7" s="1"/>
  <c r="K163" i="7" s="1"/>
  <c r="D163" i="7"/>
  <c r="C163" i="7"/>
  <c r="B163" i="7"/>
  <c r="I162" i="7"/>
  <c r="J162" i="7" s="1"/>
  <c r="H162" i="7"/>
  <c r="G162" i="7"/>
  <c r="E162" i="7"/>
  <c r="F162" i="7" s="1"/>
  <c r="K162" i="7" s="1"/>
  <c r="D162" i="7"/>
  <c r="C162" i="7"/>
  <c r="B162" i="7"/>
  <c r="K161" i="7"/>
  <c r="I161" i="7"/>
  <c r="J161" i="7" s="1"/>
  <c r="H161" i="7"/>
  <c r="G161" i="7"/>
  <c r="F161" i="7"/>
  <c r="E161" i="7"/>
  <c r="D161" i="7"/>
  <c r="C161" i="7"/>
  <c r="B161" i="7"/>
  <c r="I160" i="7"/>
  <c r="J160" i="7" s="1"/>
  <c r="H160" i="7"/>
  <c r="G160" i="7"/>
  <c r="E160" i="7"/>
  <c r="F160" i="7" s="1"/>
  <c r="K160" i="7" s="1"/>
  <c r="D160" i="7"/>
  <c r="C160" i="7"/>
  <c r="B160" i="7"/>
  <c r="J159" i="7"/>
  <c r="I159" i="7"/>
  <c r="H159" i="7"/>
  <c r="G159" i="7"/>
  <c r="E159" i="7"/>
  <c r="F159" i="7" s="1"/>
  <c r="K159" i="7" s="1"/>
  <c r="D159" i="7"/>
  <c r="C159" i="7"/>
  <c r="B159" i="7"/>
  <c r="I158" i="7"/>
  <c r="J158" i="7" s="1"/>
  <c r="H158" i="7"/>
  <c r="G158" i="7"/>
  <c r="E158" i="7"/>
  <c r="F158" i="7" s="1"/>
  <c r="K158" i="7" s="1"/>
  <c r="D158" i="7"/>
  <c r="C158" i="7"/>
  <c r="B158" i="7"/>
  <c r="K157" i="7"/>
  <c r="I157" i="7"/>
  <c r="J157" i="7" s="1"/>
  <c r="H157" i="7"/>
  <c r="G157" i="7"/>
  <c r="F157" i="7"/>
  <c r="E157" i="7"/>
  <c r="D157" i="7"/>
  <c r="C157" i="7"/>
  <c r="B157" i="7"/>
  <c r="I156" i="7"/>
  <c r="J156" i="7" s="1"/>
  <c r="H156" i="7"/>
  <c r="G156" i="7"/>
  <c r="E156" i="7"/>
  <c r="F156" i="7" s="1"/>
  <c r="K156" i="7" s="1"/>
  <c r="D156" i="7"/>
  <c r="C156" i="7"/>
  <c r="B156" i="7"/>
  <c r="J155" i="7"/>
  <c r="I155" i="7"/>
  <c r="H155" i="7"/>
  <c r="G155" i="7"/>
  <c r="E155" i="7"/>
  <c r="F155" i="7" s="1"/>
  <c r="K155" i="7" s="1"/>
  <c r="D155" i="7"/>
  <c r="C155" i="7"/>
  <c r="B155" i="7"/>
  <c r="I154" i="7"/>
  <c r="J154" i="7" s="1"/>
  <c r="H154" i="7"/>
  <c r="G154" i="7"/>
  <c r="E154" i="7"/>
  <c r="F154" i="7" s="1"/>
  <c r="K154" i="7" s="1"/>
  <c r="D154" i="7"/>
  <c r="C154" i="7"/>
  <c r="B154" i="7"/>
  <c r="K153" i="7"/>
  <c r="I153" i="7"/>
  <c r="J153" i="7" s="1"/>
  <c r="H153" i="7"/>
  <c r="G153" i="7"/>
  <c r="F153" i="7"/>
  <c r="E153" i="7"/>
  <c r="D153" i="7"/>
  <c r="C153" i="7"/>
  <c r="B153" i="7"/>
  <c r="I152" i="7"/>
  <c r="J152" i="7" s="1"/>
  <c r="H152" i="7"/>
  <c r="G152" i="7"/>
  <c r="E152" i="7"/>
  <c r="F152" i="7" s="1"/>
  <c r="K152" i="7" s="1"/>
  <c r="D152" i="7"/>
  <c r="C152" i="7"/>
  <c r="B152" i="7"/>
  <c r="J151" i="7"/>
  <c r="I151" i="7"/>
  <c r="H151" i="7"/>
  <c r="G151" i="7"/>
  <c r="E151" i="7"/>
  <c r="F151" i="7" s="1"/>
  <c r="K151" i="7" s="1"/>
  <c r="D151" i="7"/>
  <c r="C151" i="7"/>
  <c r="B151" i="7"/>
  <c r="I150" i="7"/>
  <c r="J150" i="7" s="1"/>
  <c r="H150" i="7"/>
  <c r="G150" i="7"/>
  <c r="E150" i="7"/>
  <c r="F150" i="7" s="1"/>
  <c r="K150" i="7" s="1"/>
  <c r="D150" i="7"/>
  <c r="C150" i="7"/>
  <c r="B150" i="7"/>
  <c r="K149" i="7"/>
  <c r="I149" i="7"/>
  <c r="J149" i="7" s="1"/>
  <c r="H149" i="7"/>
  <c r="G149" i="7"/>
  <c r="F149" i="7"/>
  <c r="E149" i="7"/>
  <c r="D149" i="7"/>
  <c r="C149" i="7"/>
  <c r="B149" i="7"/>
  <c r="I148" i="7"/>
  <c r="J148" i="7" s="1"/>
  <c r="H148" i="7"/>
  <c r="G148" i="7"/>
  <c r="E148" i="7"/>
  <c r="F148" i="7" s="1"/>
  <c r="K148" i="7" s="1"/>
  <c r="D148" i="7"/>
  <c r="C148" i="7"/>
  <c r="B148" i="7"/>
  <c r="J147" i="7"/>
  <c r="I147" i="7"/>
  <c r="H147" i="7"/>
  <c r="G147" i="7"/>
  <c r="E147" i="7"/>
  <c r="F147" i="7" s="1"/>
  <c r="K147" i="7" s="1"/>
  <c r="D147" i="7"/>
  <c r="C147" i="7"/>
  <c r="B147" i="7"/>
  <c r="I146" i="7"/>
  <c r="J146" i="7" s="1"/>
  <c r="H146" i="7"/>
  <c r="G146" i="7"/>
  <c r="E146" i="7"/>
  <c r="F146" i="7" s="1"/>
  <c r="K146" i="7" s="1"/>
  <c r="D146" i="7"/>
  <c r="C146" i="7"/>
  <c r="B146" i="7"/>
  <c r="K145" i="7"/>
  <c r="I145" i="7"/>
  <c r="J145" i="7" s="1"/>
  <c r="H145" i="7"/>
  <c r="G145" i="7"/>
  <c r="F145" i="7"/>
  <c r="E145" i="7"/>
  <c r="D145" i="7"/>
  <c r="C145" i="7"/>
  <c r="B145" i="7"/>
  <c r="I144" i="7"/>
  <c r="J144" i="7" s="1"/>
  <c r="H144" i="7"/>
  <c r="G144" i="7"/>
  <c r="E144" i="7"/>
  <c r="F144" i="7" s="1"/>
  <c r="K144" i="7" s="1"/>
  <c r="D144" i="7"/>
  <c r="C144" i="7"/>
  <c r="B144" i="7"/>
  <c r="J143" i="7"/>
  <c r="I143" i="7"/>
  <c r="H143" i="7"/>
  <c r="G143" i="7"/>
  <c r="E143" i="7"/>
  <c r="F143" i="7" s="1"/>
  <c r="K143" i="7" s="1"/>
  <c r="D143" i="7"/>
  <c r="C143" i="7"/>
  <c r="B143" i="7"/>
  <c r="I142" i="7"/>
  <c r="J142" i="7" s="1"/>
  <c r="H142" i="7"/>
  <c r="G142" i="7"/>
  <c r="E142" i="7"/>
  <c r="F142" i="7" s="1"/>
  <c r="K142" i="7" s="1"/>
  <c r="D142" i="7"/>
  <c r="C142" i="7"/>
  <c r="B142" i="7"/>
  <c r="K141" i="7"/>
  <c r="I141" i="7"/>
  <c r="J141" i="7" s="1"/>
  <c r="H141" i="7"/>
  <c r="G141" i="7"/>
  <c r="F141" i="7"/>
  <c r="E141" i="7"/>
  <c r="D141" i="7"/>
  <c r="C141" i="7"/>
  <c r="B141" i="7"/>
  <c r="I140" i="7"/>
  <c r="J140" i="7" s="1"/>
  <c r="H140" i="7"/>
  <c r="G140" i="7"/>
  <c r="E140" i="7"/>
  <c r="F140" i="7" s="1"/>
  <c r="K140" i="7" s="1"/>
  <c r="D140" i="7"/>
  <c r="C140" i="7"/>
  <c r="B140" i="7"/>
  <c r="J139" i="7"/>
  <c r="I139" i="7"/>
  <c r="H139" i="7"/>
  <c r="G139" i="7"/>
  <c r="E139" i="7"/>
  <c r="F139" i="7" s="1"/>
  <c r="K139" i="7" s="1"/>
  <c r="D139" i="7"/>
  <c r="C139" i="7"/>
  <c r="B139" i="7"/>
  <c r="I138" i="7"/>
  <c r="J138" i="7" s="1"/>
  <c r="H138" i="7"/>
  <c r="G138" i="7"/>
  <c r="E138" i="7"/>
  <c r="F138" i="7" s="1"/>
  <c r="K138" i="7" s="1"/>
  <c r="D138" i="7"/>
  <c r="C138" i="7"/>
  <c r="B138" i="7"/>
  <c r="K137" i="7"/>
  <c r="I137" i="7"/>
  <c r="J137" i="7" s="1"/>
  <c r="H137" i="7"/>
  <c r="G137" i="7"/>
  <c r="F137" i="7"/>
  <c r="E137" i="7"/>
  <c r="D137" i="7"/>
  <c r="C137" i="7"/>
  <c r="B137" i="7"/>
  <c r="I136" i="7"/>
  <c r="J136" i="7" s="1"/>
  <c r="H136" i="7"/>
  <c r="G136" i="7"/>
  <c r="E136" i="7"/>
  <c r="F136" i="7" s="1"/>
  <c r="K136" i="7" s="1"/>
  <c r="D136" i="7"/>
  <c r="C136" i="7"/>
  <c r="B136" i="7"/>
  <c r="J135" i="7"/>
  <c r="I135" i="7"/>
  <c r="H135" i="7"/>
  <c r="G135" i="7"/>
  <c r="E135" i="7"/>
  <c r="F135" i="7" s="1"/>
  <c r="K135" i="7" s="1"/>
  <c r="D135" i="7"/>
  <c r="C135" i="7"/>
  <c r="B135" i="7"/>
  <c r="I134" i="7"/>
  <c r="J134" i="7" s="1"/>
  <c r="H134" i="7"/>
  <c r="G134" i="7"/>
  <c r="E134" i="7"/>
  <c r="F134" i="7" s="1"/>
  <c r="K134" i="7" s="1"/>
  <c r="D134" i="7"/>
  <c r="C134" i="7"/>
  <c r="B134" i="7"/>
  <c r="K133" i="7"/>
  <c r="I133" i="7"/>
  <c r="J133" i="7" s="1"/>
  <c r="H133" i="7"/>
  <c r="G133" i="7"/>
  <c r="F133" i="7"/>
  <c r="E133" i="7"/>
  <c r="D133" i="7"/>
  <c r="C133" i="7"/>
  <c r="B133" i="7"/>
  <c r="I132" i="7"/>
  <c r="J132" i="7" s="1"/>
  <c r="H132" i="7"/>
  <c r="G132" i="7"/>
  <c r="E132" i="7"/>
  <c r="F132" i="7" s="1"/>
  <c r="K132" i="7" s="1"/>
  <c r="D132" i="7"/>
  <c r="C132" i="7"/>
  <c r="B132" i="7"/>
  <c r="J131" i="7"/>
  <c r="I131" i="7"/>
  <c r="H131" i="7"/>
  <c r="G131" i="7"/>
  <c r="E131" i="7"/>
  <c r="F131" i="7" s="1"/>
  <c r="K131" i="7" s="1"/>
  <c r="D131" i="7"/>
  <c r="C131" i="7"/>
  <c r="B131" i="7"/>
  <c r="I130" i="7"/>
  <c r="J130" i="7" s="1"/>
  <c r="H130" i="7"/>
  <c r="G130" i="7"/>
  <c r="E130" i="7"/>
  <c r="F130" i="7" s="1"/>
  <c r="K130" i="7" s="1"/>
  <c r="D130" i="7"/>
  <c r="C130" i="7"/>
  <c r="B130" i="7"/>
  <c r="K129" i="7"/>
  <c r="I129" i="7"/>
  <c r="J129" i="7" s="1"/>
  <c r="H129" i="7"/>
  <c r="G129" i="7"/>
  <c r="F129" i="7"/>
  <c r="E129" i="7"/>
  <c r="D129" i="7"/>
  <c r="C129" i="7"/>
  <c r="B129" i="7"/>
  <c r="I128" i="7"/>
  <c r="J128" i="7" s="1"/>
  <c r="H128" i="7"/>
  <c r="G128" i="7"/>
  <c r="E128" i="7"/>
  <c r="F128" i="7" s="1"/>
  <c r="K128" i="7" s="1"/>
  <c r="D128" i="7"/>
  <c r="C128" i="7"/>
  <c r="B128" i="7"/>
  <c r="J127" i="7"/>
  <c r="I127" i="7"/>
  <c r="H127" i="7"/>
  <c r="G127" i="7"/>
  <c r="E127" i="7"/>
  <c r="F127" i="7" s="1"/>
  <c r="K127" i="7" s="1"/>
  <c r="D127" i="7"/>
  <c r="C127" i="7"/>
  <c r="B127" i="7"/>
  <c r="I126" i="7"/>
  <c r="J126" i="7" s="1"/>
  <c r="H126" i="7"/>
  <c r="G126" i="7"/>
  <c r="E126" i="7"/>
  <c r="F126" i="7" s="1"/>
  <c r="K126" i="7" s="1"/>
  <c r="D126" i="7"/>
  <c r="C126" i="7"/>
  <c r="B126" i="7"/>
  <c r="K125" i="7"/>
  <c r="I125" i="7"/>
  <c r="J125" i="7" s="1"/>
  <c r="H125" i="7"/>
  <c r="G125" i="7"/>
  <c r="F125" i="7"/>
  <c r="E125" i="7"/>
  <c r="D125" i="7"/>
  <c r="C125" i="7"/>
  <c r="B125" i="7"/>
  <c r="I124" i="7"/>
  <c r="J124" i="7" s="1"/>
  <c r="H124" i="7"/>
  <c r="G124" i="7"/>
  <c r="E124" i="7"/>
  <c r="F124" i="7" s="1"/>
  <c r="K124" i="7" s="1"/>
  <c r="D124" i="7"/>
  <c r="C124" i="7"/>
  <c r="B124" i="7"/>
  <c r="J123" i="7"/>
  <c r="I123" i="7"/>
  <c r="H123" i="7"/>
  <c r="G123" i="7"/>
  <c r="E123" i="7"/>
  <c r="F123" i="7" s="1"/>
  <c r="K123" i="7" s="1"/>
  <c r="D123" i="7"/>
  <c r="C123" i="7"/>
  <c r="B123" i="7"/>
  <c r="I122" i="7"/>
  <c r="J122" i="7" s="1"/>
  <c r="H122" i="7"/>
  <c r="G122" i="7"/>
  <c r="E122" i="7"/>
  <c r="F122" i="7" s="1"/>
  <c r="K122" i="7" s="1"/>
  <c r="D122" i="7"/>
  <c r="C122" i="7"/>
  <c r="B122" i="7"/>
  <c r="K121" i="7"/>
  <c r="I121" i="7"/>
  <c r="J121" i="7" s="1"/>
  <c r="H121" i="7"/>
  <c r="G121" i="7"/>
  <c r="F121" i="7"/>
  <c r="E121" i="7"/>
  <c r="D121" i="7"/>
  <c r="C121" i="7"/>
  <c r="B121" i="7"/>
  <c r="I120" i="7"/>
  <c r="J120" i="7" s="1"/>
  <c r="H120" i="7"/>
  <c r="G120" i="7"/>
  <c r="E120" i="7"/>
  <c r="F120" i="7" s="1"/>
  <c r="K120" i="7" s="1"/>
  <c r="D120" i="7"/>
  <c r="C120" i="7"/>
  <c r="B120" i="7"/>
  <c r="J119" i="7"/>
  <c r="I119" i="7"/>
  <c r="H119" i="7"/>
  <c r="G119" i="7"/>
  <c r="E119" i="7"/>
  <c r="F119" i="7" s="1"/>
  <c r="K119" i="7" s="1"/>
  <c r="D119" i="7"/>
  <c r="C119" i="7"/>
  <c r="B119" i="7"/>
  <c r="I118" i="7"/>
  <c r="J118" i="7" s="1"/>
  <c r="H118" i="7"/>
  <c r="G118" i="7"/>
  <c r="E118" i="7"/>
  <c r="F118" i="7" s="1"/>
  <c r="K118" i="7" s="1"/>
  <c r="D118" i="7"/>
  <c r="C118" i="7"/>
  <c r="B118" i="7"/>
  <c r="K117" i="7"/>
  <c r="I117" i="7"/>
  <c r="J117" i="7" s="1"/>
  <c r="H117" i="7"/>
  <c r="G117" i="7"/>
  <c r="F117" i="7"/>
  <c r="E117" i="7"/>
  <c r="D117" i="7"/>
  <c r="C117" i="7"/>
  <c r="B117" i="7"/>
  <c r="I116" i="7"/>
  <c r="J116" i="7" s="1"/>
  <c r="H116" i="7"/>
  <c r="G116" i="7"/>
  <c r="E116" i="7"/>
  <c r="F116" i="7" s="1"/>
  <c r="K116" i="7" s="1"/>
  <c r="D116" i="7"/>
  <c r="C116" i="7"/>
  <c r="B116" i="7"/>
  <c r="J115" i="7"/>
  <c r="I115" i="7"/>
  <c r="H115" i="7"/>
  <c r="G115" i="7"/>
  <c r="E115" i="7"/>
  <c r="F115" i="7" s="1"/>
  <c r="K115" i="7" s="1"/>
  <c r="D115" i="7"/>
  <c r="C115" i="7"/>
  <c r="B115" i="7"/>
  <c r="I114" i="7"/>
  <c r="J114" i="7" s="1"/>
  <c r="H114" i="7"/>
  <c r="G114" i="7"/>
  <c r="E114" i="7"/>
  <c r="F114" i="7" s="1"/>
  <c r="K114" i="7" s="1"/>
  <c r="D114" i="7"/>
  <c r="C114" i="7"/>
  <c r="B114" i="7"/>
  <c r="K113" i="7"/>
  <c r="I113" i="7"/>
  <c r="J113" i="7" s="1"/>
  <c r="H113" i="7"/>
  <c r="G113" i="7"/>
  <c r="F113" i="7"/>
  <c r="E113" i="7"/>
  <c r="D113" i="7"/>
  <c r="C113" i="7"/>
  <c r="B113" i="7"/>
  <c r="I112" i="7"/>
  <c r="J112" i="7" s="1"/>
  <c r="H112" i="7"/>
  <c r="G112" i="7"/>
  <c r="E112" i="7"/>
  <c r="F112" i="7" s="1"/>
  <c r="K112" i="7" s="1"/>
  <c r="D112" i="7"/>
  <c r="C112" i="7"/>
  <c r="B112" i="7"/>
  <c r="J111" i="7"/>
  <c r="I111" i="7"/>
  <c r="H111" i="7"/>
  <c r="G111" i="7"/>
  <c r="E111" i="7"/>
  <c r="F111" i="7" s="1"/>
  <c r="K111" i="7" s="1"/>
  <c r="D111" i="7"/>
  <c r="C111" i="7"/>
  <c r="B111" i="7"/>
  <c r="I110" i="7"/>
  <c r="J110" i="7" s="1"/>
  <c r="H110" i="7"/>
  <c r="G110" i="7"/>
  <c r="E110" i="7"/>
  <c r="F110" i="7" s="1"/>
  <c r="K110" i="7" s="1"/>
  <c r="D110" i="7"/>
  <c r="C110" i="7"/>
  <c r="B110" i="7"/>
  <c r="K109" i="7"/>
  <c r="I109" i="7"/>
  <c r="J109" i="7" s="1"/>
  <c r="H109" i="7"/>
  <c r="G109" i="7"/>
  <c r="F109" i="7"/>
  <c r="E109" i="7"/>
  <c r="D109" i="7"/>
  <c r="C109" i="7"/>
  <c r="B109" i="7"/>
  <c r="I108" i="7"/>
  <c r="J108" i="7" s="1"/>
  <c r="H108" i="7"/>
  <c r="G108" i="7"/>
  <c r="E108" i="7"/>
  <c r="F108" i="7" s="1"/>
  <c r="K108" i="7" s="1"/>
  <c r="D108" i="7"/>
  <c r="C108" i="7"/>
  <c r="B108" i="7"/>
  <c r="J107" i="7"/>
  <c r="I107" i="7"/>
  <c r="H107" i="7"/>
  <c r="G107" i="7"/>
  <c r="E107" i="7"/>
  <c r="F107" i="7" s="1"/>
  <c r="K107" i="7" s="1"/>
  <c r="D107" i="7"/>
  <c r="C107" i="7"/>
  <c r="B107" i="7"/>
  <c r="I106" i="7"/>
  <c r="J106" i="7" s="1"/>
  <c r="H106" i="7"/>
  <c r="G106" i="7"/>
  <c r="E106" i="7"/>
  <c r="F106" i="7" s="1"/>
  <c r="K106" i="7" s="1"/>
  <c r="D106" i="7"/>
  <c r="C106" i="7"/>
  <c r="B106" i="7"/>
  <c r="K105" i="7"/>
  <c r="I105" i="7"/>
  <c r="J105" i="7" s="1"/>
  <c r="H105" i="7"/>
  <c r="G105" i="7"/>
  <c r="F105" i="7"/>
  <c r="E105" i="7"/>
  <c r="D105" i="7"/>
  <c r="C105" i="7"/>
  <c r="B105" i="7"/>
  <c r="I104" i="7"/>
  <c r="J104" i="7" s="1"/>
  <c r="H104" i="7"/>
  <c r="G104" i="7"/>
  <c r="E104" i="7"/>
  <c r="F104" i="7" s="1"/>
  <c r="K104" i="7" s="1"/>
  <c r="D104" i="7"/>
  <c r="C104" i="7"/>
  <c r="B104" i="7"/>
  <c r="J103" i="7"/>
  <c r="I103" i="7"/>
  <c r="H103" i="7"/>
  <c r="G103" i="7"/>
  <c r="E103" i="7"/>
  <c r="F103" i="7" s="1"/>
  <c r="K103" i="7" s="1"/>
  <c r="D103" i="7"/>
  <c r="C103" i="7"/>
  <c r="B103" i="7"/>
  <c r="I102" i="7"/>
  <c r="J102" i="7" s="1"/>
  <c r="H102" i="7"/>
  <c r="G102" i="7"/>
  <c r="E102" i="7"/>
  <c r="F102" i="7" s="1"/>
  <c r="D102" i="7"/>
  <c r="C102" i="7"/>
  <c r="B102" i="7"/>
  <c r="K101" i="7"/>
  <c r="I101" i="7"/>
  <c r="J101" i="7" s="1"/>
  <c r="H101" i="7"/>
  <c r="G101" i="7"/>
  <c r="F101" i="7"/>
  <c r="E101" i="7"/>
  <c r="D101" i="7"/>
  <c r="C101" i="7"/>
  <c r="B101" i="7"/>
  <c r="I100" i="7"/>
  <c r="J100" i="7" s="1"/>
  <c r="H100" i="7"/>
  <c r="G100" i="7"/>
  <c r="E100" i="7"/>
  <c r="F100" i="7" s="1"/>
  <c r="K100" i="7" s="1"/>
  <c r="D100" i="7"/>
  <c r="C100" i="7"/>
  <c r="B100" i="7"/>
  <c r="I99" i="7"/>
  <c r="J99" i="7" s="1"/>
  <c r="H99" i="7"/>
  <c r="G99" i="7"/>
  <c r="E99" i="7"/>
  <c r="F99" i="7" s="1"/>
  <c r="K99" i="7" s="1"/>
  <c r="D99" i="7"/>
  <c r="C99" i="7"/>
  <c r="B99" i="7"/>
  <c r="I98" i="7"/>
  <c r="J98" i="7" s="1"/>
  <c r="H98" i="7"/>
  <c r="G98" i="7"/>
  <c r="E98" i="7"/>
  <c r="F98" i="7" s="1"/>
  <c r="K98" i="7" s="1"/>
  <c r="D98" i="7"/>
  <c r="C98" i="7"/>
  <c r="B98" i="7"/>
  <c r="K97" i="7"/>
  <c r="I97" i="7"/>
  <c r="J97" i="7" s="1"/>
  <c r="H97" i="7"/>
  <c r="G97" i="7"/>
  <c r="E97" i="7"/>
  <c r="F97" i="7" s="1"/>
  <c r="D97" i="7"/>
  <c r="C97" i="7"/>
  <c r="B97" i="7"/>
  <c r="I96" i="7"/>
  <c r="J96" i="7" s="1"/>
  <c r="H96" i="7"/>
  <c r="G96" i="7"/>
  <c r="E96" i="7"/>
  <c r="F96" i="7" s="1"/>
  <c r="D96" i="7"/>
  <c r="C96" i="7"/>
  <c r="B96" i="7"/>
  <c r="I95" i="7"/>
  <c r="J95" i="7" s="1"/>
  <c r="H95" i="7"/>
  <c r="G95" i="7"/>
  <c r="E95" i="7"/>
  <c r="F95" i="7" s="1"/>
  <c r="D95" i="7"/>
  <c r="C95" i="7"/>
  <c r="B95" i="7"/>
  <c r="I94" i="7"/>
  <c r="J94" i="7" s="1"/>
  <c r="H94" i="7"/>
  <c r="G94" i="7"/>
  <c r="E94" i="7"/>
  <c r="F94" i="7" s="1"/>
  <c r="K94" i="7" s="1"/>
  <c r="D94" i="7"/>
  <c r="C94" i="7"/>
  <c r="B94" i="7"/>
  <c r="K93" i="7"/>
  <c r="I93" i="7"/>
  <c r="J93" i="7" s="1"/>
  <c r="H93" i="7"/>
  <c r="G93" i="7"/>
  <c r="E93" i="7"/>
  <c r="F93" i="7" s="1"/>
  <c r="D93" i="7"/>
  <c r="C93" i="7"/>
  <c r="B93" i="7"/>
  <c r="I92" i="7"/>
  <c r="J92" i="7" s="1"/>
  <c r="H92" i="7"/>
  <c r="G92" i="7"/>
  <c r="E92" i="7"/>
  <c r="F92" i="7" s="1"/>
  <c r="K92" i="7" s="1"/>
  <c r="D92" i="7"/>
  <c r="C92" i="7"/>
  <c r="B92" i="7"/>
  <c r="I91" i="7"/>
  <c r="J91" i="7" s="1"/>
  <c r="H91" i="7"/>
  <c r="G91" i="7"/>
  <c r="E91" i="7"/>
  <c r="F91" i="7" s="1"/>
  <c r="K91" i="7" s="1"/>
  <c r="D91" i="7"/>
  <c r="C91" i="7"/>
  <c r="B91" i="7"/>
  <c r="I90" i="7"/>
  <c r="J90" i="7" s="1"/>
  <c r="H90" i="7"/>
  <c r="G90" i="7"/>
  <c r="E90" i="7"/>
  <c r="F90" i="7" s="1"/>
  <c r="D90" i="7"/>
  <c r="C90" i="7"/>
  <c r="B90" i="7"/>
  <c r="I89" i="7"/>
  <c r="J89" i="7" s="1"/>
  <c r="H89" i="7"/>
  <c r="G89" i="7"/>
  <c r="E89" i="7"/>
  <c r="F89" i="7" s="1"/>
  <c r="K89" i="7" s="1"/>
  <c r="D89" i="7"/>
  <c r="C89" i="7"/>
  <c r="B89" i="7"/>
  <c r="I88" i="7"/>
  <c r="J88" i="7" s="1"/>
  <c r="H88" i="7"/>
  <c r="G88" i="7"/>
  <c r="E88" i="7"/>
  <c r="F88" i="7" s="1"/>
  <c r="K88" i="7" s="1"/>
  <c r="D88" i="7"/>
  <c r="C88" i="7"/>
  <c r="B88" i="7"/>
  <c r="I87" i="7"/>
  <c r="J87" i="7" s="1"/>
  <c r="H87" i="7"/>
  <c r="G87" i="7"/>
  <c r="E87" i="7"/>
  <c r="F87" i="7" s="1"/>
  <c r="D87" i="7"/>
  <c r="C87" i="7"/>
  <c r="B87" i="7"/>
  <c r="I86" i="7"/>
  <c r="J86" i="7" s="1"/>
  <c r="H86" i="7"/>
  <c r="G86" i="7"/>
  <c r="E86" i="7"/>
  <c r="F86" i="7" s="1"/>
  <c r="D86" i="7"/>
  <c r="C86" i="7"/>
  <c r="B86" i="7"/>
  <c r="I85" i="7"/>
  <c r="J85" i="7" s="1"/>
  <c r="K85" i="7" s="1"/>
  <c r="H85" i="7"/>
  <c r="G85" i="7"/>
  <c r="E85" i="7"/>
  <c r="F85" i="7" s="1"/>
  <c r="D85" i="7"/>
  <c r="C85" i="7"/>
  <c r="B85" i="7"/>
  <c r="I84" i="7"/>
  <c r="J84" i="7" s="1"/>
  <c r="H84" i="7"/>
  <c r="G84" i="7"/>
  <c r="E84" i="7"/>
  <c r="F84" i="7" s="1"/>
  <c r="D84" i="7"/>
  <c r="C84" i="7"/>
  <c r="B84" i="7"/>
  <c r="I83" i="7"/>
  <c r="J83" i="7" s="1"/>
  <c r="H83" i="7"/>
  <c r="G83" i="7"/>
  <c r="E83" i="7"/>
  <c r="F83" i="7" s="1"/>
  <c r="K83" i="7" s="1"/>
  <c r="D83" i="7"/>
  <c r="C83" i="7"/>
  <c r="B83" i="7"/>
  <c r="I82" i="7"/>
  <c r="J82" i="7" s="1"/>
  <c r="H82" i="7"/>
  <c r="G82" i="7"/>
  <c r="E82" i="7"/>
  <c r="F82" i="7" s="1"/>
  <c r="K82" i="7" s="1"/>
  <c r="D82" i="7"/>
  <c r="C82" i="7"/>
  <c r="B82" i="7"/>
  <c r="I81" i="7"/>
  <c r="J81" i="7" s="1"/>
  <c r="H81" i="7"/>
  <c r="G81" i="7"/>
  <c r="E81" i="7"/>
  <c r="F81" i="7" s="1"/>
  <c r="K81" i="7" s="1"/>
  <c r="D81" i="7"/>
  <c r="C81" i="7"/>
  <c r="B81" i="7"/>
  <c r="I80" i="7"/>
  <c r="J80" i="7" s="1"/>
  <c r="H80" i="7"/>
  <c r="G80" i="7"/>
  <c r="E80" i="7"/>
  <c r="F80" i="7" s="1"/>
  <c r="K80" i="7" s="1"/>
  <c r="D80" i="7"/>
  <c r="C80" i="7"/>
  <c r="B80" i="7"/>
  <c r="I79" i="7"/>
  <c r="J79" i="7" s="1"/>
  <c r="H79" i="7"/>
  <c r="G79" i="7"/>
  <c r="E79" i="7"/>
  <c r="F79" i="7" s="1"/>
  <c r="D79" i="7"/>
  <c r="C79" i="7"/>
  <c r="B79" i="7"/>
  <c r="I78" i="7"/>
  <c r="J78" i="7" s="1"/>
  <c r="H78" i="7"/>
  <c r="G78" i="7"/>
  <c r="E78" i="7"/>
  <c r="F78" i="7" s="1"/>
  <c r="K78" i="7" s="1"/>
  <c r="D78" i="7"/>
  <c r="C78" i="7"/>
  <c r="B78" i="7"/>
  <c r="I77" i="7"/>
  <c r="J77" i="7" s="1"/>
  <c r="H77" i="7"/>
  <c r="G77" i="7"/>
  <c r="E77" i="7"/>
  <c r="F77" i="7" s="1"/>
  <c r="K77" i="7" s="1"/>
  <c r="D77" i="7"/>
  <c r="C77" i="7"/>
  <c r="B77" i="7"/>
  <c r="I76" i="7"/>
  <c r="J76" i="7" s="1"/>
  <c r="H76" i="7"/>
  <c r="G76" i="7"/>
  <c r="E76" i="7"/>
  <c r="F76" i="7" s="1"/>
  <c r="D76" i="7"/>
  <c r="C76" i="7"/>
  <c r="B76" i="7"/>
  <c r="I75" i="7"/>
  <c r="J75" i="7" s="1"/>
  <c r="H75" i="7"/>
  <c r="G75" i="7"/>
  <c r="E75" i="7"/>
  <c r="F75" i="7" s="1"/>
  <c r="D75" i="7"/>
  <c r="C75" i="7"/>
  <c r="B75" i="7"/>
  <c r="I74" i="7"/>
  <c r="J74" i="7" s="1"/>
  <c r="H74" i="7"/>
  <c r="G74" i="7"/>
  <c r="E74" i="7"/>
  <c r="F74" i="7" s="1"/>
  <c r="D74" i="7"/>
  <c r="C74" i="7"/>
  <c r="B74" i="7"/>
  <c r="I73" i="7"/>
  <c r="J73" i="7" s="1"/>
  <c r="H73" i="7"/>
  <c r="G73" i="7"/>
  <c r="E73" i="7"/>
  <c r="F73" i="7" s="1"/>
  <c r="K73" i="7" s="1"/>
  <c r="D73" i="7"/>
  <c r="C73" i="7"/>
  <c r="B73" i="7"/>
  <c r="I72" i="7"/>
  <c r="J72" i="7" s="1"/>
  <c r="H72" i="7"/>
  <c r="G72" i="7"/>
  <c r="E72" i="7"/>
  <c r="F72" i="7" s="1"/>
  <c r="K72" i="7" s="1"/>
  <c r="D72" i="7"/>
  <c r="C72" i="7"/>
  <c r="B72" i="7"/>
  <c r="I71" i="7"/>
  <c r="J71" i="7" s="1"/>
  <c r="H71" i="7"/>
  <c r="G71" i="7"/>
  <c r="E71" i="7"/>
  <c r="F71" i="7" s="1"/>
  <c r="K71" i="7" s="1"/>
  <c r="D71" i="7"/>
  <c r="C71" i="7"/>
  <c r="B71" i="7"/>
  <c r="I70" i="7"/>
  <c r="J70" i="7" s="1"/>
  <c r="H70" i="7"/>
  <c r="G70" i="7"/>
  <c r="E70" i="7"/>
  <c r="F70" i="7" s="1"/>
  <c r="K70" i="7" s="1"/>
  <c r="D70" i="7"/>
  <c r="C70" i="7"/>
  <c r="B70" i="7"/>
  <c r="I69" i="7"/>
  <c r="J69" i="7" s="1"/>
  <c r="H69" i="7"/>
  <c r="G69" i="7"/>
  <c r="E69" i="7"/>
  <c r="F69" i="7" s="1"/>
  <c r="K69" i="7" s="1"/>
  <c r="D69" i="7"/>
  <c r="C69" i="7"/>
  <c r="B69" i="7"/>
  <c r="I68" i="7"/>
  <c r="J68" i="7" s="1"/>
  <c r="H68" i="7"/>
  <c r="G68" i="7"/>
  <c r="E68" i="7"/>
  <c r="F68" i="7" s="1"/>
  <c r="D68" i="7"/>
  <c r="C68" i="7"/>
  <c r="B68" i="7"/>
  <c r="I67" i="7"/>
  <c r="J67" i="7" s="1"/>
  <c r="H67" i="7"/>
  <c r="G67" i="7"/>
  <c r="E67" i="7"/>
  <c r="F67" i="7" s="1"/>
  <c r="K67" i="7" s="1"/>
  <c r="D67" i="7"/>
  <c r="C67" i="7"/>
  <c r="B67" i="7"/>
  <c r="I66" i="7"/>
  <c r="J66" i="7" s="1"/>
  <c r="H66" i="7"/>
  <c r="G66" i="7"/>
  <c r="E66" i="7"/>
  <c r="F66" i="7" s="1"/>
  <c r="D66" i="7"/>
  <c r="C66" i="7"/>
  <c r="B66" i="7"/>
  <c r="K65" i="7"/>
  <c r="I65" i="7"/>
  <c r="J65" i="7" s="1"/>
  <c r="H65" i="7"/>
  <c r="G65" i="7"/>
  <c r="E65" i="7"/>
  <c r="F65" i="7" s="1"/>
  <c r="D65" i="7"/>
  <c r="C65" i="7"/>
  <c r="B65" i="7"/>
  <c r="I64" i="7"/>
  <c r="J64" i="7" s="1"/>
  <c r="H64" i="7"/>
  <c r="G64" i="7"/>
  <c r="E64" i="7"/>
  <c r="F64" i="7" s="1"/>
  <c r="D64" i="7"/>
  <c r="C64" i="7"/>
  <c r="B64" i="7"/>
  <c r="I63" i="7"/>
  <c r="J63" i="7" s="1"/>
  <c r="H63" i="7"/>
  <c r="G63" i="7"/>
  <c r="E63" i="7"/>
  <c r="F63" i="7" s="1"/>
  <c r="D63" i="7"/>
  <c r="C63" i="7"/>
  <c r="B63" i="7"/>
  <c r="I62" i="7"/>
  <c r="J62" i="7" s="1"/>
  <c r="H62" i="7"/>
  <c r="G62" i="7"/>
  <c r="E62" i="7"/>
  <c r="F62" i="7" s="1"/>
  <c r="K62" i="7" s="1"/>
  <c r="D62" i="7"/>
  <c r="C62" i="7"/>
  <c r="B62" i="7"/>
  <c r="K61" i="7"/>
  <c r="I61" i="7"/>
  <c r="J61" i="7" s="1"/>
  <c r="H61" i="7"/>
  <c r="G61" i="7"/>
  <c r="E61" i="7"/>
  <c r="F61" i="7" s="1"/>
  <c r="D61" i="7"/>
  <c r="C61" i="7"/>
  <c r="B61" i="7"/>
  <c r="I60" i="7"/>
  <c r="J60" i="7" s="1"/>
  <c r="H60" i="7"/>
  <c r="G60" i="7"/>
  <c r="E60" i="7"/>
  <c r="F60" i="7" s="1"/>
  <c r="K60" i="7" s="1"/>
  <c r="D60" i="7"/>
  <c r="C60" i="7"/>
  <c r="B60" i="7"/>
  <c r="I59" i="7"/>
  <c r="J59" i="7" s="1"/>
  <c r="H59" i="7"/>
  <c r="G59" i="7"/>
  <c r="E59" i="7"/>
  <c r="F59" i="7" s="1"/>
  <c r="K59" i="7" s="1"/>
  <c r="D59" i="7"/>
  <c r="C59" i="7"/>
  <c r="B59" i="7"/>
  <c r="I58" i="7"/>
  <c r="J58" i="7" s="1"/>
  <c r="H58" i="7"/>
  <c r="G58" i="7"/>
  <c r="E58" i="7"/>
  <c r="F58" i="7" s="1"/>
  <c r="K58" i="7" s="1"/>
  <c r="D58" i="7"/>
  <c r="C58" i="7"/>
  <c r="B58" i="7"/>
  <c r="I57" i="7"/>
  <c r="J57" i="7" s="1"/>
  <c r="H57" i="7"/>
  <c r="G57" i="7"/>
  <c r="E57" i="7"/>
  <c r="F57" i="7" s="1"/>
  <c r="K57" i="7" s="1"/>
  <c r="D57" i="7"/>
  <c r="C57" i="7"/>
  <c r="B57" i="7"/>
  <c r="I56" i="7"/>
  <c r="J56" i="7" s="1"/>
  <c r="H56" i="7"/>
  <c r="G56" i="7"/>
  <c r="E56" i="7"/>
  <c r="F56" i="7" s="1"/>
  <c r="K56" i="7" s="1"/>
  <c r="D56" i="7"/>
  <c r="C56" i="7"/>
  <c r="B56" i="7"/>
  <c r="I55" i="7"/>
  <c r="J55" i="7" s="1"/>
  <c r="H55" i="7"/>
  <c r="G55" i="7"/>
  <c r="E55" i="7"/>
  <c r="F55" i="7" s="1"/>
  <c r="D55" i="7"/>
  <c r="C55" i="7"/>
  <c r="B55" i="7"/>
  <c r="I54" i="7"/>
  <c r="J54" i="7" s="1"/>
  <c r="H54" i="7"/>
  <c r="G54" i="7"/>
  <c r="E54" i="7"/>
  <c r="F54" i="7" s="1"/>
  <c r="D54" i="7"/>
  <c r="C54" i="7"/>
  <c r="B54" i="7"/>
  <c r="I53" i="7"/>
  <c r="J53" i="7" s="1"/>
  <c r="K53" i="7" s="1"/>
  <c r="H53" i="7"/>
  <c r="G53" i="7"/>
  <c r="E53" i="7"/>
  <c r="F53" i="7" s="1"/>
  <c r="D53" i="7"/>
  <c r="C53" i="7"/>
  <c r="B53" i="7"/>
  <c r="I52" i="7"/>
  <c r="J52" i="7" s="1"/>
  <c r="K52" i="7" s="1"/>
  <c r="H52" i="7"/>
  <c r="G52" i="7"/>
  <c r="E52" i="7"/>
  <c r="F52" i="7" s="1"/>
  <c r="D52" i="7"/>
  <c r="C52" i="7"/>
  <c r="B52" i="7"/>
  <c r="I51" i="7"/>
  <c r="J51" i="7" s="1"/>
  <c r="K51" i="7" s="1"/>
  <c r="H51" i="7"/>
  <c r="G51" i="7"/>
  <c r="E51" i="7"/>
  <c r="F51" i="7" s="1"/>
  <c r="D51" i="7"/>
  <c r="C51" i="7"/>
  <c r="B51" i="7"/>
  <c r="I50" i="7"/>
  <c r="J50" i="7" s="1"/>
  <c r="K50" i="7" s="1"/>
  <c r="H50" i="7"/>
  <c r="G50" i="7"/>
  <c r="E50" i="7"/>
  <c r="F50" i="7" s="1"/>
  <c r="D50" i="7"/>
  <c r="C50" i="7"/>
  <c r="B50" i="7"/>
  <c r="I49" i="7"/>
  <c r="J49" i="7" s="1"/>
  <c r="K49" i="7" s="1"/>
  <c r="H49" i="7"/>
  <c r="G49" i="7"/>
  <c r="E49" i="7"/>
  <c r="F49" i="7" s="1"/>
  <c r="D49" i="7"/>
  <c r="C49" i="7"/>
  <c r="B49" i="7"/>
  <c r="I48" i="7"/>
  <c r="J48" i="7" s="1"/>
  <c r="K48" i="7" s="1"/>
  <c r="H48" i="7"/>
  <c r="G48" i="7"/>
  <c r="E48" i="7"/>
  <c r="F48" i="7" s="1"/>
  <c r="D48" i="7"/>
  <c r="C48" i="7"/>
  <c r="B48" i="7"/>
  <c r="I47" i="7"/>
  <c r="J47" i="7" s="1"/>
  <c r="K47" i="7" s="1"/>
  <c r="H47" i="7"/>
  <c r="G47" i="7"/>
  <c r="F47" i="7"/>
  <c r="E47" i="7"/>
  <c r="D47" i="7"/>
  <c r="C47" i="7"/>
  <c r="B47" i="7"/>
  <c r="K46" i="7"/>
  <c r="I46" i="7"/>
  <c r="J46" i="7" s="1"/>
  <c r="H46" i="7"/>
  <c r="G46" i="7"/>
  <c r="E46" i="7"/>
  <c r="F46" i="7" s="1"/>
  <c r="D46" i="7"/>
  <c r="C46" i="7"/>
  <c r="B46" i="7"/>
  <c r="K45" i="7"/>
  <c r="J45" i="7"/>
  <c r="I45" i="7"/>
  <c r="H45" i="7"/>
  <c r="G45" i="7"/>
  <c r="F45" i="7"/>
  <c r="E45" i="7"/>
  <c r="D45" i="7"/>
  <c r="C45" i="7"/>
  <c r="B45" i="7"/>
  <c r="J44" i="7"/>
  <c r="I44" i="7"/>
  <c r="H44" i="7"/>
  <c r="G44" i="7"/>
  <c r="E44" i="7"/>
  <c r="F44" i="7" s="1"/>
  <c r="K44" i="7" s="1"/>
  <c r="D44" i="7"/>
  <c r="C44" i="7"/>
  <c r="B44" i="7"/>
  <c r="J43" i="7"/>
  <c r="I43" i="7"/>
  <c r="H43" i="7"/>
  <c r="G43" i="7"/>
  <c r="F43" i="7"/>
  <c r="K43" i="7" s="1"/>
  <c r="E43" i="7"/>
  <c r="D43" i="7"/>
  <c r="C43" i="7"/>
  <c r="B43" i="7"/>
  <c r="I42" i="7"/>
  <c r="J42" i="7" s="1"/>
  <c r="H42" i="7"/>
  <c r="G42" i="7"/>
  <c r="F42" i="7"/>
  <c r="E42" i="7"/>
  <c r="D42" i="7"/>
  <c r="C42" i="7"/>
  <c r="B42" i="7"/>
  <c r="K41" i="7"/>
  <c r="J41" i="7"/>
  <c r="I41" i="7"/>
  <c r="H41" i="7"/>
  <c r="G41" i="7"/>
  <c r="F41" i="7"/>
  <c r="E41" i="7"/>
  <c r="D41" i="7"/>
  <c r="C41" i="7"/>
  <c r="B41" i="7"/>
  <c r="J40" i="7"/>
  <c r="I40" i="7"/>
  <c r="H40" i="7"/>
  <c r="G40" i="7"/>
  <c r="E40" i="7"/>
  <c r="F40" i="7" s="1"/>
  <c r="K40" i="7" s="1"/>
  <c r="D40" i="7"/>
  <c r="C40" i="7"/>
  <c r="B40" i="7"/>
  <c r="J39" i="7"/>
  <c r="I39" i="7"/>
  <c r="H39" i="7"/>
  <c r="G39" i="7"/>
  <c r="F39" i="7"/>
  <c r="K39" i="7" s="1"/>
  <c r="E39" i="7"/>
  <c r="D39" i="7"/>
  <c r="C39" i="7"/>
  <c r="B39" i="7"/>
  <c r="I38" i="7"/>
  <c r="J38" i="7" s="1"/>
  <c r="H38" i="7"/>
  <c r="G38" i="7"/>
  <c r="F38" i="7"/>
  <c r="K38" i="7" s="1"/>
  <c r="E38" i="7"/>
  <c r="D38" i="7"/>
  <c r="C38" i="7"/>
  <c r="B38" i="7"/>
  <c r="K37" i="7"/>
  <c r="J37" i="7"/>
  <c r="I37" i="7"/>
  <c r="H37" i="7"/>
  <c r="G37" i="7"/>
  <c r="F37" i="7"/>
  <c r="E37" i="7"/>
  <c r="D37" i="7"/>
  <c r="C37" i="7"/>
  <c r="B37" i="7"/>
  <c r="I36" i="7"/>
  <c r="J36" i="7" s="1"/>
  <c r="H36" i="7"/>
  <c r="G36" i="7"/>
  <c r="E36" i="7"/>
  <c r="F36" i="7" s="1"/>
  <c r="K36" i="7" s="1"/>
  <c r="D36" i="7"/>
  <c r="C36" i="7"/>
  <c r="B36" i="7"/>
  <c r="J35" i="7"/>
  <c r="I35" i="7"/>
  <c r="H35" i="7"/>
  <c r="G35" i="7"/>
  <c r="F35" i="7"/>
  <c r="K35" i="7" s="1"/>
  <c r="E35" i="7"/>
  <c r="D35" i="7"/>
  <c r="C35" i="7"/>
  <c r="B35" i="7"/>
  <c r="I34" i="7"/>
  <c r="J34" i="7" s="1"/>
  <c r="H34" i="7"/>
  <c r="G34" i="7"/>
  <c r="E34" i="7"/>
  <c r="F34" i="7" s="1"/>
  <c r="K34" i="7" s="1"/>
  <c r="D34" i="7"/>
  <c r="C34" i="7"/>
  <c r="B34" i="7"/>
  <c r="I33" i="7"/>
  <c r="J33" i="7" s="1"/>
  <c r="K33" i="7" s="1"/>
  <c r="H33" i="7"/>
  <c r="G33" i="7"/>
  <c r="F33" i="7"/>
  <c r="E33" i="7"/>
  <c r="D33" i="7"/>
  <c r="C33" i="7"/>
  <c r="B33" i="7"/>
  <c r="I32" i="7"/>
  <c r="J32" i="7" s="1"/>
  <c r="H32" i="7"/>
  <c r="G32" i="7"/>
  <c r="E32" i="7"/>
  <c r="F32" i="7" s="1"/>
  <c r="K32" i="7" s="1"/>
  <c r="D32" i="7"/>
  <c r="C32" i="7"/>
  <c r="B32" i="7"/>
  <c r="J31" i="7"/>
  <c r="I31" i="7"/>
  <c r="H31" i="7"/>
  <c r="G31" i="7"/>
  <c r="E31" i="7"/>
  <c r="F31" i="7" s="1"/>
  <c r="K31" i="7" s="1"/>
  <c r="D31" i="7"/>
  <c r="C31" i="7"/>
  <c r="B31" i="7"/>
  <c r="I30" i="7"/>
  <c r="J30" i="7" s="1"/>
  <c r="H30" i="7"/>
  <c r="G30" i="7"/>
  <c r="E30" i="7"/>
  <c r="F30" i="7" s="1"/>
  <c r="K30" i="7" s="1"/>
  <c r="D30" i="7"/>
  <c r="C30" i="7"/>
  <c r="B30" i="7"/>
  <c r="I29" i="7"/>
  <c r="J29" i="7" s="1"/>
  <c r="K29" i="7" s="1"/>
  <c r="H29" i="7"/>
  <c r="G29" i="7"/>
  <c r="F29" i="7"/>
  <c r="E29" i="7"/>
  <c r="D29" i="7"/>
  <c r="C29" i="7"/>
  <c r="B29" i="7"/>
  <c r="I28" i="7"/>
  <c r="J28" i="7" s="1"/>
  <c r="H28" i="7"/>
  <c r="G28" i="7"/>
  <c r="E28" i="7"/>
  <c r="F28" i="7" s="1"/>
  <c r="K28" i="7" s="1"/>
  <c r="D28" i="7"/>
  <c r="C28" i="7"/>
  <c r="B28" i="7"/>
  <c r="J27" i="7"/>
  <c r="I27" i="7"/>
  <c r="H27" i="7"/>
  <c r="G27" i="7"/>
  <c r="E27" i="7"/>
  <c r="F27" i="7" s="1"/>
  <c r="K27" i="7" s="1"/>
  <c r="D27" i="7"/>
  <c r="C27" i="7"/>
  <c r="B27" i="7"/>
  <c r="I26" i="7"/>
  <c r="J26" i="7" s="1"/>
  <c r="H26" i="7"/>
  <c r="G26" i="7"/>
  <c r="E26" i="7"/>
  <c r="F26" i="7" s="1"/>
  <c r="K26" i="7" s="1"/>
  <c r="D26" i="7"/>
  <c r="C26" i="7"/>
  <c r="B26" i="7"/>
  <c r="I25" i="7"/>
  <c r="J25" i="7" s="1"/>
  <c r="K25" i="7" s="1"/>
  <c r="H25" i="7"/>
  <c r="G25" i="7"/>
  <c r="F25" i="7"/>
  <c r="E25" i="7"/>
  <c r="D25" i="7"/>
  <c r="C25" i="7"/>
  <c r="B25" i="7"/>
  <c r="I24" i="7"/>
  <c r="J24" i="7" s="1"/>
  <c r="H24" i="7"/>
  <c r="G24" i="7"/>
  <c r="E24" i="7"/>
  <c r="F24" i="7" s="1"/>
  <c r="D24" i="7"/>
  <c r="C24" i="7"/>
  <c r="B24" i="7"/>
  <c r="J23" i="7"/>
  <c r="I23" i="7"/>
  <c r="H23" i="7"/>
  <c r="G23" i="7"/>
  <c r="E23" i="7"/>
  <c r="F23" i="7" s="1"/>
  <c r="K23" i="7" s="1"/>
  <c r="D23" i="7"/>
  <c r="C23" i="7"/>
  <c r="B23" i="7"/>
  <c r="I22" i="7"/>
  <c r="J22" i="7" s="1"/>
  <c r="H22" i="7"/>
  <c r="G22" i="7"/>
  <c r="E22" i="7"/>
  <c r="F22" i="7" s="1"/>
  <c r="D22" i="7"/>
  <c r="C22" i="7"/>
  <c r="B22" i="7"/>
  <c r="I21" i="7"/>
  <c r="J21" i="7" s="1"/>
  <c r="K21" i="7" s="1"/>
  <c r="H21" i="7"/>
  <c r="G21" i="7"/>
  <c r="F21" i="7"/>
  <c r="E21" i="7"/>
  <c r="D21" i="7"/>
  <c r="C21" i="7"/>
  <c r="B21" i="7"/>
  <c r="I20" i="7"/>
  <c r="J20" i="7" s="1"/>
  <c r="H20" i="7"/>
  <c r="G20" i="7"/>
  <c r="E20" i="7"/>
  <c r="F20" i="7" s="1"/>
  <c r="D20" i="7"/>
  <c r="C20" i="7"/>
  <c r="B20" i="7"/>
  <c r="J19" i="7"/>
  <c r="I19" i="7"/>
  <c r="H19" i="7"/>
  <c r="G19" i="7"/>
  <c r="E19" i="7"/>
  <c r="F19" i="7" s="1"/>
  <c r="K19" i="7" s="1"/>
  <c r="D19" i="7"/>
  <c r="C19" i="7"/>
  <c r="B19" i="7"/>
  <c r="I18" i="7"/>
  <c r="J18" i="7" s="1"/>
  <c r="H18" i="7"/>
  <c r="G18" i="7"/>
  <c r="E18" i="7"/>
  <c r="F18" i="7" s="1"/>
  <c r="K18" i="7" s="1"/>
  <c r="D18" i="7"/>
  <c r="C18" i="7"/>
  <c r="B18" i="7"/>
  <c r="I17" i="7"/>
  <c r="J17" i="7" s="1"/>
  <c r="K17" i="7" s="1"/>
  <c r="H17" i="7"/>
  <c r="G17" i="7"/>
  <c r="F17" i="7"/>
  <c r="E17" i="7"/>
  <c r="D17" i="7"/>
  <c r="C17" i="7"/>
  <c r="B17" i="7"/>
  <c r="I16" i="7"/>
  <c r="J16" i="7" s="1"/>
  <c r="H16" i="7"/>
  <c r="G16" i="7"/>
  <c r="E16" i="7"/>
  <c r="F16" i="7" s="1"/>
  <c r="K16" i="7" s="1"/>
  <c r="D16" i="7"/>
  <c r="C16" i="7"/>
  <c r="B16" i="7"/>
  <c r="J15" i="7"/>
  <c r="I15" i="7"/>
  <c r="H15" i="7"/>
  <c r="G15" i="7"/>
  <c r="E15" i="7"/>
  <c r="F15" i="7" s="1"/>
  <c r="K15" i="7" s="1"/>
  <c r="D15" i="7"/>
  <c r="C15" i="7"/>
  <c r="B15" i="7"/>
  <c r="I14" i="7"/>
  <c r="J14" i="7" s="1"/>
  <c r="H14" i="7"/>
  <c r="G14" i="7"/>
  <c r="E14" i="7"/>
  <c r="F14" i="7" s="1"/>
  <c r="K14" i="7" s="1"/>
  <c r="D14" i="7"/>
  <c r="C14" i="7"/>
  <c r="B14" i="7"/>
  <c r="I13" i="7"/>
  <c r="J13" i="7" s="1"/>
  <c r="H13" i="7"/>
  <c r="G13" i="7"/>
  <c r="F13" i="7"/>
  <c r="E13" i="7"/>
  <c r="D13" i="7"/>
  <c r="C13" i="7"/>
  <c r="B13" i="7"/>
  <c r="E10" i="7"/>
  <c r="E9" i="7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G208" i="6"/>
  <c r="A208" i="6"/>
  <c r="G207" i="6"/>
  <c r="E207" i="6"/>
  <c r="A207" i="6"/>
  <c r="C207" i="6" s="1"/>
  <c r="G206" i="6"/>
  <c r="E206" i="6"/>
  <c r="A206" i="6"/>
  <c r="G205" i="6"/>
  <c r="E205" i="6"/>
  <c r="C205" i="6"/>
  <c r="A205" i="6"/>
  <c r="G204" i="6"/>
  <c r="C204" i="6"/>
  <c r="A204" i="6"/>
  <c r="D204" i="6" s="1"/>
  <c r="G203" i="6"/>
  <c r="E203" i="6"/>
  <c r="C203" i="6"/>
  <c r="A203" i="6"/>
  <c r="D203" i="6" s="1"/>
  <c r="G202" i="6"/>
  <c r="D202" i="6"/>
  <c r="A202" i="6"/>
  <c r="E202" i="6" s="1"/>
  <c r="G201" i="6"/>
  <c r="D201" i="6"/>
  <c r="C201" i="6"/>
  <c r="A201" i="6"/>
  <c r="E201" i="6" s="1"/>
  <c r="G200" i="6"/>
  <c r="A200" i="6"/>
  <c r="G199" i="6"/>
  <c r="E199" i="6"/>
  <c r="A199" i="6"/>
  <c r="C199" i="6" s="1"/>
  <c r="G198" i="6"/>
  <c r="E198" i="6"/>
  <c r="A198" i="6"/>
  <c r="G197" i="6"/>
  <c r="E197" i="6"/>
  <c r="C197" i="6"/>
  <c r="A197" i="6"/>
  <c r="G196" i="6"/>
  <c r="A196" i="6"/>
  <c r="G195" i="6"/>
  <c r="E195" i="6"/>
  <c r="C195" i="6"/>
  <c r="A195" i="6"/>
  <c r="D195" i="6" s="1"/>
  <c r="G194" i="6"/>
  <c r="D194" i="6"/>
  <c r="A194" i="6"/>
  <c r="E194" i="6" s="1"/>
  <c r="G193" i="6"/>
  <c r="D193" i="6"/>
  <c r="C193" i="6"/>
  <c r="A193" i="6"/>
  <c r="E193" i="6" s="1"/>
  <c r="G192" i="6"/>
  <c r="A192" i="6"/>
  <c r="G191" i="6"/>
  <c r="A191" i="6"/>
  <c r="G190" i="6"/>
  <c r="A190" i="6"/>
  <c r="G189" i="6"/>
  <c r="E189" i="6"/>
  <c r="C189" i="6"/>
  <c r="A189" i="6"/>
  <c r="G188" i="6"/>
  <c r="A188" i="6"/>
  <c r="G187" i="6"/>
  <c r="E187" i="6"/>
  <c r="C187" i="6"/>
  <c r="A187" i="6"/>
  <c r="D187" i="6" s="1"/>
  <c r="G186" i="6"/>
  <c r="D186" i="6"/>
  <c r="A186" i="6"/>
  <c r="E186" i="6" s="1"/>
  <c r="G185" i="6"/>
  <c r="D185" i="6"/>
  <c r="C185" i="6"/>
  <c r="A185" i="6"/>
  <c r="E185" i="6" s="1"/>
  <c r="G184" i="6"/>
  <c r="A184" i="6"/>
  <c r="G183" i="6"/>
  <c r="A183" i="6"/>
  <c r="G182" i="6"/>
  <c r="E182" i="6"/>
  <c r="D182" i="6"/>
  <c r="A182" i="6"/>
  <c r="G181" i="6"/>
  <c r="E181" i="6"/>
  <c r="C181" i="6"/>
  <c r="A181" i="6"/>
  <c r="G180" i="6"/>
  <c r="A180" i="6"/>
  <c r="G179" i="6"/>
  <c r="E179" i="6"/>
  <c r="C179" i="6"/>
  <c r="A179" i="6"/>
  <c r="D179" i="6" s="1"/>
  <c r="G178" i="6"/>
  <c r="D178" i="6"/>
  <c r="A178" i="6"/>
  <c r="E178" i="6" s="1"/>
  <c r="G177" i="6"/>
  <c r="D177" i="6"/>
  <c r="C177" i="6"/>
  <c r="A177" i="6"/>
  <c r="E177" i="6" s="1"/>
  <c r="G176" i="6"/>
  <c r="D176" i="6"/>
  <c r="A176" i="6"/>
  <c r="G175" i="6"/>
  <c r="A175" i="6"/>
  <c r="G174" i="6"/>
  <c r="D174" i="6"/>
  <c r="A174" i="6"/>
  <c r="G173" i="6"/>
  <c r="E173" i="6"/>
  <c r="C173" i="6"/>
  <c r="A173" i="6"/>
  <c r="G172" i="6"/>
  <c r="E172" i="6"/>
  <c r="A172" i="6"/>
  <c r="D172" i="6" s="1"/>
  <c r="G171" i="6"/>
  <c r="E171" i="6"/>
  <c r="C171" i="6"/>
  <c r="A171" i="6"/>
  <c r="D171" i="6" s="1"/>
  <c r="G170" i="6"/>
  <c r="D170" i="6"/>
  <c r="C170" i="6"/>
  <c r="A170" i="6"/>
  <c r="G169" i="6"/>
  <c r="E169" i="6"/>
  <c r="D169" i="6"/>
  <c r="A169" i="6"/>
  <c r="C169" i="6" s="1"/>
  <c r="G168" i="6"/>
  <c r="E168" i="6"/>
  <c r="D168" i="6"/>
  <c r="C168" i="6"/>
  <c r="A168" i="6"/>
  <c r="G167" i="6"/>
  <c r="E167" i="6"/>
  <c r="D167" i="6"/>
  <c r="A167" i="6"/>
  <c r="C167" i="6" s="1"/>
  <c r="G166" i="6"/>
  <c r="E166" i="6"/>
  <c r="A166" i="6"/>
  <c r="D166" i="6" s="1"/>
  <c r="G165" i="6"/>
  <c r="D165" i="6"/>
  <c r="A165" i="6"/>
  <c r="E165" i="6" s="1"/>
  <c r="G164" i="6"/>
  <c r="E164" i="6"/>
  <c r="D164" i="6"/>
  <c r="C164" i="6"/>
  <c r="A164" i="6"/>
  <c r="G163" i="6"/>
  <c r="A163" i="6"/>
  <c r="G162" i="6"/>
  <c r="A162" i="6"/>
  <c r="G161" i="6"/>
  <c r="D161" i="6"/>
  <c r="A161" i="6"/>
  <c r="G160" i="6"/>
  <c r="C160" i="6"/>
  <c r="A160" i="6"/>
  <c r="G159" i="6"/>
  <c r="E159" i="6"/>
  <c r="D159" i="6"/>
  <c r="C159" i="6"/>
  <c r="A159" i="6"/>
  <c r="G158" i="6"/>
  <c r="E158" i="6"/>
  <c r="C158" i="6"/>
  <c r="A158" i="6"/>
  <c r="D158" i="6" s="1"/>
  <c r="G157" i="6"/>
  <c r="E157" i="6"/>
  <c r="C157" i="6"/>
  <c r="A157" i="6"/>
  <c r="D157" i="6" s="1"/>
  <c r="G156" i="6"/>
  <c r="E156" i="6"/>
  <c r="D156" i="6"/>
  <c r="C156" i="6"/>
  <c r="A156" i="6"/>
  <c r="G155" i="6"/>
  <c r="C155" i="6"/>
  <c r="A155" i="6"/>
  <c r="E155" i="6" s="1"/>
  <c r="G154" i="6"/>
  <c r="A154" i="6"/>
  <c r="G153" i="6"/>
  <c r="A153" i="6"/>
  <c r="G152" i="6"/>
  <c r="C152" i="6"/>
  <c r="A152" i="6"/>
  <c r="G151" i="6"/>
  <c r="A151" i="6"/>
  <c r="G150" i="6"/>
  <c r="A150" i="6"/>
  <c r="G149" i="6"/>
  <c r="E149" i="6"/>
  <c r="A149" i="6"/>
  <c r="G148" i="6"/>
  <c r="E148" i="6"/>
  <c r="D148" i="6"/>
  <c r="C148" i="6"/>
  <c r="A148" i="6"/>
  <c r="G147" i="6"/>
  <c r="D147" i="6"/>
  <c r="A147" i="6"/>
  <c r="G146" i="6"/>
  <c r="E146" i="6"/>
  <c r="C146" i="6"/>
  <c r="A146" i="6"/>
  <c r="G145" i="6"/>
  <c r="D145" i="6"/>
  <c r="A145" i="6"/>
  <c r="C145" i="6" s="1"/>
  <c r="G144" i="6"/>
  <c r="A144" i="6"/>
  <c r="G143" i="6"/>
  <c r="E143" i="6"/>
  <c r="A143" i="6"/>
  <c r="C143" i="6" s="1"/>
  <c r="G142" i="6"/>
  <c r="A142" i="6"/>
  <c r="G141" i="6"/>
  <c r="A141" i="6"/>
  <c r="G140" i="6"/>
  <c r="E140" i="6"/>
  <c r="C140" i="6"/>
  <c r="A140" i="6"/>
  <c r="D140" i="6" s="1"/>
  <c r="G139" i="6"/>
  <c r="A139" i="6"/>
  <c r="G138" i="6"/>
  <c r="E138" i="6"/>
  <c r="D138" i="6"/>
  <c r="C138" i="6"/>
  <c r="A138" i="6"/>
  <c r="G137" i="6"/>
  <c r="A137" i="6"/>
  <c r="G136" i="6"/>
  <c r="D136" i="6"/>
  <c r="A136" i="6"/>
  <c r="E136" i="6" s="1"/>
  <c r="G135" i="6"/>
  <c r="A135" i="6"/>
  <c r="G134" i="6"/>
  <c r="E134" i="6"/>
  <c r="A134" i="6"/>
  <c r="G133" i="6"/>
  <c r="A133" i="6"/>
  <c r="G132" i="6"/>
  <c r="A132" i="6"/>
  <c r="E132" i="6" s="1"/>
  <c r="G131" i="6"/>
  <c r="A131" i="6"/>
  <c r="E131" i="6" s="1"/>
  <c r="G130" i="6"/>
  <c r="E130" i="6"/>
  <c r="C130" i="6"/>
  <c r="A130" i="6"/>
  <c r="D130" i="6" s="1"/>
  <c r="G129" i="6"/>
  <c r="A129" i="6"/>
  <c r="C129" i="6" s="1"/>
  <c r="G128" i="6"/>
  <c r="E128" i="6"/>
  <c r="D128" i="6"/>
  <c r="C128" i="6"/>
  <c r="A128" i="6"/>
  <c r="G127" i="6"/>
  <c r="D127" i="6"/>
  <c r="A127" i="6"/>
  <c r="G126" i="6"/>
  <c r="A126" i="6"/>
  <c r="G125" i="6"/>
  <c r="A125" i="6"/>
  <c r="C125" i="6" s="1"/>
  <c r="G124" i="6"/>
  <c r="E124" i="6"/>
  <c r="C124" i="6"/>
  <c r="A124" i="6"/>
  <c r="G123" i="6"/>
  <c r="E123" i="6"/>
  <c r="D123" i="6"/>
  <c r="C123" i="6"/>
  <c r="A123" i="6"/>
  <c r="G122" i="6"/>
  <c r="E122" i="6"/>
  <c r="C122" i="6"/>
  <c r="A122" i="6"/>
  <c r="D122" i="6" s="1"/>
  <c r="G121" i="6"/>
  <c r="E121" i="6"/>
  <c r="D121" i="6"/>
  <c r="A121" i="6"/>
  <c r="C121" i="6" s="1"/>
  <c r="G120" i="6"/>
  <c r="E120" i="6"/>
  <c r="D120" i="6"/>
  <c r="C120" i="6"/>
  <c r="A120" i="6"/>
  <c r="G119" i="6"/>
  <c r="A119" i="6"/>
  <c r="G118" i="6"/>
  <c r="D118" i="6"/>
  <c r="C118" i="6"/>
  <c r="A118" i="6"/>
  <c r="G117" i="6"/>
  <c r="E117" i="6"/>
  <c r="D117" i="6"/>
  <c r="A117" i="6"/>
  <c r="C117" i="6" s="1"/>
  <c r="G116" i="6"/>
  <c r="D116" i="6"/>
  <c r="A116" i="6"/>
  <c r="G115" i="6"/>
  <c r="A115" i="6"/>
  <c r="G114" i="6"/>
  <c r="E114" i="6"/>
  <c r="D114" i="6"/>
  <c r="A114" i="6"/>
  <c r="C114" i="6" s="1"/>
  <c r="G113" i="6"/>
  <c r="C113" i="6"/>
  <c r="A113" i="6"/>
  <c r="G112" i="6"/>
  <c r="A112" i="6"/>
  <c r="G111" i="6"/>
  <c r="E111" i="6"/>
  <c r="A111" i="6"/>
  <c r="D111" i="6" s="1"/>
  <c r="G110" i="6"/>
  <c r="D110" i="6"/>
  <c r="A110" i="6"/>
  <c r="G109" i="6"/>
  <c r="E109" i="6"/>
  <c r="D109" i="6"/>
  <c r="C109" i="6"/>
  <c r="A109" i="6"/>
  <c r="G108" i="6"/>
  <c r="C108" i="6"/>
  <c r="A108" i="6"/>
  <c r="G107" i="6"/>
  <c r="E107" i="6"/>
  <c r="D107" i="6"/>
  <c r="C107" i="6"/>
  <c r="A107" i="6"/>
  <c r="G106" i="6"/>
  <c r="E106" i="6"/>
  <c r="D106" i="6"/>
  <c r="A106" i="6"/>
  <c r="C106" i="6" s="1"/>
  <c r="G105" i="6"/>
  <c r="D105" i="6"/>
  <c r="C105" i="6"/>
  <c r="A105" i="6"/>
  <c r="G104" i="6"/>
  <c r="C104" i="6"/>
  <c r="A104" i="6"/>
  <c r="G103" i="6"/>
  <c r="A103" i="6"/>
  <c r="G102" i="6"/>
  <c r="E102" i="6"/>
  <c r="D102" i="6"/>
  <c r="A102" i="6"/>
  <c r="G101" i="6"/>
  <c r="E101" i="6"/>
  <c r="D101" i="6"/>
  <c r="C101" i="6"/>
  <c r="A101" i="6"/>
  <c r="G100" i="6"/>
  <c r="A100" i="6"/>
  <c r="G99" i="6"/>
  <c r="A99" i="6"/>
  <c r="G98" i="6"/>
  <c r="D98" i="6"/>
  <c r="A98" i="6"/>
  <c r="G97" i="6"/>
  <c r="E97" i="6"/>
  <c r="D97" i="6"/>
  <c r="A97" i="6"/>
  <c r="C97" i="6" s="1"/>
  <c r="G96" i="6"/>
  <c r="D96" i="6"/>
  <c r="C96" i="6"/>
  <c r="A96" i="6"/>
  <c r="G95" i="6"/>
  <c r="A95" i="6"/>
  <c r="D95" i="6" s="1"/>
  <c r="G94" i="6"/>
  <c r="A94" i="6"/>
  <c r="G93" i="6"/>
  <c r="E93" i="6"/>
  <c r="D93" i="6"/>
  <c r="A93" i="6"/>
  <c r="G92" i="6"/>
  <c r="E92" i="6"/>
  <c r="D92" i="6"/>
  <c r="C92" i="6"/>
  <c r="A92" i="6"/>
  <c r="G91" i="6"/>
  <c r="C91" i="6"/>
  <c r="A91" i="6"/>
  <c r="G90" i="6"/>
  <c r="E90" i="6"/>
  <c r="D90" i="6"/>
  <c r="C90" i="6"/>
  <c r="A90" i="6"/>
  <c r="G89" i="6"/>
  <c r="E89" i="6"/>
  <c r="D89" i="6"/>
  <c r="A89" i="6"/>
  <c r="C89" i="6" s="1"/>
  <c r="G88" i="6"/>
  <c r="C88" i="6"/>
  <c r="A88" i="6"/>
  <c r="G87" i="6"/>
  <c r="A87" i="6"/>
  <c r="G86" i="6"/>
  <c r="A86" i="6"/>
  <c r="G85" i="6"/>
  <c r="E85" i="6"/>
  <c r="D85" i="6"/>
  <c r="A85" i="6"/>
  <c r="G84" i="6"/>
  <c r="E84" i="6"/>
  <c r="D84" i="6"/>
  <c r="C84" i="6"/>
  <c r="A84" i="6"/>
  <c r="G83" i="6"/>
  <c r="C83" i="6"/>
  <c r="A83" i="6"/>
  <c r="G82" i="6"/>
  <c r="D82" i="6"/>
  <c r="C82" i="6"/>
  <c r="A82" i="6"/>
  <c r="G81" i="6"/>
  <c r="E81" i="6"/>
  <c r="D81" i="6"/>
  <c r="A81" i="6"/>
  <c r="C81" i="6" s="1"/>
  <c r="G80" i="6"/>
  <c r="A80" i="6"/>
  <c r="G79" i="6"/>
  <c r="E79" i="6"/>
  <c r="D79" i="6"/>
  <c r="C79" i="6"/>
  <c r="A79" i="6"/>
  <c r="G78" i="6"/>
  <c r="E78" i="6"/>
  <c r="A78" i="6"/>
  <c r="G77" i="6"/>
  <c r="E77" i="6"/>
  <c r="D77" i="6"/>
  <c r="A77" i="6"/>
  <c r="C77" i="6" s="1"/>
  <c r="G76" i="6"/>
  <c r="E76" i="6"/>
  <c r="D76" i="6"/>
  <c r="C76" i="6"/>
  <c r="A76" i="6"/>
  <c r="G75" i="6"/>
  <c r="D75" i="6"/>
  <c r="A75" i="6"/>
  <c r="E75" i="6" s="1"/>
  <c r="G74" i="6"/>
  <c r="A74" i="6"/>
  <c r="G73" i="6"/>
  <c r="A73" i="6"/>
  <c r="G72" i="6"/>
  <c r="C72" i="6"/>
  <c r="A72" i="6"/>
  <c r="G71" i="6"/>
  <c r="D71" i="6"/>
  <c r="C71" i="6"/>
  <c r="A71" i="6"/>
  <c r="G70" i="6"/>
  <c r="E70" i="6"/>
  <c r="C70" i="6"/>
  <c r="A70" i="6"/>
  <c r="G69" i="6"/>
  <c r="E69" i="6"/>
  <c r="D69" i="6"/>
  <c r="C69" i="6"/>
  <c r="A69" i="6"/>
  <c r="G68" i="6"/>
  <c r="E68" i="6"/>
  <c r="D68" i="6"/>
  <c r="C68" i="6"/>
  <c r="A68" i="6"/>
  <c r="G67" i="6"/>
  <c r="D67" i="6"/>
  <c r="C67" i="6"/>
  <c r="A67" i="6"/>
  <c r="E67" i="6" s="1"/>
  <c r="G66" i="6"/>
  <c r="E66" i="6"/>
  <c r="D66" i="6"/>
  <c r="A66" i="6"/>
  <c r="C66" i="6" s="1"/>
  <c r="G65" i="6"/>
  <c r="E65" i="6"/>
  <c r="A65" i="6"/>
  <c r="C65" i="6" s="1"/>
  <c r="G64" i="6"/>
  <c r="A64" i="6"/>
  <c r="G63" i="6"/>
  <c r="C63" i="6"/>
  <c r="A63" i="6"/>
  <c r="G62" i="6"/>
  <c r="A62" i="6"/>
  <c r="G61" i="6"/>
  <c r="E61" i="6"/>
  <c r="D61" i="6"/>
  <c r="C61" i="6"/>
  <c r="A61" i="6"/>
  <c r="G60" i="6"/>
  <c r="E60" i="6"/>
  <c r="D60" i="6"/>
  <c r="A60" i="6"/>
  <c r="C60" i="6" s="1"/>
  <c r="G59" i="6"/>
  <c r="A59" i="6"/>
  <c r="G58" i="6"/>
  <c r="A58" i="6"/>
  <c r="G57" i="6"/>
  <c r="E57" i="6"/>
  <c r="D57" i="6"/>
  <c r="C57" i="6"/>
  <c r="A57" i="6"/>
  <c r="G56" i="6"/>
  <c r="A56" i="6"/>
  <c r="G55" i="6"/>
  <c r="E55" i="6"/>
  <c r="D55" i="6"/>
  <c r="C55" i="6"/>
  <c r="A55" i="6"/>
  <c r="G54" i="6"/>
  <c r="E54" i="6"/>
  <c r="D54" i="6"/>
  <c r="A54" i="6"/>
  <c r="C54" i="6" s="1"/>
  <c r="G53" i="6"/>
  <c r="A53" i="6"/>
  <c r="G52" i="6"/>
  <c r="E52" i="6"/>
  <c r="D52" i="6"/>
  <c r="A52" i="6"/>
  <c r="C52" i="6" s="1"/>
  <c r="G51" i="6"/>
  <c r="A51" i="6"/>
  <c r="G50" i="6"/>
  <c r="A50" i="6"/>
  <c r="G49" i="6"/>
  <c r="E49" i="6"/>
  <c r="D49" i="6"/>
  <c r="C49" i="6"/>
  <c r="A49" i="6"/>
  <c r="G48" i="6"/>
  <c r="A48" i="6"/>
  <c r="G47" i="6"/>
  <c r="E47" i="6"/>
  <c r="D47" i="6"/>
  <c r="C47" i="6"/>
  <c r="A47" i="6"/>
  <c r="G46" i="6"/>
  <c r="E46" i="6"/>
  <c r="D46" i="6"/>
  <c r="A46" i="6"/>
  <c r="C46" i="6" s="1"/>
  <c r="G45" i="6"/>
  <c r="C45" i="6"/>
  <c r="A45" i="6"/>
  <c r="G44" i="6"/>
  <c r="E44" i="6"/>
  <c r="D44" i="6"/>
  <c r="A44" i="6"/>
  <c r="C44" i="6" s="1"/>
  <c r="G43" i="6"/>
  <c r="A43" i="6"/>
  <c r="F43" i="6" s="1"/>
  <c r="H43" i="6" s="1"/>
  <c r="G42" i="6"/>
  <c r="A42" i="6"/>
  <c r="E42" i="6" s="1"/>
  <c r="G41" i="6"/>
  <c r="E41" i="6"/>
  <c r="D41" i="6"/>
  <c r="C41" i="6"/>
  <c r="A41" i="6"/>
  <c r="G40" i="6"/>
  <c r="A40" i="6"/>
  <c r="G39" i="6"/>
  <c r="A39" i="6"/>
  <c r="F39" i="6" s="1"/>
  <c r="H39" i="6" s="1"/>
  <c r="G38" i="6"/>
  <c r="E38" i="6"/>
  <c r="D38" i="6"/>
  <c r="A38" i="6"/>
  <c r="C38" i="6" s="1"/>
  <c r="G37" i="6"/>
  <c r="D37" i="6"/>
  <c r="C37" i="6"/>
  <c r="A37" i="6"/>
  <c r="G36" i="6"/>
  <c r="E36" i="6"/>
  <c r="D36" i="6"/>
  <c r="C36" i="6"/>
  <c r="A36" i="6"/>
  <c r="G35" i="6"/>
  <c r="A35" i="6"/>
  <c r="G34" i="6"/>
  <c r="A34" i="6"/>
  <c r="G33" i="6"/>
  <c r="E33" i="6"/>
  <c r="D33" i="6"/>
  <c r="C33" i="6"/>
  <c r="A33" i="6"/>
  <c r="G32" i="6"/>
  <c r="A32" i="6"/>
  <c r="G31" i="6"/>
  <c r="E31" i="6"/>
  <c r="D31" i="6"/>
  <c r="A31" i="6"/>
  <c r="C31" i="6" s="1"/>
  <c r="G30" i="6"/>
  <c r="E30" i="6"/>
  <c r="D30" i="6"/>
  <c r="A30" i="6"/>
  <c r="C30" i="6" s="1"/>
  <c r="G29" i="6"/>
  <c r="A29" i="6"/>
  <c r="D29" i="6" s="1"/>
  <c r="G28" i="6"/>
  <c r="A28" i="6"/>
  <c r="C28" i="6" s="1"/>
  <c r="G27" i="6"/>
  <c r="E27" i="6"/>
  <c r="A27" i="6"/>
  <c r="G26" i="6"/>
  <c r="E26" i="6"/>
  <c r="D26" i="6"/>
  <c r="C26" i="6"/>
  <c r="A26" i="6"/>
  <c r="G25" i="6"/>
  <c r="E25" i="6"/>
  <c r="D25" i="6"/>
  <c r="C25" i="6"/>
  <c r="A25" i="6"/>
  <c r="G24" i="6"/>
  <c r="C24" i="6"/>
  <c r="A24" i="6"/>
  <c r="G23" i="6"/>
  <c r="E23" i="6"/>
  <c r="D23" i="6"/>
  <c r="C23" i="6"/>
  <c r="A23" i="6"/>
  <c r="F23" i="6" s="1"/>
  <c r="H23" i="6" s="1"/>
  <c r="G22" i="6"/>
  <c r="E22" i="6"/>
  <c r="D22" i="6"/>
  <c r="A22" i="6"/>
  <c r="C22" i="6" s="1"/>
  <c r="G21" i="6"/>
  <c r="E21" i="6"/>
  <c r="D21" i="6"/>
  <c r="C21" i="6"/>
  <c r="A21" i="6"/>
  <c r="G20" i="6"/>
  <c r="E20" i="6"/>
  <c r="D20" i="6"/>
  <c r="C20" i="6"/>
  <c r="A20" i="6"/>
  <c r="G19" i="6"/>
  <c r="F19" i="6"/>
  <c r="H19" i="6" s="1"/>
  <c r="E19" i="6"/>
  <c r="C19" i="6"/>
  <c r="A19" i="6"/>
  <c r="D19" i="6" s="1"/>
  <c r="G18" i="6"/>
  <c r="A18" i="6"/>
  <c r="E18" i="6" s="1"/>
  <c r="G17" i="6"/>
  <c r="E17" i="6"/>
  <c r="D17" i="6"/>
  <c r="C17" i="6"/>
  <c r="A17" i="6"/>
  <c r="G16" i="6"/>
  <c r="A16" i="6"/>
  <c r="E16" i="6" s="1"/>
  <c r="G15" i="6"/>
  <c r="A15" i="6"/>
  <c r="F15" i="6" s="1"/>
  <c r="H15" i="6" s="1"/>
  <c r="G14" i="6"/>
  <c r="E14" i="6"/>
  <c r="D14" i="6"/>
  <c r="C14" i="6"/>
  <c r="A14" i="6"/>
  <c r="G13" i="6"/>
  <c r="A13" i="6"/>
  <c r="E13" i="6" s="1"/>
  <c r="G12" i="6"/>
  <c r="A12" i="6"/>
  <c r="D12" i="6" s="1"/>
  <c r="G11" i="6"/>
  <c r="F11" i="6"/>
  <c r="H11" i="6" s="1"/>
  <c r="E11" i="6"/>
  <c r="D11" i="6"/>
  <c r="A11" i="6"/>
  <c r="C11" i="6" s="1"/>
  <c r="G10" i="6"/>
  <c r="A10" i="6"/>
  <c r="F10" i="6" s="1"/>
  <c r="H10" i="6" s="1"/>
  <c r="G9" i="6"/>
  <c r="C9" i="6"/>
  <c r="A9" i="6"/>
  <c r="E9" i="6" s="1"/>
  <c r="E8" i="6"/>
  <c r="R7" i="6"/>
  <c r="Q7" i="6"/>
  <c r="M7" i="6"/>
  <c r="L7" i="6"/>
  <c r="K7" i="6"/>
  <c r="J7" i="6"/>
  <c r="F7" i="6"/>
  <c r="F83" i="6" s="1"/>
  <c r="H83" i="6" s="1"/>
  <c r="M6" i="6"/>
  <c r="L6" i="6"/>
  <c r="K6" i="6"/>
  <c r="J6" i="6"/>
  <c r="I6" i="6"/>
  <c r="H6" i="6"/>
  <c r="G5" i="6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G208" i="5"/>
  <c r="A208" i="5"/>
  <c r="G207" i="5"/>
  <c r="E207" i="5"/>
  <c r="A207" i="5"/>
  <c r="C207" i="5" s="1"/>
  <c r="G206" i="5"/>
  <c r="E206" i="5"/>
  <c r="A206" i="5"/>
  <c r="G205" i="5"/>
  <c r="E205" i="5"/>
  <c r="C205" i="5"/>
  <c r="A205" i="5"/>
  <c r="G204" i="5"/>
  <c r="C204" i="5"/>
  <c r="A204" i="5"/>
  <c r="D204" i="5" s="1"/>
  <c r="G203" i="5"/>
  <c r="E203" i="5"/>
  <c r="C203" i="5"/>
  <c r="A203" i="5"/>
  <c r="D203" i="5" s="1"/>
  <c r="G202" i="5"/>
  <c r="D202" i="5"/>
  <c r="A202" i="5"/>
  <c r="E202" i="5" s="1"/>
  <c r="G201" i="5"/>
  <c r="E201" i="5"/>
  <c r="D201" i="5"/>
  <c r="C201" i="5"/>
  <c r="A201" i="5"/>
  <c r="G200" i="5"/>
  <c r="A200" i="5"/>
  <c r="G199" i="5"/>
  <c r="E199" i="5"/>
  <c r="A199" i="5"/>
  <c r="C199" i="5" s="1"/>
  <c r="G198" i="5"/>
  <c r="A198" i="5"/>
  <c r="G197" i="5"/>
  <c r="E197" i="5"/>
  <c r="C197" i="5"/>
  <c r="A197" i="5"/>
  <c r="G196" i="5"/>
  <c r="C196" i="5"/>
  <c r="A196" i="5"/>
  <c r="D196" i="5" s="1"/>
  <c r="G195" i="5"/>
  <c r="E195" i="5"/>
  <c r="C195" i="5"/>
  <c r="A195" i="5"/>
  <c r="D195" i="5" s="1"/>
  <c r="G194" i="5"/>
  <c r="D194" i="5"/>
  <c r="C194" i="5"/>
  <c r="A194" i="5"/>
  <c r="E194" i="5" s="1"/>
  <c r="G193" i="5"/>
  <c r="E193" i="5"/>
  <c r="D193" i="5"/>
  <c r="C193" i="5"/>
  <c r="A193" i="5"/>
  <c r="G192" i="5"/>
  <c r="A192" i="5"/>
  <c r="G191" i="5"/>
  <c r="E191" i="5"/>
  <c r="A191" i="5"/>
  <c r="G190" i="5"/>
  <c r="E190" i="5"/>
  <c r="A190" i="5"/>
  <c r="G189" i="5"/>
  <c r="E189" i="5"/>
  <c r="C189" i="5"/>
  <c r="A189" i="5"/>
  <c r="G188" i="5"/>
  <c r="A188" i="5"/>
  <c r="G187" i="5"/>
  <c r="E187" i="5"/>
  <c r="C187" i="5"/>
  <c r="A187" i="5"/>
  <c r="D187" i="5" s="1"/>
  <c r="G186" i="5"/>
  <c r="D186" i="5"/>
  <c r="C186" i="5"/>
  <c r="A186" i="5"/>
  <c r="E186" i="5" s="1"/>
  <c r="G185" i="5"/>
  <c r="E185" i="5"/>
  <c r="D185" i="5"/>
  <c r="C185" i="5"/>
  <c r="A185" i="5"/>
  <c r="G184" i="5"/>
  <c r="D184" i="5"/>
  <c r="A184" i="5"/>
  <c r="G183" i="5"/>
  <c r="E183" i="5"/>
  <c r="A183" i="5"/>
  <c r="G182" i="5"/>
  <c r="A182" i="5"/>
  <c r="G181" i="5"/>
  <c r="E181" i="5"/>
  <c r="A181" i="5"/>
  <c r="G180" i="5"/>
  <c r="E180" i="5"/>
  <c r="C180" i="5"/>
  <c r="A180" i="5"/>
  <c r="D180" i="5" s="1"/>
  <c r="G179" i="5"/>
  <c r="E179" i="5"/>
  <c r="C179" i="5"/>
  <c r="A179" i="5"/>
  <c r="D179" i="5" s="1"/>
  <c r="G178" i="5"/>
  <c r="D178" i="5"/>
  <c r="C178" i="5"/>
  <c r="A178" i="5"/>
  <c r="E178" i="5" s="1"/>
  <c r="G177" i="5"/>
  <c r="E177" i="5"/>
  <c r="D177" i="5"/>
  <c r="C177" i="5"/>
  <c r="A177" i="5"/>
  <c r="G176" i="5"/>
  <c r="D176" i="5"/>
  <c r="A176" i="5"/>
  <c r="G175" i="5"/>
  <c r="E175" i="5"/>
  <c r="C175" i="5"/>
  <c r="A175" i="5"/>
  <c r="G174" i="5"/>
  <c r="A174" i="5"/>
  <c r="G173" i="5"/>
  <c r="E173" i="5"/>
  <c r="C173" i="5"/>
  <c r="A173" i="5"/>
  <c r="G172" i="5"/>
  <c r="E172" i="5"/>
  <c r="D172" i="5"/>
  <c r="C172" i="5"/>
  <c r="A172" i="5"/>
  <c r="G171" i="5"/>
  <c r="E171" i="5"/>
  <c r="C171" i="5"/>
  <c r="A171" i="5"/>
  <c r="D171" i="5" s="1"/>
  <c r="G170" i="5"/>
  <c r="E170" i="5"/>
  <c r="C170" i="5"/>
  <c r="A170" i="5"/>
  <c r="D170" i="5" s="1"/>
  <c r="G169" i="5"/>
  <c r="E169" i="5"/>
  <c r="C169" i="5"/>
  <c r="A169" i="5"/>
  <c r="D169" i="5" s="1"/>
  <c r="G168" i="5"/>
  <c r="E168" i="5"/>
  <c r="D168" i="5"/>
  <c r="C168" i="5"/>
  <c r="A168" i="5"/>
  <c r="G167" i="5"/>
  <c r="A167" i="5"/>
  <c r="G166" i="5"/>
  <c r="E166" i="5"/>
  <c r="C166" i="5"/>
  <c r="A166" i="5"/>
  <c r="D166" i="5" s="1"/>
  <c r="G165" i="5"/>
  <c r="D165" i="5"/>
  <c r="A165" i="5"/>
  <c r="C165" i="5" s="1"/>
  <c r="G164" i="5"/>
  <c r="A164" i="5"/>
  <c r="G163" i="5"/>
  <c r="E163" i="5"/>
  <c r="C163" i="5"/>
  <c r="A163" i="5"/>
  <c r="G162" i="5"/>
  <c r="A162" i="5"/>
  <c r="G161" i="5"/>
  <c r="D161" i="5"/>
  <c r="A161" i="5"/>
  <c r="E161" i="5" s="1"/>
  <c r="G160" i="5"/>
  <c r="E160" i="5"/>
  <c r="D160" i="5"/>
  <c r="C160" i="5"/>
  <c r="A160" i="5"/>
  <c r="G159" i="5"/>
  <c r="D159" i="5"/>
  <c r="C159" i="5"/>
  <c r="A159" i="5"/>
  <c r="E159" i="5" s="1"/>
  <c r="G158" i="5"/>
  <c r="D158" i="5"/>
  <c r="A158" i="5"/>
  <c r="G157" i="5"/>
  <c r="A157" i="5"/>
  <c r="G156" i="5"/>
  <c r="E156" i="5"/>
  <c r="C156" i="5"/>
  <c r="A156" i="5"/>
  <c r="D156" i="5" s="1"/>
  <c r="G155" i="5"/>
  <c r="D155" i="5"/>
  <c r="A155" i="5"/>
  <c r="G154" i="5"/>
  <c r="E154" i="5"/>
  <c r="A154" i="5"/>
  <c r="G153" i="5"/>
  <c r="A153" i="5"/>
  <c r="G152" i="5"/>
  <c r="E152" i="5"/>
  <c r="D152" i="5"/>
  <c r="C152" i="5"/>
  <c r="A152" i="5"/>
  <c r="G151" i="5"/>
  <c r="D151" i="5"/>
  <c r="C151" i="5"/>
  <c r="A151" i="5"/>
  <c r="E151" i="5" s="1"/>
  <c r="G150" i="5"/>
  <c r="E150" i="5"/>
  <c r="D150" i="5"/>
  <c r="C150" i="5"/>
  <c r="A150" i="5"/>
  <c r="G149" i="5"/>
  <c r="E149" i="5"/>
  <c r="D149" i="5"/>
  <c r="A149" i="5"/>
  <c r="C149" i="5" s="1"/>
  <c r="G148" i="5"/>
  <c r="E148" i="5"/>
  <c r="D148" i="5"/>
  <c r="A148" i="5"/>
  <c r="G147" i="5"/>
  <c r="E147" i="5"/>
  <c r="C147" i="5"/>
  <c r="A147" i="5"/>
  <c r="D147" i="5" s="1"/>
  <c r="G146" i="5"/>
  <c r="A146" i="5"/>
  <c r="G145" i="5"/>
  <c r="C145" i="5"/>
  <c r="A145" i="5"/>
  <c r="G144" i="5"/>
  <c r="C144" i="5"/>
  <c r="A144" i="5"/>
  <c r="G143" i="5"/>
  <c r="E143" i="5"/>
  <c r="D143" i="5"/>
  <c r="C143" i="5"/>
  <c r="A143" i="5"/>
  <c r="G142" i="5"/>
  <c r="E142" i="5"/>
  <c r="D142" i="5"/>
  <c r="C142" i="5"/>
  <c r="A142" i="5"/>
  <c r="G141" i="5"/>
  <c r="A141" i="5"/>
  <c r="G140" i="5"/>
  <c r="E140" i="5"/>
  <c r="D140" i="5"/>
  <c r="C140" i="5"/>
  <c r="A140" i="5"/>
  <c r="G139" i="5"/>
  <c r="E139" i="5"/>
  <c r="D139" i="5"/>
  <c r="A139" i="5"/>
  <c r="C139" i="5" s="1"/>
  <c r="G138" i="5"/>
  <c r="E138" i="5"/>
  <c r="D138" i="5"/>
  <c r="C138" i="5"/>
  <c r="A138" i="5"/>
  <c r="G137" i="5"/>
  <c r="E137" i="5"/>
  <c r="A137" i="5"/>
  <c r="G136" i="5"/>
  <c r="A136" i="5"/>
  <c r="G135" i="5"/>
  <c r="A135" i="5"/>
  <c r="G134" i="5"/>
  <c r="E134" i="5"/>
  <c r="D134" i="5"/>
  <c r="A134" i="5"/>
  <c r="C134" i="5" s="1"/>
  <c r="G133" i="5"/>
  <c r="A133" i="5"/>
  <c r="G132" i="5"/>
  <c r="E132" i="5"/>
  <c r="D132" i="5"/>
  <c r="C132" i="5"/>
  <c r="A132" i="5"/>
  <c r="G131" i="5"/>
  <c r="E131" i="5"/>
  <c r="A131" i="5"/>
  <c r="G130" i="5"/>
  <c r="E130" i="5"/>
  <c r="D130" i="5"/>
  <c r="A130" i="5"/>
  <c r="G129" i="5"/>
  <c r="E129" i="5"/>
  <c r="D129" i="5"/>
  <c r="C129" i="5"/>
  <c r="A129" i="5"/>
  <c r="G128" i="5"/>
  <c r="A128" i="5"/>
  <c r="G127" i="5"/>
  <c r="A127" i="5"/>
  <c r="G126" i="5"/>
  <c r="E126" i="5"/>
  <c r="D126" i="5"/>
  <c r="A126" i="5"/>
  <c r="C126" i="5" s="1"/>
  <c r="G125" i="5"/>
  <c r="D125" i="5"/>
  <c r="A125" i="5"/>
  <c r="G124" i="5"/>
  <c r="E124" i="5"/>
  <c r="D124" i="5"/>
  <c r="C124" i="5"/>
  <c r="A124" i="5"/>
  <c r="G123" i="5"/>
  <c r="E123" i="5"/>
  <c r="A123" i="5"/>
  <c r="G122" i="5"/>
  <c r="A122" i="5"/>
  <c r="G121" i="5"/>
  <c r="E121" i="5"/>
  <c r="D121" i="5"/>
  <c r="C121" i="5"/>
  <c r="A121" i="5"/>
  <c r="G120" i="5"/>
  <c r="C120" i="5"/>
  <c r="A120" i="5"/>
  <c r="G119" i="5"/>
  <c r="E119" i="5"/>
  <c r="D119" i="5"/>
  <c r="C119" i="5"/>
  <c r="A119" i="5"/>
  <c r="G118" i="5"/>
  <c r="A118" i="5"/>
  <c r="G117" i="5"/>
  <c r="E117" i="5"/>
  <c r="D117" i="5"/>
  <c r="C117" i="5"/>
  <c r="A117" i="5"/>
  <c r="G116" i="5"/>
  <c r="E116" i="5"/>
  <c r="D116" i="5"/>
  <c r="A116" i="5"/>
  <c r="C116" i="5" s="1"/>
  <c r="G115" i="5"/>
  <c r="A115" i="5"/>
  <c r="G114" i="5"/>
  <c r="A114" i="5"/>
  <c r="G113" i="5"/>
  <c r="E113" i="5"/>
  <c r="A113" i="5"/>
  <c r="D113" i="5" s="1"/>
  <c r="G112" i="5"/>
  <c r="C112" i="5"/>
  <c r="A112" i="5"/>
  <c r="G111" i="5"/>
  <c r="E111" i="5"/>
  <c r="D111" i="5"/>
  <c r="C111" i="5"/>
  <c r="A111" i="5"/>
  <c r="G110" i="5"/>
  <c r="A110" i="5"/>
  <c r="G109" i="5"/>
  <c r="E109" i="5"/>
  <c r="D109" i="5"/>
  <c r="A109" i="5"/>
  <c r="G108" i="5"/>
  <c r="E108" i="5"/>
  <c r="D108" i="5"/>
  <c r="A108" i="5"/>
  <c r="C108" i="5" s="1"/>
  <c r="G107" i="5"/>
  <c r="A107" i="5"/>
  <c r="G106" i="5"/>
  <c r="E106" i="5"/>
  <c r="D106" i="5"/>
  <c r="A106" i="5"/>
  <c r="C106" i="5" s="1"/>
  <c r="G105" i="5"/>
  <c r="E105" i="5"/>
  <c r="A105" i="5"/>
  <c r="D105" i="5" s="1"/>
  <c r="G104" i="5"/>
  <c r="A104" i="5"/>
  <c r="G103" i="5"/>
  <c r="C103" i="5"/>
  <c r="A103" i="5"/>
  <c r="G102" i="5"/>
  <c r="A102" i="5"/>
  <c r="G101" i="5"/>
  <c r="E101" i="5"/>
  <c r="D101" i="5"/>
  <c r="C101" i="5"/>
  <c r="A101" i="5"/>
  <c r="G100" i="5"/>
  <c r="C100" i="5"/>
  <c r="A100" i="5"/>
  <c r="G99" i="5"/>
  <c r="E99" i="5"/>
  <c r="D99" i="5"/>
  <c r="C99" i="5"/>
  <c r="A99" i="5"/>
  <c r="G98" i="5"/>
  <c r="A98" i="5"/>
  <c r="E98" i="5" s="1"/>
  <c r="G97" i="5"/>
  <c r="A97" i="5"/>
  <c r="G96" i="5"/>
  <c r="E96" i="5"/>
  <c r="D96" i="5"/>
  <c r="A96" i="5"/>
  <c r="C96" i="5" s="1"/>
  <c r="G95" i="5"/>
  <c r="A95" i="5"/>
  <c r="G94" i="5"/>
  <c r="A94" i="5"/>
  <c r="G93" i="5"/>
  <c r="E93" i="5"/>
  <c r="D93" i="5"/>
  <c r="C93" i="5"/>
  <c r="A93" i="5"/>
  <c r="G92" i="5"/>
  <c r="C92" i="5"/>
  <c r="A92" i="5"/>
  <c r="G91" i="5"/>
  <c r="E91" i="5"/>
  <c r="D91" i="5"/>
  <c r="C91" i="5"/>
  <c r="A91" i="5"/>
  <c r="G90" i="5"/>
  <c r="E90" i="5"/>
  <c r="A90" i="5"/>
  <c r="D90" i="5" s="1"/>
  <c r="G89" i="5"/>
  <c r="D89" i="5"/>
  <c r="A89" i="5"/>
  <c r="G88" i="5"/>
  <c r="E88" i="5"/>
  <c r="D88" i="5"/>
  <c r="A88" i="5"/>
  <c r="C88" i="5" s="1"/>
  <c r="G87" i="5"/>
  <c r="A87" i="5"/>
  <c r="G86" i="5"/>
  <c r="E86" i="5"/>
  <c r="D86" i="5"/>
  <c r="C86" i="5"/>
  <c r="A86" i="5"/>
  <c r="G85" i="5"/>
  <c r="E85" i="5"/>
  <c r="D85" i="5"/>
  <c r="C85" i="5"/>
  <c r="A85" i="5"/>
  <c r="G84" i="5"/>
  <c r="A84" i="5"/>
  <c r="G83" i="5"/>
  <c r="E83" i="5"/>
  <c r="D83" i="5"/>
  <c r="C83" i="5"/>
  <c r="A83" i="5"/>
  <c r="G82" i="5"/>
  <c r="E82" i="5"/>
  <c r="D82" i="5"/>
  <c r="A82" i="5"/>
  <c r="C82" i="5" s="1"/>
  <c r="G81" i="5"/>
  <c r="D81" i="5"/>
  <c r="A81" i="5"/>
  <c r="G80" i="5"/>
  <c r="E80" i="5"/>
  <c r="D80" i="5"/>
  <c r="A80" i="5"/>
  <c r="C80" i="5" s="1"/>
  <c r="G79" i="5"/>
  <c r="A79" i="5"/>
  <c r="G78" i="5"/>
  <c r="E78" i="5"/>
  <c r="C78" i="5"/>
  <c r="A78" i="5"/>
  <c r="G77" i="5"/>
  <c r="E77" i="5"/>
  <c r="D77" i="5"/>
  <c r="C77" i="5"/>
  <c r="A77" i="5"/>
  <c r="G76" i="5"/>
  <c r="A76" i="5"/>
  <c r="G75" i="5"/>
  <c r="E75" i="5"/>
  <c r="A75" i="5"/>
  <c r="D75" i="5" s="1"/>
  <c r="G74" i="5"/>
  <c r="E74" i="5"/>
  <c r="D74" i="5"/>
  <c r="A74" i="5"/>
  <c r="C74" i="5" s="1"/>
  <c r="G73" i="5"/>
  <c r="C73" i="5"/>
  <c r="A73" i="5"/>
  <c r="G72" i="5"/>
  <c r="A72" i="5"/>
  <c r="G71" i="5"/>
  <c r="E71" i="5"/>
  <c r="A71" i="5"/>
  <c r="G70" i="5"/>
  <c r="E70" i="5"/>
  <c r="D70" i="5"/>
  <c r="C70" i="5"/>
  <c r="A70" i="5"/>
  <c r="G69" i="5"/>
  <c r="E69" i="5"/>
  <c r="D69" i="5"/>
  <c r="C69" i="5"/>
  <c r="A69" i="5"/>
  <c r="G68" i="5"/>
  <c r="A68" i="5"/>
  <c r="G67" i="5"/>
  <c r="E67" i="5"/>
  <c r="C67" i="5"/>
  <c r="A67" i="5"/>
  <c r="D67" i="5" s="1"/>
  <c r="G66" i="5"/>
  <c r="A66" i="5"/>
  <c r="G65" i="5"/>
  <c r="E65" i="5"/>
  <c r="D65" i="5"/>
  <c r="C65" i="5"/>
  <c r="A65" i="5"/>
  <c r="G64" i="5"/>
  <c r="E64" i="5"/>
  <c r="C64" i="5"/>
  <c r="A64" i="5"/>
  <c r="D64" i="5" s="1"/>
  <c r="G63" i="5"/>
  <c r="F63" i="5"/>
  <c r="H63" i="5" s="1"/>
  <c r="D63" i="5"/>
  <c r="C63" i="5"/>
  <c r="A63" i="5"/>
  <c r="E63" i="5" s="1"/>
  <c r="G62" i="5"/>
  <c r="E62" i="5"/>
  <c r="D62" i="5"/>
  <c r="C62" i="5"/>
  <c r="A62" i="5"/>
  <c r="G61" i="5"/>
  <c r="D61" i="5"/>
  <c r="A61" i="5"/>
  <c r="G60" i="5"/>
  <c r="E60" i="5"/>
  <c r="D60" i="5"/>
  <c r="A60" i="5"/>
  <c r="C60" i="5" s="1"/>
  <c r="G59" i="5"/>
  <c r="A59" i="5"/>
  <c r="G58" i="5"/>
  <c r="C58" i="5"/>
  <c r="A58" i="5"/>
  <c r="G57" i="5"/>
  <c r="E57" i="5"/>
  <c r="D57" i="5"/>
  <c r="C57" i="5"/>
  <c r="A57" i="5"/>
  <c r="G56" i="5"/>
  <c r="E56" i="5"/>
  <c r="C56" i="5"/>
  <c r="A56" i="5"/>
  <c r="D56" i="5" s="1"/>
  <c r="G55" i="5"/>
  <c r="D55" i="5"/>
  <c r="C55" i="5"/>
  <c r="A55" i="5"/>
  <c r="E55" i="5" s="1"/>
  <c r="G54" i="5"/>
  <c r="E54" i="5"/>
  <c r="D54" i="5"/>
  <c r="C54" i="5"/>
  <c r="A54" i="5"/>
  <c r="G53" i="5"/>
  <c r="D53" i="5"/>
  <c r="A53" i="5"/>
  <c r="G52" i="5"/>
  <c r="D52" i="5"/>
  <c r="A52" i="5"/>
  <c r="E52" i="5" s="1"/>
  <c r="G51" i="5"/>
  <c r="E51" i="5"/>
  <c r="A51" i="5"/>
  <c r="G50" i="5"/>
  <c r="E50" i="5"/>
  <c r="A50" i="5"/>
  <c r="G49" i="5"/>
  <c r="E49" i="5"/>
  <c r="D49" i="5"/>
  <c r="C49" i="5"/>
  <c r="A49" i="5"/>
  <c r="G48" i="5"/>
  <c r="E48" i="5"/>
  <c r="C48" i="5"/>
  <c r="A48" i="5"/>
  <c r="D48" i="5" s="1"/>
  <c r="G47" i="5"/>
  <c r="D47" i="5"/>
  <c r="C47" i="5"/>
  <c r="A47" i="5"/>
  <c r="E47" i="5" s="1"/>
  <c r="G46" i="5"/>
  <c r="E46" i="5"/>
  <c r="D46" i="5"/>
  <c r="C46" i="5"/>
  <c r="A46" i="5"/>
  <c r="G45" i="5"/>
  <c r="A45" i="5"/>
  <c r="G44" i="5"/>
  <c r="E44" i="5"/>
  <c r="D44" i="5"/>
  <c r="A44" i="5"/>
  <c r="G43" i="5"/>
  <c r="E43" i="5"/>
  <c r="A43" i="5"/>
  <c r="G42" i="5"/>
  <c r="A42" i="5"/>
  <c r="E42" i="5" s="1"/>
  <c r="G41" i="5"/>
  <c r="F41" i="5"/>
  <c r="H41" i="5" s="1"/>
  <c r="E41" i="5"/>
  <c r="C41" i="5"/>
  <c r="A41" i="5"/>
  <c r="D41" i="5" s="1"/>
  <c r="G40" i="5"/>
  <c r="E40" i="5"/>
  <c r="C40" i="5"/>
  <c r="A40" i="5"/>
  <c r="D40" i="5" s="1"/>
  <c r="G39" i="5"/>
  <c r="F39" i="5"/>
  <c r="H39" i="5" s="1"/>
  <c r="D39" i="5"/>
  <c r="C39" i="5"/>
  <c r="A39" i="5"/>
  <c r="E39" i="5" s="1"/>
  <c r="G38" i="5"/>
  <c r="F38" i="5"/>
  <c r="H38" i="5" s="1"/>
  <c r="P38" i="5" s="1"/>
  <c r="R38" i="5" s="1"/>
  <c r="E38" i="5"/>
  <c r="D38" i="5"/>
  <c r="C38" i="5"/>
  <c r="A38" i="5"/>
  <c r="G37" i="5"/>
  <c r="A37" i="5"/>
  <c r="G36" i="5"/>
  <c r="E36" i="5"/>
  <c r="C36" i="5"/>
  <c r="A36" i="5"/>
  <c r="G35" i="5"/>
  <c r="A35" i="5"/>
  <c r="G34" i="5"/>
  <c r="A34" i="5"/>
  <c r="G33" i="5"/>
  <c r="F33" i="5"/>
  <c r="H33" i="5" s="1"/>
  <c r="E33" i="5"/>
  <c r="A33" i="5"/>
  <c r="D33" i="5" s="1"/>
  <c r="G32" i="5"/>
  <c r="F32" i="5"/>
  <c r="H32" i="5" s="1"/>
  <c r="E32" i="5"/>
  <c r="C32" i="5"/>
  <c r="A32" i="5"/>
  <c r="D32" i="5" s="1"/>
  <c r="G31" i="5"/>
  <c r="F31" i="5"/>
  <c r="H31" i="5" s="1"/>
  <c r="D31" i="5"/>
  <c r="C31" i="5"/>
  <c r="A31" i="5"/>
  <c r="E31" i="5" s="1"/>
  <c r="G30" i="5"/>
  <c r="F30" i="5"/>
  <c r="H30" i="5" s="1"/>
  <c r="I30" i="5" s="1"/>
  <c r="E30" i="5"/>
  <c r="D30" i="5"/>
  <c r="C30" i="5"/>
  <c r="A30" i="5"/>
  <c r="G29" i="5"/>
  <c r="A29" i="5"/>
  <c r="G28" i="5"/>
  <c r="D28" i="5"/>
  <c r="C28" i="5"/>
  <c r="A28" i="5"/>
  <c r="G27" i="5"/>
  <c r="A27" i="5"/>
  <c r="C27" i="5" s="1"/>
  <c r="G26" i="5"/>
  <c r="E26" i="5"/>
  <c r="C26" i="5"/>
  <c r="A26" i="5"/>
  <c r="G25" i="5"/>
  <c r="E25" i="5"/>
  <c r="D25" i="5"/>
  <c r="C25" i="5"/>
  <c r="A25" i="5"/>
  <c r="G24" i="5"/>
  <c r="F24" i="5"/>
  <c r="H24" i="5" s="1"/>
  <c r="E24" i="5"/>
  <c r="C24" i="5"/>
  <c r="A24" i="5"/>
  <c r="D24" i="5" s="1"/>
  <c r="G23" i="5"/>
  <c r="A23" i="5"/>
  <c r="E23" i="5" s="1"/>
  <c r="G22" i="5"/>
  <c r="E22" i="5"/>
  <c r="D22" i="5"/>
  <c r="C22" i="5"/>
  <c r="A22" i="5"/>
  <c r="G21" i="5"/>
  <c r="A21" i="5"/>
  <c r="D21" i="5" s="1"/>
  <c r="G20" i="5"/>
  <c r="A20" i="5"/>
  <c r="F20" i="5" s="1"/>
  <c r="G19" i="5"/>
  <c r="F19" i="5"/>
  <c r="H19" i="5" s="1"/>
  <c r="E19" i="5"/>
  <c r="D19" i="5"/>
  <c r="A19" i="5"/>
  <c r="C19" i="5" s="1"/>
  <c r="G18" i="5"/>
  <c r="A18" i="5"/>
  <c r="E18" i="5" s="1"/>
  <c r="G17" i="5"/>
  <c r="A17" i="5"/>
  <c r="F17" i="5" s="1"/>
  <c r="H17" i="5" s="1"/>
  <c r="G16" i="5"/>
  <c r="E16" i="5"/>
  <c r="C16" i="5"/>
  <c r="A16" i="5"/>
  <c r="D16" i="5" s="1"/>
  <c r="G15" i="5"/>
  <c r="D15" i="5"/>
  <c r="C15" i="5"/>
  <c r="A15" i="5"/>
  <c r="E15" i="5" s="1"/>
  <c r="G14" i="5"/>
  <c r="E14" i="5"/>
  <c r="D14" i="5"/>
  <c r="C14" i="5"/>
  <c r="A14" i="5"/>
  <c r="G13" i="5"/>
  <c r="C13" i="5"/>
  <c r="A13" i="5"/>
  <c r="E13" i="5" s="1"/>
  <c r="G12" i="5"/>
  <c r="A12" i="5"/>
  <c r="D12" i="5" s="1"/>
  <c r="G11" i="5"/>
  <c r="A11" i="5"/>
  <c r="C11" i="5" s="1"/>
  <c r="G10" i="5"/>
  <c r="A10" i="5"/>
  <c r="F10" i="5" s="1"/>
  <c r="H10" i="5" s="1"/>
  <c r="G9" i="5"/>
  <c r="F9" i="5"/>
  <c r="H9" i="5" s="1"/>
  <c r="E9" i="5"/>
  <c r="D9" i="5"/>
  <c r="C9" i="5"/>
  <c r="A9" i="5"/>
  <c r="E8" i="5"/>
  <c r="R7" i="5"/>
  <c r="Q7" i="5"/>
  <c r="M7" i="5"/>
  <c r="L7" i="5"/>
  <c r="K7" i="5"/>
  <c r="J7" i="5"/>
  <c r="F7" i="5"/>
  <c r="F83" i="5" s="1"/>
  <c r="H83" i="5" s="1"/>
  <c r="M6" i="5"/>
  <c r="L6" i="5"/>
  <c r="K6" i="5"/>
  <c r="J6" i="5"/>
  <c r="I6" i="5"/>
  <c r="H6" i="5"/>
  <c r="G5" i="5"/>
  <c r="S112" i="3"/>
  <c r="C112" i="3"/>
  <c r="S111" i="3"/>
  <c r="C111" i="3"/>
  <c r="S110" i="3"/>
  <c r="C110" i="3"/>
  <c r="S109" i="3"/>
  <c r="C109" i="3"/>
  <c r="S108" i="3"/>
  <c r="C108" i="3"/>
  <c r="S107" i="3"/>
  <c r="C107" i="3"/>
  <c r="S106" i="3"/>
  <c r="C106" i="3"/>
  <c r="S105" i="3"/>
  <c r="C105" i="3"/>
  <c r="S104" i="3"/>
  <c r="C104" i="3"/>
  <c r="S103" i="3"/>
  <c r="C103" i="3"/>
  <c r="S102" i="3"/>
  <c r="C102" i="3"/>
  <c r="S101" i="3"/>
  <c r="C101" i="3"/>
  <c r="S100" i="3"/>
  <c r="C100" i="3"/>
  <c r="S99" i="3"/>
  <c r="C99" i="3"/>
  <c r="S98" i="3"/>
  <c r="C98" i="3"/>
  <c r="S97" i="3"/>
  <c r="C97" i="3"/>
  <c r="S96" i="3"/>
  <c r="C96" i="3"/>
  <c r="S95" i="3"/>
  <c r="C95" i="3"/>
  <c r="S89" i="3"/>
  <c r="C89" i="3"/>
  <c r="S88" i="3"/>
  <c r="C88" i="3"/>
  <c r="S87" i="3"/>
  <c r="C87" i="3"/>
  <c r="S86" i="3"/>
  <c r="C86" i="3"/>
  <c r="S85" i="3"/>
  <c r="C85" i="3"/>
  <c r="S84" i="3"/>
  <c r="C84" i="3"/>
  <c r="S83" i="3"/>
  <c r="C83" i="3"/>
  <c r="S82" i="3"/>
  <c r="C82" i="3"/>
  <c r="S81" i="3"/>
  <c r="C81" i="3"/>
  <c r="S80" i="3"/>
  <c r="C80" i="3"/>
  <c r="S79" i="3"/>
  <c r="C79" i="3"/>
  <c r="S78" i="3"/>
  <c r="C78" i="3"/>
  <c r="S77" i="3"/>
  <c r="C77" i="3"/>
  <c r="S76" i="3"/>
  <c r="C76" i="3"/>
  <c r="S75" i="3"/>
  <c r="C75" i="3"/>
  <c r="S74" i="3"/>
  <c r="C74" i="3"/>
  <c r="S73" i="3"/>
  <c r="C73" i="3"/>
  <c r="S72" i="3"/>
  <c r="C72" i="3"/>
  <c r="S66" i="3"/>
  <c r="C66" i="3"/>
  <c r="S65" i="3"/>
  <c r="C65" i="3"/>
  <c r="S64" i="3"/>
  <c r="C64" i="3"/>
  <c r="S63" i="3"/>
  <c r="C63" i="3"/>
  <c r="S62" i="3"/>
  <c r="C62" i="3"/>
  <c r="S61" i="3"/>
  <c r="C61" i="3"/>
  <c r="S60" i="3"/>
  <c r="C60" i="3"/>
  <c r="S59" i="3"/>
  <c r="C59" i="3"/>
  <c r="S58" i="3"/>
  <c r="C58" i="3"/>
  <c r="S57" i="3"/>
  <c r="C57" i="3"/>
  <c r="S56" i="3"/>
  <c r="C56" i="3"/>
  <c r="S55" i="3"/>
  <c r="C55" i="3"/>
  <c r="S54" i="3"/>
  <c r="C54" i="3"/>
  <c r="S53" i="3"/>
  <c r="C53" i="3"/>
  <c r="S52" i="3"/>
  <c r="C52" i="3"/>
  <c r="S51" i="3"/>
  <c r="C51" i="3"/>
  <c r="S50" i="3"/>
  <c r="C50" i="3"/>
  <c r="S49" i="3"/>
  <c r="C49" i="3"/>
  <c r="S43" i="3"/>
  <c r="C43" i="3"/>
  <c r="S42" i="3"/>
  <c r="C42" i="3"/>
  <c r="S41" i="3"/>
  <c r="S40" i="3"/>
  <c r="S39" i="3"/>
  <c r="C39" i="3"/>
  <c r="S38" i="3"/>
  <c r="C38" i="3"/>
  <c r="S37" i="3"/>
  <c r="C37" i="3"/>
  <c r="S36" i="3"/>
  <c r="C36" i="3"/>
  <c r="S35" i="3"/>
  <c r="C35" i="3"/>
  <c r="S34" i="3"/>
  <c r="C34" i="3"/>
  <c r="S33" i="3"/>
  <c r="C33" i="3"/>
  <c r="S32" i="3"/>
  <c r="C32" i="3"/>
  <c r="S31" i="3"/>
  <c r="C31" i="3"/>
  <c r="S30" i="3"/>
  <c r="C30" i="3"/>
  <c r="S29" i="3"/>
  <c r="C29" i="3"/>
  <c r="S28" i="3"/>
  <c r="C28" i="3"/>
  <c r="S22" i="3"/>
  <c r="C22" i="3"/>
  <c r="S21" i="3"/>
  <c r="S20" i="3"/>
  <c r="C20" i="3"/>
  <c r="S19" i="3"/>
  <c r="C19" i="3"/>
  <c r="S18" i="3"/>
  <c r="C18" i="3"/>
  <c r="S17" i="3"/>
  <c r="C17" i="3"/>
  <c r="S16" i="3"/>
  <c r="C16" i="3"/>
  <c r="S15" i="3"/>
  <c r="C15" i="3"/>
  <c r="S14" i="3"/>
  <c r="C14" i="3"/>
  <c r="S13" i="3"/>
  <c r="C13" i="3"/>
  <c r="S12" i="3"/>
  <c r="C12" i="3"/>
  <c r="S11" i="3"/>
  <c r="C11" i="3"/>
  <c r="S10" i="3"/>
  <c r="C10" i="3"/>
  <c r="S9" i="3"/>
  <c r="C9" i="3"/>
  <c r="S8" i="3"/>
  <c r="C8" i="3"/>
  <c r="S7" i="3"/>
  <c r="C7" i="3"/>
  <c r="F213" i="7" l="1"/>
  <c r="K213" i="7" s="1"/>
  <c r="K24" i="7"/>
  <c r="K42" i="7"/>
  <c r="J213" i="7"/>
  <c r="K13" i="7"/>
  <c r="K22" i="7"/>
  <c r="K20" i="7"/>
  <c r="E213" i="7"/>
  <c r="K68" i="7"/>
  <c r="K79" i="7"/>
  <c r="K90" i="7"/>
  <c r="K102" i="7"/>
  <c r="G213" i="7"/>
  <c r="K55" i="7"/>
  <c r="K66" i="7"/>
  <c r="K76" i="7"/>
  <c r="K87" i="7"/>
  <c r="H213" i="7"/>
  <c r="K54" i="7"/>
  <c r="K64" i="7"/>
  <c r="K75" i="7"/>
  <c r="K86" i="7"/>
  <c r="K96" i="7"/>
  <c r="I213" i="7"/>
  <c r="J215" i="7" s="1"/>
  <c r="K63" i="7"/>
  <c r="K74" i="7"/>
  <c r="K84" i="7"/>
  <c r="K95" i="7"/>
  <c r="O19" i="6"/>
  <c r="Q19" i="6" s="1"/>
  <c r="S19" i="6" s="1"/>
  <c r="I19" i="6"/>
  <c r="P19" i="6"/>
  <c r="R19" i="6" s="1"/>
  <c r="P23" i="6"/>
  <c r="R23" i="6" s="1"/>
  <c r="O23" i="6"/>
  <c r="Q23" i="6" s="1"/>
  <c r="I23" i="6"/>
  <c r="P39" i="6"/>
  <c r="R39" i="6" s="1"/>
  <c r="O39" i="6"/>
  <c r="Q39" i="6" s="1"/>
  <c r="S39" i="6" s="1"/>
  <c r="I39" i="6"/>
  <c r="P15" i="6"/>
  <c r="R15" i="6" s="1"/>
  <c r="I15" i="6"/>
  <c r="O15" i="6"/>
  <c r="Q15" i="6" s="1"/>
  <c r="S15" i="6" s="1"/>
  <c r="O10" i="6"/>
  <c r="Q10" i="6" s="1"/>
  <c r="S10" i="6" s="1"/>
  <c r="P10" i="6"/>
  <c r="R10" i="6" s="1"/>
  <c r="I10" i="6"/>
  <c r="I43" i="6"/>
  <c r="P43" i="6"/>
  <c r="R43" i="6" s="1"/>
  <c r="O43" i="6"/>
  <c r="Q43" i="6" s="1"/>
  <c r="I83" i="6"/>
  <c r="P83" i="6"/>
  <c r="R83" i="6" s="1"/>
  <c r="O83" i="6"/>
  <c r="Q83" i="6" s="1"/>
  <c r="I11" i="6"/>
  <c r="P11" i="6"/>
  <c r="R11" i="6" s="1"/>
  <c r="O11" i="6"/>
  <c r="Q11" i="6" s="1"/>
  <c r="F20" i="6"/>
  <c r="H20" i="6" s="1"/>
  <c r="F24" i="6"/>
  <c r="H24" i="6" s="1"/>
  <c r="F25" i="6"/>
  <c r="H25" i="6" s="1"/>
  <c r="C29" i="6"/>
  <c r="F31" i="6"/>
  <c r="H31" i="6" s="1"/>
  <c r="C42" i="6"/>
  <c r="E43" i="6"/>
  <c r="F44" i="6"/>
  <c r="H44" i="6" s="1"/>
  <c r="F54" i="6"/>
  <c r="H54" i="6" s="1"/>
  <c r="D62" i="6"/>
  <c r="F62" i="6"/>
  <c r="H62" i="6" s="1"/>
  <c r="E62" i="6"/>
  <c r="F77" i="6"/>
  <c r="H77" i="6" s="1"/>
  <c r="F79" i="6"/>
  <c r="H79" i="6" s="1"/>
  <c r="F90" i="6"/>
  <c r="H90" i="6" s="1"/>
  <c r="F99" i="6"/>
  <c r="H99" i="6" s="1"/>
  <c r="E99" i="6"/>
  <c r="D99" i="6"/>
  <c r="C99" i="6"/>
  <c r="F129" i="6"/>
  <c r="H129" i="6" s="1"/>
  <c r="D9" i="6"/>
  <c r="C12" i="6"/>
  <c r="F30" i="6"/>
  <c r="H30" i="6" s="1"/>
  <c r="F34" i="6"/>
  <c r="H34" i="6" s="1"/>
  <c r="D35" i="6"/>
  <c r="C35" i="6"/>
  <c r="D42" i="6"/>
  <c r="F53" i="6"/>
  <c r="H53" i="6" s="1"/>
  <c r="E53" i="6"/>
  <c r="C62" i="6"/>
  <c r="F87" i="6"/>
  <c r="H87" i="6" s="1"/>
  <c r="E87" i="6"/>
  <c r="D87" i="6"/>
  <c r="C87" i="6"/>
  <c r="F92" i="6"/>
  <c r="H92" i="6" s="1"/>
  <c r="D15" i="6"/>
  <c r="F9" i="6"/>
  <c r="C10" i="6"/>
  <c r="E12" i="6"/>
  <c r="D28" i="6"/>
  <c r="C34" i="6"/>
  <c r="E35" i="6"/>
  <c r="F36" i="6"/>
  <c r="H36" i="6" s="1"/>
  <c r="E40" i="6"/>
  <c r="D40" i="6"/>
  <c r="F47" i="6"/>
  <c r="H47" i="6" s="1"/>
  <c r="F50" i="6"/>
  <c r="H50" i="6" s="1"/>
  <c r="F52" i="6"/>
  <c r="H52" i="6" s="1"/>
  <c r="C53" i="6"/>
  <c r="F58" i="6"/>
  <c r="H58" i="6" s="1"/>
  <c r="F60" i="6"/>
  <c r="H60" i="6" s="1"/>
  <c r="F74" i="6"/>
  <c r="H74" i="6" s="1"/>
  <c r="E74" i="6"/>
  <c r="D74" i="6"/>
  <c r="C74" i="6"/>
  <c r="C15" i="6"/>
  <c r="E15" i="6"/>
  <c r="D16" i="6"/>
  <c r="G211" i="6"/>
  <c r="D10" i="6"/>
  <c r="F12" i="6"/>
  <c r="H12" i="6" s="1"/>
  <c r="C13" i="6"/>
  <c r="F16" i="6"/>
  <c r="H16" i="6" s="1"/>
  <c r="C18" i="6"/>
  <c r="F26" i="6"/>
  <c r="H26" i="6" s="1"/>
  <c r="D27" i="6"/>
  <c r="C27" i="6"/>
  <c r="E28" i="6"/>
  <c r="D34" i="6"/>
  <c r="F35" i="6"/>
  <c r="H35" i="6" s="1"/>
  <c r="C39" i="6"/>
  <c r="C40" i="6"/>
  <c r="F45" i="6"/>
  <c r="H45" i="6" s="1"/>
  <c r="E45" i="6"/>
  <c r="F49" i="6"/>
  <c r="H49" i="6" s="1"/>
  <c r="C50" i="6"/>
  <c r="D53" i="6"/>
  <c r="F57" i="6"/>
  <c r="H57" i="6" s="1"/>
  <c r="C58" i="6"/>
  <c r="F71" i="6"/>
  <c r="H71" i="6" s="1"/>
  <c r="E71" i="6"/>
  <c r="F72" i="6"/>
  <c r="H72" i="6" s="1"/>
  <c r="E72" i="6"/>
  <c r="D72" i="6"/>
  <c r="C73" i="6"/>
  <c r="F73" i="6"/>
  <c r="H73" i="6" s="1"/>
  <c r="E73" i="6"/>
  <c r="D73" i="6"/>
  <c r="E83" i="6"/>
  <c r="D83" i="6"/>
  <c r="C98" i="6"/>
  <c r="F98" i="6"/>
  <c r="H98" i="6" s="1"/>
  <c r="E98" i="6"/>
  <c r="F104" i="6"/>
  <c r="H104" i="6" s="1"/>
  <c r="E104" i="6"/>
  <c r="D104" i="6"/>
  <c r="F14" i="6"/>
  <c r="H14" i="6" s="1"/>
  <c r="F22" i="6"/>
  <c r="H22" i="6" s="1"/>
  <c r="E10" i="6"/>
  <c r="D13" i="6"/>
  <c r="D18" i="6"/>
  <c r="F28" i="6"/>
  <c r="H28" i="6" s="1"/>
  <c r="E32" i="6"/>
  <c r="D32" i="6"/>
  <c r="E34" i="6"/>
  <c r="D39" i="6"/>
  <c r="F40" i="6"/>
  <c r="H40" i="6" s="1"/>
  <c r="F41" i="6"/>
  <c r="H41" i="6" s="1"/>
  <c r="F48" i="6"/>
  <c r="H48" i="6" s="1"/>
  <c r="E48" i="6"/>
  <c r="D48" i="6"/>
  <c r="D50" i="6"/>
  <c r="F55" i="6"/>
  <c r="H55" i="6" s="1"/>
  <c r="F56" i="6"/>
  <c r="H56" i="6" s="1"/>
  <c r="E56" i="6"/>
  <c r="D56" i="6"/>
  <c r="D58" i="6"/>
  <c r="D70" i="6"/>
  <c r="F70" i="6"/>
  <c r="H70" i="6" s="1"/>
  <c r="F82" i="6"/>
  <c r="H82" i="6" s="1"/>
  <c r="E82" i="6"/>
  <c r="E112" i="6"/>
  <c r="F112" i="6"/>
  <c r="H112" i="6" s="1"/>
  <c r="D112" i="6"/>
  <c r="C112" i="6"/>
  <c r="C16" i="6"/>
  <c r="F17" i="6"/>
  <c r="H17" i="6" s="1"/>
  <c r="F21" i="6"/>
  <c r="H21" i="6" s="1"/>
  <c r="F27" i="6"/>
  <c r="H27" i="6" s="1"/>
  <c r="C32" i="6"/>
  <c r="F37" i="6"/>
  <c r="H37" i="6" s="1"/>
  <c r="E37" i="6"/>
  <c r="E39" i="6"/>
  <c r="D45" i="6"/>
  <c r="F46" i="6"/>
  <c r="H46" i="6" s="1"/>
  <c r="C48" i="6"/>
  <c r="E50" i="6"/>
  <c r="C56" i="6"/>
  <c r="E58" i="6"/>
  <c r="F203" i="6"/>
  <c r="H203" i="6" s="1"/>
  <c r="F195" i="6"/>
  <c r="H195" i="6" s="1"/>
  <c r="F202" i="6"/>
  <c r="H202" i="6" s="1"/>
  <c r="F194" i="6"/>
  <c r="H194" i="6" s="1"/>
  <c r="F187" i="6"/>
  <c r="H187" i="6" s="1"/>
  <c r="F204" i="6"/>
  <c r="H204" i="6" s="1"/>
  <c r="F186" i="6"/>
  <c r="H186" i="6" s="1"/>
  <c r="F164" i="6"/>
  <c r="H164" i="6" s="1"/>
  <c r="F196" i="6"/>
  <c r="H196" i="6" s="1"/>
  <c r="F179" i="6"/>
  <c r="H179" i="6" s="1"/>
  <c r="F178" i="6"/>
  <c r="H178" i="6" s="1"/>
  <c r="F159" i="6"/>
  <c r="H159" i="6" s="1"/>
  <c r="F167" i="6"/>
  <c r="H167" i="6" s="1"/>
  <c r="F166" i="6"/>
  <c r="H166" i="6" s="1"/>
  <c r="F165" i="6"/>
  <c r="H165" i="6" s="1"/>
  <c r="F158" i="6"/>
  <c r="H158" i="6" s="1"/>
  <c r="F176" i="6"/>
  <c r="H176" i="6" s="1"/>
  <c r="F130" i="6"/>
  <c r="H130" i="6" s="1"/>
  <c r="F172" i="6"/>
  <c r="H172" i="6" s="1"/>
  <c r="F138" i="6"/>
  <c r="H138" i="6" s="1"/>
  <c r="F148" i="6"/>
  <c r="H148" i="6" s="1"/>
  <c r="F140" i="6"/>
  <c r="H140" i="6" s="1"/>
  <c r="F145" i="6"/>
  <c r="H145" i="6" s="1"/>
  <c r="F128" i="6"/>
  <c r="H128" i="6" s="1"/>
  <c r="F127" i="6"/>
  <c r="H127" i="6" s="1"/>
  <c r="F157" i="6"/>
  <c r="H157" i="6" s="1"/>
  <c r="F156" i="6"/>
  <c r="H156" i="6" s="1"/>
  <c r="F122" i="6"/>
  <c r="H122" i="6" s="1"/>
  <c r="F109" i="6"/>
  <c r="H109" i="6" s="1"/>
  <c r="F121" i="6"/>
  <c r="H121" i="6" s="1"/>
  <c r="F125" i="6"/>
  <c r="H125" i="6" s="1"/>
  <c r="F120" i="6"/>
  <c r="H120" i="6" s="1"/>
  <c r="F108" i="6"/>
  <c r="H108" i="6" s="1"/>
  <c r="F154" i="6"/>
  <c r="H154" i="6" s="1"/>
  <c r="F103" i="6"/>
  <c r="H103" i="6" s="1"/>
  <c r="F114" i="6"/>
  <c r="H114" i="6" s="1"/>
  <c r="F111" i="6"/>
  <c r="H111" i="6" s="1"/>
  <c r="F123" i="6"/>
  <c r="H123" i="6" s="1"/>
  <c r="F107" i="6"/>
  <c r="H107" i="6" s="1"/>
  <c r="F106" i="6"/>
  <c r="H106" i="6" s="1"/>
  <c r="F101" i="6"/>
  <c r="H101" i="6" s="1"/>
  <c r="F86" i="6"/>
  <c r="H86" i="6" s="1"/>
  <c r="F67" i="6"/>
  <c r="H67" i="6" s="1"/>
  <c r="F66" i="6"/>
  <c r="H66" i="6" s="1"/>
  <c r="F65" i="6"/>
  <c r="H65" i="6" s="1"/>
  <c r="F94" i="6"/>
  <c r="H94" i="6" s="1"/>
  <c r="F81" i="6"/>
  <c r="H81" i="6" s="1"/>
  <c r="F89" i="6"/>
  <c r="H89" i="6" s="1"/>
  <c r="F155" i="6"/>
  <c r="H155" i="6" s="1"/>
  <c r="F13" i="6"/>
  <c r="H13" i="6" s="1"/>
  <c r="F18" i="6"/>
  <c r="H18" i="6" s="1"/>
  <c r="E24" i="6"/>
  <c r="D24" i="6"/>
  <c r="F32" i="6"/>
  <c r="H32" i="6" s="1"/>
  <c r="F33" i="6"/>
  <c r="H33" i="6" s="1"/>
  <c r="F51" i="6"/>
  <c r="H51" i="6" s="1"/>
  <c r="E51" i="6"/>
  <c r="D51" i="6"/>
  <c r="C51" i="6"/>
  <c r="F59" i="6"/>
  <c r="H59" i="6" s="1"/>
  <c r="E59" i="6"/>
  <c r="D59" i="6"/>
  <c r="C59" i="6"/>
  <c r="F68" i="6"/>
  <c r="H68" i="6" s="1"/>
  <c r="F84" i="6"/>
  <c r="H84" i="6" s="1"/>
  <c r="F95" i="6"/>
  <c r="H95" i="6" s="1"/>
  <c r="E95" i="6"/>
  <c r="F118" i="6"/>
  <c r="H118" i="6" s="1"/>
  <c r="F29" i="6"/>
  <c r="H29" i="6" s="1"/>
  <c r="E29" i="6"/>
  <c r="F38" i="6"/>
  <c r="H38" i="6" s="1"/>
  <c r="F42" i="6"/>
  <c r="H42" i="6" s="1"/>
  <c r="D43" i="6"/>
  <c r="C43" i="6"/>
  <c r="F61" i="6"/>
  <c r="H61" i="6" s="1"/>
  <c r="F63" i="6"/>
  <c r="H63" i="6" s="1"/>
  <c r="E63" i="6"/>
  <c r="D63" i="6"/>
  <c r="F64" i="6"/>
  <c r="H64" i="6" s="1"/>
  <c r="E64" i="6"/>
  <c r="D64" i="6"/>
  <c r="C64" i="6"/>
  <c r="F69" i="6"/>
  <c r="H69" i="6" s="1"/>
  <c r="F76" i="6"/>
  <c r="H76" i="6" s="1"/>
  <c r="F78" i="6"/>
  <c r="H78" i="6" s="1"/>
  <c r="F88" i="6"/>
  <c r="H88" i="6" s="1"/>
  <c r="E88" i="6"/>
  <c r="D88" i="6"/>
  <c r="F91" i="6"/>
  <c r="H91" i="6" s="1"/>
  <c r="C95" i="6"/>
  <c r="F97" i="6"/>
  <c r="H97" i="6" s="1"/>
  <c r="F80" i="6"/>
  <c r="H80" i="6" s="1"/>
  <c r="E80" i="6"/>
  <c r="F93" i="6"/>
  <c r="H93" i="6" s="1"/>
  <c r="D94" i="6"/>
  <c r="C94" i="6"/>
  <c r="E100" i="6"/>
  <c r="D100" i="6"/>
  <c r="D65" i="6"/>
  <c r="C75" i="6"/>
  <c r="C80" i="6"/>
  <c r="C93" i="6"/>
  <c r="E94" i="6"/>
  <c r="C100" i="6"/>
  <c r="D80" i="6"/>
  <c r="F85" i="6"/>
  <c r="H85" i="6" s="1"/>
  <c r="D86" i="6"/>
  <c r="C86" i="6"/>
  <c r="F100" i="6"/>
  <c r="H100" i="6" s="1"/>
  <c r="F75" i="6"/>
  <c r="H75" i="6" s="1"/>
  <c r="C85" i="6"/>
  <c r="E86" i="6"/>
  <c r="E91" i="6"/>
  <c r="D91" i="6"/>
  <c r="D78" i="6"/>
  <c r="C78" i="6"/>
  <c r="F96" i="6"/>
  <c r="H96" i="6" s="1"/>
  <c r="E96" i="6"/>
  <c r="F115" i="6"/>
  <c r="H115" i="6" s="1"/>
  <c r="D115" i="6"/>
  <c r="E119" i="6"/>
  <c r="F119" i="6"/>
  <c r="H119" i="6" s="1"/>
  <c r="D119" i="6"/>
  <c r="C119" i="6"/>
  <c r="E137" i="6"/>
  <c r="C137" i="6"/>
  <c r="D137" i="6"/>
  <c r="F137" i="6"/>
  <c r="H137" i="6" s="1"/>
  <c r="E139" i="6"/>
  <c r="C139" i="6"/>
  <c r="F139" i="6"/>
  <c r="H139" i="6" s="1"/>
  <c r="D139" i="6"/>
  <c r="F102" i="6"/>
  <c r="H102" i="6" s="1"/>
  <c r="D103" i="6"/>
  <c r="C103" i="6"/>
  <c r="C115" i="6"/>
  <c r="F126" i="6"/>
  <c r="H126" i="6" s="1"/>
  <c r="E126" i="6"/>
  <c r="D126" i="6"/>
  <c r="C126" i="6"/>
  <c r="E133" i="6"/>
  <c r="C133" i="6"/>
  <c r="F133" i="6"/>
  <c r="H133" i="6" s="1"/>
  <c r="D133" i="6"/>
  <c r="C135" i="6"/>
  <c r="F135" i="6"/>
  <c r="H135" i="6" s="1"/>
  <c r="D135" i="6"/>
  <c r="E135" i="6"/>
  <c r="C102" i="6"/>
  <c r="E103" i="6"/>
  <c r="E108" i="6"/>
  <c r="D108" i="6"/>
  <c r="E115" i="6"/>
  <c r="F116" i="6"/>
  <c r="H116" i="6" s="1"/>
  <c r="E116" i="6"/>
  <c r="C116" i="6"/>
  <c r="F110" i="6"/>
  <c r="H110" i="6" s="1"/>
  <c r="E110" i="6"/>
  <c r="C110" i="6"/>
  <c r="F113" i="6"/>
  <c r="H113" i="6" s="1"/>
  <c r="D150" i="6"/>
  <c r="F150" i="6"/>
  <c r="H150" i="6" s="1"/>
  <c r="E150" i="6"/>
  <c r="F162" i="6"/>
  <c r="H162" i="6" s="1"/>
  <c r="E162" i="6"/>
  <c r="D162" i="6"/>
  <c r="C162" i="6"/>
  <c r="F105" i="6"/>
  <c r="H105" i="6" s="1"/>
  <c r="E105" i="6"/>
  <c r="C132" i="6"/>
  <c r="F132" i="6"/>
  <c r="H132" i="6" s="1"/>
  <c r="D132" i="6"/>
  <c r="C150" i="6"/>
  <c r="F124" i="6"/>
  <c r="H124" i="6" s="1"/>
  <c r="D124" i="6"/>
  <c r="E125" i="6"/>
  <c r="E127" i="6"/>
  <c r="C127" i="6"/>
  <c r="F134" i="6"/>
  <c r="H134" i="6" s="1"/>
  <c r="D134" i="6"/>
  <c r="C134" i="6"/>
  <c r="C149" i="6"/>
  <c r="F149" i="6"/>
  <c r="H149" i="6" s="1"/>
  <c r="D149" i="6"/>
  <c r="E141" i="6"/>
  <c r="C141" i="6"/>
  <c r="F142" i="6"/>
  <c r="H142" i="6" s="1"/>
  <c r="D142" i="6"/>
  <c r="C142" i="6"/>
  <c r="F144" i="6"/>
  <c r="H144" i="6" s="1"/>
  <c r="D144" i="6"/>
  <c r="E144" i="6"/>
  <c r="D113" i="6"/>
  <c r="D141" i="6"/>
  <c r="E142" i="6"/>
  <c r="C144" i="6"/>
  <c r="C111" i="6"/>
  <c r="E113" i="6"/>
  <c r="F117" i="6"/>
  <c r="H117" i="6" s="1"/>
  <c r="E118" i="6"/>
  <c r="F131" i="6"/>
  <c r="H131" i="6" s="1"/>
  <c r="C131" i="6"/>
  <c r="F141" i="6"/>
  <c r="H141" i="6" s="1"/>
  <c r="E163" i="6"/>
  <c r="F163" i="6"/>
  <c r="H163" i="6" s="1"/>
  <c r="D163" i="6"/>
  <c r="C163" i="6"/>
  <c r="D125" i="6"/>
  <c r="D129" i="6"/>
  <c r="E129" i="6"/>
  <c r="D131" i="6"/>
  <c r="F151" i="6"/>
  <c r="H151" i="6" s="1"/>
  <c r="E151" i="6"/>
  <c r="C151" i="6"/>
  <c r="D151" i="6"/>
  <c r="C136" i="6"/>
  <c r="D143" i="6"/>
  <c r="F152" i="6"/>
  <c r="H152" i="6" s="1"/>
  <c r="E152" i="6"/>
  <c r="D152" i="6"/>
  <c r="F160" i="6"/>
  <c r="H160" i="6" s="1"/>
  <c r="E160" i="6"/>
  <c r="F143" i="6"/>
  <c r="H143" i="6" s="1"/>
  <c r="E147" i="6"/>
  <c r="F147" i="6"/>
  <c r="H147" i="6" s="1"/>
  <c r="C147" i="6"/>
  <c r="C153" i="6"/>
  <c r="F153" i="6"/>
  <c r="H153" i="6" s="1"/>
  <c r="E153" i="6"/>
  <c r="D153" i="6"/>
  <c r="E154" i="6"/>
  <c r="D154" i="6"/>
  <c r="C154" i="6"/>
  <c r="D160" i="6"/>
  <c r="C161" i="6"/>
  <c r="F161" i="6"/>
  <c r="H161" i="6" s="1"/>
  <c r="E161" i="6"/>
  <c r="F170" i="6"/>
  <c r="H170" i="6" s="1"/>
  <c r="D180" i="6"/>
  <c r="E180" i="6"/>
  <c r="F180" i="6"/>
  <c r="H180" i="6" s="1"/>
  <c r="C180" i="6"/>
  <c r="F136" i="6"/>
  <c r="H136" i="6" s="1"/>
  <c r="F146" i="6"/>
  <c r="H146" i="6" s="1"/>
  <c r="F169" i="6"/>
  <c r="H169" i="6" s="1"/>
  <c r="E170" i="6"/>
  <c r="F171" i="6"/>
  <c r="H171" i="6" s="1"/>
  <c r="E184" i="6"/>
  <c r="C184" i="6"/>
  <c r="F184" i="6"/>
  <c r="H184" i="6" s="1"/>
  <c r="D184" i="6"/>
  <c r="F190" i="6"/>
  <c r="H190" i="6" s="1"/>
  <c r="C190" i="6"/>
  <c r="E190" i="6"/>
  <c r="D190" i="6"/>
  <c r="E145" i="6"/>
  <c r="D146" i="6"/>
  <c r="D155" i="6"/>
  <c r="C165" i="6"/>
  <c r="F174" i="6"/>
  <c r="H174" i="6" s="1"/>
  <c r="C174" i="6"/>
  <c r="D196" i="6"/>
  <c r="C196" i="6"/>
  <c r="E196" i="6"/>
  <c r="C183" i="6"/>
  <c r="F183" i="6"/>
  <c r="H183" i="6" s="1"/>
  <c r="D183" i="6"/>
  <c r="C166" i="6"/>
  <c r="F168" i="6"/>
  <c r="H168" i="6" s="1"/>
  <c r="C172" i="6"/>
  <c r="E174" i="6"/>
  <c r="C175" i="6"/>
  <c r="F175" i="6"/>
  <c r="H175" i="6" s="1"/>
  <c r="D175" i="6"/>
  <c r="E175" i="6"/>
  <c r="E183" i="6"/>
  <c r="F181" i="6"/>
  <c r="H181" i="6" s="1"/>
  <c r="D188" i="6"/>
  <c r="E188" i="6"/>
  <c r="C191" i="6"/>
  <c r="F191" i="6"/>
  <c r="H191" i="6" s="1"/>
  <c r="D191" i="6"/>
  <c r="E192" i="6"/>
  <c r="D192" i="6"/>
  <c r="C192" i="6"/>
  <c r="F198" i="6"/>
  <c r="H198" i="6" s="1"/>
  <c r="F206" i="6"/>
  <c r="H206" i="6" s="1"/>
  <c r="F173" i="6"/>
  <c r="H173" i="6" s="1"/>
  <c r="D173" i="6"/>
  <c r="E176" i="6"/>
  <c r="C176" i="6"/>
  <c r="F182" i="6"/>
  <c r="H182" i="6" s="1"/>
  <c r="C182" i="6"/>
  <c r="C188" i="6"/>
  <c r="E191" i="6"/>
  <c r="F192" i="6"/>
  <c r="H192" i="6" s="1"/>
  <c r="F200" i="6"/>
  <c r="H200" i="6" s="1"/>
  <c r="E200" i="6"/>
  <c r="D200" i="6"/>
  <c r="C200" i="6"/>
  <c r="F208" i="6"/>
  <c r="H208" i="6" s="1"/>
  <c r="E208" i="6"/>
  <c r="D208" i="6"/>
  <c r="C208" i="6"/>
  <c r="F188" i="6"/>
  <c r="H188" i="6" s="1"/>
  <c r="F197" i="6"/>
  <c r="H197" i="6" s="1"/>
  <c r="F205" i="6"/>
  <c r="H205" i="6" s="1"/>
  <c r="F189" i="6"/>
  <c r="H189" i="6" s="1"/>
  <c r="F177" i="6"/>
  <c r="H177" i="6" s="1"/>
  <c r="C178" i="6"/>
  <c r="F185" i="6"/>
  <c r="H185" i="6" s="1"/>
  <c r="C186" i="6"/>
  <c r="F193" i="6"/>
  <c r="H193" i="6" s="1"/>
  <c r="C194" i="6"/>
  <c r="D199" i="6"/>
  <c r="F201" i="6"/>
  <c r="H201" i="6" s="1"/>
  <c r="C202" i="6"/>
  <c r="E204" i="6"/>
  <c r="D207" i="6"/>
  <c r="D181" i="6"/>
  <c r="D189" i="6"/>
  <c r="D197" i="6"/>
  <c r="F199" i="6"/>
  <c r="H199" i="6" s="1"/>
  <c r="D205" i="6"/>
  <c r="F207" i="6"/>
  <c r="H207" i="6" s="1"/>
  <c r="C198" i="6"/>
  <c r="C206" i="6"/>
  <c r="D198" i="6"/>
  <c r="D206" i="6"/>
  <c r="J30" i="5"/>
  <c r="L30" i="5"/>
  <c r="K30" i="5"/>
  <c r="M30" i="5"/>
  <c r="I19" i="5"/>
  <c r="O19" i="5"/>
  <c r="Q19" i="5" s="1"/>
  <c r="P19" i="5"/>
  <c r="R19" i="5" s="1"/>
  <c r="I24" i="5"/>
  <c r="P24" i="5"/>
  <c r="R24" i="5" s="1"/>
  <c r="O24" i="5"/>
  <c r="Q24" i="5" s="1"/>
  <c r="I9" i="5"/>
  <c r="P9" i="5"/>
  <c r="O9" i="5"/>
  <c r="I32" i="5"/>
  <c r="P32" i="5"/>
  <c r="R32" i="5" s="1"/>
  <c r="O32" i="5"/>
  <c r="Q32" i="5" s="1"/>
  <c r="S32" i="5" s="1"/>
  <c r="I17" i="5"/>
  <c r="O17" i="5"/>
  <c r="Q17" i="5" s="1"/>
  <c r="P17" i="5"/>
  <c r="R17" i="5" s="1"/>
  <c r="I41" i="5"/>
  <c r="O41" i="5"/>
  <c r="Q41" i="5" s="1"/>
  <c r="S41" i="5" s="1"/>
  <c r="P41" i="5"/>
  <c r="R41" i="5" s="1"/>
  <c r="O10" i="5"/>
  <c r="Q10" i="5" s="1"/>
  <c r="I10" i="5"/>
  <c r="P10" i="5"/>
  <c r="R10" i="5" s="1"/>
  <c r="O31" i="5"/>
  <c r="Q31" i="5" s="1"/>
  <c r="S31" i="5" s="1"/>
  <c r="I31" i="5"/>
  <c r="P31" i="5"/>
  <c r="R31" i="5" s="1"/>
  <c r="I83" i="5"/>
  <c r="P83" i="5"/>
  <c r="R83" i="5" s="1"/>
  <c r="O83" i="5"/>
  <c r="Q83" i="5" s="1"/>
  <c r="I33" i="5"/>
  <c r="O33" i="5"/>
  <c r="Q33" i="5" s="1"/>
  <c r="S33" i="5" s="1"/>
  <c r="P33" i="5"/>
  <c r="R33" i="5" s="1"/>
  <c r="I63" i="5"/>
  <c r="P63" i="5"/>
  <c r="R63" i="5" s="1"/>
  <c r="O63" i="5"/>
  <c r="Q63" i="5" s="1"/>
  <c r="S63" i="5" s="1"/>
  <c r="F72" i="5"/>
  <c r="H72" i="5" s="1"/>
  <c r="E72" i="5"/>
  <c r="C72" i="5"/>
  <c r="F91" i="5"/>
  <c r="H91" i="5" s="1"/>
  <c r="F53" i="5"/>
  <c r="H53" i="5" s="1"/>
  <c r="E53" i="5"/>
  <c r="C53" i="5"/>
  <c r="F69" i="5"/>
  <c r="H69" i="5" s="1"/>
  <c r="D72" i="5"/>
  <c r="F122" i="5"/>
  <c r="H122" i="5" s="1"/>
  <c r="E122" i="5"/>
  <c r="D122" i="5"/>
  <c r="C122" i="5"/>
  <c r="C17" i="5"/>
  <c r="C18" i="5"/>
  <c r="E29" i="5"/>
  <c r="C29" i="5"/>
  <c r="D35" i="5"/>
  <c r="C35" i="5"/>
  <c r="F37" i="5"/>
  <c r="H37" i="5" s="1"/>
  <c r="E37" i="5"/>
  <c r="C37" i="5"/>
  <c r="F45" i="5"/>
  <c r="H45" i="5" s="1"/>
  <c r="E45" i="5"/>
  <c r="C45" i="5"/>
  <c r="D10" i="5"/>
  <c r="D11" i="5"/>
  <c r="C12" i="5"/>
  <c r="D17" i="5"/>
  <c r="D23" i="5"/>
  <c r="F25" i="5"/>
  <c r="H25" i="5" s="1"/>
  <c r="F28" i="5"/>
  <c r="H28" i="5" s="1"/>
  <c r="D29" i="5"/>
  <c r="O30" i="5"/>
  <c r="Q30" i="5" s="1"/>
  <c r="E35" i="5"/>
  <c r="D37" i="5"/>
  <c r="I38" i="5"/>
  <c r="D45" i="5"/>
  <c r="F47" i="5"/>
  <c r="H47" i="5" s="1"/>
  <c r="F58" i="5"/>
  <c r="H58" i="5" s="1"/>
  <c r="D58" i="5"/>
  <c r="F61" i="5"/>
  <c r="H61" i="5" s="1"/>
  <c r="E61" i="5"/>
  <c r="C61" i="5"/>
  <c r="F79" i="5"/>
  <c r="H79" i="5" s="1"/>
  <c r="D79" i="5"/>
  <c r="C79" i="5"/>
  <c r="E79" i="5"/>
  <c r="F84" i="5"/>
  <c r="H84" i="5" s="1"/>
  <c r="E84" i="5"/>
  <c r="D84" i="5"/>
  <c r="C84" i="5"/>
  <c r="F102" i="5"/>
  <c r="H102" i="5" s="1"/>
  <c r="D102" i="5"/>
  <c r="C102" i="5"/>
  <c r="F114" i="5"/>
  <c r="H114" i="5" s="1"/>
  <c r="F49" i="5"/>
  <c r="H49" i="5" s="1"/>
  <c r="F50" i="5"/>
  <c r="H50" i="5" s="1"/>
  <c r="D50" i="5"/>
  <c r="F59" i="5"/>
  <c r="H59" i="5" s="1"/>
  <c r="E59" i="5"/>
  <c r="D59" i="5"/>
  <c r="C59" i="5"/>
  <c r="F66" i="5"/>
  <c r="H66" i="5" s="1"/>
  <c r="D66" i="5"/>
  <c r="F85" i="5"/>
  <c r="H85" i="5" s="1"/>
  <c r="F92" i="5"/>
  <c r="H92" i="5" s="1"/>
  <c r="E102" i="5"/>
  <c r="F34" i="5"/>
  <c r="H34" i="5" s="1"/>
  <c r="D34" i="5"/>
  <c r="F36" i="5"/>
  <c r="H36" i="5" s="1"/>
  <c r="C42" i="5"/>
  <c r="C50" i="5"/>
  <c r="F57" i="5"/>
  <c r="H57" i="5" s="1"/>
  <c r="E58" i="5"/>
  <c r="C66" i="5"/>
  <c r="C23" i="5"/>
  <c r="F29" i="5"/>
  <c r="H29" i="5" s="1"/>
  <c r="P39" i="5"/>
  <c r="R39" i="5" s="1"/>
  <c r="O39" i="5"/>
  <c r="Q39" i="5" s="1"/>
  <c r="S39" i="5" s="1"/>
  <c r="F11" i="5"/>
  <c r="H11" i="5" s="1"/>
  <c r="E12" i="5"/>
  <c r="D13" i="5"/>
  <c r="F12" i="5"/>
  <c r="H12" i="5" s="1"/>
  <c r="F13" i="5"/>
  <c r="H13" i="5" s="1"/>
  <c r="F15" i="5"/>
  <c r="H15" i="5" s="1"/>
  <c r="F16" i="5"/>
  <c r="H16" i="5" s="1"/>
  <c r="C20" i="5"/>
  <c r="F21" i="5"/>
  <c r="H21" i="5" s="1"/>
  <c r="F22" i="5"/>
  <c r="H22" i="5" s="1"/>
  <c r="D27" i="5"/>
  <c r="E28" i="5"/>
  <c r="C33" i="5"/>
  <c r="C34" i="5"/>
  <c r="O38" i="5"/>
  <c r="Q38" i="5" s="1"/>
  <c r="S38" i="5" s="1"/>
  <c r="I39" i="5"/>
  <c r="F65" i="5"/>
  <c r="H65" i="5" s="1"/>
  <c r="E66" i="5"/>
  <c r="E68" i="5"/>
  <c r="F68" i="5"/>
  <c r="H68" i="5" s="1"/>
  <c r="D68" i="5"/>
  <c r="C68" i="5"/>
  <c r="F75" i="5"/>
  <c r="H75" i="5" s="1"/>
  <c r="F87" i="5"/>
  <c r="H87" i="5" s="1"/>
  <c r="E87" i="5"/>
  <c r="D87" i="5"/>
  <c r="C87" i="5"/>
  <c r="P30" i="5"/>
  <c r="R30" i="5" s="1"/>
  <c r="F35" i="5"/>
  <c r="H35" i="5" s="1"/>
  <c r="F42" i="5"/>
  <c r="H42" i="5" s="1"/>
  <c r="D42" i="5"/>
  <c r="H20" i="5"/>
  <c r="D20" i="5"/>
  <c r="F26" i="5"/>
  <c r="H26" i="5" s="1"/>
  <c r="D26" i="5"/>
  <c r="E27" i="5"/>
  <c r="E34" i="5"/>
  <c r="D36" i="5"/>
  <c r="F43" i="5"/>
  <c r="H43" i="5" s="1"/>
  <c r="D43" i="5"/>
  <c r="C43" i="5"/>
  <c r="F48" i="5"/>
  <c r="H48" i="5" s="1"/>
  <c r="F51" i="5"/>
  <c r="H51" i="5" s="1"/>
  <c r="D51" i="5"/>
  <c r="C51" i="5"/>
  <c r="F54" i="5"/>
  <c r="H54" i="5" s="1"/>
  <c r="F73" i="5"/>
  <c r="H73" i="5" s="1"/>
  <c r="E73" i="5"/>
  <c r="D73" i="5"/>
  <c r="F97" i="5"/>
  <c r="H97" i="5" s="1"/>
  <c r="E97" i="5"/>
  <c r="C97" i="5"/>
  <c r="D97" i="5"/>
  <c r="F18" i="5"/>
  <c r="H18" i="5" s="1"/>
  <c r="D18" i="5"/>
  <c r="C10" i="5"/>
  <c r="E10" i="5"/>
  <c r="E11" i="5"/>
  <c r="E17" i="5"/>
  <c r="E21" i="5"/>
  <c r="C21" i="5"/>
  <c r="F23" i="5"/>
  <c r="H23" i="5" s="1"/>
  <c r="G211" i="5"/>
  <c r="F203" i="5"/>
  <c r="H203" i="5" s="1"/>
  <c r="F195" i="5"/>
  <c r="H195" i="5" s="1"/>
  <c r="F202" i="5"/>
  <c r="H202" i="5" s="1"/>
  <c r="F201" i="5"/>
  <c r="H201" i="5" s="1"/>
  <c r="F193" i="5"/>
  <c r="H193" i="5" s="1"/>
  <c r="F194" i="5"/>
  <c r="H194" i="5" s="1"/>
  <c r="F196" i="5"/>
  <c r="H196" i="5" s="1"/>
  <c r="F186" i="5"/>
  <c r="H186" i="5" s="1"/>
  <c r="F179" i="5"/>
  <c r="H179" i="5" s="1"/>
  <c r="F178" i="5"/>
  <c r="H178" i="5" s="1"/>
  <c r="F171" i="5"/>
  <c r="H171" i="5" s="1"/>
  <c r="F187" i="5"/>
  <c r="H187" i="5" s="1"/>
  <c r="F185" i="5"/>
  <c r="H185" i="5" s="1"/>
  <c r="F170" i="5"/>
  <c r="H170" i="5" s="1"/>
  <c r="F152" i="5"/>
  <c r="H152" i="5" s="1"/>
  <c r="F172" i="5"/>
  <c r="H172" i="5" s="1"/>
  <c r="F176" i="5"/>
  <c r="H176" i="5" s="1"/>
  <c r="F159" i="5"/>
  <c r="H159" i="5" s="1"/>
  <c r="F204" i="5"/>
  <c r="H204" i="5" s="1"/>
  <c r="F165" i="5"/>
  <c r="H165" i="5" s="1"/>
  <c r="F188" i="5"/>
  <c r="H188" i="5" s="1"/>
  <c r="F177" i="5"/>
  <c r="H177" i="5" s="1"/>
  <c r="F168" i="5"/>
  <c r="H168" i="5" s="1"/>
  <c r="F149" i="5"/>
  <c r="H149" i="5" s="1"/>
  <c r="F167" i="5"/>
  <c r="H167" i="5" s="1"/>
  <c r="F169" i="5"/>
  <c r="H169" i="5" s="1"/>
  <c r="F166" i="5"/>
  <c r="H166" i="5" s="1"/>
  <c r="F121" i="5"/>
  <c r="H121" i="5" s="1"/>
  <c r="F120" i="5"/>
  <c r="H120" i="5" s="1"/>
  <c r="F134" i="5"/>
  <c r="H134" i="5" s="1"/>
  <c r="F129" i="5"/>
  <c r="H129" i="5" s="1"/>
  <c r="F139" i="5"/>
  <c r="H139" i="5" s="1"/>
  <c r="F155" i="5"/>
  <c r="H155" i="5" s="1"/>
  <c r="F151" i="5"/>
  <c r="H151" i="5" s="1"/>
  <c r="F147" i="5"/>
  <c r="H147" i="5" s="1"/>
  <c r="F137" i="5"/>
  <c r="H137" i="5" s="1"/>
  <c r="F140" i="5"/>
  <c r="H140" i="5" s="1"/>
  <c r="F126" i="5"/>
  <c r="H126" i="5" s="1"/>
  <c r="F119" i="5"/>
  <c r="H119" i="5" s="1"/>
  <c r="F116" i="5"/>
  <c r="H116" i="5" s="1"/>
  <c r="F160" i="5"/>
  <c r="H160" i="5" s="1"/>
  <c r="F124" i="5"/>
  <c r="H124" i="5" s="1"/>
  <c r="F105" i="5"/>
  <c r="H105" i="5" s="1"/>
  <c r="F150" i="5"/>
  <c r="H150" i="5" s="1"/>
  <c r="F132" i="5"/>
  <c r="H132" i="5" s="1"/>
  <c r="F110" i="5"/>
  <c r="H110" i="5" s="1"/>
  <c r="F108" i="5"/>
  <c r="H108" i="5" s="1"/>
  <c r="F142" i="5"/>
  <c r="H142" i="5" s="1"/>
  <c r="F113" i="5"/>
  <c r="H113" i="5" s="1"/>
  <c r="F106" i="5"/>
  <c r="H106" i="5" s="1"/>
  <c r="F96" i="5"/>
  <c r="H96" i="5" s="1"/>
  <c r="F131" i="5"/>
  <c r="H131" i="5" s="1"/>
  <c r="F99" i="5"/>
  <c r="H99" i="5" s="1"/>
  <c r="F88" i="5"/>
  <c r="H88" i="5" s="1"/>
  <c r="F80" i="5"/>
  <c r="H80" i="5" s="1"/>
  <c r="F77" i="5"/>
  <c r="H77" i="5" s="1"/>
  <c r="F71" i="5"/>
  <c r="H71" i="5" s="1"/>
  <c r="F67" i="5"/>
  <c r="H67" i="5" s="1"/>
  <c r="F64" i="5"/>
  <c r="H64" i="5" s="1"/>
  <c r="F56" i="5"/>
  <c r="H56" i="5" s="1"/>
  <c r="F111" i="5"/>
  <c r="H111" i="5" s="1"/>
  <c r="F98" i="5"/>
  <c r="H98" i="5" s="1"/>
  <c r="F93" i="5"/>
  <c r="H93" i="5" s="1"/>
  <c r="F82" i="5"/>
  <c r="H82" i="5" s="1"/>
  <c r="F90" i="5"/>
  <c r="H90" i="5" s="1"/>
  <c r="F74" i="5"/>
  <c r="H74" i="5" s="1"/>
  <c r="F14" i="5"/>
  <c r="H14" i="5" s="1"/>
  <c r="E20" i="5"/>
  <c r="F27" i="5"/>
  <c r="H27" i="5" s="1"/>
  <c r="F40" i="5"/>
  <c r="H40" i="5" s="1"/>
  <c r="C44" i="5"/>
  <c r="F44" i="5"/>
  <c r="H44" i="5" s="1"/>
  <c r="F46" i="5"/>
  <c r="H46" i="5" s="1"/>
  <c r="C52" i="5"/>
  <c r="F52" i="5"/>
  <c r="H52" i="5" s="1"/>
  <c r="F55" i="5"/>
  <c r="H55" i="5" s="1"/>
  <c r="F62" i="5"/>
  <c r="H62" i="5" s="1"/>
  <c r="F94" i="5"/>
  <c r="H94" i="5" s="1"/>
  <c r="D94" i="5"/>
  <c r="E94" i="5"/>
  <c r="C94" i="5"/>
  <c r="F101" i="5"/>
  <c r="H101" i="5" s="1"/>
  <c r="F60" i="5"/>
  <c r="H60" i="5" s="1"/>
  <c r="F78" i="5"/>
  <c r="H78" i="5" s="1"/>
  <c r="F103" i="5"/>
  <c r="H103" i="5" s="1"/>
  <c r="F104" i="5"/>
  <c r="H104" i="5" s="1"/>
  <c r="E104" i="5"/>
  <c r="D104" i="5"/>
  <c r="C104" i="5"/>
  <c r="E145" i="5"/>
  <c r="D145" i="5"/>
  <c r="F145" i="5"/>
  <c r="H145" i="5" s="1"/>
  <c r="E153" i="5"/>
  <c r="F153" i="5"/>
  <c r="H153" i="5" s="1"/>
  <c r="D153" i="5"/>
  <c r="C153" i="5"/>
  <c r="F70" i="5"/>
  <c r="H70" i="5" s="1"/>
  <c r="D71" i="5"/>
  <c r="C71" i="5"/>
  <c r="D78" i="5"/>
  <c r="F95" i="5"/>
  <c r="H95" i="5" s="1"/>
  <c r="E95" i="5"/>
  <c r="D95" i="5"/>
  <c r="C95" i="5"/>
  <c r="E76" i="5"/>
  <c r="D76" i="5"/>
  <c r="C75" i="5"/>
  <c r="C76" i="5"/>
  <c r="F81" i="5"/>
  <c r="H81" i="5" s="1"/>
  <c r="E81" i="5"/>
  <c r="F89" i="5"/>
  <c r="H89" i="5" s="1"/>
  <c r="E89" i="5"/>
  <c r="F100" i="5"/>
  <c r="H100" i="5" s="1"/>
  <c r="F76" i="5"/>
  <c r="H76" i="5" s="1"/>
  <c r="C81" i="5"/>
  <c r="F86" i="5"/>
  <c r="H86" i="5" s="1"/>
  <c r="C89" i="5"/>
  <c r="F115" i="5"/>
  <c r="H115" i="5" s="1"/>
  <c r="E115" i="5"/>
  <c r="D115" i="5"/>
  <c r="C115" i="5"/>
  <c r="E110" i="5"/>
  <c r="D110" i="5"/>
  <c r="C110" i="5"/>
  <c r="F112" i="5"/>
  <c r="H112" i="5" s="1"/>
  <c r="E112" i="5"/>
  <c r="F118" i="5"/>
  <c r="H118" i="5" s="1"/>
  <c r="E118" i="5"/>
  <c r="D118" i="5"/>
  <c r="C118" i="5"/>
  <c r="D123" i="5"/>
  <c r="C123" i="5"/>
  <c r="F123" i="5"/>
  <c r="H123" i="5" s="1"/>
  <c r="E136" i="5"/>
  <c r="D136" i="5"/>
  <c r="F136" i="5"/>
  <c r="H136" i="5" s="1"/>
  <c r="E141" i="5"/>
  <c r="D141" i="5"/>
  <c r="F141" i="5"/>
  <c r="H141" i="5" s="1"/>
  <c r="C141" i="5"/>
  <c r="F135" i="5"/>
  <c r="H135" i="5" s="1"/>
  <c r="E135" i="5"/>
  <c r="D135" i="5"/>
  <c r="C136" i="5"/>
  <c r="D92" i="5"/>
  <c r="D100" i="5"/>
  <c r="D103" i="5"/>
  <c r="F107" i="5"/>
  <c r="H107" i="5" s="1"/>
  <c r="E107" i="5"/>
  <c r="D107" i="5"/>
  <c r="F109" i="5"/>
  <c r="H109" i="5" s="1"/>
  <c r="D112" i="5"/>
  <c r="C114" i="5"/>
  <c r="C135" i="5"/>
  <c r="C90" i="5"/>
  <c r="E92" i="5"/>
  <c r="C98" i="5"/>
  <c r="E100" i="5"/>
  <c r="E103" i="5"/>
  <c r="C107" i="5"/>
  <c r="C109" i="5"/>
  <c r="D114" i="5"/>
  <c r="F143" i="5"/>
  <c r="H143" i="5" s="1"/>
  <c r="D98" i="5"/>
  <c r="E114" i="5"/>
  <c r="F117" i="5"/>
  <c r="H117" i="5" s="1"/>
  <c r="F127" i="5"/>
  <c r="H127" i="5" s="1"/>
  <c r="E127" i="5"/>
  <c r="D127" i="5"/>
  <c r="C127" i="5"/>
  <c r="E128" i="5"/>
  <c r="D128" i="5"/>
  <c r="F128" i="5"/>
  <c r="H128" i="5" s="1"/>
  <c r="C128" i="5"/>
  <c r="F130" i="5"/>
  <c r="H130" i="5" s="1"/>
  <c r="C157" i="5"/>
  <c r="D157" i="5"/>
  <c r="F157" i="5"/>
  <c r="H157" i="5" s="1"/>
  <c r="E157" i="5"/>
  <c r="C130" i="5"/>
  <c r="D131" i="5"/>
  <c r="C131" i="5"/>
  <c r="D162" i="5"/>
  <c r="E162" i="5"/>
  <c r="F162" i="5"/>
  <c r="H162" i="5" s="1"/>
  <c r="C162" i="5"/>
  <c r="F164" i="5"/>
  <c r="H164" i="5" s="1"/>
  <c r="C164" i="5"/>
  <c r="E164" i="5"/>
  <c r="D164" i="5"/>
  <c r="D146" i="5"/>
  <c r="F146" i="5"/>
  <c r="H146" i="5" s="1"/>
  <c r="E146" i="5"/>
  <c r="F133" i="5"/>
  <c r="H133" i="5" s="1"/>
  <c r="E133" i="5"/>
  <c r="C146" i="5"/>
  <c r="C105" i="5"/>
  <c r="C113" i="5"/>
  <c r="E120" i="5"/>
  <c r="D120" i="5"/>
  <c r="C133" i="5"/>
  <c r="F125" i="5"/>
  <c r="H125" i="5" s="1"/>
  <c r="E125" i="5"/>
  <c r="D133" i="5"/>
  <c r="D137" i="5"/>
  <c r="C137" i="5"/>
  <c r="C125" i="5"/>
  <c r="D144" i="5"/>
  <c r="F144" i="5"/>
  <c r="H144" i="5" s="1"/>
  <c r="E144" i="5"/>
  <c r="F158" i="5"/>
  <c r="H158" i="5" s="1"/>
  <c r="C158" i="5"/>
  <c r="E158" i="5"/>
  <c r="D163" i="5"/>
  <c r="F163" i="5"/>
  <c r="H163" i="5" s="1"/>
  <c r="E167" i="5"/>
  <c r="D167" i="5"/>
  <c r="C167" i="5"/>
  <c r="C174" i="5"/>
  <c r="E174" i="5"/>
  <c r="F174" i="5"/>
  <c r="H174" i="5" s="1"/>
  <c r="D174" i="5"/>
  <c r="C155" i="5"/>
  <c r="E155" i="5"/>
  <c r="F138" i="5"/>
  <c r="H138" i="5" s="1"/>
  <c r="F148" i="5"/>
  <c r="H148" i="5" s="1"/>
  <c r="C148" i="5"/>
  <c r="D154" i="5"/>
  <c r="C154" i="5"/>
  <c r="F154" i="5"/>
  <c r="H154" i="5" s="1"/>
  <c r="F161" i="5"/>
  <c r="H161" i="5" s="1"/>
  <c r="C161" i="5"/>
  <c r="E165" i="5"/>
  <c r="E184" i="5"/>
  <c r="C184" i="5"/>
  <c r="F184" i="5"/>
  <c r="H184" i="5" s="1"/>
  <c r="F175" i="5"/>
  <c r="H175" i="5" s="1"/>
  <c r="F182" i="5"/>
  <c r="H182" i="5" s="1"/>
  <c r="C182" i="5"/>
  <c r="E182" i="5"/>
  <c r="F197" i="5"/>
  <c r="H197" i="5" s="1"/>
  <c r="F156" i="5"/>
  <c r="H156" i="5" s="1"/>
  <c r="D175" i="5"/>
  <c r="D182" i="5"/>
  <c r="D188" i="5"/>
  <c r="E188" i="5"/>
  <c r="F173" i="5"/>
  <c r="H173" i="5" s="1"/>
  <c r="D173" i="5"/>
  <c r="F180" i="5"/>
  <c r="H180" i="5" s="1"/>
  <c r="C188" i="5"/>
  <c r="F198" i="5"/>
  <c r="H198" i="5" s="1"/>
  <c r="E198" i="5"/>
  <c r="D198" i="5"/>
  <c r="C198" i="5"/>
  <c r="F181" i="5"/>
  <c r="H181" i="5" s="1"/>
  <c r="D181" i="5"/>
  <c r="C183" i="5"/>
  <c r="F183" i="5"/>
  <c r="H183" i="5" s="1"/>
  <c r="F189" i="5"/>
  <c r="H189" i="5" s="1"/>
  <c r="F192" i="5"/>
  <c r="H192" i="5" s="1"/>
  <c r="E192" i="5"/>
  <c r="C192" i="5"/>
  <c r="F200" i="5"/>
  <c r="H200" i="5" s="1"/>
  <c r="E200" i="5"/>
  <c r="D200" i="5"/>
  <c r="C200" i="5"/>
  <c r="F206" i="5"/>
  <c r="H206" i="5" s="1"/>
  <c r="E176" i="5"/>
  <c r="C176" i="5"/>
  <c r="C181" i="5"/>
  <c r="D183" i="5"/>
  <c r="F190" i="5"/>
  <c r="H190" i="5" s="1"/>
  <c r="D190" i="5"/>
  <c r="C190" i="5"/>
  <c r="C191" i="5"/>
  <c r="F191" i="5"/>
  <c r="H191" i="5" s="1"/>
  <c r="D191" i="5"/>
  <c r="D192" i="5"/>
  <c r="F208" i="5"/>
  <c r="H208" i="5" s="1"/>
  <c r="E208" i="5"/>
  <c r="D208" i="5"/>
  <c r="C208" i="5"/>
  <c r="F205" i="5"/>
  <c r="H205" i="5" s="1"/>
  <c r="E196" i="5"/>
  <c r="D199" i="5"/>
  <c r="C202" i="5"/>
  <c r="E204" i="5"/>
  <c r="D207" i="5"/>
  <c r="D189" i="5"/>
  <c r="D197" i="5"/>
  <c r="F199" i="5"/>
  <c r="H199" i="5" s="1"/>
  <c r="D205" i="5"/>
  <c r="F207" i="5"/>
  <c r="H207" i="5" s="1"/>
  <c r="C206" i="5"/>
  <c r="D206" i="5"/>
  <c r="I189" i="6" l="1"/>
  <c r="P189" i="6"/>
  <c r="R189" i="6" s="1"/>
  <c r="O189" i="6"/>
  <c r="Q189" i="6" s="1"/>
  <c r="S189" i="6" s="1"/>
  <c r="O153" i="6"/>
  <c r="Q153" i="6" s="1"/>
  <c r="S153" i="6" s="1"/>
  <c r="P153" i="6"/>
  <c r="R153" i="6" s="1"/>
  <c r="I153" i="6"/>
  <c r="I207" i="6"/>
  <c r="P207" i="6"/>
  <c r="R207" i="6" s="1"/>
  <c r="O207" i="6"/>
  <c r="Q207" i="6" s="1"/>
  <c r="S207" i="6" s="1"/>
  <c r="P177" i="6"/>
  <c r="R177" i="6" s="1"/>
  <c r="O177" i="6"/>
  <c r="Q177" i="6" s="1"/>
  <c r="S177" i="6" s="1"/>
  <c r="I177" i="6"/>
  <c r="P208" i="6"/>
  <c r="R208" i="6" s="1"/>
  <c r="O208" i="6"/>
  <c r="Q208" i="6" s="1"/>
  <c r="I208" i="6"/>
  <c r="I181" i="6"/>
  <c r="P181" i="6"/>
  <c r="R181" i="6" s="1"/>
  <c r="O181" i="6"/>
  <c r="Q181" i="6" s="1"/>
  <c r="S181" i="6" s="1"/>
  <c r="I168" i="6"/>
  <c r="P168" i="6"/>
  <c r="R168" i="6" s="1"/>
  <c r="O168" i="6"/>
  <c r="Q168" i="6" s="1"/>
  <c r="S168" i="6" s="1"/>
  <c r="I169" i="6"/>
  <c r="P169" i="6"/>
  <c r="R169" i="6" s="1"/>
  <c r="O169" i="6"/>
  <c r="Q169" i="6" s="1"/>
  <c r="S169" i="6" s="1"/>
  <c r="P160" i="6"/>
  <c r="R160" i="6" s="1"/>
  <c r="O160" i="6"/>
  <c r="Q160" i="6" s="1"/>
  <c r="S160" i="6" s="1"/>
  <c r="I160" i="6"/>
  <c r="P163" i="6"/>
  <c r="R163" i="6" s="1"/>
  <c r="O163" i="6"/>
  <c r="Q163" i="6" s="1"/>
  <c r="S163" i="6" s="1"/>
  <c r="I163" i="6"/>
  <c r="O110" i="6"/>
  <c r="Q110" i="6" s="1"/>
  <c r="P110" i="6"/>
  <c r="R110" i="6" s="1"/>
  <c r="I110" i="6"/>
  <c r="O102" i="6"/>
  <c r="Q102" i="6" s="1"/>
  <c r="S102" i="6" s="1"/>
  <c r="P102" i="6"/>
  <c r="R102" i="6" s="1"/>
  <c r="I102" i="6"/>
  <c r="O96" i="6"/>
  <c r="Q96" i="6" s="1"/>
  <c r="S96" i="6" s="1"/>
  <c r="I96" i="6"/>
  <c r="P96" i="6"/>
  <c r="R96" i="6" s="1"/>
  <c r="I100" i="6"/>
  <c r="O100" i="6"/>
  <c r="Q100" i="6" s="1"/>
  <c r="P100" i="6"/>
  <c r="R100" i="6" s="1"/>
  <c r="I78" i="6"/>
  <c r="P78" i="6"/>
  <c r="R78" i="6" s="1"/>
  <c r="O78" i="6"/>
  <c r="Q78" i="6" s="1"/>
  <c r="S78" i="6" s="1"/>
  <c r="P29" i="6"/>
  <c r="R29" i="6" s="1"/>
  <c r="I29" i="6"/>
  <c r="O29" i="6"/>
  <c r="Q29" i="6" s="1"/>
  <c r="S29" i="6" s="1"/>
  <c r="P65" i="6"/>
  <c r="R65" i="6" s="1"/>
  <c r="O65" i="6"/>
  <c r="Q65" i="6" s="1"/>
  <c r="S65" i="6" s="1"/>
  <c r="I65" i="6"/>
  <c r="P111" i="6"/>
  <c r="R111" i="6" s="1"/>
  <c r="O111" i="6"/>
  <c r="Q111" i="6" s="1"/>
  <c r="S111" i="6" s="1"/>
  <c r="I111" i="6"/>
  <c r="I109" i="6"/>
  <c r="P109" i="6"/>
  <c r="R109" i="6" s="1"/>
  <c r="O109" i="6"/>
  <c r="Q109" i="6" s="1"/>
  <c r="S109" i="6" s="1"/>
  <c r="P148" i="6"/>
  <c r="R148" i="6" s="1"/>
  <c r="I148" i="6"/>
  <c r="O148" i="6"/>
  <c r="Q148" i="6" s="1"/>
  <c r="I167" i="6"/>
  <c r="P167" i="6"/>
  <c r="R167" i="6" s="1"/>
  <c r="O167" i="6"/>
  <c r="Q167" i="6" s="1"/>
  <c r="S167" i="6" s="1"/>
  <c r="O187" i="6"/>
  <c r="Q187" i="6" s="1"/>
  <c r="P187" i="6"/>
  <c r="R187" i="6" s="1"/>
  <c r="I187" i="6"/>
  <c r="I21" i="6"/>
  <c r="P21" i="6"/>
  <c r="R21" i="6" s="1"/>
  <c r="O21" i="6"/>
  <c r="Q21" i="6" s="1"/>
  <c r="S21" i="6" s="1"/>
  <c r="P82" i="6"/>
  <c r="R82" i="6" s="1"/>
  <c r="O82" i="6"/>
  <c r="Q82" i="6" s="1"/>
  <c r="S82" i="6" s="1"/>
  <c r="I82" i="6"/>
  <c r="I71" i="6"/>
  <c r="P71" i="6"/>
  <c r="R71" i="6" s="1"/>
  <c r="O71" i="6"/>
  <c r="Q71" i="6" s="1"/>
  <c r="I52" i="6"/>
  <c r="P52" i="6"/>
  <c r="R52" i="6" s="1"/>
  <c r="O52" i="6"/>
  <c r="Q52" i="6" s="1"/>
  <c r="O34" i="6"/>
  <c r="Q34" i="6" s="1"/>
  <c r="I34" i="6"/>
  <c r="P34" i="6"/>
  <c r="R34" i="6" s="1"/>
  <c r="P99" i="6"/>
  <c r="R99" i="6" s="1"/>
  <c r="O99" i="6"/>
  <c r="Q99" i="6" s="1"/>
  <c r="I99" i="6"/>
  <c r="I44" i="6"/>
  <c r="P44" i="6"/>
  <c r="R44" i="6" s="1"/>
  <c r="O44" i="6"/>
  <c r="Q44" i="6" s="1"/>
  <c r="S44" i="6" s="1"/>
  <c r="S11" i="6"/>
  <c r="L43" i="6"/>
  <c r="K43" i="6"/>
  <c r="M43" i="6"/>
  <c r="J43" i="6"/>
  <c r="I16" i="6"/>
  <c r="P16" i="6"/>
  <c r="R16" i="6" s="1"/>
  <c r="O16" i="6"/>
  <c r="Q16" i="6" s="1"/>
  <c r="S16" i="6" s="1"/>
  <c r="I50" i="6"/>
  <c r="P50" i="6"/>
  <c r="R50" i="6" s="1"/>
  <c r="O50" i="6"/>
  <c r="Q50" i="6" s="1"/>
  <c r="S50" i="6" s="1"/>
  <c r="I87" i="6"/>
  <c r="P87" i="6"/>
  <c r="R87" i="6" s="1"/>
  <c r="O87" i="6"/>
  <c r="Q87" i="6" s="1"/>
  <c r="S87" i="6" s="1"/>
  <c r="I30" i="6"/>
  <c r="P30" i="6"/>
  <c r="R30" i="6" s="1"/>
  <c r="O30" i="6"/>
  <c r="Q30" i="6" s="1"/>
  <c r="P90" i="6"/>
  <c r="R90" i="6" s="1"/>
  <c r="O90" i="6"/>
  <c r="Q90" i="6" s="1"/>
  <c r="S90" i="6" s="1"/>
  <c r="I90" i="6"/>
  <c r="J10" i="6"/>
  <c r="M10" i="6"/>
  <c r="L10" i="6"/>
  <c r="K10" i="6"/>
  <c r="I151" i="6"/>
  <c r="P151" i="6"/>
  <c r="R151" i="6" s="1"/>
  <c r="O151" i="6"/>
  <c r="Q151" i="6" s="1"/>
  <c r="S151" i="6" s="1"/>
  <c r="P59" i="6"/>
  <c r="R59" i="6" s="1"/>
  <c r="O59" i="6"/>
  <c r="Q59" i="6" s="1"/>
  <c r="S59" i="6" s="1"/>
  <c r="I59" i="6"/>
  <c r="I194" i="6"/>
  <c r="O194" i="6"/>
  <c r="Q194" i="6" s="1"/>
  <c r="S194" i="6" s="1"/>
  <c r="P194" i="6"/>
  <c r="R194" i="6" s="1"/>
  <c r="I199" i="6"/>
  <c r="P199" i="6"/>
  <c r="R199" i="6" s="1"/>
  <c r="O199" i="6"/>
  <c r="Q199" i="6" s="1"/>
  <c r="I205" i="6"/>
  <c r="P205" i="6"/>
  <c r="R205" i="6" s="1"/>
  <c r="O205" i="6"/>
  <c r="Q205" i="6" s="1"/>
  <c r="P136" i="6"/>
  <c r="R136" i="6" s="1"/>
  <c r="I136" i="6"/>
  <c r="O136" i="6"/>
  <c r="Q136" i="6" s="1"/>
  <c r="S136" i="6" s="1"/>
  <c r="I141" i="6"/>
  <c r="O141" i="6"/>
  <c r="Q141" i="6" s="1"/>
  <c r="P141" i="6"/>
  <c r="R141" i="6" s="1"/>
  <c r="O142" i="6"/>
  <c r="Q142" i="6" s="1"/>
  <c r="S142" i="6" s="1"/>
  <c r="I142" i="6"/>
  <c r="P142" i="6"/>
  <c r="R142" i="6" s="1"/>
  <c r="O134" i="6"/>
  <c r="Q134" i="6" s="1"/>
  <c r="I134" i="6"/>
  <c r="P134" i="6"/>
  <c r="R134" i="6" s="1"/>
  <c r="P132" i="6"/>
  <c r="R132" i="6" s="1"/>
  <c r="O132" i="6"/>
  <c r="Q132" i="6" s="1"/>
  <c r="S132" i="6" s="1"/>
  <c r="I132" i="6"/>
  <c r="O139" i="6"/>
  <c r="Q139" i="6" s="1"/>
  <c r="S139" i="6" s="1"/>
  <c r="I139" i="6"/>
  <c r="P139" i="6"/>
  <c r="R139" i="6" s="1"/>
  <c r="P97" i="6"/>
  <c r="R97" i="6" s="1"/>
  <c r="O97" i="6"/>
  <c r="Q97" i="6" s="1"/>
  <c r="S97" i="6" s="1"/>
  <c r="I97" i="6"/>
  <c r="O69" i="6"/>
  <c r="Q69" i="6" s="1"/>
  <c r="S69" i="6" s="1"/>
  <c r="I69" i="6"/>
  <c r="P69" i="6"/>
  <c r="R69" i="6" s="1"/>
  <c r="O61" i="6"/>
  <c r="Q61" i="6" s="1"/>
  <c r="I61" i="6"/>
  <c r="P61" i="6"/>
  <c r="R61" i="6" s="1"/>
  <c r="O18" i="6"/>
  <c r="Q18" i="6" s="1"/>
  <c r="S18" i="6" s="1"/>
  <c r="P18" i="6"/>
  <c r="R18" i="6" s="1"/>
  <c r="I18" i="6"/>
  <c r="O67" i="6"/>
  <c r="Q67" i="6" s="1"/>
  <c r="S67" i="6" s="1"/>
  <c r="P67" i="6"/>
  <c r="R67" i="6" s="1"/>
  <c r="I67" i="6"/>
  <c r="P103" i="6"/>
  <c r="R103" i="6" s="1"/>
  <c r="O103" i="6"/>
  <c r="Q103" i="6" s="1"/>
  <c r="S103" i="6" s="1"/>
  <c r="I103" i="6"/>
  <c r="I156" i="6"/>
  <c r="O156" i="6"/>
  <c r="Q156" i="6" s="1"/>
  <c r="S156" i="6" s="1"/>
  <c r="P156" i="6"/>
  <c r="R156" i="6" s="1"/>
  <c r="I172" i="6"/>
  <c r="O172" i="6"/>
  <c r="Q172" i="6" s="1"/>
  <c r="S172" i="6" s="1"/>
  <c r="P172" i="6"/>
  <c r="R172" i="6" s="1"/>
  <c r="O178" i="6"/>
  <c r="Q178" i="6" s="1"/>
  <c r="S178" i="6" s="1"/>
  <c r="I178" i="6"/>
  <c r="P178" i="6"/>
  <c r="R178" i="6" s="1"/>
  <c r="I202" i="6"/>
  <c r="P202" i="6"/>
  <c r="R202" i="6" s="1"/>
  <c r="O202" i="6"/>
  <c r="Q202" i="6" s="1"/>
  <c r="I28" i="6"/>
  <c r="P28" i="6"/>
  <c r="R28" i="6" s="1"/>
  <c r="O28" i="6"/>
  <c r="Q28" i="6" s="1"/>
  <c r="S28" i="6" s="1"/>
  <c r="I104" i="6"/>
  <c r="P104" i="6"/>
  <c r="R104" i="6" s="1"/>
  <c r="O104" i="6"/>
  <c r="Q104" i="6" s="1"/>
  <c r="S104" i="6" s="1"/>
  <c r="P73" i="6"/>
  <c r="R73" i="6" s="1"/>
  <c r="O73" i="6"/>
  <c r="Q73" i="6" s="1"/>
  <c r="I73" i="6"/>
  <c r="I57" i="6"/>
  <c r="P57" i="6"/>
  <c r="R57" i="6" s="1"/>
  <c r="O57" i="6"/>
  <c r="Q57" i="6" s="1"/>
  <c r="S57" i="6" s="1"/>
  <c r="I35" i="6"/>
  <c r="P35" i="6"/>
  <c r="R35" i="6" s="1"/>
  <c r="O35" i="6"/>
  <c r="Q35" i="6" s="1"/>
  <c r="S35" i="6" s="1"/>
  <c r="I47" i="6"/>
  <c r="P47" i="6"/>
  <c r="R47" i="6" s="1"/>
  <c r="O47" i="6"/>
  <c r="Q47" i="6" s="1"/>
  <c r="I79" i="6"/>
  <c r="P79" i="6"/>
  <c r="R79" i="6" s="1"/>
  <c r="O79" i="6"/>
  <c r="Q79" i="6" s="1"/>
  <c r="L11" i="6"/>
  <c r="K11" i="6"/>
  <c r="J11" i="6"/>
  <c r="M11" i="6"/>
  <c r="L23" i="6"/>
  <c r="K23" i="6"/>
  <c r="J23" i="6"/>
  <c r="N23" i="6" s="1"/>
  <c r="M23" i="6"/>
  <c r="I201" i="6"/>
  <c r="P201" i="6"/>
  <c r="R201" i="6" s="1"/>
  <c r="O201" i="6"/>
  <c r="Q201" i="6" s="1"/>
  <c r="P162" i="6"/>
  <c r="R162" i="6" s="1"/>
  <c r="I162" i="6"/>
  <c r="O162" i="6"/>
  <c r="Q162" i="6" s="1"/>
  <c r="S162" i="6" s="1"/>
  <c r="I63" i="6"/>
  <c r="P63" i="6"/>
  <c r="R63" i="6" s="1"/>
  <c r="O63" i="6"/>
  <c r="Q63" i="6" s="1"/>
  <c r="S63" i="6" s="1"/>
  <c r="I122" i="6"/>
  <c r="O122" i="6"/>
  <c r="Q122" i="6" s="1"/>
  <c r="S122" i="6" s="1"/>
  <c r="P122" i="6"/>
  <c r="R122" i="6" s="1"/>
  <c r="P46" i="6"/>
  <c r="R46" i="6" s="1"/>
  <c r="O46" i="6"/>
  <c r="Q46" i="6" s="1"/>
  <c r="S46" i="6" s="1"/>
  <c r="I46" i="6"/>
  <c r="I197" i="6"/>
  <c r="P197" i="6"/>
  <c r="R197" i="6" s="1"/>
  <c r="O197" i="6"/>
  <c r="Q197" i="6" s="1"/>
  <c r="S197" i="6" s="1"/>
  <c r="P183" i="6"/>
  <c r="R183" i="6" s="1"/>
  <c r="O183" i="6"/>
  <c r="Q183" i="6" s="1"/>
  <c r="S183" i="6" s="1"/>
  <c r="I183" i="6"/>
  <c r="P184" i="6"/>
  <c r="R184" i="6" s="1"/>
  <c r="I184" i="6"/>
  <c r="O184" i="6"/>
  <c r="Q184" i="6" s="1"/>
  <c r="I152" i="6"/>
  <c r="P152" i="6"/>
  <c r="R152" i="6" s="1"/>
  <c r="O152" i="6"/>
  <c r="Q152" i="6" s="1"/>
  <c r="P150" i="6"/>
  <c r="R150" i="6" s="1"/>
  <c r="O150" i="6"/>
  <c r="Q150" i="6" s="1"/>
  <c r="I150" i="6"/>
  <c r="P116" i="6"/>
  <c r="R116" i="6" s="1"/>
  <c r="O116" i="6"/>
  <c r="Q116" i="6" s="1"/>
  <c r="I116" i="6"/>
  <c r="I135" i="6"/>
  <c r="P135" i="6"/>
  <c r="R135" i="6" s="1"/>
  <c r="O135" i="6"/>
  <c r="Q135" i="6" s="1"/>
  <c r="S135" i="6" s="1"/>
  <c r="O119" i="6"/>
  <c r="Q119" i="6" s="1"/>
  <c r="P119" i="6"/>
  <c r="R119" i="6" s="1"/>
  <c r="I119" i="6"/>
  <c r="O85" i="6"/>
  <c r="Q85" i="6" s="1"/>
  <c r="I85" i="6"/>
  <c r="P85" i="6"/>
  <c r="R85" i="6" s="1"/>
  <c r="I95" i="6"/>
  <c r="P95" i="6"/>
  <c r="R95" i="6" s="1"/>
  <c r="O95" i="6"/>
  <c r="Q95" i="6" s="1"/>
  <c r="I13" i="6"/>
  <c r="P13" i="6"/>
  <c r="R13" i="6" s="1"/>
  <c r="O13" i="6"/>
  <c r="Q13" i="6" s="1"/>
  <c r="P86" i="6"/>
  <c r="R86" i="6" s="1"/>
  <c r="O86" i="6"/>
  <c r="Q86" i="6" s="1"/>
  <c r="S86" i="6" s="1"/>
  <c r="I86" i="6"/>
  <c r="P154" i="6"/>
  <c r="R154" i="6" s="1"/>
  <c r="O154" i="6"/>
  <c r="Q154" i="6" s="1"/>
  <c r="I154" i="6"/>
  <c r="O157" i="6"/>
  <c r="Q157" i="6" s="1"/>
  <c r="S157" i="6" s="1"/>
  <c r="I157" i="6"/>
  <c r="P157" i="6"/>
  <c r="R157" i="6" s="1"/>
  <c r="I130" i="6"/>
  <c r="P130" i="6"/>
  <c r="R130" i="6" s="1"/>
  <c r="O130" i="6"/>
  <c r="Q130" i="6" s="1"/>
  <c r="S130" i="6" s="1"/>
  <c r="O179" i="6"/>
  <c r="Q179" i="6" s="1"/>
  <c r="P179" i="6"/>
  <c r="R179" i="6" s="1"/>
  <c r="I179" i="6"/>
  <c r="O195" i="6"/>
  <c r="Q195" i="6" s="1"/>
  <c r="P195" i="6"/>
  <c r="R195" i="6" s="1"/>
  <c r="I195" i="6"/>
  <c r="O48" i="6"/>
  <c r="Q48" i="6" s="1"/>
  <c r="P48" i="6"/>
  <c r="R48" i="6" s="1"/>
  <c r="I48" i="6"/>
  <c r="I12" i="6"/>
  <c r="P12" i="6"/>
  <c r="R12" i="6" s="1"/>
  <c r="O12" i="6"/>
  <c r="Q12" i="6" s="1"/>
  <c r="F211" i="6"/>
  <c r="H9" i="6"/>
  <c r="O77" i="6"/>
  <c r="Q77" i="6" s="1"/>
  <c r="S77" i="6" s="1"/>
  <c r="I77" i="6"/>
  <c r="P77" i="6"/>
  <c r="R77" i="6" s="1"/>
  <c r="P31" i="6"/>
  <c r="R31" i="6" s="1"/>
  <c r="O31" i="6"/>
  <c r="Q31" i="6" s="1"/>
  <c r="I31" i="6"/>
  <c r="S83" i="6"/>
  <c r="S23" i="6"/>
  <c r="I190" i="6"/>
  <c r="O190" i="6"/>
  <c r="Q190" i="6" s="1"/>
  <c r="S190" i="6" s="1"/>
  <c r="P190" i="6"/>
  <c r="R190" i="6" s="1"/>
  <c r="P66" i="6"/>
  <c r="R66" i="6" s="1"/>
  <c r="O66" i="6"/>
  <c r="Q66" i="6" s="1"/>
  <c r="S66" i="6" s="1"/>
  <c r="I66" i="6"/>
  <c r="P17" i="6"/>
  <c r="R17" i="6" s="1"/>
  <c r="O17" i="6"/>
  <c r="Q17" i="6" s="1"/>
  <c r="I17" i="6"/>
  <c r="P191" i="6"/>
  <c r="R191" i="6" s="1"/>
  <c r="O191" i="6"/>
  <c r="Q191" i="6" s="1"/>
  <c r="I191" i="6"/>
  <c r="P175" i="6"/>
  <c r="R175" i="6" s="1"/>
  <c r="O175" i="6"/>
  <c r="Q175" i="6" s="1"/>
  <c r="I175" i="6"/>
  <c r="I180" i="6"/>
  <c r="O180" i="6"/>
  <c r="Q180" i="6" s="1"/>
  <c r="P180" i="6"/>
  <c r="R180" i="6" s="1"/>
  <c r="O147" i="6"/>
  <c r="Q147" i="6" s="1"/>
  <c r="I147" i="6"/>
  <c r="P147" i="6"/>
  <c r="R147" i="6" s="1"/>
  <c r="I131" i="6"/>
  <c r="O131" i="6"/>
  <c r="Q131" i="6" s="1"/>
  <c r="S131" i="6" s="1"/>
  <c r="P131" i="6"/>
  <c r="R131" i="6" s="1"/>
  <c r="P126" i="6"/>
  <c r="R126" i="6" s="1"/>
  <c r="O126" i="6"/>
  <c r="Q126" i="6" s="1"/>
  <c r="S126" i="6" s="1"/>
  <c r="I126" i="6"/>
  <c r="O91" i="6"/>
  <c r="Q91" i="6" s="1"/>
  <c r="S91" i="6" s="1"/>
  <c r="I91" i="6"/>
  <c r="P91" i="6"/>
  <c r="R91" i="6" s="1"/>
  <c r="I84" i="6"/>
  <c r="P84" i="6"/>
  <c r="R84" i="6" s="1"/>
  <c r="O84" i="6"/>
  <c r="Q84" i="6" s="1"/>
  <c r="S84" i="6" s="1"/>
  <c r="P155" i="6"/>
  <c r="R155" i="6" s="1"/>
  <c r="O155" i="6"/>
  <c r="Q155" i="6" s="1"/>
  <c r="I155" i="6"/>
  <c r="I101" i="6"/>
  <c r="O101" i="6"/>
  <c r="Q101" i="6" s="1"/>
  <c r="P101" i="6"/>
  <c r="R101" i="6" s="1"/>
  <c r="P108" i="6"/>
  <c r="R108" i="6" s="1"/>
  <c r="O108" i="6"/>
  <c r="Q108" i="6" s="1"/>
  <c r="S108" i="6" s="1"/>
  <c r="I108" i="6"/>
  <c r="P127" i="6"/>
  <c r="R127" i="6" s="1"/>
  <c r="I127" i="6"/>
  <c r="O127" i="6"/>
  <c r="Q127" i="6" s="1"/>
  <c r="S127" i="6" s="1"/>
  <c r="P176" i="6"/>
  <c r="R176" i="6" s="1"/>
  <c r="I176" i="6"/>
  <c r="O176" i="6"/>
  <c r="Q176" i="6" s="1"/>
  <c r="I196" i="6"/>
  <c r="P196" i="6"/>
  <c r="R196" i="6" s="1"/>
  <c r="O196" i="6"/>
  <c r="Q196" i="6" s="1"/>
  <c r="O203" i="6"/>
  <c r="Q203" i="6" s="1"/>
  <c r="P203" i="6"/>
  <c r="R203" i="6" s="1"/>
  <c r="I203" i="6"/>
  <c r="I41" i="6"/>
  <c r="P41" i="6"/>
  <c r="R41" i="6" s="1"/>
  <c r="O41" i="6"/>
  <c r="Q41" i="6" s="1"/>
  <c r="S41" i="6" s="1"/>
  <c r="I98" i="6"/>
  <c r="P98" i="6"/>
  <c r="R98" i="6" s="1"/>
  <c r="O98" i="6"/>
  <c r="Q98" i="6" s="1"/>
  <c r="P74" i="6"/>
  <c r="R74" i="6" s="1"/>
  <c r="O74" i="6"/>
  <c r="Q74" i="6" s="1"/>
  <c r="I74" i="6"/>
  <c r="P53" i="6"/>
  <c r="R53" i="6" s="1"/>
  <c r="O53" i="6"/>
  <c r="Q53" i="6" s="1"/>
  <c r="S53" i="6" s="1"/>
  <c r="I53" i="6"/>
  <c r="O129" i="6"/>
  <c r="Q129" i="6" s="1"/>
  <c r="P129" i="6"/>
  <c r="R129" i="6" s="1"/>
  <c r="I129" i="6"/>
  <c r="I182" i="6"/>
  <c r="O182" i="6"/>
  <c r="Q182" i="6" s="1"/>
  <c r="S182" i="6" s="1"/>
  <c r="P182" i="6"/>
  <c r="R182" i="6" s="1"/>
  <c r="P146" i="6"/>
  <c r="R146" i="6" s="1"/>
  <c r="O146" i="6"/>
  <c r="Q146" i="6" s="1"/>
  <c r="S146" i="6" s="1"/>
  <c r="I146" i="6"/>
  <c r="P118" i="6"/>
  <c r="R118" i="6" s="1"/>
  <c r="O118" i="6"/>
  <c r="Q118" i="6" s="1"/>
  <c r="S118" i="6" s="1"/>
  <c r="I118" i="6"/>
  <c r="I159" i="6"/>
  <c r="P159" i="6"/>
  <c r="R159" i="6" s="1"/>
  <c r="O159" i="6"/>
  <c r="Q159" i="6" s="1"/>
  <c r="S159" i="6" s="1"/>
  <c r="P200" i="6"/>
  <c r="R200" i="6" s="1"/>
  <c r="O200" i="6"/>
  <c r="Q200" i="6" s="1"/>
  <c r="S200" i="6" s="1"/>
  <c r="I200" i="6"/>
  <c r="P192" i="6"/>
  <c r="R192" i="6" s="1"/>
  <c r="I192" i="6"/>
  <c r="O192" i="6"/>
  <c r="Q192" i="6" s="1"/>
  <c r="S192" i="6" s="1"/>
  <c r="I173" i="6"/>
  <c r="O173" i="6"/>
  <c r="Q173" i="6" s="1"/>
  <c r="S173" i="6" s="1"/>
  <c r="P173" i="6"/>
  <c r="R173" i="6" s="1"/>
  <c r="I105" i="6"/>
  <c r="P105" i="6"/>
  <c r="R105" i="6" s="1"/>
  <c r="O105" i="6"/>
  <c r="Q105" i="6" s="1"/>
  <c r="S105" i="6" s="1"/>
  <c r="P113" i="6"/>
  <c r="R113" i="6" s="1"/>
  <c r="O113" i="6"/>
  <c r="Q113" i="6" s="1"/>
  <c r="S113" i="6" s="1"/>
  <c r="I113" i="6"/>
  <c r="O137" i="6"/>
  <c r="Q137" i="6" s="1"/>
  <c r="S137" i="6" s="1"/>
  <c r="P137" i="6"/>
  <c r="R137" i="6" s="1"/>
  <c r="I137" i="6"/>
  <c r="O42" i="6"/>
  <c r="Q42" i="6" s="1"/>
  <c r="S42" i="6" s="1"/>
  <c r="I42" i="6"/>
  <c r="P42" i="6"/>
  <c r="R42" i="6" s="1"/>
  <c r="I68" i="6"/>
  <c r="P68" i="6"/>
  <c r="R68" i="6" s="1"/>
  <c r="O68" i="6"/>
  <c r="Q68" i="6" s="1"/>
  <c r="S68" i="6" s="1"/>
  <c r="P51" i="6"/>
  <c r="R51" i="6" s="1"/>
  <c r="O51" i="6"/>
  <c r="Q51" i="6" s="1"/>
  <c r="I51" i="6"/>
  <c r="I89" i="6"/>
  <c r="P89" i="6"/>
  <c r="R89" i="6" s="1"/>
  <c r="O89" i="6"/>
  <c r="Q89" i="6" s="1"/>
  <c r="S89" i="6" s="1"/>
  <c r="I106" i="6"/>
  <c r="O106" i="6"/>
  <c r="Q106" i="6" s="1"/>
  <c r="S106" i="6" s="1"/>
  <c r="P106" i="6"/>
  <c r="R106" i="6" s="1"/>
  <c r="P120" i="6"/>
  <c r="R120" i="6" s="1"/>
  <c r="I120" i="6"/>
  <c r="O120" i="6"/>
  <c r="Q120" i="6" s="1"/>
  <c r="S120" i="6" s="1"/>
  <c r="O128" i="6"/>
  <c r="Q128" i="6" s="1"/>
  <c r="P128" i="6"/>
  <c r="R128" i="6" s="1"/>
  <c r="I128" i="6"/>
  <c r="I158" i="6"/>
  <c r="P158" i="6"/>
  <c r="R158" i="6" s="1"/>
  <c r="O158" i="6"/>
  <c r="Q158" i="6" s="1"/>
  <c r="O164" i="6"/>
  <c r="Q164" i="6" s="1"/>
  <c r="P164" i="6"/>
  <c r="R164" i="6" s="1"/>
  <c r="I164" i="6"/>
  <c r="P37" i="6"/>
  <c r="R37" i="6" s="1"/>
  <c r="O37" i="6"/>
  <c r="Q37" i="6" s="1"/>
  <c r="I37" i="6"/>
  <c r="I112" i="6"/>
  <c r="P112" i="6"/>
  <c r="R112" i="6" s="1"/>
  <c r="O112" i="6"/>
  <c r="Q112" i="6" s="1"/>
  <c r="I40" i="6"/>
  <c r="P40" i="6"/>
  <c r="R40" i="6" s="1"/>
  <c r="O40" i="6"/>
  <c r="Q40" i="6" s="1"/>
  <c r="S40" i="6" s="1"/>
  <c r="I49" i="6"/>
  <c r="P49" i="6"/>
  <c r="R49" i="6" s="1"/>
  <c r="O49" i="6"/>
  <c r="Q49" i="6" s="1"/>
  <c r="S49" i="6" s="1"/>
  <c r="I60" i="6"/>
  <c r="P60" i="6"/>
  <c r="R60" i="6" s="1"/>
  <c r="O60" i="6"/>
  <c r="Q60" i="6" s="1"/>
  <c r="S60" i="6" s="1"/>
  <c r="I36" i="6"/>
  <c r="P36" i="6"/>
  <c r="R36" i="6" s="1"/>
  <c r="O36" i="6"/>
  <c r="Q36" i="6" s="1"/>
  <c r="I92" i="6"/>
  <c r="O92" i="6"/>
  <c r="Q92" i="6" s="1"/>
  <c r="S92" i="6" s="1"/>
  <c r="P92" i="6"/>
  <c r="R92" i="6" s="1"/>
  <c r="I62" i="6"/>
  <c r="P62" i="6"/>
  <c r="R62" i="6" s="1"/>
  <c r="O62" i="6"/>
  <c r="Q62" i="6" s="1"/>
  <c r="I25" i="6"/>
  <c r="O25" i="6"/>
  <c r="Q25" i="6" s="1"/>
  <c r="P25" i="6"/>
  <c r="R25" i="6" s="1"/>
  <c r="M83" i="6"/>
  <c r="L83" i="6"/>
  <c r="K83" i="6"/>
  <c r="J83" i="6"/>
  <c r="J15" i="6"/>
  <c r="L15" i="6"/>
  <c r="K15" i="6"/>
  <c r="M15" i="6"/>
  <c r="I161" i="6"/>
  <c r="P161" i="6"/>
  <c r="R161" i="6" s="1"/>
  <c r="O161" i="6"/>
  <c r="Q161" i="6" s="1"/>
  <c r="I76" i="6"/>
  <c r="P76" i="6"/>
  <c r="R76" i="6" s="1"/>
  <c r="O76" i="6"/>
  <c r="Q76" i="6" s="1"/>
  <c r="S76" i="6" s="1"/>
  <c r="I114" i="6"/>
  <c r="O114" i="6"/>
  <c r="Q114" i="6" s="1"/>
  <c r="P114" i="6"/>
  <c r="R114" i="6" s="1"/>
  <c r="I70" i="6"/>
  <c r="P70" i="6"/>
  <c r="R70" i="6" s="1"/>
  <c r="O70" i="6"/>
  <c r="Q70" i="6" s="1"/>
  <c r="S70" i="6" s="1"/>
  <c r="I188" i="6"/>
  <c r="O188" i="6"/>
  <c r="Q188" i="6" s="1"/>
  <c r="S188" i="6" s="1"/>
  <c r="P188" i="6"/>
  <c r="R188" i="6" s="1"/>
  <c r="P185" i="6"/>
  <c r="R185" i="6" s="1"/>
  <c r="I185" i="6"/>
  <c r="O185" i="6"/>
  <c r="Q185" i="6" s="1"/>
  <c r="S185" i="6" s="1"/>
  <c r="I206" i="6"/>
  <c r="O206" i="6"/>
  <c r="Q206" i="6" s="1"/>
  <c r="S206" i="6" s="1"/>
  <c r="P206" i="6"/>
  <c r="R206" i="6" s="1"/>
  <c r="O171" i="6"/>
  <c r="Q171" i="6" s="1"/>
  <c r="S171" i="6" s="1"/>
  <c r="I171" i="6"/>
  <c r="P171" i="6"/>
  <c r="R171" i="6" s="1"/>
  <c r="I143" i="6"/>
  <c r="P143" i="6"/>
  <c r="R143" i="6" s="1"/>
  <c r="O143" i="6"/>
  <c r="Q143" i="6" s="1"/>
  <c r="P117" i="6"/>
  <c r="R117" i="6" s="1"/>
  <c r="O117" i="6"/>
  <c r="Q117" i="6" s="1"/>
  <c r="I117" i="6"/>
  <c r="O149" i="6"/>
  <c r="Q149" i="6" s="1"/>
  <c r="I149" i="6"/>
  <c r="P149" i="6"/>
  <c r="R149" i="6" s="1"/>
  <c r="O133" i="6"/>
  <c r="Q133" i="6" s="1"/>
  <c r="I133" i="6"/>
  <c r="P133" i="6"/>
  <c r="R133" i="6" s="1"/>
  <c r="I115" i="6"/>
  <c r="P115" i="6"/>
  <c r="R115" i="6" s="1"/>
  <c r="O115" i="6"/>
  <c r="Q115" i="6" s="1"/>
  <c r="P64" i="6"/>
  <c r="R64" i="6" s="1"/>
  <c r="O64" i="6"/>
  <c r="Q64" i="6" s="1"/>
  <c r="S64" i="6" s="1"/>
  <c r="I64" i="6"/>
  <c r="P38" i="6"/>
  <c r="R38" i="6" s="1"/>
  <c r="O38" i="6"/>
  <c r="Q38" i="6" s="1"/>
  <c r="S38" i="6" s="1"/>
  <c r="I38" i="6"/>
  <c r="I33" i="6"/>
  <c r="P33" i="6"/>
  <c r="R33" i="6" s="1"/>
  <c r="O33" i="6"/>
  <c r="Q33" i="6" s="1"/>
  <c r="S33" i="6" s="1"/>
  <c r="P81" i="6"/>
  <c r="R81" i="6" s="1"/>
  <c r="O81" i="6"/>
  <c r="Q81" i="6" s="1"/>
  <c r="S81" i="6" s="1"/>
  <c r="I81" i="6"/>
  <c r="P107" i="6"/>
  <c r="R107" i="6" s="1"/>
  <c r="O107" i="6"/>
  <c r="Q107" i="6" s="1"/>
  <c r="I107" i="6"/>
  <c r="I125" i="6"/>
  <c r="O125" i="6"/>
  <c r="Q125" i="6" s="1"/>
  <c r="P125" i="6"/>
  <c r="R125" i="6" s="1"/>
  <c r="P145" i="6"/>
  <c r="R145" i="6" s="1"/>
  <c r="I145" i="6"/>
  <c r="O145" i="6"/>
  <c r="Q145" i="6" s="1"/>
  <c r="S145" i="6" s="1"/>
  <c r="O165" i="6"/>
  <c r="Q165" i="6" s="1"/>
  <c r="I165" i="6"/>
  <c r="P165" i="6"/>
  <c r="R165" i="6" s="1"/>
  <c r="O186" i="6"/>
  <c r="Q186" i="6" s="1"/>
  <c r="P186" i="6"/>
  <c r="R186" i="6" s="1"/>
  <c r="I186" i="6"/>
  <c r="O56" i="6"/>
  <c r="Q56" i="6" s="1"/>
  <c r="P56" i="6"/>
  <c r="R56" i="6" s="1"/>
  <c r="I56" i="6"/>
  <c r="I22" i="6"/>
  <c r="O22" i="6"/>
  <c r="Q22" i="6" s="1"/>
  <c r="P22" i="6"/>
  <c r="R22" i="6" s="1"/>
  <c r="I72" i="6"/>
  <c r="P72" i="6"/>
  <c r="R72" i="6" s="1"/>
  <c r="O72" i="6"/>
  <c r="Q72" i="6" s="1"/>
  <c r="I58" i="6"/>
  <c r="P58" i="6"/>
  <c r="R58" i="6" s="1"/>
  <c r="O58" i="6"/>
  <c r="Q58" i="6" s="1"/>
  <c r="S58" i="6" s="1"/>
  <c r="O24" i="6"/>
  <c r="Q24" i="6" s="1"/>
  <c r="I24" i="6"/>
  <c r="P24" i="6"/>
  <c r="R24" i="6" s="1"/>
  <c r="S43" i="6"/>
  <c r="L19" i="6"/>
  <c r="M19" i="6"/>
  <c r="K19" i="6"/>
  <c r="J19" i="6"/>
  <c r="I174" i="6"/>
  <c r="O174" i="6"/>
  <c r="Q174" i="6" s="1"/>
  <c r="P174" i="6"/>
  <c r="R174" i="6" s="1"/>
  <c r="P80" i="6"/>
  <c r="R80" i="6" s="1"/>
  <c r="O80" i="6"/>
  <c r="Q80" i="6" s="1"/>
  <c r="I80" i="6"/>
  <c r="P138" i="6"/>
  <c r="R138" i="6" s="1"/>
  <c r="O138" i="6"/>
  <c r="Q138" i="6" s="1"/>
  <c r="S138" i="6" s="1"/>
  <c r="I138" i="6"/>
  <c r="I193" i="6"/>
  <c r="P193" i="6"/>
  <c r="R193" i="6" s="1"/>
  <c r="O193" i="6"/>
  <c r="Q193" i="6" s="1"/>
  <c r="I198" i="6"/>
  <c r="O198" i="6"/>
  <c r="Q198" i="6" s="1"/>
  <c r="S198" i="6" s="1"/>
  <c r="P198" i="6"/>
  <c r="R198" i="6" s="1"/>
  <c r="O170" i="6"/>
  <c r="Q170" i="6" s="1"/>
  <c r="S170" i="6" s="1"/>
  <c r="I170" i="6"/>
  <c r="P170" i="6"/>
  <c r="R170" i="6" s="1"/>
  <c r="O144" i="6"/>
  <c r="Q144" i="6" s="1"/>
  <c r="S144" i="6" s="1"/>
  <c r="P144" i="6"/>
  <c r="R144" i="6" s="1"/>
  <c r="I144" i="6"/>
  <c r="I124" i="6"/>
  <c r="P124" i="6"/>
  <c r="R124" i="6" s="1"/>
  <c r="O124" i="6"/>
  <c r="Q124" i="6" s="1"/>
  <c r="S124" i="6" s="1"/>
  <c r="P75" i="6"/>
  <c r="R75" i="6" s="1"/>
  <c r="O75" i="6"/>
  <c r="Q75" i="6" s="1"/>
  <c r="S75" i="6" s="1"/>
  <c r="I75" i="6"/>
  <c r="O93" i="6"/>
  <c r="Q93" i="6" s="1"/>
  <c r="S93" i="6" s="1"/>
  <c r="P93" i="6"/>
  <c r="R93" i="6" s="1"/>
  <c r="I93" i="6"/>
  <c r="I88" i="6"/>
  <c r="P88" i="6"/>
  <c r="R88" i="6" s="1"/>
  <c r="O88" i="6"/>
  <c r="Q88" i="6" s="1"/>
  <c r="P32" i="6"/>
  <c r="R32" i="6" s="1"/>
  <c r="O32" i="6"/>
  <c r="Q32" i="6" s="1"/>
  <c r="S32" i="6" s="1"/>
  <c r="I32" i="6"/>
  <c r="P94" i="6"/>
  <c r="R94" i="6" s="1"/>
  <c r="O94" i="6"/>
  <c r="Q94" i="6" s="1"/>
  <c r="S94" i="6" s="1"/>
  <c r="I94" i="6"/>
  <c r="I123" i="6"/>
  <c r="O123" i="6"/>
  <c r="Q123" i="6" s="1"/>
  <c r="P123" i="6"/>
  <c r="R123" i="6" s="1"/>
  <c r="O121" i="6"/>
  <c r="Q121" i="6" s="1"/>
  <c r="S121" i="6" s="1"/>
  <c r="I121" i="6"/>
  <c r="P121" i="6"/>
  <c r="R121" i="6" s="1"/>
  <c r="P140" i="6"/>
  <c r="R140" i="6" s="1"/>
  <c r="I140" i="6"/>
  <c r="O140" i="6"/>
  <c r="Q140" i="6" s="1"/>
  <c r="I166" i="6"/>
  <c r="O166" i="6"/>
  <c r="Q166" i="6" s="1"/>
  <c r="P166" i="6"/>
  <c r="R166" i="6" s="1"/>
  <c r="I204" i="6"/>
  <c r="P204" i="6"/>
  <c r="R204" i="6" s="1"/>
  <c r="O204" i="6"/>
  <c r="Q204" i="6" s="1"/>
  <c r="S204" i="6" s="1"/>
  <c r="P27" i="6"/>
  <c r="R27" i="6" s="1"/>
  <c r="O27" i="6"/>
  <c r="Q27" i="6" s="1"/>
  <c r="S27" i="6" s="1"/>
  <c r="I27" i="6"/>
  <c r="I55" i="6"/>
  <c r="P55" i="6"/>
  <c r="R55" i="6" s="1"/>
  <c r="O55" i="6"/>
  <c r="Q55" i="6" s="1"/>
  <c r="I14" i="6"/>
  <c r="P14" i="6"/>
  <c r="R14" i="6" s="1"/>
  <c r="O14" i="6"/>
  <c r="Q14" i="6" s="1"/>
  <c r="P45" i="6"/>
  <c r="R45" i="6" s="1"/>
  <c r="O45" i="6"/>
  <c r="Q45" i="6" s="1"/>
  <c r="I45" i="6"/>
  <c r="O26" i="6"/>
  <c r="Q26" i="6" s="1"/>
  <c r="S26" i="6" s="1"/>
  <c r="P26" i="6"/>
  <c r="R26" i="6" s="1"/>
  <c r="I26" i="6"/>
  <c r="P54" i="6"/>
  <c r="R54" i="6" s="1"/>
  <c r="O54" i="6"/>
  <c r="Q54" i="6" s="1"/>
  <c r="I54" i="6"/>
  <c r="I20" i="6"/>
  <c r="P20" i="6"/>
  <c r="R20" i="6" s="1"/>
  <c r="O20" i="6"/>
  <c r="Q20" i="6" s="1"/>
  <c r="S20" i="6" s="1"/>
  <c r="M39" i="6"/>
  <c r="L39" i="6"/>
  <c r="K39" i="6"/>
  <c r="J39" i="6"/>
  <c r="O156" i="5"/>
  <c r="Q156" i="5" s="1"/>
  <c r="I156" i="5"/>
  <c r="P156" i="5"/>
  <c r="R156" i="5" s="1"/>
  <c r="O148" i="5"/>
  <c r="Q148" i="5" s="1"/>
  <c r="S148" i="5" s="1"/>
  <c r="P148" i="5"/>
  <c r="R148" i="5" s="1"/>
  <c r="I148" i="5"/>
  <c r="O125" i="5"/>
  <c r="Q125" i="5" s="1"/>
  <c r="I125" i="5"/>
  <c r="P125" i="5"/>
  <c r="R125" i="5" s="1"/>
  <c r="P133" i="5"/>
  <c r="R133" i="5" s="1"/>
  <c r="O133" i="5"/>
  <c r="Q133" i="5" s="1"/>
  <c r="S133" i="5" s="1"/>
  <c r="I133" i="5"/>
  <c r="P157" i="5"/>
  <c r="R157" i="5" s="1"/>
  <c r="I157" i="5"/>
  <c r="O157" i="5"/>
  <c r="Q157" i="5" s="1"/>
  <c r="S157" i="5" s="1"/>
  <c r="P76" i="5"/>
  <c r="R76" i="5" s="1"/>
  <c r="O76" i="5"/>
  <c r="Q76" i="5" s="1"/>
  <c r="S76" i="5" s="1"/>
  <c r="I76" i="5"/>
  <c r="I101" i="5"/>
  <c r="O101" i="5"/>
  <c r="Q101" i="5" s="1"/>
  <c r="P101" i="5"/>
  <c r="R101" i="5" s="1"/>
  <c r="I74" i="5"/>
  <c r="P74" i="5"/>
  <c r="R74" i="5" s="1"/>
  <c r="O74" i="5"/>
  <c r="Q74" i="5" s="1"/>
  <c r="P67" i="5"/>
  <c r="R67" i="5" s="1"/>
  <c r="O67" i="5"/>
  <c r="Q67" i="5" s="1"/>
  <c r="I67" i="5"/>
  <c r="I106" i="5"/>
  <c r="P106" i="5"/>
  <c r="R106" i="5" s="1"/>
  <c r="O106" i="5"/>
  <c r="Q106" i="5" s="1"/>
  <c r="I124" i="5"/>
  <c r="P124" i="5"/>
  <c r="R124" i="5" s="1"/>
  <c r="O124" i="5"/>
  <c r="Q124" i="5" s="1"/>
  <c r="S124" i="5" s="1"/>
  <c r="O151" i="5"/>
  <c r="Q151" i="5" s="1"/>
  <c r="I151" i="5"/>
  <c r="P151" i="5"/>
  <c r="R151" i="5" s="1"/>
  <c r="O169" i="5"/>
  <c r="Q169" i="5" s="1"/>
  <c r="S169" i="5" s="1"/>
  <c r="P169" i="5"/>
  <c r="R169" i="5" s="1"/>
  <c r="I169" i="5"/>
  <c r="I159" i="5"/>
  <c r="O159" i="5"/>
  <c r="Q159" i="5" s="1"/>
  <c r="S159" i="5" s="1"/>
  <c r="P159" i="5"/>
  <c r="R159" i="5" s="1"/>
  <c r="O178" i="5"/>
  <c r="Q178" i="5" s="1"/>
  <c r="P178" i="5"/>
  <c r="R178" i="5" s="1"/>
  <c r="I178" i="5"/>
  <c r="O195" i="5"/>
  <c r="Q195" i="5" s="1"/>
  <c r="P195" i="5"/>
  <c r="R195" i="5" s="1"/>
  <c r="I195" i="5"/>
  <c r="P97" i="5"/>
  <c r="R97" i="5" s="1"/>
  <c r="O97" i="5"/>
  <c r="Q97" i="5" s="1"/>
  <c r="I97" i="5"/>
  <c r="O48" i="5"/>
  <c r="Q48" i="5" s="1"/>
  <c r="P48" i="5"/>
  <c r="R48" i="5" s="1"/>
  <c r="I48" i="5"/>
  <c r="O26" i="5"/>
  <c r="Q26" i="5" s="1"/>
  <c r="S26" i="5" s="1"/>
  <c r="P26" i="5"/>
  <c r="R26" i="5" s="1"/>
  <c r="I26" i="5"/>
  <c r="P22" i="5"/>
  <c r="R22" i="5" s="1"/>
  <c r="I22" i="5"/>
  <c r="O22" i="5"/>
  <c r="Q22" i="5" s="1"/>
  <c r="S22" i="5" s="1"/>
  <c r="I57" i="5"/>
  <c r="O57" i="5"/>
  <c r="Q57" i="5" s="1"/>
  <c r="P57" i="5"/>
  <c r="R57" i="5" s="1"/>
  <c r="I85" i="5"/>
  <c r="P85" i="5"/>
  <c r="R85" i="5" s="1"/>
  <c r="O85" i="5"/>
  <c r="Q85" i="5" s="1"/>
  <c r="I50" i="5"/>
  <c r="O50" i="5"/>
  <c r="Q50" i="5" s="1"/>
  <c r="S50" i="5" s="1"/>
  <c r="P50" i="5"/>
  <c r="R50" i="5" s="1"/>
  <c r="P61" i="5"/>
  <c r="R61" i="5" s="1"/>
  <c r="O61" i="5"/>
  <c r="Q61" i="5" s="1"/>
  <c r="S61" i="5" s="1"/>
  <c r="I61" i="5"/>
  <c r="S30" i="5"/>
  <c r="O122" i="5"/>
  <c r="Q122" i="5" s="1"/>
  <c r="S122" i="5" s="1"/>
  <c r="P122" i="5"/>
  <c r="R122" i="5" s="1"/>
  <c r="I122" i="5"/>
  <c r="S83" i="5"/>
  <c r="S10" i="5"/>
  <c r="L24" i="5"/>
  <c r="J24" i="5"/>
  <c r="K24" i="5"/>
  <c r="M24" i="5"/>
  <c r="P183" i="5"/>
  <c r="R183" i="5" s="1"/>
  <c r="O183" i="5"/>
  <c r="Q183" i="5" s="1"/>
  <c r="S183" i="5" s="1"/>
  <c r="I183" i="5"/>
  <c r="I180" i="5"/>
  <c r="O180" i="5"/>
  <c r="Q180" i="5" s="1"/>
  <c r="S180" i="5" s="1"/>
  <c r="P180" i="5"/>
  <c r="R180" i="5" s="1"/>
  <c r="I197" i="5"/>
  <c r="P197" i="5"/>
  <c r="R197" i="5" s="1"/>
  <c r="O197" i="5"/>
  <c r="Q197" i="5" s="1"/>
  <c r="P138" i="5"/>
  <c r="R138" i="5" s="1"/>
  <c r="O138" i="5"/>
  <c r="Q138" i="5" s="1"/>
  <c r="I138" i="5"/>
  <c r="O144" i="5"/>
  <c r="Q144" i="5" s="1"/>
  <c r="S144" i="5" s="1"/>
  <c r="I144" i="5"/>
  <c r="P144" i="5"/>
  <c r="R144" i="5" s="1"/>
  <c r="P162" i="5"/>
  <c r="R162" i="5" s="1"/>
  <c r="O162" i="5"/>
  <c r="Q162" i="5" s="1"/>
  <c r="I162" i="5"/>
  <c r="O100" i="5"/>
  <c r="Q100" i="5" s="1"/>
  <c r="S100" i="5" s="1"/>
  <c r="P100" i="5"/>
  <c r="R100" i="5" s="1"/>
  <c r="I100" i="5"/>
  <c r="O70" i="5"/>
  <c r="Q70" i="5" s="1"/>
  <c r="P70" i="5"/>
  <c r="R70" i="5" s="1"/>
  <c r="I70" i="5"/>
  <c r="P46" i="5"/>
  <c r="R46" i="5" s="1"/>
  <c r="O46" i="5"/>
  <c r="Q46" i="5" s="1"/>
  <c r="I46" i="5"/>
  <c r="I90" i="5"/>
  <c r="P90" i="5"/>
  <c r="R90" i="5" s="1"/>
  <c r="O90" i="5"/>
  <c r="Q90" i="5" s="1"/>
  <c r="P71" i="5"/>
  <c r="R71" i="5" s="1"/>
  <c r="O71" i="5"/>
  <c r="Q71" i="5" s="1"/>
  <c r="S71" i="5" s="1"/>
  <c r="I71" i="5"/>
  <c r="I113" i="5"/>
  <c r="P113" i="5"/>
  <c r="R113" i="5" s="1"/>
  <c r="O113" i="5"/>
  <c r="Q113" i="5" s="1"/>
  <c r="P160" i="5"/>
  <c r="R160" i="5" s="1"/>
  <c r="I160" i="5"/>
  <c r="O160" i="5"/>
  <c r="Q160" i="5" s="1"/>
  <c r="S160" i="5" s="1"/>
  <c r="I155" i="5"/>
  <c r="O155" i="5"/>
  <c r="Q155" i="5" s="1"/>
  <c r="S155" i="5" s="1"/>
  <c r="P155" i="5"/>
  <c r="R155" i="5" s="1"/>
  <c r="P167" i="5"/>
  <c r="R167" i="5" s="1"/>
  <c r="O167" i="5"/>
  <c r="Q167" i="5" s="1"/>
  <c r="I167" i="5"/>
  <c r="I176" i="5"/>
  <c r="P176" i="5"/>
  <c r="R176" i="5" s="1"/>
  <c r="O176" i="5"/>
  <c r="Q176" i="5" s="1"/>
  <c r="S176" i="5" s="1"/>
  <c r="O179" i="5"/>
  <c r="Q179" i="5" s="1"/>
  <c r="P179" i="5"/>
  <c r="R179" i="5" s="1"/>
  <c r="I179" i="5"/>
  <c r="O203" i="5"/>
  <c r="Q203" i="5" s="1"/>
  <c r="P203" i="5"/>
  <c r="R203" i="5" s="1"/>
  <c r="I203" i="5"/>
  <c r="F211" i="5"/>
  <c r="I65" i="5"/>
  <c r="O65" i="5"/>
  <c r="Q65" i="5" s="1"/>
  <c r="S65" i="5" s="1"/>
  <c r="P65" i="5"/>
  <c r="R65" i="5" s="1"/>
  <c r="O21" i="5"/>
  <c r="Q21" i="5" s="1"/>
  <c r="I21" i="5"/>
  <c r="P21" i="5"/>
  <c r="R21" i="5" s="1"/>
  <c r="I11" i="5"/>
  <c r="P11" i="5"/>
  <c r="R11" i="5" s="1"/>
  <c r="O11" i="5"/>
  <c r="Q11" i="5" s="1"/>
  <c r="I49" i="5"/>
  <c r="O49" i="5"/>
  <c r="Q49" i="5" s="1"/>
  <c r="S49" i="5" s="1"/>
  <c r="P49" i="5"/>
  <c r="R49" i="5" s="1"/>
  <c r="O84" i="5"/>
  <c r="Q84" i="5" s="1"/>
  <c r="S84" i="5" s="1"/>
  <c r="I84" i="5"/>
  <c r="P84" i="5"/>
  <c r="R84" i="5" s="1"/>
  <c r="I72" i="5"/>
  <c r="P72" i="5"/>
  <c r="R72" i="5" s="1"/>
  <c r="O72" i="5"/>
  <c r="Q72" i="5" s="1"/>
  <c r="S72" i="5" s="1"/>
  <c r="L32" i="5"/>
  <c r="J32" i="5"/>
  <c r="M32" i="5"/>
  <c r="K32" i="5"/>
  <c r="I190" i="5"/>
  <c r="O190" i="5"/>
  <c r="Q190" i="5" s="1"/>
  <c r="S190" i="5" s="1"/>
  <c r="P190" i="5"/>
  <c r="R190" i="5" s="1"/>
  <c r="P146" i="5"/>
  <c r="R146" i="5" s="1"/>
  <c r="I146" i="5"/>
  <c r="O146" i="5"/>
  <c r="Q146" i="5" s="1"/>
  <c r="I136" i="5"/>
  <c r="P136" i="5"/>
  <c r="R136" i="5" s="1"/>
  <c r="O136" i="5"/>
  <c r="Q136" i="5" s="1"/>
  <c r="I44" i="5"/>
  <c r="P44" i="5"/>
  <c r="R44" i="5" s="1"/>
  <c r="O44" i="5"/>
  <c r="Q44" i="5" s="1"/>
  <c r="O82" i="5"/>
  <c r="Q82" i="5" s="1"/>
  <c r="S82" i="5" s="1"/>
  <c r="I82" i="5"/>
  <c r="P82" i="5"/>
  <c r="R82" i="5" s="1"/>
  <c r="I77" i="5"/>
  <c r="P77" i="5"/>
  <c r="R77" i="5" s="1"/>
  <c r="O77" i="5"/>
  <c r="Q77" i="5" s="1"/>
  <c r="S77" i="5" s="1"/>
  <c r="P142" i="5"/>
  <c r="R142" i="5" s="1"/>
  <c r="O142" i="5"/>
  <c r="Q142" i="5" s="1"/>
  <c r="I142" i="5"/>
  <c r="I116" i="5"/>
  <c r="P116" i="5"/>
  <c r="R116" i="5" s="1"/>
  <c r="O116" i="5"/>
  <c r="Q116" i="5" s="1"/>
  <c r="S116" i="5" s="1"/>
  <c r="I139" i="5"/>
  <c r="P139" i="5"/>
  <c r="R139" i="5" s="1"/>
  <c r="O139" i="5"/>
  <c r="Q139" i="5" s="1"/>
  <c r="S139" i="5" s="1"/>
  <c r="I149" i="5"/>
  <c r="P149" i="5"/>
  <c r="R149" i="5" s="1"/>
  <c r="O149" i="5"/>
  <c r="Q149" i="5" s="1"/>
  <c r="I172" i="5"/>
  <c r="O172" i="5"/>
  <c r="Q172" i="5" s="1"/>
  <c r="S172" i="5" s="1"/>
  <c r="P172" i="5"/>
  <c r="R172" i="5" s="1"/>
  <c r="O186" i="5"/>
  <c r="Q186" i="5" s="1"/>
  <c r="S186" i="5" s="1"/>
  <c r="P186" i="5"/>
  <c r="R186" i="5" s="1"/>
  <c r="I186" i="5"/>
  <c r="P20" i="5"/>
  <c r="R20" i="5" s="1"/>
  <c r="O20" i="5"/>
  <c r="Q20" i="5" s="1"/>
  <c r="I20" i="5"/>
  <c r="I87" i="5"/>
  <c r="O87" i="5"/>
  <c r="Q87" i="5" s="1"/>
  <c r="P87" i="5"/>
  <c r="R87" i="5" s="1"/>
  <c r="J39" i="5"/>
  <c r="N39" i="5" s="1"/>
  <c r="T39" i="5" s="1"/>
  <c r="M39" i="5"/>
  <c r="L39" i="5"/>
  <c r="K39" i="5"/>
  <c r="I66" i="5"/>
  <c r="P66" i="5"/>
  <c r="R66" i="5" s="1"/>
  <c r="O66" i="5"/>
  <c r="Q66" i="5" s="1"/>
  <c r="I114" i="5"/>
  <c r="P114" i="5"/>
  <c r="R114" i="5" s="1"/>
  <c r="O114" i="5"/>
  <c r="Q114" i="5" s="1"/>
  <c r="I58" i="5"/>
  <c r="P58" i="5"/>
  <c r="R58" i="5" s="1"/>
  <c r="O58" i="5"/>
  <c r="Q58" i="5" s="1"/>
  <c r="P28" i="5"/>
  <c r="R28" i="5" s="1"/>
  <c r="I28" i="5"/>
  <c r="O28" i="5"/>
  <c r="Q28" i="5" s="1"/>
  <c r="S28" i="5" s="1"/>
  <c r="P69" i="5"/>
  <c r="R69" i="5" s="1"/>
  <c r="O69" i="5"/>
  <c r="Q69" i="5" s="1"/>
  <c r="I69" i="5"/>
  <c r="J83" i="5"/>
  <c r="M83" i="5"/>
  <c r="L83" i="5"/>
  <c r="K83" i="5"/>
  <c r="Q9" i="5"/>
  <c r="S19" i="5"/>
  <c r="P208" i="5"/>
  <c r="R208" i="5" s="1"/>
  <c r="O208" i="5"/>
  <c r="Q208" i="5" s="1"/>
  <c r="I208" i="5"/>
  <c r="I181" i="5"/>
  <c r="P181" i="5"/>
  <c r="R181" i="5" s="1"/>
  <c r="O181" i="5"/>
  <c r="Q181" i="5" s="1"/>
  <c r="S181" i="5" s="1"/>
  <c r="I163" i="5"/>
  <c r="P163" i="5"/>
  <c r="R163" i="5" s="1"/>
  <c r="O163" i="5"/>
  <c r="Q163" i="5" s="1"/>
  <c r="O130" i="5"/>
  <c r="Q130" i="5" s="1"/>
  <c r="I130" i="5"/>
  <c r="P130" i="5"/>
  <c r="R130" i="5" s="1"/>
  <c r="P127" i="5"/>
  <c r="R127" i="5" s="1"/>
  <c r="O127" i="5"/>
  <c r="Q127" i="5" s="1"/>
  <c r="S127" i="5" s="1"/>
  <c r="I127" i="5"/>
  <c r="P109" i="5"/>
  <c r="R109" i="5" s="1"/>
  <c r="O109" i="5"/>
  <c r="Q109" i="5" s="1"/>
  <c r="I109" i="5"/>
  <c r="O118" i="5"/>
  <c r="Q118" i="5" s="1"/>
  <c r="I118" i="5"/>
  <c r="P118" i="5"/>
  <c r="R118" i="5" s="1"/>
  <c r="P89" i="5"/>
  <c r="R89" i="5" s="1"/>
  <c r="O89" i="5"/>
  <c r="Q89" i="5" s="1"/>
  <c r="I89" i="5"/>
  <c r="I93" i="5"/>
  <c r="O93" i="5"/>
  <c r="Q93" i="5" s="1"/>
  <c r="S93" i="5" s="1"/>
  <c r="P93" i="5"/>
  <c r="R93" i="5" s="1"/>
  <c r="I80" i="5"/>
  <c r="P80" i="5"/>
  <c r="R80" i="5" s="1"/>
  <c r="O80" i="5"/>
  <c r="Q80" i="5" s="1"/>
  <c r="S80" i="5" s="1"/>
  <c r="I108" i="5"/>
  <c r="P108" i="5"/>
  <c r="R108" i="5" s="1"/>
  <c r="O108" i="5"/>
  <c r="Q108" i="5" s="1"/>
  <c r="P119" i="5"/>
  <c r="R119" i="5" s="1"/>
  <c r="O119" i="5"/>
  <c r="Q119" i="5" s="1"/>
  <c r="I119" i="5"/>
  <c r="I129" i="5"/>
  <c r="P129" i="5"/>
  <c r="R129" i="5" s="1"/>
  <c r="O129" i="5"/>
  <c r="Q129" i="5" s="1"/>
  <c r="P168" i="5"/>
  <c r="R168" i="5" s="1"/>
  <c r="I168" i="5"/>
  <c r="O168" i="5"/>
  <c r="Q168" i="5" s="1"/>
  <c r="S168" i="5" s="1"/>
  <c r="O152" i="5"/>
  <c r="Q152" i="5" s="1"/>
  <c r="I152" i="5"/>
  <c r="P152" i="5"/>
  <c r="R152" i="5" s="1"/>
  <c r="I196" i="5"/>
  <c r="O196" i="5"/>
  <c r="Q196" i="5" s="1"/>
  <c r="S196" i="5" s="1"/>
  <c r="P196" i="5"/>
  <c r="R196" i="5" s="1"/>
  <c r="O23" i="5"/>
  <c r="Q23" i="5" s="1"/>
  <c r="P23" i="5"/>
  <c r="R23" i="5" s="1"/>
  <c r="I23" i="5"/>
  <c r="I73" i="5"/>
  <c r="P73" i="5"/>
  <c r="R73" i="5" s="1"/>
  <c r="O73" i="5"/>
  <c r="Q73" i="5" s="1"/>
  <c r="S73" i="5" s="1"/>
  <c r="I43" i="5"/>
  <c r="P43" i="5"/>
  <c r="R43" i="5" s="1"/>
  <c r="O43" i="5"/>
  <c r="Q43" i="5" s="1"/>
  <c r="P75" i="5"/>
  <c r="R75" i="5" s="1"/>
  <c r="O75" i="5"/>
  <c r="Q75" i="5" s="1"/>
  <c r="I75" i="5"/>
  <c r="I16" i="5"/>
  <c r="P16" i="5"/>
  <c r="R16" i="5" s="1"/>
  <c r="O16" i="5"/>
  <c r="Q16" i="5" s="1"/>
  <c r="I36" i="5"/>
  <c r="P36" i="5"/>
  <c r="R36" i="5" s="1"/>
  <c r="O36" i="5"/>
  <c r="Q36" i="5" s="1"/>
  <c r="S36" i="5" s="1"/>
  <c r="P47" i="5"/>
  <c r="R47" i="5" s="1"/>
  <c r="O47" i="5"/>
  <c r="Q47" i="5" s="1"/>
  <c r="S47" i="5" s="1"/>
  <c r="I47" i="5"/>
  <c r="I25" i="5"/>
  <c r="O25" i="5"/>
  <c r="Q25" i="5" s="1"/>
  <c r="S25" i="5" s="1"/>
  <c r="P25" i="5"/>
  <c r="R25" i="5" s="1"/>
  <c r="P45" i="5"/>
  <c r="R45" i="5" s="1"/>
  <c r="O45" i="5"/>
  <c r="Q45" i="5" s="1"/>
  <c r="S45" i="5" s="1"/>
  <c r="I45" i="5"/>
  <c r="L41" i="5"/>
  <c r="J41" i="5"/>
  <c r="M41" i="5"/>
  <c r="K41" i="5"/>
  <c r="R9" i="5"/>
  <c r="K19" i="5"/>
  <c r="J19" i="5"/>
  <c r="M19" i="5"/>
  <c r="L19" i="5"/>
  <c r="P200" i="5"/>
  <c r="R200" i="5" s="1"/>
  <c r="O200" i="5"/>
  <c r="Q200" i="5" s="1"/>
  <c r="S200" i="5" s="1"/>
  <c r="I200" i="5"/>
  <c r="O173" i="5"/>
  <c r="Q173" i="5" s="1"/>
  <c r="S173" i="5" s="1"/>
  <c r="I173" i="5"/>
  <c r="P173" i="5"/>
  <c r="R173" i="5" s="1"/>
  <c r="O161" i="5"/>
  <c r="Q161" i="5" s="1"/>
  <c r="I161" i="5"/>
  <c r="P161" i="5"/>
  <c r="R161" i="5" s="1"/>
  <c r="I182" i="5"/>
  <c r="O182" i="5"/>
  <c r="Q182" i="5" s="1"/>
  <c r="S182" i="5" s="1"/>
  <c r="P182" i="5"/>
  <c r="R182" i="5" s="1"/>
  <c r="O154" i="5"/>
  <c r="Q154" i="5" s="1"/>
  <c r="S154" i="5" s="1"/>
  <c r="P154" i="5"/>
  <c r="R154" i="5" s="1"/>
  <c r="I154" i="5"/>
  <c r="I117" i="5"/>
  <c r="P117" i="5"/>
  <c r="R117" i="5" s="1"/>
  <c r="O117" i="5"/>
  <c r="Q117" i="5" s="1"/>
  <c r="O115" i="5"/>
  <c r="Q115" i="5" s="1"/>
  <c r="I115" i="5"/>
  <c r="P115" i="5"/>
  <c r="R115" i="5" s="1"/>
  <c r="O153" i="5"/>
  <c r="Q153" i="5" s="1"/>
  <c r="P153" i="5"/>
  <c r="R153" i="5" s="1"/>
  <c r="I153" i="5"/>
  <c r="O104" i="5"/>
  <c r="Q104" i="5" s="1"/>
  <c r="S104" i="5" s="1"/>
  <c r="P104" i="5"/>
  <c r="R104" i="5" s="1"/>
  <c r="I104" i="5"/>
  <c r="I94" i="5"/>
  <c r="P94" i="5"/>
  <c r="R94" i="5" s="1"/>
  <c r="O94" i="5"/>
  <c r="Q94" i="5" s="1"/>
  <c r="O40" i="5"/>
  <c r="Q40" i="5" s="1"/>
  <c r="S40" i="5" s="1"/>
  <c r="P40" i="5"/>
  <c r="R40" i="5" s="1"/>
  <c r="I40" i="5"/>
  <c r="P98" i="5"/>
  <c r="R98" i="5" s="1"/>
  <c r="I98" i="5"/>
  <c r="O98" i="5"/>
  <c r="Q98" i="5" s="1"/>
  <c r="I88" i="5"/>
  <c r="P88" i="5"/>
  <c r="R88" i="5" s="1"/>
  <c r="O88" i="5"/>
  <c r="Q88" i="5" s="1"/>
  <c r="S88" i="5" s="1"/>
  <c r="I110" i="5"/>
  <c r="P110" i="5"/>
  <c r="R110" i="5" s="1"/>
  <c r="O110" i="5"/>
  <c r="Q110" i="5" s="1"/>
  <c r="S110" i="5" s="1"/>
  <c r="O126" i="5"/>
  <c r="Q126" i="5" s="1"/>
  <c r="S126" i="5" s="1"/>
  <c r="P126" i="5"/>
  <c r="R126" i="5" s="1"/>
  <c r="I126" i="5"/>
  <c r="P134" i="5"/>
  <c r="R134" i="5" s="1"/>
  <c r="O134" i="5"/>
  <c r="Q134" i="5" s="1"/>
  <c r="S134" i="5" s="1"/>
  <c r="I134" i="5"/>
  <c r="P177" i="5"/>
  <c r="R177" i="5" s="1"/>
  <c r="O177" i="5"/>
  <c r="Q177" i="5" s="1"/>
  <c r="S177" i="5" s="1"/>
  <c r="I177" i="5"/>
  <c r="O170" i="5"/>
  <c r="Q170" i="5" s="1"/>
  <c r="P170" i="5"/>
  <c r="R170" i="5" s="1"/>
  <c r="I170" i="5"/>
  <c r="I194" i="5"/>
  <c r="P194" i="5"/>
  <c r="R194" i="5" s="1"/>
  <c r="O194" i="5"/>
  <c r="Q194" i="5" s="1"/>
  <c r="S194" i="5" s="1"/>
  <c r="O18" i="5"/>
  <c r="Q18" i="5" s="1"/>
  <c r="S18" i="5" s="1"/>
  <c r="I18" i="5"/>
  <c r="P18" i="5"/>
  <c r="R18" i="5" s="1"/>
  <c r="P54" i="5"/>
  <c r="R54" i="5" s="1"/>
  <c r="O54" i="5"/>
  <c r="Q54" i="5" s="1"/>
  <c r="I54" i="5"/>
  <c r="I42" i="5"/>
  <c r="O42" i="5"/>
  <c r="Q42" i="5" s="1"/>
  <c r="S42" i="5" s="1"/>
  <c r="P42" i="5"/>
  <c r="R42" i="5" s="1"/>
  <c r="O15" i="5"/>
  <c r="Q15" i="5" s="1"/>
  <c r="I15" i="5"/>
  <c r="P15" i="5"/>
  <c r="R15" i="5" s="1"/>
  <c r="I29" i="5"/>
  <c r="P29" i="5"/>
  <c r="R29" i="5" s="1"/>
  <c r="O29" i="5"/>
  <c r="Q29" i="5" s="1"/>
  <c r="J63" i="5"/>
  <c r="N63" i="5" s="1"/>
  <c r="T63" i="5" s="1"/>
  <c r="M63" i="5"/>
  <c r="L63" i="5"/>
  <c r="K63" i="5"/>
  <c r="M31" i="5"/>
  <c r="L31" i="5"/>
  <c r="K31" i="5"/>
  <c r="J31" i="5"/>
  <c r="K9" i="5"/>
  <c r="M9" i="5"/>
  <c r="J9" i="5"/>
  <c r="L9" i="5"/>
  <c r="I207" i="5"/>
  <c r="P207" i="5"/>
  <c r="R207" i="5" s="1"/>
  <c r="O207" i="5"/>
  <c r="Q207" i="5" s="1"/>
  <c r="P175" i="5"/>
  <c r="R175" i="5" s="1"/>
  <c r="I175" i="5"/>
  <c r="O175" i="5"/>
  <c r="Q175" i="5" s="1"/>
  <c r="I174" i="5"/>
  <c r="O174" i="5"/>
  <c r="Q174" i="5" s="1"/>
  <c r="S174" i="5" s="1"/>
  <c r="P174" i="5"/>
  <c r="R174" i="5" s="1"/>
  <c r="P128" i="5"/>
  <c r="R128" i="5" s="1"/>
  <c r="O128" i="5"/>
  <c r="Q128" i="5" s="1"/>
  <c r="I128" i="5"/>
  <c r="P135" i="5"/>
  <c r="R135" i="5" s="1"/>
  <c r="O135" i="5"/>
  <c r="Q135" i="5" s="1"/>
  <c r="I135" i="5"/>
  <c r="I123" i="5"/>
  <c r="P123" i="5"/>
  <c r="R123" i="5" s="1"/>
  <c r="O123" i="5"/>
  <c r="Q123" i="5" s="1"/>
  <c r="S123" i="5" s="1"/>
  <c r="O112" i="5"/>
  <c r="Q112" i="5" s="1"/>
  <c r="I112" i="5"/>
  <c r="P112" i="5"/>
  <c r="R112" i="5" s="1"/>
  <c r="P81" i="5"/>
  <c r="R81" i="5" s="1"/>
  <c r="O81" i="5"/>
  <c r="Q81" i="5" s="1"/>
  <c r="I81" i="5"/>
  <c r="I95" i="5"/>
  <c r="P95" i="5"/>
  <c r="R95" i="5" s="1"/>
  <c r="O95" i="5"/>
  <c r="Q95" i="5" s="1"/>
  <c r="I103" i="5"/>
  <c r="P103" i="5"/>
  <c r="R103" i="5" s="1"/>
  <c r="O103" i="5"/>
  <c r="Q103" i="5" s="1"/>
  <c r="P62" i="5"/>
  <c r="R62" i="5" s="1"/>
  <c r="O62" i="5"/>
  <c r="Q62" i="5" s="1"/>
  <c r="S62" i="5" s="1"/>
  <c r="I62" i="5"/>
  <c r="I27" i="5"/>
  <c r="P27" i="5"/>
  <c r="R27" i="5" s="1"/>
  <c r="O27" i="5"/>
  <c r="Q27" i="5" s="1"/>
  <c r="S27" i="5" s="1"/>
  <c r="I111" i="5"/>
  <c r="P111" i="5"/>
  <c r="R111" i="5" s="1"/>
  <c r="O111" i="5"/>
  <c r="Q111" i="5" s="1"/>
  <c r="I99" i="5"/>
  <c r="P99" i="5"/>
  <c r="R99" i="5" s="1"/>
  <c r="O99" i="5"/>
  <c r="Q99" i="5" s="1"/>
  <c r="S99" i="5" s="1"/>
  <c r="I132" i="5"/>
  <c r="P132" i="5"/>
  <c r="R132" i="5" s="1"/>
  <c r="O132" i="5"/>
  <c r="Q132" i="5" s="1"/>
  <c r="S132" i="5" s="1"/>
  <c r="P140" i="5"/>
  <c r="R140" i="5" s="1"/>
  <c r="O140" i="5"/>
  <c r="Q140" i="5" s="1"/>
  <c r="I140" i="5"/>
  <c r="P120" i="5"/>
  <c r="R120" i="5" s="1"/>
  <c r="O120" i="5"/>
  <c r="Q120" i="5" s="1"/>
  <c r="S120" i="5" s="1"/>
  <c r="I120" i="5"/>
  <c r="I188" i="5"/>
  <c r="O188" i="5"/>
  <c r="Q188" i="5" s="1"/>
  <c r="S188" i="5" s="1"/>
  <c r="P188" i="5"/>
  <c r="R188" i="5" s="1"/>
  <c r="P185" i="5"/>
  <c r="R185" i="5" s="1"/>
  <c r="I185" i="5"/>
  <c r="O185" i="5"/>
  <c r="Q185" i="5" s="1"/>
  <c r="P193" i="5"/>
  <c r="R193" i="5" s="1"/>
  <c r="O193" i="5"/>
  <c r="Q193" i="5" s="1"/>
  <c r="I193" i="5"/>
  <c r="I35" i="5"/>
  <c r="P35" i="5"/>
  <c r="R35" i="5" s="1"/>
  <c r="O35" i="5"/>
  <c r="Q35" i="5" s="1"/>
  <c r="P13" i="5"/>
  <c r="R13" i="5" s="1"/>
  <c r="I13" i="5"/>
  <c r="O13" i="5"/>
  <c r="Q13" i="5" s="1"/>
  <c r="S13" i="5" s="1"/>
  <c r="O34" i="5"/>
  <c r="Q34" i="5" s="1"/>
  <c r="P34" i="5"/>
  <c r="R34" i="5" s="1"/>
  <c r="I34" i="5"/>
  <c r="I102" i="5"/>
  <c r="P102" i="5"/>
  <c r="R102" i="5" s="1"/>
  <c r="O102" i="5"/>
  <c r="Q102" i="5" s="1"/>
  <c r="I79" i="5"/>
  <c r="P79" i="5"/>
  <c r="R79" i="5" s="1"/>
  <c r="O79" i="5"/>
  <c r="Q79" i="5" s="1"/>
  <c r="M38" i="5"/>
  <c r="K38" i="5"/>
  <c r="J38" i="5"/>
  <c r="L38" i="5"/>
  <c r="P53" i="5"/>
  <c r="R53" i="5" s="1"/>
  <c r="O53" i="5"/>
  <c r="Q53" i="5" s="1"/>
  <c r="I53" i="5"/>
  <c r="S17" i="5"/>
  <c r="H211" i="5"/>
  <c r="I191" i="5"/>
  <c r="P191" i="5"/>
  <c r="R191" i="5" s="1"/>
  <c r="O191" i="5"/>
  <c r="Q191" i="5" s="1"/>
  <c r="P192" i="5"/>
  <c r="R192" i="5" s="1"/>
  <c r="I192" i="5"/>
  <c r="O192" i="5"/>
  <c r="Q192" i="5" s="1"/>
  <c r="S192" i="5" s="1"/>
  <c r="P184" i="5"/>
  <c r="R184" i="5" s="1"/>
  <c r="I184" i="5"/>
  <c r="O184" i="5"/>
  <c r="Q184" i="5" s="1"/>
  <c r="S184" i="5" s="1"/>
  <c r="P107" i="5"/>
  <c r="R107" i="5" s="1"/>
  <c r="O107" i="5"/>
  <c r="Q107" i="5" s="1"/>
  <c r="I107" i="5"/>
  <c r="I86" i="5"/>
  <c r="P86" i="5"/>
  <c r="R86" i="5" s="1"/>
  <c r="O86" i="5"/>
  <c r="Q86" i="5" s="1"/>
  <c r="O145" i="5"/>
  <c r="Q145" i="5" s="1"/>
  <c r="S145" i="5" s="1"/>
  <c r="I145" i="5"/>
  <c r="P145" i="5"/>
  <c r="R145" i="5" s="1"/>
  <c r="O78" i="5"/>
  <c r="Q78" i="5" s="1"/>
  <c r="S78" i="5" s="1"/>
  <c r="P78" i="5"/>
  <c r="R78" i="5" s="1"/>
  <c r="I78" i="5"/>
  <c r="I55" i="5"/>
  <c r="P55" i="5"/>
  <c r="R55" i="5" s="1"/>
  <c r="O55" i="5"/>
  <c r="Q55" i="5" s="1"/>
  <c r="S55" i="5" s="1"/>
  <c r="O56" i="5"/>
  <c r="Q56" i="5" s="1"/>
  <c r="S56" i="5" s="1"/>
  <c r="P56" i="5"/>
  <c r="R56" i="5" s="1"/>
  <c r="I56" i="5"/>
  <c r="I131" i="5"/>
  <c r="P131" i="5"/>
  <c r="R131" i="5" s="1"/>
  <c r="O131" i="5"/>
  <c r="Q131" i="5" s="1"/>
  <c r="S131" i="5" s="1"/>
  <c r="P150" i="5"/>
  <c r="R150" i="5" s="1"/>
  <c r="I150" i="5"/>
  <c r="O150" i="5"/>
  <c r="Q150" i="5" s="1"/>
  <c r="S150" i="5" s="1"/>
  <c r="I137" i="5"/>
  <c r="P137" i="5"/>
  <c r="R137" i="5" s="1"/>
  <c r="O137" i="5"/>
  <c r="Q137" i="5" s="1"/>
  <c r="I121" i="5"/>
  <c r="P121" i="5"/>
  <c r="R121" i="5" s="1"/>
  <c r="O121" i="5"/>
  <c r="Q121" i="5" s="1"/>
  <c r="O165" i="5"/>
  <c r="Q165" i="5" s="1"/>
  <c r="S165" i="5" s="1"/>
  <c r="I165" i="5"/>
  <c r="P165" i="5"/>
  <c r="R165" i="5" s="1"/>
  <c r="O187" i="5"/>
  <c r="Q187" i="5" s="1"/>
  <c r="S187" i="5" s="1"/>
  <c r="P187" i="5"/>
  <c r="R187" i="5" s="1"/>
  <c r="I187" i="5"/>
  <c r="I201" i="5"/>
  <c r="P201" i="5"/>
  <c r="R201" i="5" s="1"/>
  <c r="O201" i="5"/>
  <c r="Q201" i="5" s="1"/>
  <c r="S201" i="5" s="1"/>
  <c r="P68" i="5"/>
  <c r="R68" i="5" s="1"/>
  <c r="O68" i="5"/>
  <c r="Q68" i="5" s="1"/>
  <c r="I68" i="5"/>
  <c r="P12" i="5"/>
  <c r="R12" i="5" s="1"/>
  <c r="I12" i="5"/>
  <c r="O12" i="5"/>
  <c r="Q12" i="5" s="1"/>
  <c r="S12" i="5" s="1"/>
  <c r="I59" i="5"/>
  <c r="O59" i="5"/>
  <c r="Q59" i="5" s="1"/>
  <c r="P59" i="5"/>
  <c r="R59" i="5" s="1"/>
  <c r="P37" i="5"/>
  <c r="R37" i="5" s="1"/>
  <c r="O37" i="5"/>
  <c r="Q37" i="5" s="1"/>
  <c r="I37" i="5"/>
  <c r="I91" i="5"/>
  <c r="P91" i="5"/>
  <c r="R91" i="5" s="1"/>
  <c r="O91" i="5"/>
  <c r="Q91" i="5" s="1"/>
  <c r="J17" i="5"/>
  <c r="L17" i="5"/>
  <c r="K17" i="5"/>
  <c r="M17" i="5"/>
  <c r="S24" i="5"/>
  <c r="I199" i="5"/>
  <c r="P199" i="5"/>
  <c r="R199" i="5" s="1"/>
  <c r="O199" i="5"/>
  <c r="Q199" i="5" s="1"/>
  <c r="I205" i="5"/>
  <c r="P205" i="5"/>
  <c r="R205" i="5" s="1"/>
  <c r="O205" i="5"/>
  <c r="Q205" i="5" s="1"/>
  <c r="I206" i="5"/>
  <c r="O206" i="5"/>
  <c r="Q206" i="5" s="1"/>
  <c r="S206" i="5" s="1"/>
  <c r="P206" i="5"/>
  <c r="R206" i="5" s="1"/>
  <c r="I189" i="5"/>
  <c r="O189" i="5"/>
  <c r="Q189" i="5" s="1"/>
  <c r="P189" i="5"/>
  <c r="R189" i="5" s="1"/>
  <c r="I198" i="5"/>
  <c r="O198" i="5"/>
  <c r="Q198" i="5" s="1"/>
  <c r="S198" i="5" s="1"/>
  <c r="P198" i="5"/>
  <c r="R198" i="5" s="1"/>
  <c r="P158" i="5"/>
  <c r="R158" i="5" s="1"/>
  <c r="O158" i="5"/>
  <c r="Q158" i="5" s="1"/>
  <c r="I158" i="5"/>
  <c r="I164" i="5"/>
  <c r="P164" i="5"/>
  <c r="R164" i="5" s="1"/>
  <c r="O164" i="5"/>
  <c r="Q164" i="5" s="1"/>
  <c r="S164" i="5" s="1"/>
  <c r="O143" i="5"/>
  <c r="Q143" i="5" s="1"/>
  <c r="S143" i="5" s="1"/>
  <c r="P143" i="5"/>
  <c r="R143" i="5" s="1"/>
  <c r="I143" i="5"/>
  <c r="I141" i="5"/>
  <c r="P141" i="5"/>
  <c r="R141" i="5" s="1"/>
  <c r="O141" i="5"/>
  <c r="Q141" i="5" s="1"/>
  <c r="I60" i="5"/>
  <c r="P60" i="5"/>
  <c r="R60" i="5" s="1"/>
  <c r="O60" i="5"/>
  <c r="Q60" i="5" s="1"/>
  <c r="S60" i="5" s="1"/>
  <c r="I52" i="5"/>
  <c r="P52" i="5"/>
  <c r="R52" i="5" s="1"/>
  <c r="O52" i="5"/>
  <c r="Q52" i="5" s="1"/>
  <c r="P14" i="5"/>
  <c r="R14" i="5" s="1"/>
  <c r="I14" i="5"/>
  <c r="O14" i="5"/>
  <c r="Q14" i="5" s="1"/>
  <c r="S14" i="5" s="1"/>
  <c r="O64" i="5"/>
  <c r="Q64" i="5" s="1"/>
  <c r="P64" i="5"/>
  <c r="R64" i="5" s="1"/>
  <c r="I64" i="5"/>
  <c r="I96" i="5"/>
  <c r="P96" i="5"/>
  <c r="R96" i="5" s="1"/>
  <c r="O96" i="5"/>
  <c r="Q96" i="5" s="1"/>
  <c r="P105" i="5"/>
  <c r="R105" i="5" s="1"/>
  <c r="O105" i="5"/>
  <c r="Q105" i="5" s="1"/>
  <c r="S105" i="5" s="1"/>
  <c r="I105" i="5"/>
  <c r="I147" i="5"/>
  <c r="O147" i="5"/>
  <c r="Q147" i="5" s="1"/>
  <c r="S147" i="5" s="1"/>
  <c r="P147" i="5"/>
  <c r="R147" i="5" s="1"/>
  <c r="P166" i="5"/>
  <c r="R166" i="5" s="1"/>
  <c r="O166" i="5"/>
  <c r="Q166" i="5" s="1"/>
  <c r="I166" i="5"/>
  <c r="I204" i="5"/>
  <c r="P204" i="5"/>
  <c r="R204" i="5" s="1"/>
  <c r="O204" i="5"/>
  <c r="Q204" i="5" s="1"/>
  <c r="S204" i="5" s="1"/>
  <c r="O171" i="5"/>
  <c r="Q171" i="5" s="1"/>
  <c r="S171" i="5" s="1"/>
  <c r="P171" i="5"/>
  <c r="R171" i="5" s="1"/>
  <c r="I171" i="5"/>
  <c r="I202" i="5"/>
  <c r="P202" i="5"/>
  <c r="R202" i="5" s="1"/>
  <c r="O202" i="5"/>
  <c r="Q202" i="5" s="1"/>
  <c r="S202" i="5" s="1"/>
  <c r="I51" i="5"/>
  <c r="P51" i="5"/>
  <c r="R51" i="5" s="1"/>
  <c r="O51" i="5"/>
  <c r="Q51" i="5" s="1"/>
  <c r="O92" i="5"/>
  <c r="Q92" i="5" s="1"/>
  <c r="P92" i="5"/>
  <c r="R92" i="5" s="1"/>
  <c r="I92" i="5"/>
  <c r="M33" i="5"/>
  <c r="J33" i="5"/>
  <c r="L33" i="5"/>
  <c r="K33" i="5"/>
  <c r="J10" i="5"/>
  <c r="L10" i="5"/>
  <c r="K10" i="5"/>
  <c r="M10" i="5"/>
  <c r="N30" i="5"/>
  <c r="T30" i="5" s="1"/>
  <c r="S55" i="6" l="1"/>
  <c r="L204" i="6"/>
  <c r="K204" i="6"/>
  <c r="J204" i="6"/>
  <c r="N204" i="6" s="1"/>
  <c r="T204" i="6" s="1"/>
  <c r="M204" i="6"/>
  <c r="K121" i="6"/>
  <c r="J121" i="6"/>
  <c r="N121" i="6" s="1"/>
  <c r="T121" i="6" s="1"/>
  <c r="L121" i="6"/>
  <c r="M121" i="6"/>
  <c r="M32" i="6"/>
  <c r="L32" i="6"/>
  <c r="K32" i="6"/>
  <c r="J32" i="6"/>
  <c r="S193" i="6"/>
  <c r="J186" i="6"/>
  <c r="N186" i="6" s="1"/>
  <c r="T186" i="6" s="1"/>
  <c r="M186" i="6"/>
  <c r="K186" i="6"/>
  <c r="L186" i="6"/>
  <c r="M64" i="6"/>
  <c r="L64" i="6"/>
  <c r="K64" i="6"/>
  <c r="J64" i="6"/>
  <c r="S133" i="6"/>
  <c r="L70" i="6"/>
  <c r="J70" i="6"/>
  <c r="M70" i="6"/>
  <c r="K70" i="6"/>
  <c r="L60" i="6"/>
  <c r="K60" i="6"/>
  <c r="J60" i="6"/>
  <c r="M60" i="6"/>
  <c r="S158" i="6"/>
  <c r="S51" i="6"/>
  <c r="M137" i="6"/>
  <c r="K137" i="6"/>
  <c r="J137" i="6"/>
  <c r="L137" i="6"/>
  <c r="M105" i="6"/>
  <c r="L105" i="6"/>
  <c r="K105" i="6"/>
  <c r="J105" i="6"/>
  <c r="M146" i="6"/>
  <c r="K146" i="6"/>
  <c r="J146" i="6"/>
  <c r="L146" i="6"/>
  <c r="S129" i="6"/>
  <c r="S196" i="6"/>
  <c r="S155" i="6"/>
  <c r="M126" i="6"/>
  <c r="K126" i="6"/>
  <c r="L126" i="6"/>
  <c r="J126" i="6"/>
  <c r="S147" i="6"/>
  <c r="S191" i="6"/>
  <c r="M48" i="6"/>
  <c r="L48" i="6"/>
  <c r="K48" i="6"/>
  <c r="J48" i="6"/>
  <c r="S179" i="6"/>
  <c r="S154" i="6"/>
  <c r="S95" i="6"/>
  <c r="S119" i="6"/>
  <c r="S150" i="6"/>
  <c r="K183" i="6"/>
  <c r="L183" i="6"/>
  <c r="M183" i="6"/>
  <c r="J183" i="6"/>
  <c r="M162" i="6"/>
  <c r="K162" i="6"/>
  <c r="L162" i="6"/>
  <c r="J162" i="6"/>
  <c r="N162" i="6" s="1"/>
  <c r="T162" i="6" s="1"/>
  <c r="S47" i="6"/>
  <c r="L57" i="6"/>
  <c r="K57" i="6"/>
  <c r="J57" i="6"/>
  <c r="M57" i="6"/>
  <c r="J61" i="6"/>
  <c r="M61" i="6"/>
  <c r="L61" i="6"/>
  <c r="K61" i="6"/>
  <c r="S134" i="6"/>
  <c r="L136" i="6"/>
  <c r="M136" i="6"/>
  <c r="K136" i="6"/>
  <c r="J136" i="6"/>
  <c r="J151" i="6"/>
  <c r="L151" i="6"/>
  <c r="M151" i="6"/>
  <c r="K151" i="6"/>
  <c r="S30" i="6"/>
  <c r="J50" i="6"/>
  <c r="M50" i="6"/>
  <c r="L50" i="6"/>
  <c r="K50" i="6"/>
  <c r="M34" i="6"/>
  <c r="L34" i="6"/>
  <c r="K34" i="6"/>
  <c r="J34" i="6"/>
  <c r="J82" i="6"/>
  <c r="M82" i="6"/>
  <c r="L82" i="6"/>
  <c r="K82" i="6"/>
  <c r="S187" i="6"/>
  <c r="M100" i="6"/>
  <c r="L100" i="6"/>
  <c r="K100" i="6"/>
  <c r="J100" i="6"/>
  <c r="L181" i="6"/>
  <c r="J181" i="6"/>
  <c r="M181" i="6"/>
  <c r="K181" i="6"/>
  <c r="M75" i="6"/>
  <c r="L75" i="6"/>
  <c r="K75" i="6"/>
  <c r="J75" i="6"/>
  <c r="M72" i="6"/>
  <c r="K72" i="6"/>
  <c r="J72" i="6"/>
  <c r="L72" i="6"/>
  <c r="K143" i="6"/>
  <c r="M143" i="6"/>
  <c r="J143" i="6"/>
  <c r="N143" i="6" s="1"/>
  <c r="L143" i="6"/>
  <c r="M185" i="6"/>
  <c r="J185" i="6"/>
  <c r="L185" i="6"/>
  <c r="K185" i="6"/>
  <c r="K161" i="6"/>
  <c r="L161" i="6"/>
  <c r="M161" i="6"/>
  <c r="J161" i="6"/>
  <c r="M112" i="6"/>
  <c r="K112" i="6"/>
  <c r="J112" i="6"/>
  <c r="L112" i="6"/>
  <c r="M53" i="6"/>
  <c r="K53" i="6"/>
  <c r="J53" i="6"/>
  <c r="N53" i="6" s="1"/>
  <c r="T53" i="6" s="1"/>
  <c r="L53" i="6"/>
  <c r="K98" i="6"/>
  <c r="J98" i="6"/>
  <c r="M98" i="6"/>
  <c r="L98" i="6"/>
  <c r="M108" i="6"/>
  <c r="L108" i="6"/>
  <c r="K108" i="6"/>
  <c r="J108" i="6"/>
  <c r="L77" i="6"/>
  <c r="K77" i="6"/>
  <c r="J77" i="6"/>
  <c r="M77" i="6"/>
  <c r="K73" i="6"/>
  <c r="M73" i="6"/>
  <c r="L73" i="6"/>
  <c r="J73" i="6"/>
  <c r="K28" i="6"/>
  <c r="J28" i="6"/>
  <c r="M28" i="6"/>
  <c r="L28" i="6"/>
  <c r="M67" i="6"/>
  <c r="L67" i="6"/>
  <c r="K67" i="6"/>
  <c r="J67" i="6"/>
  <c r="S61" i="6"/>
  <c r="M139" i="6"/>
  <c r="L139" i="6"/>
  <c r="J139" i="6"/>
  <c r="N139" i="6" s="1"/>
  <c r="T139" i="6" s="1"/>
  <c r="K139" i="6"/>
  <c r="S34" i="6"/>
  <c r="J109" i="6"/>
  <c r="N109" i="6" s="1"/>
  <c r="T109" i="6" s="1"/>
  <c r="K109" i="6"/>
  <c r="L109" i="6"/>
  <c r="M109" i="6"/>
  <c r="M29" i="6"/>
  <c r="L29" i="6"/>
  <c r="K29" i="6"/>
  <c r="J29" i="6"/>
  <c r="S110" i="6"/>
  <c r="M208" i="6"/>
  <c r="L208" i="6"/>
  <c r="K208" i="6"/>
  <c r="J208" i="6"/>
  <c r="K207" i="6"/>
  <c r="J207" i="6"/>
  <c r="L207" i="6"/>
  <c r="M207" i="6"/>
  <c r="M45" i="6"/>
  <c r="L45" i="6"/>
  <c r="K45" i="6"/>
  <c r="J45" i="6"/>
  <c r="S166" i="6"/>
  <c r="M193" i="6"/>
  <c r="L193" i="6"/>
  <c r="J193" i="6"/>
  <c r="K193" i="6"/>
  <c r="S174" i="6"/>
  <c r="M24" i="6"/>
  <c r="L24" i="6"/>
  <c r="K24" i="6"/>
  <c r="J24" i="6"/>
  <c r="S186" i="6"/>
  <c r="S125" i="6"/>
  <c r="K149" i="6"/>
  <c r="J149" i="6"/>
  <c r="N149" i="6" s="1"/>
  <c r="L149" i="6"/>
  <c r="M149" i="6"/>
  <c r="S114" i="6"/>
  <c r="J92" i="6"/>
  <c r="N92" i="6" s="1"/>
  <c r="T92" i="6" s="1"/>
  <c r="M92" i="6"/>
  <c r="L92" i="6"/>
  <c r="K92" i="6"/>
  <c r="M37" i="6"/>
  <c r="L37" i="6"/>
  <c r="K37" i="6"/>
  <c r="J37" i="6"/>
  <c r="N37" i="6" s="1"/>
  <c r="L158" i="6"/>
  <c r="K158" i="6"/>
  <c r="M158" i="6"/>
  <c r="J158" i="6"/>
  <c r="L196" i="6"/>
  <c r="K196" i="6"/>
  <c r="M196" i="6"/>
  <c r="J196" i="6"/>
  <c r="N196" i="6" s="1"/>
  <c r="T196" i="6" s="1"/>
  <c r="S180" i="6"/>
  <c r="J17" i="6"/>
  <c r="M17" i="6"/>
  <c r="L17" i="6"/>
  <c r="K17" i="6"/>
  <c r="K190" i="6"/>
  <c r="L190" i="6"/>
  <c r="J190" i="6"/>
  <c r="N190" i="6" s="1"/>
  <c r="T190" i="6" s="1"/>
  <c r="M190" i="6"/>
  <c r="S48" i="6"/>
  <c r="L86" i="6"/>
  <c r="K86" i="6"/>
  <c r="M86" i="6"/>
  <c r="J86" i="6"/>
  <c r="K95" i="6"/>
  <c r="J95" i="6"/>
  <c r="N95" i="6" s="1"/>
  <c r="T95" i="6" s="1"/>
  <c r="M95" i="6"/>
  <c r="L95" i="6"/>
  <c r="S152" i="6"/>
  <c r="S201" i="6"/>
  <c r="N11" i="6"/>
  <c r="T11" i="6" s="1"/>
  <c r="M47" i="6"/>
  <c r="L47" i="6"/>
  <c r="K47" i="6"/>
  <c r="J47" i="6"/>
  <c r="S73" i="6"/>
  <c r="S202" i="6"/>
  <c r="L172" i="6"/>
  <c r="M172" i="6"/>
  <c r="K172" i="6"/>
  <c r="J172" i="6"/>
  <c r="L142" i="6"/>
  <c r="J142" i="6"/>
  <c r="K142" i="6"/>
  <c r="M142" i="6"/>
  <c r="S205" i="6"/>
  <c r="J194" i="6"/>
  <c r="M194" i="6"/>
  <c r="K194" i="6"/>
  <c r="L194" i="6"/>
  <c r="K30" i="6"/>
  <c r="J30" i="6"/>
  <c r="M30" i="6"/>
  <c r="L30" i="6"/>
  <c r="S52" i="6"/>
  <c r="L111" i="6"/>
  <c r="K111" i="6"/>
  <c r="J111" i="6"/>
  <c r="N111" i="6" s="1"/>
  <c r="T111" i="6" s="1"/>
  <c r="M111" i="6"/>
  <c r="M96" i="6"/>
  <c r="L96" i="6"/>
  <c r="K96" i="6"/>
  <c r="J96" i="6"/>
  <c r="N96" i="6" s="1"/>
  <c r="T96" i="6" s="1"/>
  <c r="M163" i="6"/>
  <c r="L163" i="6"/>
  <c r="K163" i="6"/>
  <c r="J163" i="6"/>
  <c r="K169" i="6"/>
  <c r="L169" i="6"/>
  <c r="J169" i="6"/>
  <c r="M169" i="6"/>
  <c r="S208" i="6"/>
  <c r="K153" i="6"/>
  <c r="M153" i="6"/>
  <c r="L153" i="6"/>
  <c r="J153" i="6"/>
  <c r="J55" i="6"/>
  <c r="L55" i="6"/>
  <c r="K55" i="6"/>
  <c r="M55" i="6"/>
  <c r="M20" i="6"/>
  <c r="L20" i="6"/>
  <c r="K20" i="6"/>
  <c r="J20" i="6"/>
  <c r="S45" i="6"/>
  <c r="L27" i="6"/>
  <c r="K27" i="6"/>
  <c r="M27" i="6"/>
  <c r="J27" i="6"/>
  <c r="N27" i="6" s="1"/>
  <c r="T27" i="6" s="1"/>
  <c r="L166" i="6"/>
  <c r="M166" i="6"/>
  <c r="K166" i="6"/>
  <c r="J166" i="6"/>
  <c r="S123" i="6"/>
  <c r="S88" i="6"/>
  <c r="K170" i="6"/>
  <c r="J170" i="6"/>
  <c r="M170" i="6"/>
  <c r="L170" i="6"/>
  <c r="J138" i="6"/>
  <c r="L138" i="6"/>
  <c r="M138" i="6"/>
  <c r="K138" i="6"/>
  <c r="K174" i="6"/>
  <c r="M174" i="6"/>
  <c r="L174" i="6"/>
  <c r="J174" i="6"/>
  <c r="S24" i="6"/>
  <c r="S22" i="6"/>
  <c r="K125" i="6"/>
  <c r="M125" i="6"/>
  <c r="L125" i="6"/>
  <c r="J125" i="6"/>
  <c r="N125" i="6" s="1"/>
  <c r="T125" i="6" s="1"/>
  <c r="S115" i="6"/>
  <c r="S149" i="6"/>
  <c r="L171" i="6"/>
  <c r="K171" i="6"/>
  <c r="J171" i="6"/>
  <c r="M171" i="6"/>
  <c r="K114" i="6"/>
  <c r="J114" i="6"/>
  <c r="M114" i="6"/>
  <c r="L114" i="6"/>
  <c r="S25" i="6"/>
  <c r="S36" i="6"/>
  <c r="L49" i="6"/>
  <c r="K49" i="6"/>
  <c r="J49" i="6"/>
  <c r="N49" i="6" s="1"/>
  <c r="T49" i="6" s="1"/>
  <c r="M49" i="6"/>
  <c r="S37" i="6"/>
  <c r="J128" i="6"/>
  <c r="N128" i="6" s="1"/>
  <c r="K128" i="6"/>
  <c r="M128" i="6"/>
  <c r="L128" i="6"/>
  <c r="K106" i="6"/>
  <c r="J106" i="6"/>
  <c r="M106" i="6"/>
  <c r="L106" i="6"/>
  <c r="M113" i="6"/>
  <c r="L113" i="6"/>
  <c r="J113" i="6"/>
  <c r="K113" i="6"/>
  <c r="L173" i="6"/>
  <c r="K173" i="6"/>
  <c r="J173" i="6"/>
  <c r="M173" i="6"/>
  <c r="S176" i="6"/>
  <c r="L180" i="6"/>
  <c r="M180" i="6"/>
  <c r="J180" i="6"/>
  <c r="K180" i="6"/>
  <c r="S17" i="6"/>
  <c r="H211" i="6"/>
  <c r="I9" i="6"/>
  <c r="P9" i="6"/>
  <c r="O9" i="6"/>
  <c r="L195" i="6"/>
  <c r="K195" i="6"/>
  <c r="J195" i="6"/>
  <c r="M195" i="6"/>
  <c r="L130" i="6"/>
  <c r="J130" i="6"/>
  <c r="N130" i="6" s="1"/>
  <c r="T130" i="6" s="1"/>
  <c r="M130" i="6"/>
  <c r="K130" i="6"/>
  <c r="K135" i="6"/>
  <c r="J135" i="6"/>
  <c r="L135" i="6"/>
  <c r="M135" i="6"/>
  <c r="L122" i="6"/>
  <c r="J122" i="6"/>
  <c r="N122" i="6" s="1"/>
  <c r="T122" i="6" s="1"/>
  <c r="K122" i="6"/>
  <c r="M122" i="6"/>
  <c r="K69" i="6"/>
  <c r="J69" i="6"/>
  <c r="M69" i="6"/>
  <c r="L69" i="6"/>
  <c r="K132" i="6"/>
  <c r="L132" i="6"/>
  <c r="M132" i="6"/>
  <c r="J132" i="6"/>
  <c r="M59" i="6"/>
  <c r="L59" i="6"/>
  <c r="K59" i="6"/>
  <c r="J59" i="6"/>
  <c r="N59" i="6" s="1"/>
  <c r="T59" i="6" s="1"/>
  <c r="M16" i="6"/>
  <c r="J16" i="6"/>
  <c r="N16" i="6" s="1"/>
  <c r="T16" i="6" s="1"/>
  <c r="L16" i="6"/>
  <c r="K16" i="6"/>
  <c r="M44" i="6"/>
  <c r="L44" i="6"/>
  <c r="K44" i="6"/>
  <c r="J44" i="6"/>
  <c r="N44" i="6" s="1"/>
  <c r="T44" i="6" s="1"/>
  <c r="L167" i="6"/>
  <c r="K167" i="6"/>
  <c r="J167" i="6"/>
  <c r="M167" i="6"/>
  <c r="M54" i="6"/>
  <c r="L54" i="6"/>
  <c r="K54" i="6"/>
  <c r="J54" i="6"/>
  <c r="N54" i="6" s="1"/>
  <c r="S140" i="6"/>
  <c r="J123" i="6"/>
  <c r="N123" i="6" s="1"/>
  <c r="T123" i="6" s="1"/>
  <c r="K123" i="6"/>
  <c r="M123" i="6"/>
  <c r="L123" i="6"/>
  <c r="N19" i="6"/>
  <c r="T19" i="6" s="1"/>
  <c r="K22" i="6"/>
  <c r="L22" i="6"/>
  <c r="J22" i="6"/>
  <c r="M22" i="6"/>
  <c r="M165" i="6"/>
  <c r="L165" i="6"/>
  <c r="K165" i="6"/>
  <c r="J165" i="6"/>
  <c r="M107" i="6"/>
  <c r="L107" i="6"/>
  <c r="K107" i="6"/>
  <c r="J107" i="6"/>
  <c r="N107" i="6" s="1"/>
  <c r="T107" i="6" s="1"/>
  <c r="J33" i="6"/>
  <c r="N33" i="6" s="1"/>
  <c r="T33" i="6" s="1"/>
  <c r="K33" i="6"/>
  <c r="M33" i="6"/>
  <c r="L33" i="6"/>
  <c r="K117" i="6"/>
  <c r="L117" i="6"/>
  <c r="M117" i="6"/>
  <c r="J117" i="6"/>
  <c r="N117" i="6" s="1"/>
  <c r="T117" i="6" s="1"/>
  <c r="J25" i="6"/>
  <c r="N25" i="6" s="1"/>
  <c r="T25" i="6" s="1"/>
  <c r="M25" i="6"/>
  <c r="L25" i="6"/>
  <c r="K25" i="6"/>
  <c r="J68" i="6"/>
  <c r="M68" i="6"/>
  <c r="L68" i="6"/>
  <c r="K68" i="6"/>
  <c r="K159" i="6"/>
  <c r="L159" i="6"/>
  <c r="M159" i="6"/>
  <c r="J159" i="6"/>
  <c r="M74" i="6"/>
  <c r="L74" i="6"/>
  <c r="K74" i="6"/>
  <c r="J74" i="6"/>
  <c r="N74" i="6" s="1"/>
  <c r="T74" i="6" s="1"/>
  <c r="J41" i="6"/>
  <c r="N41" i="6" s="1"/>
  <c r="T41" i="6" s="1"/>
  <c r="K41" i="6"/>
  <c r="M41" i="6"/>
  <c r="L41" i="6"/>
  <c r="M176" i="6"/>
  <c r="K176" i="6"/>
  <c r="L176" i="6"/>
  <c r="J176" i="6"/>
  <c r="N176" i="6" s="1"/>
  <c r="T176" i="6" s="1"/>
  <c r="J84" i="6"/>
  <c r="N84" i="6" s="1"/>
  <c r="T84" i="6" s="1"/>
  <c r="M84" i="6"/>
  <c r="L84" i="6"/>
  <c r="K84" i="6"/>
  <c r="K175" i="6"/>
  <c r="L175" i="6"/>
  <c r="M175" i="6"/>
  <c r="J175" i="6"/>
  <c r="N175" i="6" s="1"/>
  <c r="T175" i="6" s="1"/>
  <c r="M85" i="6"/>
  <c r="L85" i="6"/>
  <c r="K85" i="6"/>
  <c r="J85" i="6"/>
  <c r="L116" i="6"/>
  <c r="M116" i="6"/>
  <c r="J116" i="6"/>
  <c r="K116" i="6"/>
  <c r="M152" i="6"/>
  <c r="J152" i="6"/>
  <c r="K152" i="6"/>
  <c r="L152" i="6"/>
  <c r="M201" i="6"/>
  <c r="L201" i="6"/>
  <c r="K201" i="6"/>
  <c r="J201" i="6"/>
  <c r="N201" i="6" s="1"/>
  <c r="T201" i="6" s="1"/>
  <c r="J202" i="6"/>
  <c r="N202" i="6" s="1"/>
  <c r="T202" i="6" s="1"/>
  <c r="M202" i="6"/>
  <c r="K202" i="6"/>
  <c r="L202" i="6"/>
  <c r="M18" i="6"/>
  <c r="L18" i="6"/>
  <c r="K18" i="6"/>
  <c r="J18" i="6"/>
  <c r="N18" i="6" s="1"/>
  <c r="T18" i="6" s="1"/>
  <c r="M205" i="6"/>
  <c r="L205" i="6"/>
  <c r="J205" i="6"/>
  <c r="K205" i="6"/>
  <c r="N10" i="6"/>
  <c r="T10" i="6" s="1"/>
  <c r="N43" i="6"/>
  <c r="T43" i="6" s="1"/>
  <c r="J99" i="6"/>
  <c r="K99" i="6"/>
  <c r="M99" i="6"/>
  <c r="L99" i="6"/>
  <c r="K52" i="6"/>
  <c r="J52" i="6"/>
  <c r="M52" i="6"/>
  <c r="L52" i="6"/>
  <c r="S148" i="6"/>
  <c r="M102" i="6"/>
  <c r="L102" i="6"/>
  <c r="K102" i="6"/>
  <c r="J102" i="6"/>
  <c r="M177" i="6"/>
  <c r="J177" i="6"/>
  <c r="L177" i="6"/>
  <c r="K177" i="6"/>
  <c r="N39" i="6"/>
  <c r="T39" i="6" s="1"/>
  <c r="S54" i="6"/>
  <c r="S14" i="6"/>
  <c r="L140" i="6"/>
  <c r="J140" i="6"/>
  <c r="K140" i="6"/>
  <c r="M140" i="6"/>
  <c r="L94" i="6"/>
  <c r="K94" i="6"/>
  <c r="M94" i="6"/>
  <c r="J94" i="6"/>
  <c r="M88" i="6"/>
  <c r="J88" i="6"/>
  <c r="L88" i="6"/>
  <c r="K88" i="6"/>
  <c r="M56" i="6"/>
  <c r="L56" i="6"/>
  <c r="K56" i="6"/>
  <c r="J56" i="6"/>
  <c r="S165" i="6"/>
  <c r="S107" i="6"/>
  <c r="K38" i="6"/>
  <c r="J38" i="6"/>
  <c r="M38" i="6"/>
  <c r="L38" i="6"/>
  <c r="M115" i="6"/>
  <c r="K115" i="6"/>
  <c r="J115" i="6"/>
  <c r="L115" i="6"/>
  <c r="S117" i="6"/>
  <c r="L188" i="6"/>
  <c r="M188" i="6"/>
  <c r="K188" i="6"/>
  <c r="J188" i="6"/>
  <c r="N15" i="6"/>
  <c r="T15" i="6" s="1"/>
  <c r="S62" i="6"/>
  <c r="M36" i="6"/>
  <c r="L36" i="6"/>
  <c r="K36" i="6"/>
  <c r="J36" i="6"/>
  <c r="N36" i="6" s="1"/>
  <c r="T36" i="6" s="1"/>
  <c r="J164" i="6"/>
  <c r="N164" i="6" s="1"/>
  <c r="T164" i="6" s="1"/>
  <c r="M164" i="6"/>
  <c r="L164" i="6"/>
  <c r="K164" i="6"/>
  <c r="S128" i="6"/>
  <c r="M192" i="6"/>
  <c r="L192" i="6"/>
  <c r="K192" i="6"/>
  <c r="J192" i="6"/>
  <c r="N192" i="6" s="1"/>
  <c r="T192" i="6" s="1"/>
  <c r="M118" i="6"/>
  <c r="K118" i="6"/>
  <c r="L118" i="6"/>
  <c r="J118" i="6"/>
  <c r="K182" i="6"/>
  <c r="L182" i="6"/>
  <c r="J182" i="6"/>
  <c r="M182" i="6"/>
  <c r="S74" i="6"/>
  <c r="M203" i="6"/>
  <c r="L203" i="6"/>
  <c r="K203" i="6"/>
  <c r="J203" i="6"/>
  <c r="N203" i="6" s="1"/>
  <c r="S101" i="6"/>
  <c r="K131" i="6"/>
  <c r="M131" i="6"/>
  <c r="L131" i="6"/>
  <c r="J131" i="6"/>
  <c r="S175" i="6"/>
  <c r="M66" i="6"/>
  <c r="L66" i="6"/>
  <c r="K66" i="6"/>
  <c r="J66" i="6"/>
  <c r="N66" i="6" s="1"/>
  <c r="T66" i="6" s="1"/>
  <c r="M31" i="6"/>
  <c r="L31" i="6"/>
  <c r="K31" i="6"/>
  <c r="J31" i="6"/>
  <c r="S12" i="6"/>
  <c r="S195" i="6"/>
  <c r="L157" i="6"/>
  <c r="J157" i="6"/>
  <c r="K157" i="6"/>
  <c r="M157" i="6"/>
  <c r="S13" i="6"/>
  <c r="S85" i="6"/>
  <c r="S116" i="6"/>
  <c r="S184" i="6"/>
  <c r="M197" i="6"/>
  <c r="L197" i="6"/>
  <c r="J197" i="6"/>
  <c r="N197" i="6" s="1"/>
  <c r="T197" i="6" s="1"/>
  <c r="K197" i="6"/>
  <c r="S79" i="6"/>
  <c r="L35" i="6"/>
  <c r="K35" i="6"/>
  <c r="J35" i="6"/>
  <c r="M35" i="6"/>
  <c r="J156" i="6"/>
  <c r="L156" i="6"/>
  <c r="K156" i="6"/>
  <c r="M156" i="6"/>
  <c r="L97" i="6"/>
  <c r="K97" i="6"/>
  <c r="J97" i="6"/>
  <c r="M97" i="6"/>
  <c r="S141" i="6"/>
  <c r="S199" i="6"/>
  <c r="L90" i="6"/>
  <c r="K90" i="6"/>
  <c r="J90" i="6"/>
  <c r="M90" i="6"/>
  <c r="M87" i="6"/>
  <c r="L87" i="6"/>
  <c r="K87" i="6"/>
  <c r="J87" i="6"/>
  <c r="N87" i="6" s="1"/>
  <c r="T87" i="6" s="1"/>
  <c r="S99" i="6"/>
  <c r="S71" i="6"/>
  <c r="L21" i="6"/>
  <c r="K21" i="6"/>
  <c r="J21" i="6"/>
  <c r="M21" i="6"/>
  <c r="J148" i="6"/>
  <c r="M148" i="6"/>
  <c r="K148" i="6"/>
  <c r="L148" i="6"/>
  <c r="K65" i="6"/>
  <c r="M65" i="6"/>
  <c r="L65" i="6"/>
  <c r="J65" i="6"/>
  <c r="N65" i="6" s="1"/>
  <c r="T65" i="6" s="1"/>
  <c r="L78" i="6"/>
  <c r="K78" i="6"/>
  <c r="M78" i="6"/>
  <c r="J78" i="6"/>
  <c r="J160" i="6"/>
  <c r="M160" i="6"/>
  <c r="K160" i="6"/>
  <c r="L160" i="6"/>
  <c r="K168" i="6"/>
  <c r="J168" i="6"/>
  <c r="N168" i="6" s="1"/>
  <c r="T168" i="6" s="1"/>
  <c r="M168" i="6"/>
  <c r="L168" i="6"/>
  <c r="M93" i="6"/>
  <c r="L93" i="6"/>
  <c r="K93" i="6"/>
  <c r="J93" i="6"/>
  <c r="N93" i="6" s="1"/>
  <c r="T93" i="6" s="1"/>
  <c r="L124" i="6"/>
  <c r="K124" i="6"/>
  <c r="J124" i="6"/>
  <c r="M124" i="6"/>
  <c r="M80" i="6"/>
  <c r="L80" i="6"/>
  <c r="K80" i="6"/>
  <c r="J80" i="6"/>
  <c r="N80" i="6" s="1"/>
  <c r="J58" i="6"/>
  <c r="M58" i="6"/>
  <c r="L58" i="6"/>
  <c r="K58" i="6"/>
  <c r="J76" i="6"/>
  <c r="M76" i="6"/>
  <c r="L76" i="6"/>
  <c r="K76" i="6"/>
  <c r="N83" i="6"/>
  <c r="T83" i="6" s="1"/>
  <c r="M40" i="6"/>
  <c r="L40" i="6"/>
  <c r="K40" i="6"/>
  <c r="J40" i="6"/>
  <c r="K89" i="6"/>
  <c r="J89" i="6"/>
  <c r="L89" i="6"/>
  <c r="M89" i="6"/>
  <c r="K42" i="6"/>
  <c r="J42" i="6"/>
  <c r="M42" i="6"/>
  <c r="L42" i="6"/>
  <c r="L129" i="6"/>
  <c r="M129" i="6"/>
  <c r="K129" i="6"/>
  <c r="J129" i="6"/>
  <c r="N129" i="6" s="1"/>
  <c r="T129" i="6" s="1"/>
  <c r="J101" i="6"/>
  <c r="N101" i="6" s="1"/>
  <c r="T101" i="6" s="1"/>
  <c r="M101" i="6"/>
  <c r="L101" i="6"/>
  <c r="K101" i="6"/>
  <c r="M91" i="6"/>
  <c r="L91" i="6"/>
  <c r="K91" i="6"/>
  <c r="J91" i="6"/>
  <c r="N91" i="6" s="1"/>
  <c r="T91" i="6" s="1"/>
  <c r="S31" i="6"/>
  <c r="L179" i="6"/>
  <c r="J179" i="6"/>
  <c r="M179" i="6"/>
  <c r="K179" i="6"/>
  <c r="M119" i="6"/>
  <c r="L119" i="6"/>
  <c r="J119" i="6"/>
  <c r="K119" i="6"/>
  <c r="M184" i="6"/>
  <c r="K184" i="6"/>
  <c r="L184" i="6"/>
  <c r="J184" i="6"/>
  <c r="L46" i="6"/>
  <c r="K46" i="6"/>
  <c r="J46" i="6"/>
  <c r="M46" i="6"/>
  <c r="M63" i="6"/>
  <c r="L63" i="6"/>
  <c r="K63" i="6"/>
  <c r="J63" i="6"/>
  <c r="T23" i="6"/>
  <c r="K104" i="6"/>
  <c r="J104" i="6"/>
  <c r="M104" i="6"/>
  <c r="L104" i="6"/>
  <c r="J178" i="6"/>
  <c r="M178" i="6"/>
  <c r="K178" i="6"/>
  <c r="L178" i="6"/>
  <c r="L103" i="6"/>
  <c r="K103" i="6"/>
  <c r="M103" i="6"/>
  <c r="J103" i="6"/>
  <c r="L141" i="6"/>
  <c r="J141" i="6"/>
  <c r="K141" i="6"/>
  <c r="M141" i="6"/>
  <c r="L187" i="6"/>
  <c r="J187" i="6"/>
  <c r="K187" i="6"/>
  <c r="M187" i="6"/>
  <c r="M26" i="6"/>
  <c r="L26" i="6"/>
  <c r="K26" i="6"/>
  <c r="J26" i="6"/>
  <c r="N26" i="6" s="1"/>
  <c r="T26" i="6" s="1"/>
  <c r="K14" i="6"/>
  <c r="J14" i="6"/>
  <c r="L14" i="6"/>
  <c r="M14" i="6"/>
  <c r="K144" i="6"/>
  <c r="J144" i="6"/>
  <c r="L144" i="6"/>
  <c r="M144" i="6"/>
  <c r="M198" i="6"/>
  <c r="L198" i="6"/>
  <c r="K198" i="6"/>
  <c r="J198" i="6"/>
  <c r="S80" i="6"/>
  <c r="S72" i="6"/>
  <c r="S56" i="6"/>
  <c r="K145" i="6"/>
  <c r="L145" i="6"/>
  <c r="M145" i="6"/>
  <c r="J145" i="6"/>
  <c r="N145" i="6" s="1"/>
  <c r="T145" i="6" s="1"/>
  <c r="K81" i="6"/>
  <c r="J81" i="6"/>
  <c r="M81" i="6"/>
  <c r="L81" i="6"/>
  <c r="M133" i="6"/>
  <c r="K133" i="6"/>
  <c r="L133" i="6"/>
  <c r="J133" i="6"/>
  <c r="N133" i="6" s="1"/>
  <c r="T133" i="6" s="1"/>
  <c r="S143" i="6"/>
  <c r="M206" i="6"/>
  <c r="L206" i="6"/>
  <c r="K206" i="6"/>
  <c r="J206" i="6"/>
  <c r="N206" i="6" s="1"/>
  <c r="T206" i="6" s="1"/>
  <c r="S161" i="6"/>
  <c r="L62" i="6"/>
  <c r="M62" i="6"/>
  <c r="K62" i="6"/>
  <c r="J62" i="6"/>
  <c r="S112" i="6"/>
  <c r="S164" i="6"/>
  <c r="J120" i="6"/>
  <c r="M120" i="6"/>
  <c r="L120" i="6"/>
  <c r="K120" i="6"/>
  <c r="M51" i="6"/>
  <c r="L51" i="6"/>
  <c r="K51" i="6"/>
  <c r="J51" i="6"/>
  <c r="M200" i="6"/>
  <c r="L200" i="6"/>
  <c r="K200" i="6"/>
  <c r="J200" i="6"/>
  <c r="N200" i="6" s="1"/>
  <c r="T200" i="6" s="1"/>
  <c r="S98" i="6"/>
  <c r="S203" i="6"/>
  <c r="M127" i="6"/>
  <c r="K127" i="6"/>
  <c r="L127" i="6"/>
  <c r="J127" i="6"/>
  <c r="N127" i="6" s="1"/>
  <c r="T127" i="6" s="1"/>
  <c r="M155" i="6"/>
  <c r="L155" i="6"/>
  <c r="K155" i="6"/>
  <c r="J155" i="6"/>
  <c r="M147" i="6"/>
  <c r="L147" i="6"/>
  <c r="J147" i="6"/>
  <c r="K147" i="6"/>
  <c r="K191" i="6"/>
  <c r="L191" i="6"/>
  <c r="M191" i="6"/>
  <c r="J191" i="6"/>
  <c r="M12" i="6"/>
  <c r="L12" i="6"/>
  <c r="K12" i="6"/>
  <c r="J12" i="6"/>
  <c r="N12" i="6" s="1"/>
  <c r="T12" i="6" s="1"/>
  <c r="M154" i="6"/>
  <c r="L154" i="6"/>
  <c r="K154" i="6"/>
  <c r="J154" i="6"/>
  <c r="M13" i="6"/>
  <c r="L13" i="6"/>
  <c r="K13" i="6"/>
  <c r="J13" i="6"/>
  <c r="N13" i="6" s="1"/>
  <c r="T13" i="6" s="1"/>
  <c r="L150" i="6"/>
  <c r="J150" i="6"/>
  <c r="K150" i="6"/>
  <c r="M150" i="6"/>
  <c r="M79" i="6"/>
  <c r="L79" i="6"/>
  <c r="K79" i="6"/>
  <c r="J79" i="6"/>
  <c r="N79" i="6" s="1"/>
  <c r="T79" i="6" s="1"/>
  <c r="L134" i="6"/>
  <c r="K134" i="6"/>
  <c r="M134" i="6"/>
  <c r="J134" i="6"/>
  <c r="K199" i="6"/>
  <c r="J199" i="6"/>
  <c r="L199" i="6"/>
  <c r="M199" i="6"/>
  <c r="J71" i="6"/>
  <c r="K71" i="6"/>
  <c r="M71" i="6"/>
  <c r="L71" i="6"/>
  <c r="S100" i="6"/>
  <c r="M110" i="6"/>
  <c r="K110" i="6"/>
  <c r="L110" i="6"/>
  <c r="J110" i="6"/>
  <c r="N110" i="6" s="1"/>
  <c r="T110" i="6" s="1"/>
  <c r="L189" i="6"/>
  <c r="J189" i="6"/>
  <c r="N189" i="6" s="1"/>
  <c r="T189" i="6" s="1"/>
  <c r="M189" i="6"/>
  <c r="K189" i="6"/>
  <c r="L204" i="5"/>
  <c r="K204" i="5"/>
  <c r="J204" i="5"/>
  <c r="M204" i="5"/>
  <c r="K166" i="5"/>
  <c r="M166" i="5"/>
  <c r="L166" i="5"/>
  <c r="J166" i="5"/>
  <c r="N166" i="5" s="1"/>
  <c r="J14" i="5"/>
  <c r="M14" i="5"/>
  <c r="L14" i="5"/>
  <c r="K14" i="5"/>
  <c r="S141" i="5"/>
  <c r="L164" i="5"/>
  <c r="J164" i="5"/>
  <c r="M164" i="5"/>
  <c r="K164" i="5"/>
  <c r="S189" i="5"/>
  <c r="S199" i="5"/>
  <c r="S91" i="5"/>
  <c r="M59" i="5"/>
  <c r="L59" i="5"/>
  <c r="K59" i="5"/>
  <c r="J59" i="5"/>
  <c r="N59" i="5" s="1"/>
  <c r="S121" i="5"/>
  <c r="S86" i="5"/>
  <c r="S79" i="5"/>
  <c r="S34" i="5"/>
  <c r="S193" i="5"/>
  <c r="M120" i="5"/>
  <c r="L120" i="5"/>
  <c r="K120" i="5"/>
  <c r="J120" i="5"/>
  <c r="M132" i="5"/>
  <c r="L132" i="5"/>
  <c r="K132" i="5"/>
  <c r="J132" i="5"/>
  <c r="S95" i="5"/>
  <c r="S112" i="5"/>
  <c r="S128" i="5"/>
  <c r="S207" i="5"/>
  <c r="N31" i="5"/>
  <c r="T31" i="5" s="1"/>
  <c r="S29" i="5"/>
  <c r="L42" i="5"/>
  <c r="M42" i="5"/>
  <c r="K42" i="5"/>
  <c r="J42" i="5"/>
  <c r="N42" i="5" s="1"/>
  <c r="T42" i="5" s="1"/>
  <c r="K134" i="5"/>
  <c r="J134" i="5"/>
  <c r="M134" i="5"/>
  <c r="L134" i="5"/>
  <c r="M110" i="5"/>
  <c r="L110" i="5"/>
  <c r="K110" i="5"/>
  <c r="J110" i="5"/>
  <c r="N110" i="5" s="1"/>
  <c r="T110" i="5" s="1"/>
  <c r="M153" i="5"/>
  <c r="J153" i="5"/>
  <c r="L153" i="5"/>
  <c r="K153" i="5"/>
  <c r="M117" i="5"/>
  <c r="L117" i="5"/>
  <c r="K117" i="5"/>
  <c r="J117" i="5"/>
  <c r="N117" i="5" s="1"/>
  <c r="K161" i="5"/>
  <c r="M161" i="5"/>
  <c r="L161" i="5"/>
  <c r="J161" i="5"/>
  <c r="N41" i="5"/>
  <c r="T41" i="5" s="1"/>
  <c r="J47" i="5"/>
  <c r="M47" i="5"/>
  <c r="L47" i="5"/>
  <c r="K47" i="5"/>
  <c r="L16" i="5"/>
  <c r="J16" i="5"/>
  <c r="K16" i="5"/>
  <c r="M16" i="5"/>
  <c r="J129" i="5"/>
  <c r="M129" i="5"/>
  <c r="L129" i="5"/>
  <c r="K129" i="5"/>
  <c r="K28" i="5"/>
  <c r="M28" i="5"/>
  <c r="J28" i="5"/>
  <c r="L28" i="5"/>
  <c r="S66" i="5"/>
  <c r="S87" i="5"/>
  <c r="K139" i="5"/>
  <c r="L139" i="5"/>
  <c r="J139" i="5"/>
  <c r="M139" i="5"/>
  <c r="S136" i="5"/>
  <c r="L190" i="5"/>
  <c r="K190" i="5"/>
  <c r="M190" i="5"/>
  <c r="J190" i="5"/>
  <c r="N190" i="5" s="1"/>
  <c r="T190" i="5" s="1"/>
  <c r="K11" i="5"/>
  <c r="J11" i="5"/>
  <c r="M11" i="5"/>
  <c r="L11" i="5"/>
  <c r="M203" i="5"/>
  <c r="L203" i="5"/>
  <c r="K203" i="5"/>
  <c r="J203" i="5"/>
  <c r="N203" i="5" s="1"/>
  <c r="M176" i="5"/>
  <c r="K176" i="5"/>
  <c r="J176" i="5"/>
  <c r="L176" i="5"/>
  <c r="J160" i="5"/>
  <c r="M160" i="5"/>
  <c r="K160" i="5"/>
  <c r="L160" i="5"/>
  <c r="S90" i="5"/>
  <c r="S70" i="5"/>
  <c r="L144" i="5"/>
  <c r="M144" i="5"/>
  <c r="K144" i="5"/>
  <c r="J144" i="5"/>
  <c r="N24" i="5"/>
  <c r="T24" i="5" s="1"/>
  <c r="M61" i="5"/>
  <c r="K61" i="5"/>
  <c r="L61" i="5"/>
  <c r="J61" i="5"/>
  <c r="L85" i="5"/>
  <c r="K85" i="5"/>
  <c r="J85" i="5"/>
  <c r="M85" i="5"/>
  <c r="M195" i="5"/>
  <c r="L195" i="5"/>
  <c r="J195" i="5"/>
  <c r="K195" i="5"/>
  <c r="M159" i="5"/>
  <c r="L159" i="5"/>
  <c r="K159" i="5"/>
  <c r="J159" i="5"/>
  <c r="N159" i="5" s="1"/>
  <c r="T159" i="5" s="1"/>
  <c r="S74" i="5"/>
  <c r="M125" i="5"/>
  <c r="L125" i="5"/>
  <c r="K125" i="5"/>
  <c r="J125" i="5"/>
  <c r="J202" i="5"/>
  <c r="M202" i="5"/>
  <c r="K202" i="5"/>
  <c r="L202" i="5"/>
  <c r="S166" i="5"/>
  <c r="S96" i="5"/>
  <c r="J158" i="5"/>
  <c r="L158" i="5"/>
  <c r="M158" i="5"/>
  <c r="K158" i="5"/>
  <c r="L189" i="5"/>
  <c r="J189" i="5"/>
  <c r="M189" i="5"/>
  <c r="K189" i="5"/>
  <c r="M201" i="5"/>
  <c r="L201" i="5"/>
  <c r="K201" i="5"/>
  <c r="J201" i="5"/>
  <c r="J55" i="5"/>
  <c r="M55" i="5"/>
  <c r="L55" i="5"/>
  <c r="K55" i="5"/>
  <c r="M53" i="5"/>
  <c r="K53" i="5"/>
  <c r="L53" i="5"/>
  <c r="J53" i="5"/>
  <c r="K27" i="5"/>
  <c r="M27" i="5"/>
  <c r="L27" i="5"/>
  <c r="J27" i="5"/>
  <c r="M54" i="5"/>
  <c r="L54" i="5"/>
  <c r="K54" i="5"/>
  <c r="J54" i="5"/>
  <c r="J194" i="5"/>
  <c r="M194" i="5"/>
  <c r="K194" i="5"/>
  <c r="L194" i="5"/>
  <c r="L154" i="5"/>
  <c r="M154" i="5"/>
  <c r="K154" i="5"/>
  <c r="J154" i="5"/>
  <c r="S161" i="5"/>
  <c r="M75" i="5"/>
  <c r="L75" i="5"/>
  <c r="K75" i="5"/>
  <c r="J75" i="5"/>
  <c r="M73" i="5"/>
  <c r="K73" i="5"/>
  <c r="J73" i="5"/>
  <c r="L73" i="5"/>
  <c r="J152" i="5"/>
  <c r="M152" i="5"/>
  <c r="L152" i="5"/>
  <c r="K152" i="5"/>
  <c r="M119" i="5"/>
  <c r="L119" i="5"/>
  <c r="K119" i="5"/>
  <c r="J119" i="5"/>
  <c r="K80" i="5"/>
  <c r="J80" i="5"/>
  <c r="N80" i="5" s="1"/>
  <c r="T80" i="5" s="1"/>
  <c r="M80" i="5"/>
  <c r="L80" i="5"/>
  <c r="M118" i="5"/>
  <c r="L118" i="5"/>
  <c r="K118" i="5"/>
  <c r="J118" i="5"/>
  <c r="L181" i="5"/>
  <c r="K181" i="5"/>
  <c r="M181" i="5"/>
  <c r="J181" i="5"/>
  <c r="M87" i="5"/>
  <c r="L87" i="5"/>
  <c r="K87" i="5"/>
  <c r="J87" i="5"/>
  <c r="J77" i="5"/>
  <c r="M77" i="5"/>
  <c r="K77" i="5"/>
  <c r="L77" i="5"/>
  <c r="M84" i="5"/>
  <c r="L84" i="5"/>
  <c r="K84" i="5"/>
  <c r="J84" i="5"/>
  <c r="M167" i="5"/>
  <c r="J167" i="5"/>
  <c r="N167" i="5" s="1"/>
  <c r="L167" i="5"/>
  <c r="K167" i="5"/>
  <c r="M100" i="5"/>
  <c r="L100" i="5"/>
  <c r="J100" i="5"/>
  <c r="N100" i="5" s="1"/>
  <c r="T100" i="5" s="1"/>
  <c r="K100" i="5"/>
  <c r="L169" i="5"/>
  <c r="J169" i="5"/>
  <c r="N169" i="5" s="1"/>
  <c r="T169" i="5" s="1"/>
  <c r="M169" i="5"/>
  <c r="K169" i="5"/>
  <c r="L124" i="5"/>
  <c r="K124" i="5"/>
  <c r="J124" i="5"/>
  <c r="N124" i="5" s="1"/>
  <c r="T124" i="5" s="1"/>
  <c r="M124" i="5"/>
  <c r="S125" i="5"/>
  <c r="L171" i="5"/>
  <c r="K171" i="5"/>
  <c r="J171" i="5"/>
  <c r="M171" i="5"/>
  <c r="S52" i="5"/>
  <c r="M141" i="5"/>
  <c r="J141" i="5"/>
  <c r="K141" i="5"/>
  <c r="L141" i="5"/>
  <c r="S158" i="5"/>
  <c r="K199" i="5"/>
  <c r="J199" i="5"/>
  <c r="L199" i="5"/>
  <c r="M199" i="5"/>
  <c r="J91" i="5"/>
  <c r="M91" i="5"/>
  <c r="K91" i="5"/>
  <c r="L91" i="5"/>
  <c r="M12" i="5"/>
  <c r="J12" i="5"/>
  <c r="L12" i="5"/>
  <c r="K12" i="5"/>
  <c r="L187" i="5"/>
  <c r="J187" i="5"/>
  <c r="M187" i="5"/>
  <c r="K187" i="5"/>
  <c r="J121" i="5"/>
  <c r="M121" i="5"/>
  <c r="L121" i="5"/>
  <c r="K121" i="5"/>
  <c r="M78" i="5"/>
  <c r="K78" i="5"/>
  <c r="J78" i="5"/>
  <c r="N78" i="5" s="1"/>
  <c r="T78" i="5" s="1"/>
  <c r="L78" i="5"/>
  <c r="M86" i="5"/>
  <c r="L86" i="5"/>
  <c r="K86" i="5"/>
  <c r="J86" i="5"/>
  <c r="N86" i="5" s="1"/>
  <c r="T86" i="5" s="1"/>
  <c r="M192" i="5"/>
  <c r="K192" i="5"/>
  <c r="J192" i="5"/>
  <c r="N192" i="5" s="1"/>
  <c r="T192" i="5" s="1"/>
  <c r="L192" i="5"/>
  <c r="S53" i="5"/>
  <c r="L79" i="5"/>
  <c r="K79" i="5"/>
  <c r="M79" i="5"/>
  <c r="J79" i="5"/>
  <c r="M13" i="5"/>
  <c r="L13" i="5"/>
  <c r="K13" i="5"/>
  <c r="J13" i="5"/>
  <c r="S185" i="5"/>
  <c r="M62" i="5"/>
  <c r="L62" i="5"/>
  <c r="K62" i="5"/>
  <c r="J62" i="5"/>
  <c r="N62" i="5" s="1"/>
  <c r="T62" i="5" s="1"/>
  <c r="M95" i="5"/>
  <c r="L95" i="5"/>
  <c r="K95" i="5"/>
  <c r="J95" i="5"/>
  <c r="K207" i="5"/>
  <c r="J207" i="5"/>
  <c r="L207" i="5"/>
  <c r="M207" i="5"/>
  <c r="M29" i="5"/>
  <c r="K29" i="5"/>
  <c r="J29" i="5"/>
  <c r="L29" i="5"/>
  <c r="S54" i="5"/>
  <c r="L170" i="5"/>
  <c r="K170" i="5"/>
  <c r="M170" i="5"/>
  <c r="J170" i="5"/>
  <c r="N170" i="5" s="1"/>
  <c r="S94" i="5"/>
  <c r="S153" i="5"/>
  <c r="N19" i="5"/>
  <c r="T19" i="5" s="1"/>
  <c r="M45" i="5"/>
  <c r="K45" i="5"/>
  <c r="L45" i="5"/>
  <c r="J45" i="5"/>
  <c r="N45" i="5" s="1"/>
  <c r="T45" i="5" s="1"/>
  <c r="S75" i="5"/>
  <c r="M23" i="5"/>
  <c r="J23" i="5"/>
  <c r="K23" i="5"/>
  <c r="L23" i="5"/>
  <c r="S152" i="5"/>
  <c r="S119" i="5"/>
  <c r="S118" i="5"/>
  <c r="J130" i="5"/>
  <c r="N130" i="5" s="1"/>
  <c r="M130" i="5"/>
  <c r="L130" i="5"/>
  <c r="K130" i="5"/>
  <c r="M208" i="5"/>
  <c r="L208" i="5"/>
  <c r="K208" i="5"/>
  <c r="J208" i="5"/>
  <c r="N208" i="5" s="1"/>
  <c r="S58" i="5"/>
  <c r="L66" i="5"/>
  <c r="J66" i="5"/>
  <c r="M66" i="5"/>
  <c r="K66" i="5"/>
  <c r="L20" i="5"/>
  <c r="M20" i="5"/>
  <c r="K20" i="5"/>
  <c r="J20" i="5"/>
  <c r="N20" i="5" s="1"/>
  <c r="K172" i="5"/>
  <c r="M172" i="5"/>
  <c r="L172" i="5"/>
  <c r="J172" i="5"/>
  <c r="N172" i="5" s="1"/>
  <c r="T172" i="5" s="1"/>
  <c r="L136" i="5"/>
  <c r="M136" i="5"/>
  <c r="J136" i="5"/>
  <c r="K136" i="5"/>
  <c r="M21" i="5"/>
  <c r="K21" i="5"/>
  <c r="J21" i="5"/>
  <c r="L21" i="5"/>
  <c r="S203" i="5"/>
  <c r="S167" i="5"/>
  <c r="S113" i="5"/>
  <c r="M90" i="5"/>
  <c r="L90" i="5"/>
  <c r="K90" i="5"/>
  <c r="J90" i="5"/>
  <c r="L138" i="5"/>
  <c r="K138" i="5"/>
  <c r="M138" i="5"/>
  <c r="J138" i="5"/>
  <c r="N138" i="5" s="1"/>
  <c r="L180" i="5"/>
  <c r="M180" i="5"/>
  <c r="J180" i="5"/>
  <c r="K180" i="5"/>
  <c r="S57" i="5"/>
  <c r="M48" i="5"/>
  <c r="L48" i="5"/>
  <c r="J48" i="5"/>
  <c r="K48" i="5"/>
  <c r="S195" i="5"/>
  <c r="S106" i="5"/>
  <c r="K74" i="5"/>
  <c r="J74" i="5"/>
  <c r="M74" i="5"/>
  <c r="L74" i="5"/>
  <c r="K157" i="5"/>
  <c r="J157" i="5"/>
  <c r="N157" i="5" s="1"/>
  <c r="T157" i="5" s="1"/>
  <c r="M157" i="5"/>
  <c r="L157" i="5"/>
  <c r="J148" i="5"/>
  <c r="L148" i="5"/>
  <c r="M148" i="5"/>
  <c r="K148" i="5"/>
  <c r="S92" i="5"/>
  <c r="K96" i="5"/>
  <c r="J96" i="5"/>
  <c r="L96" i="5"/>
  <c r="M96" i="5"/>
  <c r="J143" i="5"/>
  <c r="M143" i="5"/>
  <c r="L143" i="5"/>
  <c r="K143" i="5"/>
  <c r="M37" i="5"/>
  <c r="K37" i="5"/>
  <c r="L37" i="5"/>
  <c r="J37" i="5"/>
  <c r="S137" i="5"/>
  <c r="L131" i="5"/>
  <c r="K131" i="5"/>
  <c r="M131" i="5"/>
  <c r="J131" i="5"/>
  <c r="N131" i="5" s="1"/>
  <c r="T131" i="5" s="1"/>
  <c r="M107" i="5"/>
  <c r="L107" i="5"/>
  <c r="K107" i="5"/>
  <c r="J107" i="5"/>
  <c r="N107" i="5" s="1"/>
  <c r="S102" i="5"/>
  <c r="M185" i="5"/>
  <c r="J185" i="5"/>
  <c r="L185" i="5"/>
  <c r="K185" i="5"/>
  <c r="K140" i="5"/>
  <c r="J140" i="5"/>
  <c r="M140" i="5"/>
  <c r="L140" i="5"/>
  <c r="J99" i="5"/>
  <c r="M99" i="5"/>
  <c r="L99" i="5"/>
  <c r="K99" i="5"/>
  <c r="M81" i="5"/>
  <c r="L81" i="5"/>
  <c r="K81" i="5"/>
  <c r="J81" i="5"/>
  <c r="N81" i="5" s="1"/>
  <c r="L123" i="5"/>
  <c r="K123" i="5"/>
  <c r="M123" i="5"/>
  <c r="J123" i="5"/>
  <c r="K126" i="5"/>
  <c r="J126" i="5"/>
  <c r="M126" i="5"/>
  <c r="L126" i="5"/>
  <c r="K88" i="5"/>
  <c r="J88" i="5"/>
  <c r="N88" i="5" s="1"/>
  <c r="T88" i="5" s="1"/>
  <c r="M88" i="5"/>
  <c r="L88" i="5"/>
  <c r="L173" i="5"/>
  <c r="M173" i="5"/>
  <c r="J173" i="5"/>
  <c r="K173" i="5"/>
  <c r="M109" i="5"/>
  <c r="L109" i="5"/>
  <c r="K109" i="5"/>
  <c r="J109" i="5"/>
  <c r="S130" i="5"/>
  <c r="S208" i="5"/>
  <c r="N83" i="5"/>
  <c r="T83" i="5" s="1"/>
  <c r="S20" i="5"/>
  <c r="S149" i="5"/>
  <c r="L116" i="5"/>
  <c r="K116" i="5"/>
  <c r="J116" i="5"/>
  <c r="M116" i="5"/>
  <c r="M82" i="5"/>
  <c r="L82" i="5"/>
  <c r="K82" i="5"/>
  <c r="J82" i="5"/>
  <c r="N82" i="5" s="1"/>
  <c r="T82" i="5" s="1"/>
  <c r="S146" i="5"/>
  <c r="N32" i="5"/>
  <c r="T32" i="5" s="1"/>
  <c r="S21" i="5"/>
  <c r="L179" i="5"/>
  <c r="J179" i="5"/>
  <c r="M179" i="5"/>
  <c r="K179" i="5"/>
  <c r="M46" i="5"/>
  <c r="K46" i="5"/>
  <c r="J46" i="5"/>
  <c r="L46" i="5"/>
  <c r="S138" i="5"/>
  <c r="K183" i="5"/>
  <c r="L183" i="5"/>
  <c r="M183" i="5"/>
  <c r="J183" i="5"/>
  <c r="N183" i="5" s="1"/>
  <c r="T183" i="5" s="1"/>
  <c r="L57" i="5"/>
  <c r="K57" i="5"/>
  <c r="J57" i="5"/>
  <c r="M57" i="5"/>
  <c r="M178" i="5"/>
  <c r="K178" i="5"/>
  <c r="L178" i="5"/>
  <c r="J178" i="5"/>
  <c r="N178" i="5" s="1"/>
  <c r="M92" i="5"/>
  <c r="L92" i="5"/>
  <c r="J92" i="5"/>
  <c r="K92" i="5"/>
  <c r="N10" i="5"/>
  <c r="T10" i="5" s="1"/>
  <c r="S51" i="5"/>
  <c r="M64" i="5"/>
  <c r="L64" i="5"/>
  <c r="J64" i="5"/>
  <c r="N64" i="5" s="1"/>
  <c r="K64" i="5"/>
  <c r="K52" i="5"/>
  <c r="M52" i="5"/>
  <c r="L52" i="5"/>
  <c r="J52" i="5"/>
  <c r="N52" i="5" s="1"/>
  <c r="T52" i="5" s="1"/>
  <c r="M206" i="5"/>
  <c r="L206" i="5"/>
  <c r="K206" i="5"/>
  <c r="J206" i="5"/>
  <c r="S37" i="5"/>
  <c r="M68" i="5"/>
  <c r="L68" i="5"/>
  <c r="J68" i="5"/>
  <c r="K68" i="5"/>
  <c r="M56" i="5"/>
  <c r="L56" i="5"/>
  <c r="J56" i="5"/>
  <c r="K56" i="5"/>
  <c r="S107" i="5"/>
  <c r="S191" i="5"/>
  <c r="S35" i="5"/>
  <c r="S140" i="5"/>
  <c r="S111" i="5"/>
  <c r="S81" i="5"/>
  <c r="M135" i="5"/>
  <c r="K135" i="5"/>
  <c r="J135" i="5"/>
  <c r="L135" i="5"/>
  <c r="K174" i="5"/>
  <c r="J174" i="5"/>
  <c r="M174" i="5"/>
  <c r="L174" i="5"/>
  <c r="N9" i="5"/>
  <c r="M15" i="5"/>
  <c r="L15" i="5"/>
  <c r="L211" i="5" s="1"/>
  <c r="J15" i="5"/>
  <c r="K15" i="5"/>
  <c r="S170" i="5"/>
  <c r="S98" i="5"/>
  <c r="L94" i="5"/>
  <c r="J94" i="5"/>
  <c r="M94" i="5"/>
  <c r="K94" i="5"/>
  <c r="M115" i="5"/>
  <c r="L115" i="5"/>
  <c r="K115" i="5"/>
  <c r="J115" i="5"/>
  <c r="N115" i="5" s="1"/>
  <c r="T115" i="5" s="1"/>
  <c r="R211" i="5"/>
  <c r="S43" i="5"/>
  <c r="S23" i="5"/>
  <c r="J168" i="5"/>
  <c r="L168" i="5"/>
  <c r="K168" i="5"/>
  <c r="M168" i="5"/>
  <c r="S108" i="5"/>
  <c r="L93" i="5"/>
  <c r="K93" i="5"/>
  <c r="J93" i="5"/>
  <c r="M93" i="5"/>
  <c r="S109" i="5"/>
  <c r="S163" i="5"/>
  <c r="J69" i="5"/>
  <c r="M69" i="5"/>
  <c r="L69" i="5"/>
  <c r="K69" i="5"/>
  <c r="L58" i="5"/>
  <c r="K58" i="5"/>
  <c r="J58" i="5"/>
  <c r="M58" i="5"/>
  <c r="J142" i="5"/>
  <c r="L142" i="5"/>
  <c r="M142" i="5"/>
  <c r="K142" i="5"/>
  <c r="L146" i="5"/>
  <c r="J146" i="5"/>
  <c r="K146" i="5"/>
  <c r="M146" i="5"/>
  <c r="L113" i="5"/>
  <c r="K113" i="5"/>
  <c r="J113" i="5"/>
  <c r="M113" i="5"/>
  <c r="S46" i="5"/>
  <c r="L162" i="5"/>
  <c r="J162" i="5"/>
  <c r="M162" i="5"/>
  <c r="K162" i="5"/>
  <c r="M122" i="5"/>
  <c r="L122" i="5"/>
  <c r="K122" i="5"/>
  <c r="J122" i="5"/>
  <c r="S48" i="5"/>
  <c r="M106" i="5"/>
  <c r="L106" i="5"/>
  <c r="K106" i="5"/>
  <c r="J106" i="5"/>
  <c r="N106" i="5" s="1"/>
  <c r="T106" i="5" s="1"/>
  <c r="S101" i="5"/>
  <c r="M133" i="5"/>
  <c r="L133" i="5"/>
  <c r="K133" i="5"/>
  <c r="J133" i="5"/>
  <c r="N133" i="5" s="1"/>
  <c r="T133" i="5" s="1"/>
  <c r="K147" i="5"/>
  <c r="M147" i="5"/>
  <c r="L147" i="5"/>
  <c r="J147" i="5"/>
  <c r="S205" i="5"/>
  <c r="S68" i="5"/>
  <c r="M137" i="5"/>
  <c r="L137" i="5"/>
  <c r="K137" i="5"/>
  <c r="J137" i="5"/>
  <c r="N137" i="5" s="1"/>
  <c r="T137" i="5" s="1"/>
  <c r="N38" i="5"/>
  <c r="T38" i="5" s="1"/>
  <c r="L102" i="5"/>
  <c r="M102" i="5"/>
  <c r="K102" i="5"/>
  <c r="J102" i="5"/>
  <c r="S103" i="5"/>
  <c r="S135" i="5"/>
  <c r="S175" i="5"/>
  <c r="S15" i="5"/>
  <c r="L18" i="5"/>
  <c r="K18" i="5"/>
  <c r="M18" i="5"/>
  <c r="J18" i="5"/>
  <c r="N18" i="5" s="1"/>
  <c r="T18" i="5" s="1"/>
  <c r="J177" i="5"/>
  <c r="K177" i="5"/>
  <c r="M177" i="5"/>
  <c r="L177" i="5"/>
  <c r="M98" i="5"/>
  <c r="L98" i="5"/>
  <c r="K98" i="5"/>
  <c r="J98" i="5"/>
  <c r="N98" i="5" s="1"/>
  <c r="T98" i="5" s="1"/>
  <c r="M104" i="5"/>
  <c r="L104" i="5"/>
  <c r="J104" i="5"/>
  <c r="N104" i="5" s="1"/>
  <c r="T104" i="5" s="1"/>
  <c r="K104" i="5"/>
  <c r="S115" i="5"/>
  <c r="M200" i="5"/>
  <c r="L200" i="5"/>
  <c r="K200" i="5"/>
  <c r="J200" i="5"/>
  <c r="N200" i="5" s="1"/>
  <c r="T200" i="5" s="1"/>
  <c r="P211" i="5"/>
  <c r="L36" i="5"/>
  <c r="M36" i="5"/>
  <c r="K36" i="5"/>
  <c r="J36" i="5"/>
  <c r="M89" i="5"/>
  <c r="L89" i="5"/>
  <c r="K89" i="5"/>
  <c r="J89" i="5"/>
  <c r="S69" i="5"/>
  <c r="S114" i="5"/>
  <c r="J186" i="5"/>
  <c r="M186" i="5"/>
  <c r="K186" i="5"/>
  <c r="L186" i="5"/>
  <c r="K149" i="5"/>
  <c r="L149" i="5"/>
  <c r="M149" i="5"/>
  <c r="J149" i="5"/>
  <c r="S142" i="5"/>
  <c r="S44" i="5"/>
  <c r="L49" i="5"/>
  <c r="J49" i="5"/>
  <c r="M49" i="5"/>
  <c r="K49" i="5"/>
  <c r="S179" i="5"/>
  <c r="L71" i="5"/>
  <c r="K71" i="5"/>
  <c r="J71" i="5"/>
  <c r="M71" i="5"/>
  <c r="S162" i="5"/>
  <c r="S197" i="5"/>
  <c r="L50" i="5"/>
  <c r="M50" i="5"/>
  <c r="J50" i="5"/>
  <c r="K50" i="5"/>
  <c r="J22" i="5"/>
  <c r="K22" i="5"/>
  <c r="M22" i="5"/>
  <c r="L22" i="5"/>
  <c r="M97" i="5"/>
  <c r="K97" i="5"/>
  <c r="J97" i="5"/>
  <c r="L97" i="5"/>
  <c r="S178" i="5"/>
  <c r="M151" i="5"/>
  <c r="J151" i="5"/>
  <c r="L151" i="5"/>
  <c r="K151" i="5"/>
  <c r="M67" i="5"/>
  <c r="K67" i="5"/>
  <c r="L67" i="5"/>
  <c r="J67" i="5"/>
  <c r="L101" i="5"/>
  <c r="K101" i="5"/>
  <c r="J101" i="5"/>
  <c r="M101" i="5"/>
  <c r="L105" i="5"/>
  <c r="K105" i="5"/>
  <c r="J105" i="5"/>
  <c r="M105" i="5"/>
  <c r="S64" i="5"/>
  <c r="M198" i="5"/>
  <c r="L198" i="5"/>
  <c r="K198" i="5"/>
  <c r="J198" i="5"/>
  <c r="N198" i="5" s="1"/>
  <c r="T198" i="5" s="1"/>
  <c r="K165" i="5"/>
  <c r="L165" i="5"/>
  <c r="M165" i="5"/>
  <c r="J165" i="5"/>
  <c r="N165" i="5" s="1"/>
  <c r="T165" i="5" s="1"/>
  <c r="M145" i="5"/>
  <c r="L145" i="5"/>
  <c r="K145" i="5"/>
  <c r="J145" i="5"/>
  <c r="N145" i="5" s="1"/>
  <c r="T145" i="5" s="1"/>
  <c r="K191" i="5"/>
  <c r="L191" i="5"/>
  <c r="M191" i="5"/>
  <c r="J191" i="5"/>
  <c r="N191" i="5" s="1"/>
  <c r="T191" i="5" s="1"/>
  <c r="L34" i="5"/>
  <c r="K34" i="5"/>
  <c r="M34" i="5"/>
  <c r="J34" i="5"/>
  <c r="N34" i="5" s="1"/>
  <c r="T34" i="5" s="1"/>
  <c r="L35" i="5"/>
  <c r="K35" i="5"/>
  <c r="M35" i="5"/>
  <c r="J35" i="5"/>
  <c r="N35" i="5" s="1"/>
  <c r="T35" i="5" s="1"/>
  <c r="J111" i="5"/>
  <c r="M111" i="5"/>
  <c r="L111" i="5"/>
  <c r="K111" i="5"/>
  <c r="K175" i="5"/>
  <c r="M175" i="5"/>
  <c r="L175" i="5"/>
  <c r="J175" i="5"/>
  <c r="N175" i="5" s="1"/>
  <c r="T175" i="5" s="1"/>
  <c r="S117" i="5"/>
  <c r="K182" i="5"/>
  <c r="M182" i="5"/>
  <c r="J182" i="5"/>
  <c r="L182" i="5"/>
  <c r="S16" i="5"/>
  <c r="L43" i="5"/>
  <c r="K43" i="5"/>
  <c r="M43" i="5"/>
  <c r="J43" i="5"/>
  <c r="N43" i="5" s="1"/>
  <c r="T43" i="5" s="1"/>
  <c r="S129" i="5"/>
  <c r="K108" i="5"/>
  <c r="J108" i="5"/>
  <c r="M108" i="5"/>
  <c r="L108" i="5"/>
  <c r="S89" i="5"/>
  <c r="M127" i="5"/>
  <c r="L127" i="5"/>
  <c r="K127" i="5"/>
  <c r="J127" i="5"/>
  <c r="M163" i="5"/>
  <c r="J163" i="5"/>
  <c r="L163" i="5"/>
  <c r="K163" i="5"/>
  <c r="Q211" i="5"/>
  <c r="S9" i="5"/>
  <c r="S11" i="5"/>
  <c r="L65" i="5"/>
  <c r="K65" i="5"/>
  <c r="J65" i="5"/>
  <c r="M65" i="5"/>
  <c r="L155" i="5"/>
  <c r="M155" i="5"/>
  <c r="K155" i="5"/>
  <c r="J155" i="5"/>
  <c r="N155" i="5" s="1"/>
  <c r="T155" i="5" s="1"/>
  <c r="M70" i="5"/>
  <c r="L70" i="5"/>
  <c r="K70" i="5"/>
  <c r="J70" i="5"/>
  <c r="N70" i="5" s="1"/>
  <c r="T70" i="5" s="1"/>
  <c r="S85" i="5"/>
  <c r="S97" i="5"/>
  <c r="S151" i="5"/>
  <c r="S67" i="5"/>
  <c r="M76" i="5"/>
  <c r="L76" i="5"/>
  <c r="K76" i="5"/>
  <c r="J76" i="5"/>
  <c r="N76" i="5" s="1"/>
  <c r="T76" i="5" s="1"/>
  <c r="K156" i="5"/>
  <c r="M156" i="5"/>
  <c r="L156" i="5"/>
  <c r="J156" i="5"/>
  <c r="N156" i="5" s="1"/>
  <c r="L51" i="5"/>
  <c r="K51" i="5"/>
  <c r="M51" i="5"/>
  <c r="J51" i="5"/>
  <c r="N51" i="5" s="1"/>
  <c r="T51" i="5" s="1"/>
  <c r="N33" i="5"/>
  <c r="T33" i="5" s="1"/>
  <c r="K60" i="5"/>
  <c r="J60" i="5"/>
  <c r="M60" i="5"/>
  <c r="L60" i="5"/>
  <c r="M205" i="5"/>
  <c r="L205" i="5"/>
  <c r="J205" i="5"/>
  <c r="N205" i="5" s="1"/>
  <c r="T205" i="5" s="1"/>
  <c r="K205" i="5"/>
  <c r="N17" i="5"/>
  <c r="T17" i="5" s="1"/>
  <c r="S59" i="5"/>
  <c r="K150" i="5"/>
  <c r="J150" i="5"/>
  <c r="M150" i="5"/>
  <c r="L150" i="5"/>
  <c r="M184" i="5"/>
  <c r="K184" i="5"/>
  <c r="J184" i="5"/>
  <c r="L184" i="5"/>
  <c r="M193" i="5"/>
  <c r="L193" i="5"/>
  <c r="K193" i="5"/>
  <c r="J193" i="5"/>
  <c r="L188" i="5"/>
  <c r="M188" i="5"/>
  <c r="K188" i="5"/>
  <c r="J188" i="5"/>
  <c r="N188" i="5" s="1"/>
  <c r="T188" i="5" s="1"/>
  <c r="M103" i="5"/>
  <c r="K103" i="5"/>
  <c r="L103" i="5"/>
  <c r="J103" i="5"/>
  <c r="M112" i="5"/>
  <c r="L112" i="5"/>
  <c r="K112" i="5"/>
  <c r="J112" i="5"/>
  <c r="N112" i="5" s="1"/>
  <c r="T112" i="5" s="1"/>
  <c r="M128" i="5"/>
  <c r="L128" i="5"/>
  <c r="K128" i="5"/>
  <c r="J128" i="5"/>
  <c r="I211" i="5"/>
  <c r="M40" i="5"/>
  <c r="L40" i="5"/>
  <c r="J40" i="5"/>
  <c r="K40" i="5"/>
  <c r="L25" i="5"/>
  <c r="M25" i="5"/>
  <c r="M211" i="5" s="1"/>
  <c r="K25" i="5"/>
  <c r="K211" i="5" s="1"/>
  <c r="J25" i="5"/>
  <c r="N25" i="5" s="1"/>
  <c r="T25" i="5" s="1"/>
  <c r="L196" i="5"/>
  <c r="K196" i="5"/>
  <c r="J196" i="5"/>
  <c r="M196" i="5"/>
  <c r="O211" i="5"/>
  <c r="M114" i="5"/>
  <c r="L114" i="5"/>
  <c r="K114" i="5"/>
  <c r="J114" i="5"/>
  <c r="K44" i="5"/>
  <c r="J44" i="5"/>
  <c r="M44" i="5"/>
  <c r="L44" i="5"/>
  <c r="J72" i="5"/>
  <c r="M72" i="5"/>
  <c r="L72" i="5"/>
  <c r="K72" i="5"/>
  <c r="L197" i="5"/>
  <c r="J197" i="5"/>
  <c r="K197" i="5"/>
  <c r="M197" i="5"/>
  <c r="L26" i="5"/>
  <c r="M26" i="5"/>
  <c r="K26" i="5"/>
  <c r="J26" i="5"/>
  <c r="N26" i="5" s="1"/>
  <c r="T26" i="5" s="1"/>
  <c r="S156" i="5"/>
  <c r="N198" i="6" l="1"/>
  <c r="T198" i="6" s="1"/>
  <c r="N103" i="6"/>
  <c r="T103" i="6" s="1"/>
  <c r="N42" i="6"/>
  <c r="T42" i="6" s="1"/>
  <c r="N124" i="6"/>
  <c r="T124" i="6" s="1"/>
  <c r="N188" i="6"/>
  <c r="T188" i="6" s="1"/>
  <c r="N167" i="6"/>
  <c r="T167" i="6" s="1"/>
  <c r="P211" i="6"/>
  <c r="R9" i="6"/>
  <c r="R211" i="6" s="1"/>
  <c r="T128" i="6"/>
  <c r="N174" i="6"/>
  <c r="T174" i="6" s="1"/>
  <c r="N163" i="6"/>
  <c r="T163" i="6" s="1"/>
  <c r="N142" i="6"/>
  <c r="T142" i="6" s="1"/>
  <c r="N47" i="6"/>
  <c r="T47" i="6" s="1"/>
  <c r="N24" i="6"/>
  <c r="T24" i="6" s="1"/>
  <c r="N207" i="6"/>
  <c r="T207" i="6" s="1"/>
  <c r="N14" i="6"/>
  <c r="T14" i="6" s="1"/>
  <c r="N187" i="6"/>
  <c r="T187" i="6" s="1"/>
  <c r="N104" i="6"/>
  <c r="T104" i="6" s="1"/>
  <c r="N46" i="6"/>
  <c r="T46" i="6" s="1"/>
  <c r="N119" i="6"/>
  <c r="T119" i="6" s="1"/>
  <c r="N58" i="6"/>
  <c r="T58" i="6" s="1"/>
  <c r="N148" i="6"/>
  <c r="T148" i="6" s="1"/>
  <c r="N156" i="6"/>
  <c r="T156" i="6" s="1"/>
  <c r="N157" i="6"/>
  <c r="T157" i="6" s="1"/>
  <c r="N182" i="6"/>
  <c r="T182" i="6" s="1"/>
  <c r="N99" i="6"/>
  <c r="T99" i="6" s="1"/>
  <c r="N116" i="6"/>
  <c r="T116" i="6" s="1"/>
  <c r="N22" i="6"/>
  <c r="T22" i="6" s="1"/>
  <c r="N173" i="6"/>
  <c r="T173" i="6" s="1"/>
  <c r="N114" i="6"/>
  <c r="T114" i="6" s="1"/>
  <c r="N170" i="6"/>
  <c r="T170" i="6" s="1"/>
  <c r="N172" i="6"/>
  <c r="T172" i="6" s="1"/>
  <c r="N45" i="6"/>
  <c r="T45" i="6" s="1"/>
  <c r="N208" i="6"/>
  <c r="T208" i="6" s="1"/>
  <c r="N77" i="6"/>
  <c r="T77" i="6" s="1"/>
  <c r="N112" i="6"/>
  <c r="T112" i="6" s="1"/>
  <c r="N72" i="6"/>
  <c r="T72" i="6" s="1"/>
  <c r="N151" i="6"/>
  <c r="T151" i="6" s="1"/>
  <c r="N60" i="6"/>
  <c r="T60" i="6" s="1"/>
  <c r="N64" i="6"/>
  <c r="T64" i="6" s="1"/>
  <c r="I211" i="6"/>
  <c r="J9" i="6"/>
  <c r="M9" i="6"/>
  <c r="M211" i="6" s="1"/>
  <c r="L9" i="6"/>
  <c r="L211" i="6" s="1"/>
  <c r="K9" i="6"/>
  <c r="K211" i="6" s="1"/>
  <c r="T37" i="6"/>
  <c r="T80" i="6"/>
  <c r="N38" i="6"/>
  <c r="T38" i="6" s="1"/>
  <c r="T54" i="6"/>
  <c r="N106" i="6"/>
  <c r="T106" i="6" s="1"/>
  <c r="N86" i="6"/>
  <c r="T86" i="6" s="1"/>
  <c r="N28" i="6"/>
  <c r="T28" i="6" s="1"/>
  <c r="N98" i="6"/>
  <c r="T98" i="6" s="1"/>
  <c r="N185" i="6"/>
  <c r="T185" i="6" s="1"/>
  <c r="N181" i="6"/>
  <c r="T181" i="6" s="1"/>
  <c r="N136" i="6"/>
  <c r="T136" i="6" s="1"/>
  <c r="N61" i="6"/>
  <c r="T61" i="6" s="1"/>
  <c r="N32" i="6"/>
  <c r="T32" i="6" s="1"/>
  <c r="N147" i="6"/>
  <c r="T147" i="6" s="1"/>
  <c r="N120" i="6"/>
  <c r="T120" i="6" s="1"/>
  <c r="N89" i="6"/>
  <c r="T89" i="6" s="1"/>
  <c r="N21" i="6"/>
  <c r="T21" i="6" s="1"/>
  <c r="N97" i="6"/>
  <c r="T97" i="6" s="1"/>
  <c r="N35" i="6"/>
  <c r="T35" i="6" s="1"/>
  <c r="T203" i="6"/>
  <c r="N177" i="6"/>
  <c r="T177" i="6" s="1"/>
  <c r="N68" i="6"/>
  <c r="T68" i="6" s="1"/>
  <c r="N195" i="6"/>
  <c r="T195" i="6" s="1"/>
  <c r="N194" i="6"/>
  <c r="T194" i="6" s="1"/>
  <c r="T149" i="6"/>
  <c r="N126" i="6"/>
  <c r="T126" i="6" s="1"/>
  <c r="N146" i="6"/>
  <c r="T146" i="6" s="1"/>
  <c r="N137" i="6"/>
  <c r="T137" i="6" s="1"/>
  <c r="N199" i="6"/>
  <c r="T199" i="6" s="1"/>
  <c r="N51" i="6"/>
  <c r="T51" i="6" s="1"/>
  <c r="N63" i="6"/>
  <c r="T63" i="6" s="1"/>
  <c r="N184" i="6"/>
  <c r="T184" i="6" s="1"/>
  <c r="N118" i="6"/>
  <c r="T118" i="6" s="1"/>
  <c r="N88" i="6"/>
  <c r="T88" i="6" s="1"/>
  <c r="N140" i="6"/>
  <c r="T140" i="6" s="1"/>
  <c r="N52" i="6"/>
  <c r="T52" i="6" s="1"/>
  <c r="N85" i="6"/>
  <c r="T85" i="6" s="1"/>
  <c r="N159" i="6"/>
  <c r="T159" i="6" s="1"/>
  <c r="N165" i="6"/>
  <c r="T165" i="6" s="1"/>
  <c r="N69" i="6"/>
  <c r="T69" i="6" s="1"/>
  <c r="N135" i="6"/>
  <c r="T135" i="6" s="1"/>
  <c r="N180" i="6"/>
  <c r="T180" i="6" s="1"/>
  <c r="N171" i="6"/>
  <c r="T171" i="6" s="1"/>
  <c r="N169" i="6"/>
  <c r="T169" i="6" s="1"/>
  <c r="N158" i="6"/>
  <c r="T158" i="6" s="1"/>
  <c r="N67" i="6"/>
  <c r="T67" i="6" s="1"/>
  <c r="N73" i="6"/>
  <c r="T73" i="6" s="1"/>
  <c r="N108" i="6"/>
  <c r="T108" i="6" s="1"/>
  <c r="N161" i="6"/>
  <c r="T161" i="6" s="1"/>
  <c r="N75" i="6"/>
  <c r="T75" i="6" s="1"/>
  <c r="N100" i="6"/>
  <c r="T100" i="6" s="1"/>
  <c r="N82" i="6"/>
  <c r="T82" i="6" s="1"/>
  <c r="N50" i="6"/>
  <c r="T50" i="6" s="1"/>
  <c r="N57" i="6"/>
  <c r="T57" i="6" s="1"/>
  <c r="N183" i="6"/>
  <c r="T183" i="6" s="1"/>
  <c r="N144" i="6"/>
  <c r="T144" i="6" s="1"/>
  <c r="N141" i="6"/>
  <c r="T141" i="6" s="1"/>
  <c r="N40" i="6"/>
  <c r="T40" i="6" s="1"/>
  <c r="N76" i="6"/>
  <c r="T76" i="6" s="1"/>
  <c r="N160" i="6"/>
  <c r="T160" i="6" s="1"/>
  <c r="N90" i="6"/>
  <c r="T90" i="6" s="1"/>
  <c r="N31" i="6"/>
  <c r="T31" i="6" s="1"/>
  <c r="N115" i="6"/>
  <c r="T115" i="6" s="1"/>
  <c r="N102" i="6"/>
  <c r="T102" i="6" s="1"/>
  <c r="N205" i="6"/>
  <c r="T205" i="6" s="1"/>
  <c r="N113" i="6"/>
  <c r="T113" i="6" s="1"/>
  <c r="N166" i="6"/>
  <c r="T166" i="6" s="1"/>
  <c r="N55" i="6"/>
  <c r="T55" i="6" s="1"/>
  <c r="N193" i="6"/>
  <c r="T193" i="6" s="1"/>
  <c r="T143" i="6"/>
  <c r="N34" i="6"/>
  <c r="T34" i="6" s="1"/>
  <c r="N48" i="6"/>
  <c r="T48" i="6" s="1"/>
  <c r="N150" i="6"/>
  <c r="T150" i="6" s="1"/>
  <c r="N71" i="6"/>
  <c r="T71" i="6" s="1"/>
  <c r="N134" i="6"/>
  <c r="T134" i="6" s="1"/>
  <c r="N154" i="6"/>
  <c r="T154" i="6" s="1"/>
  <c r="N191" i="6"/>
  <c r="T191" i="6" s="1"/>
  <c r="N155" i="6"/>
  <c r="T155" i="6" s="1"/>
  <c r="N62" i="6"/>
  <c r="T62" i="6" s="1"/>
  <c r="N81" i="6"/>
  <c r="T81" i="6" s="1"/>
  <c r="N178" i="6"/>
  <c r="T178" i="6" s="1"/>
  <c r="N179" i="6"/>
  <c r="T179" i="6" s="1"/>
  <c r="N78" i="6"/>
  <c r="T78" i="6" s="1"/>
  <c r="N131" i="6"/>
  <c r="T131" i="6" s="1"/>
  <c r="N56" i="6"/>
  <c r="T56" i="6" s="1"/>
  <c r="N94" i="6"/>
  <c r="T94" i="6" s="1"/>
  <c r="N152" i="6"/>
  <c r="T152" i="6" s="1"/>
  <c r="N132" i="6"/>
  <c r="T132" i="6" s="1"/>
  <c r="O211" i="6"/>
  <c r="Q9" i="6"/>
  <c r="N138" i="6"/>
  <c r="T138" i="6" s="1"/>
  <c r="N20" i="6"/>
  <c r="T20" i="6" s="1"/>
  <c r="N153" i="6"/>
  <c r="T153" i="6" s="1"/>
  <c r="N30" i="6"/>
  <c r="T30" i="6" s="1"/>
  <c r="N17" i="6"/>
  <c r="T17" i="6" s="1"/>
  <c r="N29" i="6"/>
  <c r="T29" i="6" s="1"/>
  <c r="N105" i="6"/>
  <c r="T105" i="6" s="1"/>
  <c r="N70" i="6"/>
  <c r="T70" i="6" s="1"/>
  <c r="T156" i="5"/>
  <c r="T64" i="5"/>
  <c r="T20" i="5"/>
  <c r="T130" i="5"/>
  <c r="T170" i="5"/>
  <c r="T167" i="5"/>
  <c r="T59" i="5"/>
  <c r="T166" i="5"/>
  <c r="N197" i="5"/>
  <c r="T197" i="5" s="1"/>
  <c r="N40" i="5"/>
  <c r="T40" i="5" s="1"/>
  <c r="N60" i="5"/>
  <c r="T60" i="5" s="1"/>
  <c r="S211" i="5"/>
  <c r="N89" i="5"/>
  <c r="T89" i="5" s="1"/>
  <c r="N142" i="5"/>
  <c r="T142" i="5" s="1"/>
  <c r="N69" i="5"/>
  <c r="T69" i="5" s="1"/>
  <c r="T178" i="5"/>
  <c r="N185" i="5"/>
  <c r="T185" i="5" s="1"/>
  <c r="N48" i="5"/>
  <c r="T48" i="5" s="1"/>
  <c r="T138" i="5"/>
  <c r="N136" i="5"/>
  <c r="T136" i="5" s="1"/>
  <c r="T208" i="5"/>
  <c r="N187" i="5"/>
  <c r="T187" i="5" s="1"/>
  <c r="N77" i="5"/>
  <c r="T77" i="5" s="1"/>
  <c r="N152" i="5"/>
  <c r="T152" i="5" s="1"/>
  <c r="N189" i="5"/>
  <c r="T189" i="5" s="1"/>
  <c r="T203" i="5"/>
  <c r="T117" i="5"/>
  <c r="N164" i="5"/>
  <c r="T164" i="5" s="1"/>
  <c r="N44" i="5"/>
  <c r="T44" i="5" s="1"/>
  <c r="N184" i="5"/>
  <c r="T184" i="5" s="1"/>
  <c r="N101" i="5"/>
  <c r="T101" i="5" s="1"/>
  <c r="N177" i="5"/>
  <c r="T177" i="5" s="1"/>
  <c r="N174" i="5"/>
  <c r="T174" i="5" s="1"/>
  <c r="N99" i="5"/>
  <c r="T99" i="5" s="1"/>
  <c r="N79" i="5"/>
  <c r="T79" i="5" s="1"/>
  <c r="N91" i="5"/>
  <c r="T91" i="5" s="1"/>
  <c r="N141" i="5"/>
  <c r="T141" i="5" s="1"/>
  <c r="N84" i="5"/>
  <c r="T84" i="5" s="1"/>
  <c r="N87" i="5"/>
  <c r="T87" i="5" s="1"/>
  <c r="N118" i="5"/>
  <c r="T118" i="5" s="1"/>
  <c r="N119" i="5"/>
  <c r="T119" i="5" s="1"/>
  <c r="N194" i="5"/>
  <c r="T194" i="5" s="1"/>
  <c r="N55" i="5"/>
  <c r="T55" i="5" s="1"/>
  <c r="N114" i="5"/>
  <c r="T114" i="5" s="1"/>
  <c r="N111" i="5"/>
  <c r="T111" i="5" s="1"/>
  <c r="N151" i="5"/>
  <c r="T151" i="5" s="1"/>
  <c r="N49" i="5"/>
  <c r="T49" i="5" s="1"/>
  <c r="N162" i="5"/>
  <c r="T162" i="5" s="1"/>
  <c r="N58" i="5"/>
  <c r="T58" i="5" s="1"/>
  <c r="N15" i="5"/>
  <c r="T15" i="5" s="1"/>
  <c r="N68" i="5"/>
  <c r="T68" i="5" s="1"/>
  <c r="N173" i="5"/>
  <c r="T173" i="5" s="1"/>
  <c r="T81" i="5"/>
  <c r="N207" i="5"/>
  <c r="T207" i="5" s="1"/>
  <c r="N73" i="5"/>
  <c r="T73" i="5" s="1"/>
  <c r="N154" i="5"/>
  <c r="T154" i="5" s="1"/>
  <c r="N54" i="5"/>
  <c r="T54" i="5" s="1"/>
  <c r="N53" i="5"/>
  <c r="T53" i="5" s="1"/>
  <c r="N201" i="5"/>
  <c r="T201" i="5" s="1"/>
  <c r="N85" i="5"/>
  <c r="T85" i="5" s="1"/>
  <c r="N144" i="5"/>
  <c r="T144" i="5" s="1"/>
  <c r="N129" i="5"/>
  <c r="T129" i="5" s="1"/>
  <c r="N47" i="5"/>
  <c r="T47" i="5" s="1"/>
  <c r="N132" i="5"/>
  <c r="T132" i="5" s="1"/>
  <c r="N102" i="5"/>
  <c r="T102" i="5" s="1"/>
  <c r="N146" i="5"/>
  <c r="T146" i="5" s="1"/>
  <c r="N168" i="5"/>
  <c r="T168" i="5" s="1"/>
  <c r="N179" i="5"/>
  <c r="T179" i="5" s="1"/>
  <c r="N126" i="5"/>
  <c r="T126" i="5" s="1"/>
  <c r="T107" i="5"/>
  <c r="N143" i="5"/>
  <c r="T143" i="5" s="1"/>
  <c r="N74" i="5"/>
  <c r="T74" i="5" s="1"/>
  <c r="N202" i="5"/>
  <c r="T202" i="5" s="1"/>
  <c r="N160" i="5"/>
  <c r="T160" i="5" s="1"/>
  <c r="N128" i="5"/>
  <c r="T128" i="5" s="1"/>
  <c r="N103" i="5"/>
  <c r="T103" i="5" s="1"/>
  <c r="N193" i="5"/>
  <c r="T193" i="5" s="1"/>
  <c r="N65" i="5"/>
  <c r="T65" i="5" s="1"/>
  <c r="N163" i="5"/>
  <c r="T163" i="5" s="1"/>
  <c r="N67" i="5"/>
  <c r="T67" i="5" s="1"/>
  <c r="N22" i="5"/>
  <c r="T22" i="5" s="1"/>
  <c r="N71" i="5"/>
  <c r="T71" i="5" s="1"/>
  <c r="N36" i="5"/>
  <c r="T36" i="5" s="1"/>
  <c r="N122" i="5"/>
  <c r="T122" i="5" s="1"/>
  <c r="N93" i="5"/>
  <c r="T93" i="5" s="1"/>
  <c r="N135" i="5"/>
  <c r="T135" i="5" s="1"/>
  <c r="N140" i="5"/>
  <c r="T140" i="5" s="1"/>
  <c r="N37" i="5"/>
  <c r="T37" i="5" s="1"/>
  <c r="N148" i="5"/>
  <c r="T148" i="5" s="1"/>
  <c r="N90" i="5"/>
  <c r="T90" i="5" s="1"/>
  <c r="N21" i="5"/>
  <c r="T21" i="5" s="1"/>
  <c r="N95" i="5"/>
  <c r="T95" i="5" s="1"/>
  <c r="N12" i="5"/>
  <c r="T12" i="5" s="1"/>
  <c r="N199" i="5"/>
  <c r="T199" i="5" s="1"/>
  <c r="N125" i="5"/>
  <c r="T125" i="5" s="1"/>
  <c r="N28" i="5"/>
  <c r="T28" i="5" s="1"/>
  <c r="N161" i="5"/>
  <c r="T161" i="5" s="1"/>
  <c r="N204" i="5"/>
  <c r="T204" i="5" s="1"/>
  <c r="N196" i="5"/>
  <c r="T196" i="5" s="1"/>
  <c r="N72" i="5"/>
  <c r="T72" i="5" s="1"/>
  <c r="N108" i="5"/>
  <c r="T108" i="5" s="1"/>
  <c r="N105" i="5"/>
  <c r="T105" i="5" s="1"/>
  <c r="N186" i="5"/>
  <c r="T186" i="5" s="1"/>
  <c r="N94" i="5"/>
  <c r="T94" i="5" s="1"/>
  <c r="T9" i="5"/>
  <c r="N92" i="5"/>
  <c r="T92" i="5" s="1"/>
  <c r="N57" i="5"/>
  <c r="T57" i="5" s="1"/>
  <c r="N116" i="5"/>
  <c r="T116" i="5" s="1"/>
  <c r="N109" i="5"/>
  <c r="T109" i="5" s="1"/>
  <c r="N180" i="5"/>
  <c r="T180" i="5" s="1"/>
  <c r="N66" i="5"/>
  <c r="T66" i="5" s="1"/>
  <c r="N23" i="5"/>
  <c r="T23" i="5" s="1"/>
  <c r="N29" i="5"/>
  <c r="T29" i="5" s="1"/>
  <c r="N13" i="5"/>
  <c r="T13" i="5" s="1"/>
  <c r="N121" i="5"/>
  <c r="T121" i="5" s="1"/>
  <c r="N171" i="5"/>
  <c r="T171" i="5" s="1"/>
  <c r="N181" i="5"/>
  <c r="T181" i="5" s="1"/>
  <c r="N75" i="5"/>
  <c r="T75" i="5" s="1"/>
  <c r="N158" i="5"/>
  <c r="T158" i="5" s="1"/>
  <c r="N61" i="5"/>
  <c r="T61" i="5" s="1"/>
  <c r="N176" i="5"/>
  <c r="T176" i="5" s="1"/>
  <c r="N16" i="5"/>
  <c r="T16" i="5" s="1"/>
  <c r="N150" i="5"/>
  <c r="T150" i="5" s="1"/>
  <c r="N127" i="5"/>
  <c r="T127" i="5" s="1"/>
  <c r="N182" i="5"/>
  <c r="T182" i="5" s="1"/>
  <c r="N97" i="5"/>
  <c r="T97" i="5" s="1"/>
  <c r="N50" i="5"/>
  <c r="T50" i="5" s="1"/>
  <c r="N149" i="5"/>
  <c r="T149" i="5" s="1"/>
  <c r="N147" i="5"/>
  <c r="T147" i="5" s="1"/>
  <c r="N113" i="5"/>
  <c r="T113" i="5" s="1"/>
  <c r="J211" i="5"/>
  <c r="N56" i="5"/>
  <c r="T56" i="5" s="1"/>
  <c r="N206" i="5"/>
  <c r="T206" i="5" s="1"/>
  <c r="N46" i="5"/>
  <c r="T46" i="5" s="1"/>
  <c r="N123" i="5"/>
  <c r="T123" i="5" s="1"/>
  <c r="N96" i="5"/>
  <c r="T96" i="5" s="1"/>
  <c r="N27" i="5"/>
  <c r="T27" i="5" s="1"/>
  <c r="N195" i="5"/>
  <c r="T195" i="5" s="1"/>
  <c r="N11" i="5"/>
  <c r="T11" i="5" s="1"/>
  <c r="N139" i="5"/>
  <c r="T139" i="5" s="1"/>
  <c r="N153" i="5"/>
  <c r="T153" i="5" s="1"/>
  <c r="N134" i="5"/>
  <c r="T134" i="5" s="1"/>
  <c r="N120" i="5"/>
  <c r="T120" i="5" s="1"/>
  <c r="N14" i="5"/>
  <c r="T14" i="5" s="1"/>
  <c r="Q211" i="6" l="1"/>
  <c r="S9" i="6"/>
  <c r="S211" i="6" s="1"/>
  <c r="J211" i="6"/>
  <c r="N9" i="6"/>
  <c r="T211" i="5"/>
  <c r="N211" i="5"/>
  <c r="N211" i="6" l="1"/>
  <c r="T9" i="6"/>
  <c r="T21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Voloshin, Zakhar</author>
  </authors>
  <commentList>
    <comment ref="B63" authorId="0" shapeId="0" xr:uid="{2E0D66D9-1527-45A4-BBB7-83B22F263C0C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С 5.06.2017 - в Астане, кардио-нейро(Line 2 Big City)
Апрель-Май (Шымкент, OTC)</t>
        </r>
      </text>
    </comment>
    <comment ref="F89" authorId="0" shapeId="0" xr:uid="{AAF3F005-7ADA-411C-A744-6A199115B324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10.04.2017</t>
        </r>
      </text>
    </comment>
    <comment ref="B96" authorId="0" shapeId="0" xr:uid="{70663998-A07C-4AC3-93DD-F9D4774DC0AF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С 5.06.2017 - в Астане, кардио-нейро(Line 2 Big City)
Апрель-Май (Шымкент, OTC)</t>
        </r>
      </text>
    </comment>
    <comment ref="B98" authorId="0" shapeId="0" xr:uid="{732B8ADC-9C00-49F0-A01D-725CB1057AC2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Nazarbayeva, Akerke:
работает с 05.04.2017</t>
        </r>
      </text>
    </comment>
    <comment ref="B99" authorId="0" shapeId="0" xr:uid="{9CBC002A-1162-42A8-ABE1-1C8A0598DA54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Половина ставки
Выплаты есть пропорционально отработанному периоду. - </t>
        </r>
      </text>
    </comment>
    <comment ref="B100" authorId="0" shapeId="0" xr:uid="{E185B6BA-DFCA-4531-A691-3CB8CFCF49C6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Nazarbayeva, Akerke:
c 20.04.2017</t>
        </r>
      </text>
    </comment>
    <comment ref="B101" authorId="0" shapeId="0" xr:uid="{D06066E7-11E3-4075-B4E2-8A13E7E72D1C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Nazarbayeva, Akerke:
в декрете с 04 января 2017</t>
        </r>
      </text>
    </comment>
    <comment ref="B102" authorId="0" shapeId="0" xr:uid="{6CCAF8E5-A91B-4E83-B75B-A2DAB5DE47BD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Nazarbayeva, Akerke:
работает с 01.06.2017</t>
        </r>
      </text>
    </comment>
    <comment ref="B103" authorId="0" shapeId="0" xr:uid="{D4E2FD38-E467-4936-A06E-A630A6D7412A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Nazarbayeva, Akerke
работает с 04.01.2017</t>
        </r>
      </text>
    </comment>
    <comment ref="B104" authorId="0" shapeId="0" xr:uid="{DE030B1F-2CDB-4EAD-9C9F-0DA0005E8520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Nazarbayeva, Akerke:
с 06.01.16, в декрет с 17.10.2016 (была на замещ. Кениспаевой)</t>
        </r>
      </text>
    </comment>
    <comment ref="B105" authorId="0" shapeId="0" xr:uid="{681791F7-1A61-4252-8911-B7F844CB8B23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Nazarbayeva, Akerke: 
в декрете с 24.12.15</t>
        </r>
      </text>
    </comment>
    <comment ref="B106" authorId="0" shapeId="0" xr:uid="{CC73A35A-1C1A-4AED-AC57-E5566BEF80CD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Nazarbayeva, Akerke:
c 10.10.14, в декрете с 24.10.16. вышла с декрета с 03 июля 2017</t>
        </r>
      </text>
    </comment>
    <comment ref="B107" authorId="0" shapeId="0" xr:uid="{FC4416E8-B65C-4DBE-AC9F-16340963A4A8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C 05.06.2017</t>
        </r>
      </text>
    </comment>
    <comment ref="B108" authorId="0" shapeId="0" xr:uid="{1962ADD0-DB54-4E22-A439-C94B3499F765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Nazarbayeva, Akerke X:
работает с 18 марта 2014, в декрете с 16.01.15</t>
        </r>
      </text>
    </comment>
    <comment ref="B109" authorId="0" shapeId="0" xr:uid="{B6F2BDDF-F79A-4F12-83D3-B735BE3A390D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Nazarbayeva, Akerke:
с 10 апреля 2017 г. 
 (замещение Моршневой И)</t>
        </r>
      </text>
    </comment>
    <comment ref="B110" authorId="0" shapeId="0" xr:uid="{752FA3AD-4C79-4C68-9FA3-FEE15A149F6B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Nazarbayeva, Akerke X:
приступила с 21 Апреля 2015, в декрет с 03.10.16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Voloshin, Zakhar</author>
  </authors>
  <commentList>
    <comment ref="T28" authorId="0" shapeId="0" xr:uid="{A4C42DF7-0A90-4D89-8947-00B5ACF5FDF9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Работает с 13 Марта на 50% (Пол-ставки)</t>
        </r>
      </text>
    </comment>
    <comment ref="T62" authorId="0" shapeId="0" xr:uid="{745C15EB-C1B0-4F00-B958-0800325B8735}">
      <text>
        <r>
          <rPr>
            <b/>
            <sz val="8"/>
            <color indexed="81"/>
            <rFont val="Tahoma"/>
            <family val="2"/>
            <charset val="204"/>
          </rPr>
          <t>Voloshin, Zakhar:
Работает с 15 Февраля</t>
        </r>
      </text>
    </comment>
    <comment ref="D90" authorId="0" shapeId="0" xr:uid="{39D8F57D-28E8-4ECD-B5AC-CDC6EB7018AD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Работает с 13 Марта на 50% (Пол-ставки)</t>
        </r>
      </text>
    </comment>
    <comment ref="D92" authorId="0" shapeId="0" xr:uid="{87BA7EC3-A254-4C54-B60E-98B8505CD507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Работает с 3.04.2017</t>
        </r>
      </text>
    </comment>
    <comment ref="D93" authorId="0" shapeId="0" xr:uid="{A55E507B-83F2-4233-8E6F-F135D6CACD89}">
      <text>
        <r>
          <rPr>
            <b/>
            <sz val="8"/>
            <color indexed="81"/>
            <rFont val="Tahoma"/>
            <family val="2"/>
            <charset val="204"/>
          </rPr>
          <t>Voloshin, Zakhar:
Работает с 15 Февраля</t>
        </r>
      </text>
    </comment>
    <comment ref="D94" authorId="0" shapeId="0" xr:uid="{95557C07-8FD2-499C-9960-97485293A712}">
      <text>
        <r>
          <rPr>
            <b/>
            <sz val="8"/>
            <color indexed="81"/>
            <rFont val="Tahoma"/>
            <family val="2"/>
            <charset val="204"/>
          </rPr>
          <t>Voloshin, Zakhar:</t>
        </r>
        <r>
          <rPr>
            <sz val="8"/>
            <color indexed="81"/>
            <rFont val="Tahoma"/>
            <family val="2"/>
            <charset val="204"/>
          </rPr>
          <t xml:space="preserve">
Вышла с декрета 3.04.2017</t>
        </r>
      </text>
    </comment>
  </commentList>
</comments>
</file>

<file path=xl/sharedStrings.xml><?xml version="1.0" encoding="utf-8"?>
<sst xmlns="http://schemas.openxmlformats.org/spreadsheetml/2006/main" count="5185" uniqueCount="594">
  <si>
    <t>#</t>
  </si>
  <si>
    <t>Name</t>
  </si>
  <si>
    <t>Position</t>
  </si>
  <si>
    <t>Starting  date</t>
  </si>
  <si>
    <t>Maternity leave start/ Promo-line change end/ Position change end</t>
  </si>
  <si>
    <t>Maternity leave end/ Promo-line change start/ Position change start</t>
  </si>
  <si>
    <t>For Q1</t>
  </si>
  <si>
    <t>For Q2</t>
  </si>
  <si>
    <t>For Q3</t>
  </si>
  <si>
    <t>For Q4</t>
  </si>
  <si>
    <t>For Year</t>
  </si>
  <si>
    <t>Abasheva Anna</t>
  </si>
  <si>
    <t>Medical Representative</t>
  </si>
  <si>
    <t>Worked</t>
  </si>
  <si>
    <t>Abdulanova Lyazzat</t>
  </si>
  <si>
    <t>Aitbenbetova Dinara</t>
  </si>
  <si>
    <t>Akhmadiyeva Gulzhan</t>
  </si>
  <si>
    <t>Akhmetova (Imanzhanova) Sholpan</t>
  </si>
  <si>
    <t>Aliyev Askar</t>
  </si>
  <si>
    <t>Altynbassova Shynar</t>
  </si>
  <si>
    <t>Alzhanova Zhuldyz</t>
  </si>
  <si>
    <t>Pharm Representative</t>
  </si>
  <si>
    <t>Arestova Yelena</t>
  </si>
  <si>
    <t>Auyelbekova Syndykul</t>
  </si>
  <si>
    <t>Aybolova Zhazira</t>
  </si>
  <si>
    <t>Baimysheva Mariya</t>
  </si>
  <si>
    <t>Bakisheva Aliya</t>
  </si>
  <si>
    <t>Balanesku Irina</t>
  </si>
  <si>
    <t>Balmagambetova Zamza</t>
  </si>
  <si>
    <t>Bayzakova Gulzhan</t>
  </si>
  <si>
    <t>Bekbauova Saltanat</t>
  </si>
  <si>
    <t>Bekesheva Zalina</t>
  </si>
  <si>
    <t>Boyarova Alfiya</t>
  </si>
  <si>
    <t>Brialinova Inkar</t>
  </si>
  <si>
    <t>Donayeva Nazira</t>
  </si>
  <si>
    <t>Dratkov Grigoriy</t>
  </si>
  <si>
    <t>Feist Yekaterina</t>
  </si>
  <si>
    <t>Galiyeva Saule</t>
  </si>
  <si>
    <t>Regional Manager</t>
  </si>
  <si>
    <t>Gulyakova Olga</t>
  </si>
  <si>
    <t>Inkarbekova Nurbibi</t>
  </si>
  <si>
    <t>Issakhanova Assem</t>
  </si>
  <si>
    <t>Issakova Dina</t>
  </si>
  <si>
    <t>Itakhunov Rassul</t>
  </si>
  <si>
    <t>Kadyrova Azaliya</t>
  </si>
  <si>
    <t>Kalistratova Alexandra</t>
  </si>
  <si>
    <t>Kassenova Gulshat</t>
  </si>
  <si>
    <t>Khalikova Nuriya</t>
  </si>
  <si>
    <t>Kuchshanova Akmaral</t>
  </si>
  <si>
    <t>Kussainova Dilara</t>
  </si>
  <si>
    <t>Kutdussova Liliya</t>
  </si>
  <si>
    <t>Kutlymuratov Assylatdin</t>
  </si>
  <si>
    <t>Kuxa Anna</t>
  </si>
  <si>
    <t>Kuzikeyeva Dinara</t>
  </si>
  <si>
    <t>Kuznetsova Natalya</t>
  </si>
  <si>
    <t>Litvinenko Tatyana</t>
  </si>
  <si>
    <t>Maisutova Almagul</t>
  </si>
  <si>
    <t>Mamedova Zarina</t>
  </si>
  <si>
    <t>Mamutova Aliya</t>
  </si>
  <si>
    <t>Manapbayeva Assel</t>
  </si>
  <si>
    <t>Maximenko Alexandr</t>
  </si>
  <si>
    <t>Meirbek Ainur</t>
  </si>
  <si>
    <t>Morshneva (Burda) Irina</t>
  </si>
  <si>
    <t>Nakipbekova Gulzhan</t>
  </si>
  <si>
    <t>Nauryzbayeva Shynar</t>
  </si>
  <si>
    <t>Novokhatnyaya Anastasiya</t>
  </si>
  <si>
    <t>Nurikhanova Alissa</t>
  </si>
  <si>
    <t>Omarova Aizhan</t>
  </si>
  <si>
    <t>Ospanova Anar</t>
  </si>
  <si>
    <t>Ossipova Anna</t>
  </si>
  <si>
    <t>Pavlutskikh Yelena</t>
  </si>
  <si>
    <t>Rakhimzhanova Gulnar</t>
  </si>
  <si>
    <t>Sadvakassova Zhanat</t>
  </si>
  <si>
    <t>Sagimbayeva Lyazat</t>
  </si>
  <si>
    <t>Sakalbayeva Aliya</t>
  </si>
  <si>
    <t>Sarbassova Dina (Shymkent)</t>
  </si>
  <si>
    <t>Sariyeva Ainur</t>
  </si>
  <si>
    <t>Sarsenbayeva Saniya</t>
  </si>
  <si>
    <t>Sidorenko Yevgeniya</t>
  </si>
  <si>
    <t>Simachkova Yelena</t>
  </si>
  <si>
    <t>Soni Laura</t>
  </si>
  <si>
    <t>Suttubayeva Gulnar</t>
  </si>
  <si>
    <t>Tasbulatova Saule</t>
  </si>
  <si>
    <t>Temirbayeva Akzhunis</t>
  </si>
  <si>
    <t>Tilessova Altynay</t>
  </si>
  <si>
    <t>Tipalov Sergey</t>
  </si>
  <si>
    <t>Tulebayeva Karylgash</t>
  </si>
  <si>
    <t>Ungarbayeva Zhanna</t>
  </si>
  <si>
    <t>Yerkebayeva Gulmira</t>
  </si>
  <si>
    <t>Yerkin Nadiyam</t>
  </si>
  <si>
    <t>Yesbolova Gulnur</t>
  </si>
  <si>
    <t>Yevseyenko Larissa</t>
  </si>
  <si>
    <t>Yu Vitaliya</t>
  </si>
  <si>
    <t>Zhanabekova Kamshat</t>
  </si>
  <si>
    <t>Zhazylbekova Aitolkyn</t>
  </si>
  <si>
    <t>Zhmailova Yelena</t>
  </si>
  <si>
    <t>Orazbayeva Saya</t>
  </si>
  <si>
    <t>Kaderov Nursultan</t>
  </si>
  <si>
    <t>Ospanova Zhumagul</t>
  </si>
  <si>
    <t>Yakim Ilya</t>
  </si>
  <si>
    <t>Zhanuzakova Gulbakyt</t>
  </si>
  <si>
    <t>Konurub Roza</t>
  </si>
  <si>
    <t>Tulemyrzayeva Madina</t>
  </si>
  <si>
    <t>Kusmanova Shynar</t>
  </si>
  <si>
    <t>Salikhova Akbota</t>
  </si>
  <si>
    <t>Turganbayeva Zhazira</t>
  </si>
  <si>
    <t>Makenova Yuliya</t>
  </si>
  <si>
    <t>Sarbassova Dina (Astana)</t>
  </si>
  <si>
    <t>Zhakenova Botagoz (замещение Калдыбаевой Н.)</t>
  </si>
  <si>
    <t>Dikambayev Zhiger</t>
  </si>
  <si>
    <t>Dubova Yevgeniya</t>
  </si>
  <si>
    <t>Kalacheva Larissa</t>
  </si>
  <si>
    <t>Kaldybayeva Nazgul</t>
  </si>
  <si>
    <t>Kalen Temirlan</t>
  </si>
  <si>
    <t>Kassanova Elmira</t>
  </si>
  <si>
    <t>Kemelova Dinara</t>
  </si>
  <si>
    <t>Kenispayeva Roza</t>
  </si>
  <si>
    <t>Kosmaganbetova Diana</t>
  </si>
  <si>
    <t>Nassyrov Farukh</t>
  </si>
  <si>
    <t>Savenkova Marina</t>
  </si>
  <si>
    <t>Volkova Svetlana</t>
  </si>
  <si>
    <t>Yerdembayeva Ainur</t>
  </si>
  <si>
    <t>Quarter-1</t>
  </si>
  <si>
    <t>Portfolio-1</t>
  </si>
  <si>
    <t>Portfolio-2</t>
  </si>
  <si>
    <t>Portfolio-3</t>
  </si>
  <si>
    <t>Portfolio-4</t>
  </si>
  <si>
    <t>Promo-line</t>
  </si>
  <si>
    <t>SHARE OF Portfolio-1</t>
  </si>
  <si>
    <t>Portfolio-1/ Product-1</t>
  </si>
  <si>
    <t>Portfolio-1/ Product-2</t>
  </si>
  <si>
    <t>Portfolio-1/ Product-3</t>
  </si>
  <si>
    <t>Portfolio-1/ Product-4</t>
  </si>
  <si>
    <t>SHARE OF Portfolio-2</t>
  </si>
  <si>
    <t>Portfolio-2/ Product-1</t>
  </si>
  <si>
    <t>Portfolio-2/ Product-2</t>
  </si>
  <si>
    <t>Portfolio-2/ Product-3</t>
  </si>
  <si>
    <t>Portfolio-2/ Product-4</t>
  </si>
  <si>
    <t>SHARE OF Portfolio-3</t>
  </si>
  <si>
    <t>Portfolio-3/ Product-1</t>
  </si>
  <si>
    <t>Portfolio-3/ Product-2</t>
  </si>
  <si>
    <t>Portfolio-3/ Product-3</t>
  </si>
  <si>
    <t>Portfolio-3/ Product-4</t>
  </si>
  <si>
    <t>SHARE OF Portfolio-4</t>
  </si>
  <si>
    <t>Portfolio-4/ Product-1</t>
  </si>
  <si>
    <t>Portfolio-4/ Product-2</t>
  </si>
  <si>
    <t>Portfolio-4/ Product-3</t>
  </si>
  <si>
    <t>Portfolio-4/ Product-4</t>
  </si>
  <si>
    <t>Line 1</t>
  </si>
  <si>
    <t>CREON</t>
  </si>
  <si>
    <t xml:space="preserve">DUPHALAC </t>
  </si>
  <si>
    <t>HEPTRAL</t>
  </si>
  <si>
    <t xml:space="preserve">DUSPATALIN </t>
  </si>
  <si>
    <t>IRS 19</t>
  </si>
  <si>
    <t>IMUDON</t>
  </si>
  <si>
    <t xml:space="preserve">GANATON </t>
  </si>
  <si>
    <t>Line 2</t>
  </si>
  <si>
    <t xml:space="preserve">DUPHASTON </t>
  </si>
  <si>
    <t>FEMOSTON</t>
  </si>
  <si>
    <t>PHYSIOTENS</t>
  </si>
  <si>
    <t>TRICOR /LIPANTHYL</t>
  </si>
  <si>
    <t>OMACOR</t>
  </si>
  <si>
    <t>BETASERC</t>
  </si>
  <si>
    <t>Line 2 (big cities)</t>
  </si>
  <si>
    <t>Line 3 (big cities)</t>
  </si>
  <si>
    <t>OVATEL</t>
  </si>
  <si>
    <t>Pharma line</t>
  </si>
  <si>
    <t>Regional Manager-1</t>
  </si>
  <si>
    <t>GASTRO</t>
  </si>
  <si>
    <t>GYNECOLOGY</t>
  </si>
  <si>
    <t>CARDIO-NEURO</t>
  </si>
  <si>
    <t>IMMUNOLOGY</t>
  </si>
  <si>
    <t>Quarter-2</t>
  </si>
  <si>
    <t>DUPHABEARS</t>
  </si>
  <si>
    <t>Quarter-3</t>
  </si>
  <si>
    <t>Quarter-4</t>
  </si>
  <si>
    <t>YEAR</t>
  </si>
  <si>
    <t>Quarter</t>
  </si>
  <si>
    <t>№</t>
  </si>
  <si>
    <t>ACT Portfolio-1/ Product-1</t>
  </si>
  <si>
    <t>ACT Portfolio-1/ Product-2</t>
  </si>
  <si>
    <t>ACT Portfolio-1/ Product-3</t>
  </si>
  <si>
    <t>ACT Portfolio-1/ Product-4</t>
  </si>
  <si>
    <t>PLAN  Portfolio-1/ Product-1</t>
  </si>
  <si>
    <t>PLAN Portfolio-1/ Product-2</t>
  </si>
  <si>
    <t>PLAN Portfolio-1/ Product-3</t>
  </si>
  <si>
    <t>PLAN Portfolio-1/ Product-4</t>
  </si>
  <si>
    <t>ACT Portfolio-2/ Product-1</t>
  </si>
  <si>
    <t>ACT Portfolio-2/ Product-2</t>
  </si>
  <si>
    <t>ACT Portfolio-2/ Product-3</t>
  </si>
  <si>
    <t>ACT Portfolio-2/ Product-4</t>
  </si>
  <si>
    <t>PLAN  Portfolio-2/ Product-1</t>
  </si>
  <si>
    <t>PLAN Portfolio-2/ Product-2</t>
  </si>
  <si>
    <t>PLAN Portfolio-2/ Product-3</t>
  </si>
  <si>
    <t>PLAN Portfolio-2/ Product-4</t>
  </si>
  <si>
    <t>ACT Portfolio-3/ Product-1</t>
  </si>
  <si>
    <t>ACT Portfolio-3/ Product-2</t>
  </si>
  <si>
    <t>ACT Portfolio-3/ Product-3</t>
  </si>
  <si>
    <t>ACT Portfolio-3/ Product-4</t>
  </si>
  <si>
    <t>PLAN  Portfolio-3/ Product-1</t>
  </si>
  <si>
    <t>PLAN Portfolio-3/ Product-2</t>
  </si>
  <si>
    <t>PLAN Portfolio-3/ Product-3</t>
  </si>
  <si>
    <t>PLAN Portfolio-3/ Product-4</t>
  </si>
  <si>
    <t>ACT Portfolio-4/ Product-1</t>
  </si>
  <si>
    <t>ACT Portfolio-4/ Product-2</t>
  </si>
  <si>
    <t>ACT Portfolio-4/ Product-3</t>
  </si>
  <si>
    <t>ACT Portfolio-4/ Product-4</t>
  </si>
  <si>
    <t>PLAN  Portfolio-4/ Product-1</t>
  </si>
  <si>
    <t>PLAN Portfolio-4/ Product-2</t>
  </si>
  <si>
    <t>PLAN Portfolio-4/ Product-3</t>
  </si>
  <si>
    <t>PLAN Portfolio-4/ Product-4</t>
  </si>
  <si>
    <t>Total ACT</t>
  </si>
  <si>
    <t>Total PLAN</t>
  </si>
  <si>
    <t>Time in Coaching (RM)</t>
  </si>
  <si>
    <t>TCFA</t>
  </si>
  <si>
    <t>Status</t>
  </si>
  <si>
    <t>Starting date after probation period</t>
  </si>
  <si>
    <t>Reimbursed mnths</t>
  </si>
  <si>
    <t>Starting  mnth of reimbursment</t>
  </si>
  <si>
    <t>Last mnth of reimbursment</t>
  </si>
  <si>
    <t>Target insentive</t>
  </si>
  <si>
    <t>Reimbursable months, %</t>
  </si>
  <si>
    <t>% ACHIEVEMENT</t>
  </si>
  <si>
    <t xml:space="preserve">check sales </t>
  </si>
  <si>
    <t xml:space="preserve">Payment coefficient </t>
  </si>
  <si>
    <t>Q1</t>
  </si>
  <si>
    <t/>
  </si>
  <si>
    <t>Staff</t>
  </si>
  <si>
    <t>Newcomer</t>
  </si>
  <si>
    <t>Maternity leave</t>
  </si>
  <si>
    <t>Established Pharmaceuticals Division</t>
  </si>
  <si>
    <t>Exch rate LC/USD</t>
  </si>
  <si>
    <t>Q2</t>
  </si>
  <si>
    <t>COUNTRY</t>
  </si>
  <si>
    <t>87 Georgia</t>
  </si>
  <si>
    <t>Q3</t>
  </si>
  <si>
    <t>Q4</t>
  </si>
  <si>
    <t>Account period</t>
  </si>
  <si>
    <t>Year</t>
  </si>
  <si>
    <t>Total Target Incentive for Quarter, LC</t>
  </si>
  <si>
    <t>Target Incentive Base, LC</t>
  </si>
  <si>
    <t>Target Incentive for Sales Result, LC</t>
  </si>
  <si>
    <t>Product1</t>
  </si>
  <si>
    <t>Product2</t>
  </si>
  <si>
    <t>Product3</t>
  </si>
  <si>
    <t>Product4</t>
  </si>
  <si>
    <t>Incentive Amount for Sales Result, LC</t>
  </si>
  <si>
    <t>Target Incentive for TCFA, LC</t>
  </si>
  <si>
    <t>Target Incentive for Time in Coaching (RM) , LC</t>
  </si>
  <si>
    <t>Incentive Amount for TCFA, LC</t>
  </si>
  <si>
    <t>Incentive Amount for Time in Coaching, LC</t>
  </si>
  <si>
    <t>Incentive Amount for Field Work Achievements, LC</t>
  </si>
  <si>
    <t>Total Incentive Amount, LC</t>
  </si>
  <si>
    <t>TOTAL</t>
  </si>
  <si>
    <t>Abbott</t>
  </si>
  <si>
    <t>Statement of bonuses</t>
  </si>
  <si>
    <t>Target Incentive Amount, LC</t>
  </si>
  <si>
    <t>Target Incentive Amount, USD</t>
  </si>
  <si>
    <t>Incentive Amount for Field Work Achievement, LC</t>
  </si>
  <si>
    <t>Total Incentive Amount, USD</t>
  </si>
  <si>
    <t>Payout vs Target Incentive, %</t>
  </si>
  <si>
    <t>Check</t>
  </si>
  <si>
    <t>National Sales Manager</t>
  </si>
  <si>
    <t>__________________________________________________________</t>
  </si>
  <si>
    <t>General Manager</t>
  </si>
  <si>
    <t>Regional Sales Force Effectiveness Director Turkey&amp;CIS</t>
  </si>
  <si>
    <t xml:space="preserve"> HR Manager</t>
  </si>
  <si>
    <t xml:space="preserve"> CIS Finance Director EPD</t>
  </si>
  <si>
    <t>TCFA (Pharm)</t>
  </si>
  <si>
    <t>name</t>
  </si>
  <si>
    <t>CP_Personal_target</t>
  </si>
  <si>
    <t>Grand Total</t>
  </si>
  <si>
    <t>Абашева, Анна</t>
  </si>
  <si>
    <t>Managed by</t>
  </si>
  <si>
    <t>CISUser</t>
  </si>
  <si>
    <t>не таргет</t>
  </si>
  <si>
    <t>Абдикадирова, Айжамал</t>
  </si>
  <si>
    <t>KZ-ALM1; Кукса, Анна</t>
  </si>
  <si>
    <t>Дратков, Григорий</t>
  </si>
  <si>
    <t>Абдуланова, Ляззат</t>
  </si>
  <si>
    <t>Subtotal</t>
  </si>
  <si>
    <t>Абдыгазиева, Жанылмырза</t>
  </si>
  <si>
    <t>KZ-ALM2; Жмайлова, Елена</t>
  </si>
  <si>
    <t>Итахунов, Расул</t>
  </si>
  <si>
    <t>Айболова, Жазира</t>
  </si>
  <si>
    <t>Айтбенбетова, Динара</t>
  </si>
  <si>
    <t>KZ-AST; Галиева, Сауле</t>
  </si>
  <si>
    <t>Альжанова, Жулдыз</t>
  </si>
  <si>
    <t>Алиев, Аскар</t>
  </si>
  <si>
    <t>Садвакасова, Жанат</t>
  </si>
  <si>
    <t>Тилесова, Алтынай</t>
  </si>
  <si>
    <t>Алтынбасова, Шынар</t>
  </si>
  <si>
    <t>KZ-CKO; Евсеенко, Лариса</t>
  </si>
  <si>
    <t>Кирпичева, Анна</t>
  </si>
  <si>
    <t>Арестова, Елена</t>
  </si>
  <si>
    <t>KZ-EAST1; Жмайлова, Елена</t>
  </si>
  <si>
    <t>Максименко, Александр</t>
  </si>
  <si>
    <t>Ауелбекова, Сындыкуль</t>
  </si>
  <si>
    <t>Ахмадиева, Гульжан</t>
  </si>
  <si>
    <t>KZ-EAST2; Кузикеева, Динара</t>
  </si>
  <si>
    <t>Литвиненко, Татьяна</t>
  </si>
  <si>
    <t>Байзакова, Гульжан</t>
  </si>
  <si>
    <t>Баймышева, Мария</t>
  </si>
  <si>
    <t>KZ-SKO; Суттубаева, Гульнар</t>
  </si>
  <si>
    <t>Симачкова, Елена</t>
  </si>
  <si>
    <t>Бакишева, Алия</t>
  </si>
  <si>
    <t>Баланеску, Ирина</t>
  </si>
  <si>
    <t>KZ-UKO; Зарпуллаева, Гульнара</t>
  </si>
  <si>
    <t>Сарбасова, Дина</t>
  </si>
  <si>
    <t>Балмагамбетова, Замза</t>
  </si>
  <si>
    <t>Сариева, Айнур</t>
  </si>
  <si>
    <t>Бекбауова, Салтанат</t>
  </si>
  <si>
    <t>Боярова, Альфия</t>
  </si>
  <si>
    <t>KZ-ZKO; Майсутова, Алмагуль</t>
  </si>
  <si>
    <t>Сагимбаева, Ляззат</t>
  </si>
  <si>
    <t>Бриалинова, Инкар</t>
  </si>
  <si>
    <t>Бейшенбаева, Гульзат</t>
  </si>
  <si>
    <t>Бурда, Ирина</t>
  </si>
  <si>
    <t>Галиева, Сауле</t>
  </si>
  <si>
    <t>Гулякова, Ольга</t>
  </si>
  <si>
    <t>Евсеенко, Лариса</t>
  </si>
  <si>
    <t>Донаева, Назира</t>
  </si>
  <si>
    <t>Жмайлова, Елена</t>
  </si>
  <si>
    <t>Зарпуллаева, Гульнара</t>
  </si>
  <si>
    <t>Дубова, Евгения</t>
  </si>
  <si>
    <t>Кузикеева, Динара</t>
  </si>
  <si>
    <t>Еркебаева, Гульмира</t>
  </si>
  <si>
    <t>Кукса, Анна</t>
  </si>
  <si>
    <t>Еркын, Надиям</t>
  </si>
  <si>
    <t>Майсутова, Алмагуль</t>
  </si>
  <si>
    <t>Есболова, Гульнур</t>
  </si>
  <si>
    <t>Нуриханова, Алиса</t>
  </si>
  <si>
    <t>Жазылбекова, Айтолкын</t>
  </si>
  <si>
    <t>Суттубаева, Гульнар</t>
  </si>
  <si>
    <t>Жакенова, Ботагоз</t>
  </si>
  <si>
    <t>Жанабекова, Камшат</t>
  </si>
  <si>
    <t>TCFA (KZ)</t>
  </si>
  <si>
    <t>Иманжанова, Шолпан</t>
  </si>
  <si>
    <t>Инкарбекова, Нурбиби</t>
  </si>
  <si>
    <t>таргет</t>
  </si>
  <si>
    <t>Исакова, Дина</t>
  </si>
  <si>
    <t>Исаханова, Асем</t>
  </si>
  <si>
    <t>Кадеров, Нурсултан</t>
  </si>
  <si>
    <t>Кадырова, Азалия</t>
  </si>
  <si>
    <t>Кутлымуратов, Асылатдин</t>
  </si>
  <si>
    <t>Калистратова, Александра</t>
  </si>
  <si>
    <t>Кущанова, Акмарал</t>
  </si>
  <si>
    <t>Каримова, Назгуль</t>
  </si>
  <si>
    <t>Манапбаева, Асель</t>
  </si>
  <si>
    <t>Касанова, Эльмира</t>
  </si>
  <si>
    <t>Новохатняя, Анастасия</t>
  </si>
  <si>
    <t>Касенова, Гульшат</t>
  </si>
  <si>
    <t>Кусаинова, Дилара</t>
  </si>
  <si>
    <t>Кусманова, Шинар</t>
  </si>
  <si>
    <t>Кутдусова, Лилия</t>
  </si>
  <si>
    <t>Сони, Лаура</t>
  </si>
  <si>
    <t>Макенова, Юлия</t>
  </si>
  <si>
    <t>Ю, Виталия</t>
  </si>
  <si>
    <t>Мамедова, Зарина</t>
  </si>
  <si>
    <t>Мамутова, Алия</t>
  </si>
  <si>
    <t>Мейрбек, Айнура</t>
  </si>
  <si>
    <t>Миронцева, Оксана</t>
  </si>
  <si>
    <t>Накипбекова, Гульжан</t>
  </si>
  <si>
    <t>Наурызбаева, Шынар</t>
  </si>
  <si>
    <t>Наталья, Кузнецова</t>
  </si>
  <si>
    <t>Сарсенбаева, Сания</t>
  </si>
  <si>
    <t>Нурбекова, Венера</t>
  </si>
  <si>
    <t>Омарова, Айжан</t>
  </si>
  <si>
    <t>Оспанова, Анар</t>
  </si>
  <si>
    <t>Оспанова, Жумагуль</t>
  </si>
  <si>
    <t>Павлуцких, Елена</t>
  </si>
  <si>
    <t>Рахимжанова, Гульнара</t>
  </si>
  <si>
    <t>KZ-EAST1; Нуриханова, Алиса</t>
  </si>
  <si>
    <t>Сакалбаева, Алия</t>
  </si>
  <si>
    <t>Салихова, Акбота</t>
  </si>
  <si>
    <t>Сидоренко, Евгения</t>
  </si>
  <si>
    <t>KZ-EAST1; Оразбаева, Сая</t>
  </si>
  <si>
    <t>Тасбулатова, Сауле</t>
  </si>
  <si>
    <t>Темирбаева, Акжунус</t>
  </si>
  <si>
    <t>Типалов, Сергей</t>
  </si>
  <si>
    <t>Тюлемишева, Гульмира</t>
  </si>
  <si>
    <t>Унгарбаева, Жанна</t>
  </si>
  <si>
    <t>KZ-KGS; Бейшенбаева, Гульзат</t>
  </si>
  <si>
    <t>Утегенова, Акмарал</t>
  </si>
  <si>
    <t>Фейст, Екатерина</t>
  </si>
  <si>
    <t>Халикова, Нурия</t>
  </si>
  <si>
    <t>Цой, Надежда</t>
  </si>
  <si>
    <t>Эшбаева, Чынара</t>
  </si>
  <si>
    <t>KZ-KGS; Тюлемишева, Гульмира</t>
  </si>
  <si>
    <t>TCFA Q2 2017</t>
  </si>
  <si>
    <t>Время на совместных визитах для бонусa</t>
  </si>
  <si>
    <t>Время РМ на СВ с МП</t>
  </si>
  <si>
    <t>CallDate</t>
  </si>
  <si>
    <t>CIS BU+Region</t>
  </si>
  <si>
    <t>CIS User</t>
  </si>
  <si>
    <t>Mid</t>
  </si>
  <si>
    <t>Kazakhstan, KZ-ALM1</t>
  </si>
  <si>
    <t>Kazakhstan, KZ-ALM2</t>
  </si>
  <si>
    <t>Kazakhstan, KZ-AST</t>
  </si>
  <si>
    <t>Kazakhstan, KZ-CKO</t>
  </si>
  <si>
    <t>Kazakhstan, KZ-EAST2</t>
  </si>
  <si>
    <t>Kazakhstan, KZ-SKO</t>
  </si>
  <si>
    <t>Kazakhstan, KZ-UKO</t>
  </si>
  <si>
    <t>Kazakhstan, KZ-ZKO</t>
  </si>
  <si>
    <t>Time in coaching Q2</t>
  </si>
  <si>
    <t>user region</t>
  </si>
  <si>
    <t>April</t>
  </si>
  <si>
    <t>May</t>
  </si>
  <si>
    <t>June</t>
  </si>
  <si>
    <t>C5-AZE</t>
  </si>
  <si>
    <t>Исмаилова, Кенуль</t>
  </si>
  <si>
    <t>Время на ССВ</t>
  </si>
  <si>
    <t>Время на ССВ (час.)</t>
  </si>
  <si>
    <t>Робочее время (час.)</t>
  </si>
  <si>
    <t>C5-BEL</t>
  </si>
  <si>
    <t>Чернушевич, Инна</t>
  </si>
  <si>
    <t>KZ-ALM1</t>
  </si>
  <si>
    <t>KZ-ALM2</t>
  </si>
  <si>
    <t>KZ-AST</t>
  </si>
  <si>
    <t>KZ-CKO</t>
  </si>
  <si>
    <t>KZ-EAST1</t>
  </si>
  <si>
    <t>KZ-EAST2</t>
  </si>
  <si>
    <t>KZ-KGS</t>
  </si>
  <si>
    <t>KZ-SKO</t>
  </si>
  <si>
    <t>KZ-ZKO</t>
  </si>
  <si>
    <t>Personal structure 2016</t>
  </si>
  <si>
    <t>City</t>
  </si>
  <si>
    <t>RU</t>
  </si>
  <si>
    <t>EN</t>
  </si>
  <si>
    <t>Med Rep</t>
  </si>
  <si>
    <t>Lines 2017</t>
  </si>
  <si>
    <t>Aktau</t>
  </si>
  <si>
    <t>RM5</t>
  </si>
  <si>
    <t>RM1</t>
  </si>
  <si>
    <t>Betaserc 16 mg 30tab</t>
  </si>
  <si>
    <t>SMR</t>
  </si>
  <si>
    <t>Kostanay</t>
  </si>
  <si>
    <t>Aktobe</t>
  </si>
  <si>
    <t>RM2</t>
  </si>
  <si>
    <t>RM10</t>
  </si>
  <si>
    <t>Betaserc 24 mg 20tabs</t>
  </si>
  <si>
    <t>Q1_2017</t>
  </si>
  <si>
    <t>_2017</t>
  </si>
  <si>
    <t>Abdykadyrova Aizhamal</t>
  </si>
  <si>
    <t>MR</t>
  </si>
  <si>
    <t>Astana</t>
  </si>
  <si>
    <t>Almaty</t>
  </si>
  <si>
    <t>RM4</t>
  </si>
  <si>
    <t>Abdygaziyeva Zhanylmyrza</t>
  </si>
  <si>
    <t>Bishkek</t>
  </si>
  <si>
    <t>PhR</t>
  </si>
  <si>
    <t>Q2_2017</t>
  </si>
  <si>
    <t>Betaserc 24mg 60tabs / 50 tabs</t>
  </si>
  <si>
    <t>Q3_2017</t>
  </si>
  <si>
    <t>Oskemen</t>
  </si>
  <si>
    <t>RM6</t>
  </si>
  <si>
    <t>Betaserc 60ml oral solution, bottle UA</t>
  </si>
  <si>
    <t>ALL</t>
  </si>
  <si>
    <t>Q13</t>
  </si>
  <si>
    <t>Q4_2017</t>
  </si>
  <si>
    <t>Atyrau</t>
  </si>
  <si>
    <t>RM7</t>
  </si>
  <si>
    <t>Betaserc 8mg 30tab</t>
  </si>
  <si>
    <t>Q1_2018</t>
  </si>
  <si>
    <t>_2018</t>
  </si>
  <si>
    <t>Karaganda</t>
  </si>
  <si>
    <t>RM9</t>
  </si>
  <si>
    <t>RM8</t>
  </si>
  <si>
    <t>BRUFEN 4% SYRUP 100ML</t>
  </si>
  <si>
    <t>Q2_2018</t>
  </si>
  <si>
    <t xml:space="preserve">MR </t>
  </si>
  <si>
    <t>Kyzyl-Orda</t>
  </si>
  <si>
    <t>Kokshetau</t>
  </si>
  <si>
    <t>Q26</t>
  </si>
  <si>
    <t>Q3_2018</t>
  </si>
  <si>
    <t>BRUFEN 600 mg sachet #30</t>
  </si>
  <si>
    <t>Q4_2018</t>
  </si>
  <si>
    <t>Dicetel 50mg N20</t>
  </si>
  <si>
    <t>Q1_2019</t>
  </si>
  <si>
    <t>_2019</t>
  </si>
  <si>
    <t>Taraz</t>
  </si>
  <si>
    <t>Oral</t>
  </si>
  <si>
    <t>Difmetre /2 mg /75 mg tab #10 KZ</t>
  </si>
  <si>
    <t>Q39</t>
  </si>
  <si>
    <t>Q2_2019</t>
  </si>
  <si>
    <t>Shymkent</t>
  </si>
  <si>
    <t>Driptane tabl 5mg</t>
  </si>
  <si>
    <t>Q3_2019</t>
  </si>
  <si>
    <t>Petropavl</t>
  </si>
  <si>
    <t>Pavlodar</t>
  </si>
  <si>
    <t>Q4_2019</t>
  </si>
  <si>
    <t>Duphalac 1000 ml</t>
  </si>
  <si>
    <t>Q412</t>
  </si>
  <si>
    <t>Q1_2020</t>
  </si>
  <si>
    <t>_2020</t>
  </si>
  <si>
    <t>Semey</t>
  </si>
  <si>
    <t>Duphalac 500ml</t>
  </si>
  <si>
    <t>Q2_2020</t>
  </si>
  <si>
    <t>Duphalac Sirup  200 ml</t>
  </si>
  <si>
    <t>Q3_2020</t>
  </si>
  <si>
    <t>Duphalac Sirup 15ml sachet</t>
  </si>
  <si>
    <t>Q4_2020</t>
  </si>
  <si>
    <t>T-Korgan</t>
  </si>
  <si>
    <t>Duphalac Gummi Bear 30</t>
  </si>
  <si>
    <t>Duphabears</t>
  </si>
  <si>
    <t>freeze</t>
  </si>
  <si>
    <t>Zhezkazgan</t>
  </si>
  <si>
    <t xml:space="preserve">Duphaston 10 mg </t>
  </si>
  <si>
    <t>Duspatalin 200 mg Caps.</t>
  </si>
  <si>
    <t>Beyshenbayeva Gulzat</t>
  </si>
  <si>
    <t>Femoston 1/10</t>
  </si>
  <si>
    <t>Femoston 2/10</t>
  </si>
  <si>
    <t>Femoston conti 1/5</t>
  </si>
  <si>
    <t>RMof Astanaregion</t>
  </si>
  <si>
    <t>Femoston conti mini 28tab</t>
  </si>
  <si>
    <t xml:space="preserve">Fevarin 100 mg </t>
  </si>
  <si>
    <t>Ganaton 50 mg  tab  40 pc</t>
  </si>
  <si>
    <t>Vaginorm</t>
  </si>
  <si>
    <t>Dubrovkina Valentina</t>
  </si>
  <si>
    <t>ALL-2</t>
  </si>
  <si>
    <t>Eshbayeva Chinara</t>
  </si>
  <si>
    <t>Osh</t>
  </si>
  <si>
    <t xml:space="preserve">Gopten 2MG CAPS 28PC. </t>
  </si>
  <si>
    <t>Heptral 400MG X 20 TABLETS</t>
  </si>
  <si>
    <t>Heptral 400MG X 5 VIALS</t>
  </si>
  <si>
    <t>Heptral 500MG X 20 TABLETS</t>
  </si>
  <si>
    <t>Heptral 500MG X 5 VIALS</t>
  </si>
  <si>
    <t>HIDRASEC 100mg Capsules</t>
  </si>
  <si>
    <t>HIDRASEC 10mg sachets</t>
  </si>
  <si>
    <t>HIDRASEC 30mg sachets</t>
  </si>
  <si>
    <t>Karimova Nazgul</t>
  </si>
  <si>
    <t>Immunorix</t>
  </si>
  <si>
    <t xml:space="preserve">RPC </t>
  </si>
  <si>
    <t>Imudon</t>
  </si>
  <si>
    <t>Influvac</t>
  </si>
  <si>
    <t>Kalen Temirlan (замещение Савенковой)</t>
  </si>
  <si>
    <t>Isoptin 40MG FT 100PC.</t>
  </si>
  <si>
    <t xml:space="preserve"> East KZ 2</t>
  </si>
  <si>
    <t>Isoptin 80MG FT 100PC.</t>
  </si>
  <si>
    <t>Klacid 10 X 250MG TABS</t>
  </si>
  <si>
    <t>Klacid IV 500</t>
  </si>
  <si>
    <t>West KZ</t>
  </si>
  <si>
    <t>Klacid PED 100ML X 125MG/5ML</t>
  </si>
  <si>
    <t>Kemelova Dinara (замещение Кениспаевой)</t>
  </si>
  <si>
    <t xml:space="preserve">Klacid PED 100ML X 250MG/5ML </t>
  </si>
  <si>
    <t>Klacid SR 5 X 500MG TABS</t>
  </si>
  <si>
    <t>Klacid SR 7 X 2 X 500MG TABS</t>
  </si>
  <si>
    <t>Klacid SR 7 X 500MG TABS</t>
  </si>
  <si>
    <t xml:space="preserve">Kreon 10.000 </t>
  </si>
  <si>
    <t>ERROR</t>
  </si>
  <si>
    <t xml:space="preserve">Kreon 25.000 </t>
  </si>
  <si>
    <t>Kreon 40.000  №50 tab</t>
  </si>
  <si>
    <t>Olicard retard 40 mg</t>
  </si>
  <si>
    <t>Olicard retard 60 mg</t>
  </si>
  <si>
    <t>Acting RM</t>
  </si>
  <si>
    <t>Omacor</t>
  </si>
  <si>
    <t>OVATEL Fertility Check Device</t>
  </si>
  <si>
    <t>Physiotens 0,2 mg</t>
  </si>
  <si>
    <t>Physiotens 0,2 mg#28</t>
  </si>
  <si>
    <t xml:space="preserve">Physiotens 0,4 mg </t>
  </si>
  <si>
    <t>Physiotens 0,4 mg#28</t>
  </si>
  <si>
    <t>Rupafin 10mg tabl</t>
  </si>
  <si>
    <t>Tadenan 50 mg caps</t>
  </si>
  <si>
    <t>SPhR</t>
  </si>
  <si>
    <t>Tarka 180MG/2MG BILAYER TABS</t>
  </si>
  <si>
    <t>Tarka 240/4MG BILAYER TABS X28</t>
  </si>
  <si>
    <t>Teveten 600mg</t>
  </si>
  <si>
    <t>Teveten PLUS 600mg</t>
  </si>
  <si>
    <t>Mirontseva Oxana</t>
  </si>
  <si>
    <t xml:space="preserve">Tricor145 mg </t>
  </si>
  <si>
    <t>Morshneva (Burda Irina)</t>
  </si>
  <si>
    <t>Vaginorm C</t>
  </si>
  <si>
    <t>Nurbekova Venera</t>
  </si>
  <si>
    <t xml:space="preserve">North KZ </t>
  </si>
  <si>
    <t xml:space="preserve"> MR</t>
  </si>
  <si>
    <t>Central KZ</t>
  </si>
  <si>
    <t>Volkova Svetlana (замещение Моршневой И)</t>
  </si>
  <si>
    <t>Tsoy Nadezhda</t>
  </si>
  <si>
    <t>Tuylemysheva Gulmira</t>
  </si>
  <si>
    <t>Vacant</t>
  </si>
  <si>
    <t>South KZ</t>
  </si>
  <si>
    <t>Vacant (Замещение Ердембаевой А.)</t>
  </si>
  <si>
    <t>Vacant (замещение Космаганбетовой)</t>
  </si>
  <si>
    <t>Vacant (замещение Сидоренко)</t>
  </si>
  <si>
    <t>Vacant (замещение Тулебаевой)</t>
  </si>
  <si>
    <t>Yerdembayeva A.D.</t>
  </si>
  <si>
    <t>Zarpullayeva Gulnara</t>
  </si>
  <si>
    <t>Цай, Феликс</t>
  </si>
  <si>
    <t>Амирханова, Роза</t>
  </si>
  <si>
    <t>Бектасова, Сауле</t>
  </si>
  <si>
    <t>Колмакова, Лариса</t>
  </si>
  <si>
    <t>Умутбаева, Айжан</t>
  </si>
  <si>
    <t>Яким, Илья</t>
  </si>
  <si>
    <t xml:space="preserve">Shymkent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</si>
</sst>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mmmm\-yy;@"/>
    <numFmt numFmtId="166" formatCode="0.0%"/>
    <numFmt numFmtId="167" formatCode="[$-409]mmm\-yy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9"/>
      <name val="Arial"/>
      <family val="2"/>
      <charset val="204"/>
    </font>
    <font>
      <sz val="10"/>
      <name val="Arial"/>
      <family val="2"/>
    </font>
    <font>
      <sz val="10"/>
      <name val="Arial"/>
      <family val="2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b/>
      <sz val="9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14"/>
      <name val="Arial"/>
      <family val="2"/>
      <charset val="204"/>
    </font>
    <font>
      <b/>
      <i/>
      <sz val="8"/>
      <name val="Arial"/>
      <family val="2"/>
      <charset val="204"/>
    </font>
    <font>
      <b/>
      <sz val="9"/>
      <name val="Arial"/>
      <family val="2"/>
      <charset val="204"/>
    </font>
    <font>
      <sz val="8"/>
      <color indexed="9"/>
      <name val="Arial"/>
      <family val="2"/>
      <charset val="204"/>
    </font>
    <font>
      <b/>
      <sz val="8"/>
      <name val="Arial"/>
      <family val="2"/>
      <charset val="204"/>
    </font>
    <font>
      <sz val="8"/>
      <color theme="0"/>
      <name val="Arial"/>
      <family val="2"/>
      <charset val="204"/>
    </font>
    <font>
      <b/>
      <sz val="10"/>
      <name val="Arial"/>
      <family val="2"/>
      <charset val="204"/>
    </font>
    <font>
      <sz val="14"/>
      <name val="Arial"/>
      <family val="2"/>
      <charset val="204"/>
    </font>
    <font>
      <b/>
      <sz val="14"/>
      <color rgb="FF99CCFF"/>
      <name val="Helvetica"/>
      <family val="2"/>
    </font>
    <font>
      <sz val="14"/>
      <color rgb="FFC0C0C0"/>
      <name val="Arial"/>
      <family val="2"/>
      <charset val="204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Trebuchet MS"/>
      <family val="2"/>
      <charset val="204"/>
    </font>
    <font>
      <i/>
      <sz val="8"/>
      <name val="Trebuchet MS"/>
      <family val="2"/>
      <charset val="204"/>
    </font>
    <font>
      <sz val="10"/>
      <name val="Arial Cyr"/>
      <charset val="204"/>
    </font>
  </fonts>
  <fills count="2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47"/>
        <bgColor indexed="64"/>
      </patternFill>
    </fill>
    <fill>
      <patternFill patternType="solid">
        <fgColor rgb="FF9999CC"/>
        <bgColor indexed="64"/>
      </patternFill>
    </fill>
    <fill>
      <patternFill patternType="solid">
        <fgColor rgb="FFAAAACC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54C254"/>
        <bgColor indexed="64"/>
      </patternFill>
    </fill>
    <fill>
      <patternFill patternType="solid">
        <fgColor rgb="FFAAAAFF"/>
        <bgColor indexed="64"/>
      </patternFill>
    </fill>
    <fill>
      <patternFill patternType="solid">
        <fgColor rgb="FFC2C254"/>
        <bgColor indexed="64"/>
      </patternFill>
    </fill>
    <fill>
      <patternFill patternType="solid">
        <fgColor rgb="FFC25454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theme="3" tint="0.59996337778862885"/>
      </bottom>
      <diagonal/>
    </border>
    <border>
      <left/>
      <right style="thin">
        <color indexed="64"/>
      </right>
      <top style="thin">
        <color indexed="64"/>
      </top>
      <bottom style="dashed">
        <color theme="3" tint="0.5999633777886288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theme="3" tint="0.59996337778862885"/>
      </bottom>
      <diagonal/>
    </border>
    <border>
      <left style="medium">
        <color indexed="64"/>
      </left>
      <right style="dashed">
        <color theme="3" tint="0.59996337778862885"/>
      </right>
      <top style="thin">
        <color indexed="64"/>
      </top>
      <bottom style="dashed">
        <color theme="3" tint="0.59996337778862885"/>
      </bottom>
      <diagonal/>
    </border>
    <border>
      <left style="dashed">
        <color theme="3" tint="0.59996337778862885"/>
      </left>
      <right style="dashed">
        <color theme="3" tint="0.59996337778862885"/>
      </right>
      <top style="thin">
        <color indexed="64"/>
      </top>
      <bottom style="dashed">
        <color theme="3" tint="0.59996337778862885"/>
      </bottom>
      <diagonal/>
    </border>
    <border>
      <left style="dashed">
        <color theme="3" tint="0.59996337778862885"/>
      </left>
      <right style="thin">
        <color auto="1"/>
      </right>
      <top style="thin">
        <color indexed="64"/>
      </top>
      <bottom style="dashed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theme="3" tint="0.59996337778862885"/>
      </bottom>
      <diagonal/>
    </border>
    <border>
      <left style="thin">
        <color indexed="64"/>
      </left>
      <right style="dashed">
        <color theme="3" tint="0.59996337778862885"/>
      </right>
      <top style="dashed">
        <color theme="3" tint="0.59996337778862885"/>
      </top>
      <bottom style="dashed">
        <color theme="3" tint="0.59996337778862885"/>
      </bottom>
      <diagonal/>
    </border>
    <border>
      <left style="dashed">
        <color theme="3" tint="0.59996337778862885"/>
      </left>
      <right style="dashed">
        <color theme="3" tint="0.59996337778862885"/>
      </right>
      <top style="dashed">
        <color theme="3" tint="0.59996337778862885"/>
      </top>
      <bottom style="dashed">
        <color theme="3" tint="0.59996337778862885"/>
      </bottom>
      <diagonal/>
    </border>
    <border>
      <left style="dashed">
        <color theme="3" tint="0.59996337778862885"/>
      </left>
      <right style="thin">
        <color auto="1"/>
      </right>
      <top style="dashed">
        <color theme="3" tint="0.59996337778862885"/>
      </top>
      <bottom style="dashed">
        <color theme="3" tint="0.59996337778862885"/>
      </bottom>
      <diagonal/>
    </border>
    <border>
      <left style="dashed">
        <color theme="3" tint="0.59996337778862885"/>
      </left>
      <right style="medium">
        <color indexed="64"/>
      </right>
      <top style="dashed">
        <color theme="3" tint="0.59996337778862885"/>
      </top>
      <bottom style="dashed">
        <color theme="3" tint="0.59996337778862885"/>
      </bottom>
      <diagonal/>
    </border>
    <border>
      <left style="medium">
        <color indexed="64"/>
      </left>
      <right/>
      <top style="thin">
        <color indexed="64"/>
      </top>
      <bottom style="dashed">
        <color theme="3" tint="0.59996337778862885"/>
      </bottom>
      <diagonal/>
    </border>
    <border>
      <left style="thin">
        <color indexed="64"/>
      </left>
      <right/>
      <top style="dashed">
        <color theme="3" tint="0.59996337778862885"/>
      </top>
      <bottom style="dashed">
        <color theme="3" tint="0.59996337778862885"/>
      </bottom>
      <diagonal/>
    </border>
    <border>
      <left/>
      <right style="thin">
        <color indexed="64"/>
      </right>
      <top style="dashed">
        <color theme="3" tint="0.59996337778862885"/>
      </top>
      <bottom style="dashed">
        <color theme="3" tint="0.59996337778862885"/>
      </bottom>
      <diagonal/>
    </border>
    <border>
      <left style="thin">
        <color indexed="64"/>
      </left>
      <right style="medium">
        <color indexed="64"/>
      </right>
      <top style="dashed">
        <color theme="3" tint="0.59996337778862885"/>
      </top>
      <bottom style="dashed">
        <color theme="3" tint="0.59996337778862885"/>
      </bottom>
      <diagonal/>
    </border>
    <border>
      <left style="medium">
        <color indexed="64"/>
      </left>
      <right style="dashed">
        <color theme="3" tint="0.59996337778862885"/>
      </right>
      <top style="dashed">
        <color theme="3" tint="0.59996337778862885"/>
      </top>
      <bottom style="dashed">
        <color theme="3" tint="0.59996337778862885"/>
      </bottom>
      <diagonal/>
    </border>
    <border>
      <left style="thin">
        <color indexed="64"/>
      </left>
      <right style="thin">
        <color indexed="64"/>
      </right>
      <top style="dashed">
        <color theme="3" tint="0.59996337778862885"/>
      </top>
      <bottom style="dashed">
        <color theme="3" tint="0.59996337778862885"/>
      </bottom>
      <diagonal/>
    </border>
    <border>
      <left style="thin">
        <color indexed="64"/>
      </left>
      <right/>
      <top style="dashed">
        <color theme="3" tint="0.59996337778862885"/>
      </top>
      <bottom style="thin">
        <color indexed="64"/>
      </bottom>
      <diagonal/>
    </border>
    <border>
      <left/>
      <right style="thin">
        <color indexed="64"/>
      </right>
      <top style="dashed">
        <color theme="3" tint="0.59996337778862885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theme="3" tint="0.59996337778862885"/>
      </top>
      <bottom style="thin">
        <color indexed="64"/>
      </bottom>
      <diagonal/>
    </border>
    <border>
      <left style="medium">
        <color indexed="64"/>
      </left>
      <right style="dashed">
        <color theme="3" tint="0.59996337778862885"/>
      </right>
      <top style="dashed">
        <color theme="3" tint="0.59996337778862885"/>
      </top>
      <bottom style="thin">
        <color indexed="64"/>
      </bottom>
      <diagonal/>
    </border>
    <border>
      <left style="dashed">
        <color theme="3" tint="0.59996337778862885"/>
      </left>
      <right style="dashed">
        <color theme="3" tint="0.59996337778862885"/>
      </right>
      <top style="dashed">
        <color theme="3" tint="0.59996337778862885"/>
      </top>
      <bottom style="thin">
        <color indexed="64"/>
      </bottom>
      <diagonal/>
    </border>
    <border>
      <left style="dashed">
        <color theme="3" tint="0.59996337778862885"/>
      </left>
      <right style="thin">
        <color auto="1"/>
      </right>
      <top style="dashed">
        <color theme="3" tint="0.5999633777886288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theme="3" tint="0.59996337778862885"/>
      </top>
      <bottom style="thin">
        <color indexed="64"/>
      </bottom>
      <diagonal/>
    </border>
    <border>
      <left style="thin">
        <color indexed="64"/>
      </left>
      <right style="dashed">
        <color theme="3" tint="0.59996337778862885"/>
      </right>
      <top style="dashed">
        <color theme="3" tint="0.59996337778862885"/>
      </top>
      <bottom style="thin">
        <color indexed="64"/>
      </bottom>
      <diagonal/>
    </border>
    <border>
      <left style="dashed">
        <color theme="3" tint="0.59996337778862885"/>
      </left>
      <right style="medium">
        <color indexed="64"/>
      </right>
      <top style="dashed">
        <color theme="3" tint="0.59996337778862885"/>
      </top>
      <bottom style="thin">
        <color indexed="64"/>
      </bottom>
      <diagonal/>
    </border>
    <border>
      <left style="medium">
        <color indexed="64"/>
      </left>
      <right/>
      <top style="dashed">
        <color theme="3" tint="0.59996337778862885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30" fillId="0" borderId="0"/>
  </cellStyleXfs>
  <cellXfs count="222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0" fillId="0" borderId="2" xfId="0" applyBorder="1"/>
    <xf numFmtId="0" fontId="4" fillId="3" borderId="2" xfId="0" applyFont="1" applyFill="1" applyBorder="1" applyProtection="1">
      <protection locked="0"/>
    </xf>
    <xf numFmtId="0" fontId="0" fillId="3" borderId="2" xfId="0" applyFill="1" applyBorder="1" applyProtection="1">
      <protection locked="0"/>
    </xf>
    <xf numFmtId="14" fontId="0" fillId="3" borderId="2" xfId="0" applyNumberFormat="1" applyFill="1" applyBorder="1" applyProtection="1">
      <protection locked="0"/>
    </xf>
    <xf numFmtId="14" fontId="4" fillId="3" borderId="2" xfId="0" applyNumberFormat="1" applyFont="1" applyFill="1" applyBorder="1" applyProtection="1">
      <protection locked="0"/>
    </xf>
    <xf numFmtId="0" fontId="5" fillId="3" borderId="2" xfId="0" applyFont="1" applyFill="1" applyBorder="1" applyProtection="1">
      <protection locked="0"/>
    </xf>
    <xf numFmtId="14" fontId="5" fillId="3" borderId="2" xfId="0" applyNumberFormat="1" applyFont="1" applyFill="1" applyBorder="1" applyProtection="1">
      <protection locked="0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0" xfId="0" applyAlignment="1"/>
    <xf numFmtId="0" fontId="8" fillId="2" borderId="3" xfId="0" applyFont="1" applyFill="1" applyBorder="1" applyAlignment="1">
      <alignment horizontal="center" wrapText="1"/>
    </xf>
    <xf numFmtId="0" fontId="0" fillId="4" borderId="0" xfId="0" applyFill="1"/>
    <xf numFmtId="0" fontId="9" fillId="2" borderId="4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8" xfId="0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9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0" fontId="3" fillId="5" borderId="11" xfId="0" applyFont="1" applyFill="1" applyBorder="1" applyAlignment="1">
      <alignment horizontal="center" wrapText="1"/>
    </xf>
    <xf numFmtId="0" fontId="3" fillId="5" borderId="12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3" fillId="6" borderId="11" xfId="0" applyFont="1" applyFill="1" applyBorder="1" applyAlignment="1">
      <alignment horizontal="center" wrapText="1"/>
    </xf>
    <xf numFmtId="0" fontId="3" fillId="6" borderId="12" xfId="0" applyFont="1" applyFill="1" applyBorder="1" applyAlignment="1">
      <alignment horizontal="center" wrapText="1"/>
    </xf>
    <xf numFmtId="0" fontId="3" fillId="7" borderId="10" xfId="0" applyFont="1" applyFill="1" applyBorder="1" applyAlignment="1">
      <alignment horizontal="center" wrapText="1"/>
    </xf>
    <xf numFmtId="0" fontId="3" fillId="7" borderId="11" xfId="0" applyFont="1" applyFill="1" applyBorder="1" applyAlignment="1">
      <alignment horizontal="center" wrapText="1"/>
    </xf>
    <xf numFmtId="0" fontId="3" fillId="7" borderId="12" xfId="0" applyFont="1" applyFill="1" applyBorder="1" applyAlignment="1">
      <alignment horizontal="center" wrapText="1"/>
    </xf>
    <xf numFmtId="0" fontId="10" fillId="4" borderId="0" xfId="0" applyFont="1" applyFill="1"/>
    <xf numFmtId="9" fontId="0" fillId="3" borderId="2" xfId="0" applyNumberFormat="1" applyFill="1" applyBorder="1" applyProtection="1">
      <protection locked="0"/>
    </xf>
    <xf numFmtId="9" fontId="0" fillId="4" borderId="2" xfId="0" applyNumberFormat="1" applyFill="1" applyBorder="1"/>
    <xf numFmtId="0" fontId="11" fillId="4" borderId="0" xfId="0" applyFont="1" applyFill="1"/>
    <xf numFmtId="0" fontId="3" fillId="5" borderId="1" xfId="0" applyFont="1" applyFill="1" applyBorder="1" applyAlignment="1">
      <alignment horizontal="left" vertical="top" wrapText="1"/>
    </xf>
    <xf numFmtId="0" fontId="3" fillId="5" borderId="13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5" borderId="14" xfId="0" applyFont="1" applyFill="1" applyBorder="1" applyAlignment="1">
      <alignment horizontal="left" vertical="top" wrapText="1"/>
    </xf>
    <xf numFmtId="0" fontId="3" fillId="5" borderId="15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15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0" fontId="3" fillId="2" borderId="0" xfId="0" applyNumberFormat="1" applyFont="1" applyFill="1" applyAlignment="1">
      <alignment horizontal="center" wrapText="1"/>
    </xf>
    <xf numFmtId="0" fontId="12" fillId="0" borderId="0" xfId="0" applyFont="1"/>
    <xf numFmtId="0" fontId="12" fillId="4" borderId="0" xfId="0" applyFont="1" applyFill="1"/>
    <xf numFmtId="0" fontId="12" fillId="9" borderId="16" xfId="0" applyFont="1" applyFill="1" applyBorder="1"/>
    <xf numFmtId="0" fontId="12" fillId="9" borderId="17" xfId="0" applyFont="1" applyFill="1" applyBorder="1"/>
    <xf numFmtId="0" fontId="12" fillId="4" borderId="16" xfId="0" applyFont="1" applyFill="1" applyBorder="1"/>
    <xf numFmtId="164" fontId="12" fillId="4" borderId="16" xfId="0" applyNumberFormat="1" applyFont="1" applyFill="1" applyBorder="1"/>
    <xf numFmtId="165" fontId="12" fillId="10" borderId="18" xfId="0" applyNumberFormat="1" applyFont="1" applyFill="1" applyBorder="1" applyAlignment="1" applyProtection="1">
      <alignment horizontal="left"/>
      <protection locked="0"/>
    </xf>
    <xf numFmtId="0" fontId="12" fillId="0" borderId="19" xfId="0" applyFont="1" applyBorder="1"/>
    <xf numFmtId="0" fontId="12" fillId="0" borderId="20" xfId="0" applyFont="1" applyBorder="1"/>
    <xf numFmtId="0" fontId="12" fillId="0" borderId="21" xfId="0" applyFont="1" applyBorder="1"/>
    <xf numFmtId="9" fontId="12" fillId="4" borderId="22" xfId="0" applyNumberFormat="1" applyFont="1" applyFill="1" applyBorder="1"/>
    <xf numFmtId="3" fontId="12" fillId="10" borderId="23" xfId="0" applyNumberFormat="1" applyFont="1" applyFill="1" applyBorder="1" applyProtection="1">
      <protection locked="0"/>
    </xf>
    <xf numFmtId="3" fontId="12" fillId="10" borderId="24" xfId="0" applyNumberFormat="1" applyFont="1" applyFill="1" applyBorder="1" applyProtection="1">
      <protection locked="0"/>
    </xf>
    <xf numFmtId="3" fontId="12" fillId="10" borderId="25" xfId="0" applyNumberFormat="1" applyFont="1" applyFill="1" applyBorder="1" applyProtection="1">
      <protection locked="0"/>
    </xf>
    <xf numFmtId="3" fontId="12" fillId="10" borderId="26" xfId="0" applyNumberFormat="1" applyFont="1" applyFill="1" applyBorder="1" applyProtection="1">
      <protection locked="0"/>
    </xf>
    <xf numFmtId="9" fontId="12" fillId="0" borderId="22" xfId="0" applyNumberFormat="1" applyFont="1" applyBorder="1"/>
    <xf numFmtId="1" fontId="12" fillId="0" borderId="2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66" fontId="12" fillId="10" borderId="22" xfId="0" applyNumberFormat="1" applyFont="1" applyFill="1" applyBorder="1" applyProtection="1">
      <protection locked="0"/>
    </xf>
    <xf numFmtId="0" fontId="12" fillId="9" borderId="0" xfId="0" applyFont="1" applyFill="1"/>
    <xf numFmtId="14" fontId="12" fillId="9" borderId="0" xfId="0" applyNumberFormat="1" applyFont="1" applyFill="1"/>
    <xf numFmtId="1" fontId="12" fillId="9" borderId="0" xfId="0" applyNumberFormat="1" applyFont="1" applyFill="1"/>
    <xf numFmtId="9" fontId="12" fillId="9" borderId="0" xfId="2" applyFont="1" applyFill="1" applyProtection="1"/>
    <xf numFmtId="166" fontId="12" fillId="9" borderId="0" xfId="2" applyNumberFormat="1" applyFont="1" applyFill="1" applyProtection="1"/>
    <xf numFmtId="43" fontId="12" fillId="4" borderId="0" xfId="1" applyFont="1" applyFill="1" applyProtection="1"/>
    <xf numFmtId="9" fontId="12" fillId="9" borderId="0" xfId="1" applyNumberFormat="1" applyFont="1" applyFill="1" applyAlignment="1" applyProtection="1">
      <alignment horizontal="center"/>
    </xf>
    <xf numFmtId="43" fontId="12" fillId="9" borderId="0" xfId="1" applyFont="1" applyFill="1" applyAlignment="1" applyProtection="1">
      <alignment horizontal="center"/>
    </xf>
    <xf numFmtId="0" fontId="12" fillId="9" borderId="28" xfId="0" applyFont="1" applyFill="1" applyBorder="1"/>
    <xf numFmtId="0" fontId="12" fillId="9" borderId="29" xfId="0" applyFont="1" applyFill="1" applyBorder="1"/>
    <xf numFmtId="0" fontId="12" fillId="4" borderId="28" xfId="0" applyFont="1" applyFill="1" applyBorder="1"/>
    <xf numFmtId="164" fontId="12" fillId="4" borderId="28" xfId="0" applyNumberFormat="1" applyFont="1" applyFill="1" applyBorder="1"/>
    <xf numFmtId="165" fontId="12" fillId="10" borderId="30" xfId="0" applyNumberFormat="1" applyFont="1" applyFill="1" applyBorder="1" applyAlignment="1" applyProtection="1">
      <alignment horizontal="left"/>
      <protection locked="0"/>
    </xf>
    <xf numFmtId="0" fontId="12" fillId="0" borderId="31" xfId="0" applyFont="1" applyBorder="1"/>
    <xf numFmtId="0" fontId="12" fillId="0" borderId="24" xfId="0" applyFont="1" applyBorder="1"/>
    <xf numFmtId="0" fontId="12" fillId="0" borderId="25" xfId="0" applyFont="1" applyBorder="1"/>
    <xf numFmtId="9" fontId="12" fillId="4" borderId="32" xfId="0" applyNumberFormat="1" applyFont="1" applyFill="1" applyBorder="1"/>
    <xf numFmtId="9" fontId="12" fillId="0" borderId="32" xfId="0" applyNumberFormat="1" applyFont="1" applyBorder="1"/>
    <xf numFmtId="1" fontId="12" fillId="0" borderId="28" xfId="0" applyNumberFormat="1" applyFont="1" applyBorder="1" applyAlignment="1">
      <alignment horizontal="center"/>
    </xf>
    <xf numFmtId="1" fontId="12" fillId="0" borderId="29" xfId="0" applyNumberFormat="1" applyFont="1" applyBorder="1" applyAlignment="1">
      <alignment horizontal="center"/>
    </xf>
    <xf numFmtId="166" fontId="12" fillId="10" borderId="32" xfId="0" applyNumberFormat="1" applyFont="1" applyFill="1" applyBorder="1" applyProtection="1">
      <protection locked="0"/>
    </xf>
    <xf numFmtId="0" fontId="12" fillId="10" borderId="30" xfId="0" applyFont="1" applyFill="1" applyBorder="1" applyProtection="1">
      <protection locked="0"/>
    </xf>
    <xf numFmtId="0" fontId="12" fillId="0" borderId="28" xfId="0" applyFont="1" applyBorder="1"/>
    <xf numFmtId="164" fontId="12" fillId="0" borderId="28" xfId="0" applyNumberFormat="1" applyFont="1" applyBorder="1"/>
    <xf numFmtId="0" fontId="12" fillId="9" borderId="33" xfId="0" applyFont="1" applyFill="1" applyBorder="1"/>
    <xf numFmtId="0" fontId="12" fillId="9" borderId="34" xfId="0" applyFont="1" applyFill="1" applyBorder="1"/>
    <xf numFmtId="0" fontId="12" fillId="0" borderId="33" xfId="0" applyFont="1" applyBorder="1"/>
    <xf numFmtId="164" fontId="12" fillId="0" borderId="33" xfId="0" applyNumberFormat="1" applyFont="1" applyBorder="1"/>
    <xf numFmtId="0" fontId="12" fillId="10" borderId="35" xfId="0" applyFont="1" applyFill="1" applyBorder="1" applyProtection="1">
      <protection locked="0"/>
    </xf>
    <xf numFmtId="0" fontId="12" fillId="0" borderId="36" xfId="0" applyFont="1" applyBorder="1"/>
    <xf numFmtId="0" fontId="12" fillId="0" borderId="37" xfId="0" applyFont="1" applyBorder="1"/>
    <xf numFmtId="0" fontId="12" fillId="0" borderId="38" xfId="0" applyFont="1" applyBorder="1"/>
    <xf numFmtId="9" fontId="12" fillId="4" borderId="39" xfId="0" applyNumberFormat="1" applyFont="1" applyFill="1" applyBorder="1"/>
    <xf numFmtId="3" fontId="12" fillId="10" borderId="40" xfId="0" applyNumberFormat="1" applyFont="1" applyFill="1" applyBorder="1" applyProtection="1">
      <protection locked="0"/>
    </xf>
    <xf numFmtId="3" fontId="12" fillId="10" borderId="37" xfId="0" applyNumberFormat="1" applyFont="1" applyFill="1" applyBorder="1" applyProtection="1">
      <protection locked="0"/>
    </xf>
    <xf numFmtId="3" fontId="12" fillId="10" borderId="38" xfId="0" applyNumberFormat="1" applyFont="1" applyFill="1" applyBorder="1" applyProtection="1">
      <protection locked="0"/>
    </xf>
    <xf numFmtId="3" fontId="12" fillId="10" borderId="41" xfId="0" applyNumberFormat="1" applyFont="1" applyFill="1" applyBorder="1" applyProtection="1">
      <protection locked="0"/>
    </xf>
    <xf numFmtId="9" fontId="12" fillId="0" borderId="39" xfId="0" applyNumberFormat="1" applyFont="1" applyBorder="1"/>
    <xf numFmtId="1" fontId="12" fillId="0" borderId="42" xfId="0" applyNumberFormat="1" applyFont="1" applyBorder="1" applyAlignment="1">
      <alignment horizontal="center"/>
    </xf>
    <xf numFmtId="1" fontId="12" fillId="0" borderId="34" xfId="0" applyNumberFormat="1" applyFont="1" applyBorder="1" applyAlignment="1">
      <alignment horizontal="center"/>
    </xf>
    <xf numFmtId="166" fontId="12" fillId="10" borderId="39" xfId="0" applyNumberFormat="1" applyFont="1" applyFill="1" applyBorder="1" applyProtection="1">
      <protection locked="0"/>
    </xf>
    <xf numFmtId="0" fontId="13" fillId="0" borderId="0" xfId="0" applyFont="1"/>
    <xf numFmtId="0" fontId="14" fillId="0" borderId="0" xfId="0" applyFont="1"/>
    <xf numFmtId="0" fontId="15" fillId="4" borderId="43" xfId="0" applyFont="1" applyFill="1" applyBorder="1" applyAlignment="1">
      <alignment horizontal="center"/>
    </xf>
    <xf numFmtId="2" fontId="15" fillId="10" borderId="43" xfId="0" applyNumberFormat="1" applyFont="1" applyFill="1" applyBorder="1" applyAlignment="1" applyProtection="1">
      <alignment horizontal="center"/>
      <protection locked="0"/>
    </xf>
    <xf numFmtId="0" fontId="16" fillId="0" borderId="0" xfId="0" applyFont="1"/>
    <xf numFmtId="0" fontId="17" fillId="0" borderId="0" xfId="0" applyFont="1"/>
    <xf numFmtId="0" fontId="15" fillId="0" borderId="0" xfId="0" applyFont="1"/>
    <xf numFmtId="0" fontId="15" fillId="10" borderId="43" xfId="0" applyFont="1" applyFill="1" applyBorder="1" applyAlignment="1" applyProtection="1">
      <alignment horizontal="center"/>
      <protection locked="0"/>
    </xf>
    <xf numFmtId="2" fontId="12" fillId="0" borderId="0" xfId="0" applyNumberFormat="1" applyFont="1" applyAlignment="1">
      <alignment horizontal="center"/>
    </xf>
    <xf numFmtId="0" fontId="18" fillId="4" borderId="0" xfId="0" applyFont="1" applyFill="1"/>
    <xf numFmtId="0" fontId="17" fillId="2" borderId="4" xfId="0" applyFont="1" applyFill="1" applyBorder="1" applyAlignment="1">
      <alignment horizontal="center" wrapText="1"/>
    </xf>
    <xf numFmtId="0" fontId="17" fillId="2" borderId="5" xfId="0" applyFont="1" applyFill="1" applyBorder="1" applyAlignment="1">
      <alignment horizontal="center" wrapText="1"/>
    </xf>
    <xf numFmtId="0" fontId="17" fillId="9" borderId="5" xfId="0" applyFont="1" applyFill="1" applyBorder="1" applyAlignment="1">
      <alignment horizontal="center" wrapText="1"/>
    </xf>
    <xf numFmtId="0" fontId="17" fillId="12" borderId="6" xfId="0" applyFont="1" applyFill="1" applyBorder="1" applyAlignment="1">
      <alignment horizontal="center" wrapText="1"/>
    </xf>
    <xf numFmtId="0" fontId="12" fillId="0" borderId="44" xfId="0" applyFont="1" applyBorder="1"/>
    <xf numFmtId="40" fontId="12" fillId="0" borderId="0" xfId="0" applyNumberFormat="1" applyFont="1"/>
    <xf numFmtId="9" fontId="12" fillId="0" borderId="0" xfId="0" applyNumberFormat="1" applyFont="1"/>
    <xf numFmtId="4" fontId="12" fillId="0" borderId="0" xfId="0" applyNumberFormat="1" applyFont="1"/>
    <xf numFmtId="38" fontId="12" fillId="0" borderId="0" xfId="0" applyNumberFormat="1" applyFont="1" applyAlignment="1">
      <alignment horizontal="center"/>
    </xf>
    <xf numFmtId="3" fontId="17" fillId="9" borderId="0" xfId="0" applyNumberFormat="1" applyFont="1" applyFill="1"/>
    <xf numFmtId="3" fontId="12" fillId="0" borderId="0" xfId="0" applyNumberFormat="1" applyFont="1"/>
    <xf numFmtId="3" fontId="17" fillId="12" borderId="45" xfId="0" applyNumberFormat="1" applyFont="1" applyFill="1" applyBorder="1"/>
    <xf numFmtId="0" fontId="12" fillId="0" borderId="46" xfId="0" applyFont="1" applyBorder="1"/>
    <xf numFmtId="0" fontId="12" fillId="0" borderId="47" xfId="0" applyFont="1" applyBorder="1"/>
    <xf numFmtId="40" fontId="12" fillId="0" borderId="47" xfId="0" applyNumberFormat="1" applyFont="1" applyBorder="1"/>
    <xf numFmtId="0" fontId="12" fillId="0" borderId="48" xfId="0" applyFont="1" applyBorder="1"/>
    <xf numFmtId="38" fontId="19" fillId="0" borderId="4" xfId="0" applyNumberFormat="1" applyFont="1" applyBorder="1" applyAlignment="1">
      <alignment horizontal="center"/>
    </xf>
    <xf numFmtId="38" fontId="19" fillId="0" borderId="5" xfId="0" applyNumberFormat="1" applyFont="1" applyBorder="1" applyAlignment="1">
      <alignment horizontal="center"/>
    </xf>
    <xf numFmtId="38" fontId="19" fillId="0" borderId="5" xfId="0" applyNumberFormat="1" applyFont="1" applyBorder="1" applyAlignment="1">
      <alignment horizontal="center"/>
    </xf>
    <xf numFmtId="38" fontId="19" fillId="0" borderId="5" xfId="0" applyNumberFormat="1" applyFont="1" applyBorder="1"/>
    <xf numFmtId="38" fontId="19" fillId="0" borderId="6" xfId="0" applyNumberFormat="1" applyFont="1" applyBorder="1"/>
    <xf numFmtId="0" fontId="20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20" fillId="0" borderId="2" xfId="0" applyFont="1" applyBorder="1"/>
    <xf numFmtId="3" fontId="20" fillId="0" borderId="2" xfId="0" applyNumberFormat="1" applyFont="1" applyBorder="1"/>
    <xf numFmtId="0" fontId="13" fillId="0" borderId="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3" fontId="13" fillId="0" borderId="2" xfId="0" applyNumberFormat="1" applyFont="1" applyBorder="1"/>
    <xf numFmtId="0" fontId="20" fillId="0" borderId="0" xfId="0" applyFont="1" applyProtection="1">
      <protection locked="0"/>
    </xf>
    <xf numFmtId="0" fontId="21" fillId="11" borderId="0" xfId="0" applyFont="1" applyFill="1" applyAlignment="1">
      <alignment vertical="top"/>
    </xf>
    <xf numFmtId="9" fontId="20" fillId="0" borderId="2" xfId="2" applyFont="1" applyFill="1" applyBorder="1"/>
    <xf numFmtId="9" fontId="13" fillId="0" borderId="2" xfId="2" applyFont="1" applyFill="1" applyBorder="1"/>
    <xf numFmtId="4" fontId="22" fillId="0" borderId="0" xfId="0" applyNumberFormat="1" applyFont="1"/>
    <xf numFmtId="0" fontId="22" fillId="0" borderId="0" xfId="0" applyFont="1"/>
    <xf numFmtId="0" fontId="23" fillId="0" borderId="0" xfId="0" applyFont="1"/>
    <xf numFmtId="0" fontId="5" fillId="0" borderId="0" xfId="0" applyFont="1"/>
    <xf numFmtId="0" fontId="24" fillId="13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9" fontId="0" fillId="0" borderId="0" xfId="2" applyFont="1" applyAlignment="1"/>
    <xf numFmtId="0" fontId="25" fillId="15" borderId="0" xfId="0" applyFont="1" applyFill="1" applyAlignment="1">
      <alignment vertical="top"/>
    </xf>
    <xf numFmtId="9" fontId="25" fillId="16" borderId="0" xfId="0" applyNumberFormat="1" applyFont="1" applyFill="1" applyAlignment="1">
      <alignment horizontal="right"/>
    </xf>
    <xf numFmtId="0" fontId="25" fillId="17" borderId="0" xfId="0" applyFont="1" applyFill="1" applyAlignment="1">
      <alignment vertical="top"/>
    </xf>
    <xf numFmtId="0" fontId="24" fillId="17" borderId="0" xfId="0" applyFont="1" applyFill="1" applyAlignment="1">
      <alignment vertical="top"/>
    </xf>
    <xf numFmtId="9" fontId="25" fillId="18" borderId="0" xfId="0" applyNumberFormat="1" applyFont="1" applyFill="1" applyAlignment="1">
      <alignment horizontal="right"/>
    </xf>
    <xf numFmtId="9" fontId="25" fillId="19" borderId="0" xfId="0" applyNumberFormat="1" applyFont="1" applyFill="1" applyAlignment="1">
      <alignment horizontal="right"/>
    </xf>
    <xf numFmtId="0" fontId="0" fillId="20" borderId="0" xfId="0" applyFill="1"/>
    <xf numFmtId="0" fontId="2" fillId="0" borderId="0" xfId="0" applyFont="1"/>
    <xf numFmtId="0" fontId="24" fillId="13" borderId="0" xfId="0" applyFont="1" applyFill="1" applyAlignment="1">
      <alignment horizontal="center" vertical="center" wrapText="1"/>
    </xf>
    <xf numFmtId="0" fontId="24" fillId="13" borderId="0" xfId="0" applyFont="1" applyFill="1" applyAlignment="1">
      <alignment horizontal="center" vertical="center" wrapText="1"/>
    </xf>
    <xf numFmtId="0" fontId="24" fillId="14" borderId="0" xfId="0" applyFont="1" applyFill="1" applyAlignment="1">
      <alignment horizontal="center" vertical="center" wrapText="1"/>
    </xf>
    <xf numFmtId="0" fontId="25" fillId="15" borderId="0" xfId="0" applyFont="1" applyFill="1" applyAlignment="1">
      <alignment vertical="top" wrapText="1"/>
    </xf>
    <xf numFmtId="9" fontId="25" fillId="16" borderId="0" xfId="0" applyNumberFormat="1" applyFont="1" applyFill="1" applyAlignment="1">
      <alignment horizontal="right" wrapText="1"/>
    </xf>
    <xf numFmtId="9" fontId="25" fillId="18" borderId="0" xfId="0" applyNumberFormat="1" applyFont="1" applyFill="1" applyAlignment="1">
      <alignment horizontal="right" wrapText="1"/>
    </xf>
    <xf numFmtId="0" fontId="25" fillId="17" borderId="0" xfId="0" applyFont="1" applyFill="1" applyAlignment="1">
      <alignment vertical="top" wrapText="1"/>
    </xf>
    <xf numFmtId="0" fontId="24" fillId="17" borderId="0" xfId="0" applyFont="1" applyFill="1" applyAlignment="1">
      <alignment vertical="top" wrapText="1"/>
    </xf>
    <xf numFmtId="0" fontId="23" fillId="13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17" fontId="23" fillId="14" borderId="0" xfId="0" applyNumberFormat="1" applyFont="1" applyFill="1" applyAlignment="1">
      <alignment horizontal="center" vertical="center"/>
    </xf>
    <xf numFmtId="0" fontId="26" fillId="15" borderId="0" xfId="0" applyFont="1" applyFill="1" applyAlignment="1">
      <alignment vertical="top"/>
    </xf>
    <xf numFmtId="9" fontId="26" fillId="19" borderId="0" xfId="0" applyNumberFormat="1" applyFont="1" applyFill="1" applyAlignment="1">
      <alignment horizontal="right"/>
    </xf>
    <xf numFmtId="9" fontId="26" fillId="16" borderId="0" xfId="0" applyNumberFormat="1" applyFont="1" applyFill="1" applyAlignment="1">
      <alignment horizontal="right"/>
    </xf>
    <xf numFmtId="0" fontId="26" fillId="17" borderId="0" xfId="0" applyFont="1" applyFill="1" applyAlignment="1">
      <alignment vertical="top"/>
    </xf>
    <xf numFmtId="0" fontId="23" fillId="17" borderId="0" xfId="0" applyFont="1" applyFill="1" applyAlignment="1">
      <alignment vertical="top"/>
    </xf>
    <xf numFmtId="0" fontId="25" fillId="13" borderId="0" xfId="0" applyFont="1" applyFill="1" applyAlignment="1">
      <alignment vertical="top" wrapText="1"/>
    </xf>
    <xf numFmtId="0" fontId="24" fillId="14" borderId="0" xfId="0" applyFont="1" applyFill="1" applyAlignment="1">
      <alignment horizontal="center" vertical="center" wrapText="1"/>
    </xf>
    <xf numFmtId="0" fontId="25" fillId="15" borderId="0" xfId="0" applyFont="1" applyFill="1" applyAlignment="1">
      <alignment vertical="top" wrapText="1"/>
    </xf>
    <xf numFmtId="0" fontId="25" fillId="15" borderId="0" xfId="0" applyFont="1" applyFill="1" applyAlignment="1">
      <alignment wrapText="1"/>
    </xf>
    <xf numFmtId="9" fontId="25" fillId="19" borderId="0" xfId="0" applyNumberFormat="1" applyFont="1" applyFill="1" applyAlignment="1">
      <alignment horizontal="right" wrapText="1"/>
    </xf>
    <xf numFmtId="0" fontId="25" fillId="15" borderId="0" xfId="0" applyFont="1" applyFill="1" applyAlignment="1">
      <alignment horizontal="right" wrapText="1"/>
    </xf>
    <xf numFmtId="0" fontId="25" fillId="17" borderId="0" xfId="0" applyFont="1" applyFill="1" applyAlignment="1">
      <alignment vertical="top" wrapText="1"/>
    </xf>
    <xf numFmtId="0" fontId="24" fillId="17" borderId="0" xfId="0" applyFont="1" applyFill="1" applyAlignment="1">
      <alignment vertical="top" wrapText="1"/>
    </xf>
    <xf numFmtId="0" fontId="25" fillId="17" borderId="0" xfId="0" applyFont="1" applyFill="1" applyAlignment="1">
      <alignment wrapText="1"/>
    </xf>
    <xf numFmtId="0" fontId="25" fillId="17" borderId="0" xfId="0" applyFont="1" applyFill="1" applyAlignment="1">
      <alignment horizontal="right" wrapText="1"/>
    </xf>
    <xf numFmtId="0" fontId="0" fillId="15" borderId="0" xfId="0" applyFill="1" applyAlignment="1">
      <alignment horizontal="right" wrapText="1"/>
    </xf>
    <xf numFmtId="0" fontId="0" fillId="17" borderId="0" xfId="0" applyFill="1" applyAlignment="1">
      <alignment horizontal="right" wrapText="1"/>
    </xf>
    <xf numFmtId="0" fontId="28" fillId="0" borderId="0" xfId="3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49" fontId="28" fillId="0" borderId="0" xfId="3" applyNumberFormat="1" applyFont="1" applyAlignment="1">
      <alignment horizontal="left" vertical="center"/>
    </xf>
    <xf numFmtId="0" fontId="28" fillId="0" borderId="0" xfId="0" applyFont="1" applyAlignment="1" applyProtection="1">
      <alignment horizontal="left" vertical="center"/>
      <protection locked="0"/>
    </xf>
    <xf numFmtId="41" fontId="28" fillId="0" borderId="0" xfId="4" applyNumberFormat="1" applyFont="1" applyFill="1" applyBorder="1" applyAlignment="1">
      <alignment horizontal="left" vertical="center"/>
    </xf>
    <xf numFmtId="167" fontId="28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0" xfId="3" applyFont="1" applyAlignment="1">
      <alignment horizontal="left" vertical="center"/>
    </xf>
    <xf numFmtId="0" fontId="28" fillId="0" borderId="0" xfId="5" applyFont="1" applyAlignment="1">
      <alignment horizontal="left" vertical="center"/>
    </xf>
    <xf numFmtId="41" fontId="29" fillId="0" borderId="0" xfId="4" applyNumberFormat="1" applyFont="1" applyFill="1" applyBorder="1" applyAlignment="1">
      <alignment horizontal="left" vertical="center"/>
    </xf>
    <xf numFmtId="0" fontId="29" fillId="0" borderId="0" xfId="5" applyFont="1" applyAlignment="1">
      <alignment horizontal="left" vertical="center"/>
    </xf>
  </cellXfs>
  <cellStyles count="6">
    <cellStyle name="Comma" xfId="1" builtinId="3"/>
    <cellStyle name="Normal" xfId="0" builtinId="0"/>
    <cellStyle name="Percent" xfId="2" builtinId="5"/>
    <cellStyle name="Обычный 3" xfId="3" xr:uid="{202212C9-F44C-451E-8920-1D8BF32C30CF}"/>
    <cellStyle name="Обычный_Sales Force structure 2006-2" xfId="5" xr:uid="{8AC83E69-1A2A-4147-98BD-061697EE06F1}"/>
    <cellStyle name="Финансовый 2" xfId="4" xr:uid="{D402548E-141E-4E77-9E54-E24A8CB72590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9525</xdr:rowOff>
    </xdr:from>
    <xdr:to>
      <xdr:col>1</xdr:col>
      <xdr:colOff>381000</xdr:colOff>
      <xdr:row>2</xdr:row>
      <xdr:rowOff>38100</xdr:rowOff>
    </xdr:to>
    <xdr:pic>
      <xdr:nvPicPr>
        <xdr:cNvPr id="8" name="Picture 1" descr="abbott_bl_03">
          <a:extLst>
            <a:ext uri="{FF2B5EF4-FFF2-40B4-BE49-F238E27FC236}">
              <a16:creationId xmlns:a16="http://schemas.microsoft.com/office/drawing/2014/main" id="{6B974FF4-7269-45E7-A7AF-A093E10F5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525"/>
          <a:ext cx="4222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136071</xdr:colOff>
      <xdr:row>7</xdr:row>
      <xdr:rowOff>204106</xdr:rowOff>
    </xdr:from>
    <xdr:to>
      <xdr:col>2</xdr:col>
      <xdr:colOff>1228725</xdr:colOff>
      <xdr:row>8</xdr:row>
      <xdr:rowOff>217713</xdr:rowOff>
    </xdr:to>
    <xdr:sp macro="[1]!_xludf.clean" textlink="">
      <xdr:nvSpPr>
        <xdr:cNvPr id="9" name="AutoShape 5">
          <a:extLst>
            <a:ext uri="{FF2B5EF4-FFF2-40B4-BE49-F238E27FC236}">
              <a16:creationId xmlns:a16="http://schemas.microsoft.com/office/drawing/2014/main" id="{E4B6781B-5A87-4E35-A137-46D7863FF79A}"/>
            </a:ext>
          </a:extLst>
        </xdr:cNvPr>
        <xdr:cNvSpPr>
          <a:spLocks noChangeArrowheads="1"/>
        </xdr:cNvSpPr>
      </xdr:nvSpPr>
      <xdr:spPr bwMode="auto">
        <a:xfrm>
          <a:off x="136071" y="1366156"/>
          <a:ext cx="1746704" cy="242207"/>
        </a:xfrm>
        <a:prstGeom prst="flowChartAlternateProcess">
          <a:avLst/>
        </a:prstGeom>
        <a:solidFill>
          <a:srgbClr val="0066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"/>
              <a:cs typeface="Arial"/>
            </a:rPr>
            <a:t>Hide unused rows</a:t>
          </a:r>
        </a:p>
      </xdr:txBody>
    </xdr:sp>
    <xdr:clientData fPrintsWithSheet="0"/>
  </xdr:twoCellAnchor>
  <xdr:twoCellAnchor>
    <xdr:from>
      <xdr:col>0</xdr:col>
      <xdr:colOff>149679</xdr:colOff>
      <xdr:row>9</xdr:row>
      <xdr:rowOff>68035</xdr:rowOff>
    </xdr:from>
    <xdr:to>
      <xdr:col>2</xdr:col>
      <xdr:colOff>1242333</xdr:colOff>
      <xdr:row>10</xdr:row>
      <xdr:rowOff>81642</xdr:rowOff>
    </xdr:to>
    <xdr:sp macro="[1]!unclean" textlink="">
      <xdr:nvSpPr>
        <xdr:cNvPr id="10" name="AutoShape 5">
          <a:extLst>
            <a:ext uri="{FF2B5EF4-FFF2-40B4-BE49-F238E27FC236}">
              <a16:creationId xmlns:a16="http://schemas.microsoft.com/office/drawing/2014/main" id="{41EEBEF2-2594-4956-A36F-99F48A5295F4}"/>
            </a:ext>
          </a:extLst>
        </xdr:cNvPr>
        <xdr:cNvSpPr>
          <a:spLocks noChangeArrowheads="1"/>
        </xdr:cNvSpPr>
      </xdr:nvSpPr>
      <xdr:spPr bwMode="auto">
        <a:xfrm>
          <a:off x="149679" y="1687285"/>
          <a:ext cx="1746704" cy="242207"/>
        </a:xfrm>
        <a:prstGeom prst="flowChartAlternateProcess">
          <a:avLst/>
        </a:prstGeom>
        <a:solidFill>
          <a:srgbClr val="0066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"/>
              <a:cs typeface="Arial"/>
            </a:rPr>
            <a:t>Unhide unused rows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bbott-my.sharepoint.com/personal/arslan_sohail_abbott_com/Documents/Desktop/EPD/Incentive/BC_KZ_2017_v10_final.xlsm" TargetMode="External"/><Relationship Id="rId1" Type="http://schemas.openxmlformats.org/officeDocument/2006/relationships/externalLinkPath" Target="Incentive/BC_KZ_2017_v10_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Staff Input"/>
      <sheetName val="Promo Product Input"/>
      <sheetName val="INPUT_ASSUMPTIONS CALC"/>
      <sheetName val="Summary calculation"/>
      <sheetName val="To sign"/>
      <sheetName val="TCFA"/>
      <sheetName val="TIC"/>
      <sheetName val="Mapping"/>
      <sheetName val="Q1_SC"/>
      <sheetName val="Q2_SC"/>
      <sheetName val="Q3_SC"/>
      <sheetName val="Q4_SC"/>
      <sheetName val="reimbursment months"/>
    </sheetNames>
    <definedNames>
      <definedName name="clean"/>
      <definedName name="unclean"/>
    </definedNames>
    <sheetDataSet>
      <sheetData sheetId="0"/>
      <sheetData sheetId="1"/>
      <sheetData sheetId="2"/>
      <sheetData sheetId="3">
        <row r="1">
          <cell r="D1" t="str">
            <v>YEAR</v>
          </cell>
          <cell r="E1" t="str">
            <v>Constant conditions per year</v>
          </cell>
        </row>
        <row r="2">
          <cell r="D2">
            <v>2017</v>
          </cell>
          <cell r="I2" t="str">
            <v>Q4</v>
          </cell>
        </row>
        <row r="3">
          <cell r="E3" t="str">
            <v>MR</v>
          </cell>
          <cell r="I3">
            <v>0.25</v>
          </cell>
        </row>
        <row r="4">
          <cell r="E4" t="str">
            <v>RM</v>
          </cell>
          <cell r="I4">
            <v>0.25</v>
          </cell>
        </row>
        <row r="5">
          <cell r="D5" t="str">
            <v>Target incentive (TI), LC</v>
          </cell>
          <cell r="E5" t="str">
            <v>Pharm R</v>
          </cell>
          <cell r="I5">
            <v>0.25</v>
          </cell>
        </row>
        <row r="6">
          <cell r="D6" t="str">
            <v>Medical Representative</v>
          </cell>
          <cell r="E6">
            <v>1318416</v>
          </cell>
          <cell r="I6">
            <v>329604</v>
          </cell>
        </row>
        <row r="7">
          <cell r="D7" t="str">
            <v>Regional Manager</v>
          </cell>
          <cell r="E7">
            <v>2420000</v>
          </cell>
          <cell r="I7">
            <v>605000</v>
          </cell>
          <cell r="S7">
            <v>0</v>
          </cell>
        </row>
        <row r="8">
          <cell r="D8" t="str">
            <v>Pharm Representative</v>
          </cell>
          <cell r="E8">
            <v>1318416</v>
          </cell>
          <cell r="I8">
            <v>329604</v>
          </cell>
        </row>
        <row r="11">
          <cell r="N11">
            <v>14</v>
          </cell>
          <cell r="AA11">
            <v>27</v>
          </cell>
          <cell r="AN11">
            <v>40</v>
          </cell>
          <cell r="BA11">
            <v>53</v>
          </cell>
          <cell r="BT11">
            <v>72</v>
          </cell>
          <cell r="BU11">
            <v>73</v>
          </cell>
          <cell r="CH11">
            <v>86</v>
          </cell>
          <cell r="CI11">
            <v>87</v>
          </cell>
          <cell r="CJ11">
            <v>88</v>
          </cell>
          <cell r="CK11">
            <v>89</v>
          </cell>
        </row>
        <row r="13">
          <cell r="B13" t="str">
            <v>Quarter</v>
          </cell>
          <cell r="C13" t="str">
            <v>№</v>
          </cell>
          <cell r="D13" t="str">
            <v>Name</v>
          </cell>
          <cell r="E13" t="str">
            <v>Position</v>
          </cell>
          <cell r="F13" t="str">
            <v>Starting  date</v>
          </cell>
          <cell r="G13" t="str">
            <v>Maternity leave start/ Promo-line change end/ Position change end</v>
          </cell>
          <cell r="H13" t="str">
            <v>Maternity leave end/ Promo-line change start/ Position change start</v>
          </cell>
          <cell r="I13" t="str">
            <v>Promo-line</v>
          </cell>
          <cell r="J13" t="str">
            <v>Portfolio-1/ Product-1</v>
          </cell>
          <cell r="K13" t="str">
            <v>Portfolio-1/ Product-2</v>
          </cell>
          <cell r="L13" t="str">
            <v>Portfolio-1/ Product-3</v>
          </cell>
          <cell r="M13" t="str">
            <v>Portfolio-1/ Product-4</v>
          </cell>
          <cell r="N13" t="str">
            <v>SHARE OF Portfolio-1</v>
          </cell>
          <cell r="O13" t="str">
            <v>ACT Portfolio-1/ Product-1</v>
          </cell>
          <cell r="P13" t="str">
            <v>ACT Portfolio-1/ Product-2</v>
          </cell>
          <cell r="Q13" t="str">
            <v>ACT Portfolio-1/ Product-3</v>
          </cell>
          <cell r="R13" t="str">
            <v>ACT Portfolio-1/ Product-4</v>
          </cell>
          <cell r="S13" t="str">
            <v>PLAN  Portfolio-1/ Product-1</v>
          </cell>
          <cell r="T13" t="str">
            <v>PLAN Portfolio-1/ Product-2</v>
          </cell>
          <cell r="U13" t="str">
            <v>PLAN Portfolio-1/ Product-3</v>
          </cell>
          <cell r="V13" t="str">
            <v>PLAN Portfolio-1/ Product-4</v>
          </cell>
          <cell r="W13" t="str">
            <v>Portfolio-2/ Product-1</v>
          </cell>
          <cell r="X13" t="str">
            <v>Portfolio-2/ Product-2</v>
          </cell>
          <cell r="Y13" t="str">
            <v>Portfolio-2/ Product-3</v>
          </cell>
          <cell r="Z13" t="str">
            <v>Portfolio-2/ Product-4</v>
          </cell>
          <cell r="AA13" t="str">
            <v>SHARE OF Portfolio-2</v>
          </cell>
          <cell r="AB13" t="str">
            <v>ACT Portfolio-2/ Product-1</v>
          </cell>
          <cell r="AC13" t="str">
            <v>ACT Portfolio-2/ Product-2</v>
          </cell>
          <cell r="AD13" t="str">
            <v>ACT Portfolio-2/ Product-3</v>
          </cell>
          <cell r="AE13" t="str">
            <v>ACT Portfolio-2/ Product-4</v>
          </cell>
          <cell r="AF13" t="str">
            <v>PLAN  Portfolio-2/ Product-1</v>
          </cell>
          <cell r="AG13" t="str">
            <v>PLAN Portfolio-2/ Product-2</v>
          </cell>
          <cell r="AH13" t="str">
            <v>PLAN Portfolio-2/ Product-3</v>
          </cell>
          <cell r="AI13" t="str">
            <v>PLAN Portfolio-2/ Product-4</v>
          </cell>
          <cell r="AJ13" t="str">
            <v>Portfolio-3/ Product-1</v>
          </cell>
          <cell r="AK13" t="str">
            <v>Portfolio-3/ Product-2</v>
          </cell>
          <cell r="AL13" t="str">
            <v>Portfolio-3/ Product-3</v>
          </cell>
          <cell r="AM13" t="str">
            <v>Portfolio-3/ Product-4</v>
          </cell>
          <cell r="AN13" t="str">
            <v>SHARE OF Portfolio-3</v>
          </cell>
          <cell r="AO13" t="str">
            <v>ACT Portfolio-3/ Product-1</v>
          </cell>
          <cell r="AP13" t="str">
            <v>ACT Portfolio-3/ Product-2</v>
          </cell>
          <cell r="AQ13" t="str">
            <v>ACT Portfolio-3/ Product-3</v>
          </cell>
          <cell r="AR13" t="str">
            <v>ACT Portfolio-3/ Product-4</v>
          </cell>
          <cell r="AS13" t="str">
            <v>PLAN  Portfolio-3/ Product-1</v>
          </cell>
          <cell r="AT13" t="str">
            <v>PLAN Portfolio-3/ Product-2</v>
          </cell>
          <cell r="AU13" t="str">
            <v>PLAN Portfolio-3/ Product-3</v>
          </cell>
          <cell r="AV13" t="str">
            <v>PLAN Portfolio-3/ Product-4</v>
          </cell>
          <cell r="AW13" t="str">
            <v>Portfolio-4/ Product-1</v>
          </cell>
          <cell r="AX13" t="str">
            <v>Portfolio-4/ Product-2</v>
          </cell>
          <cell r="AY13" t="str">
            <v>Portfolio-4/ Product-3</v>
          </cell>
          <cell r="AZ13" t="str">
            <v>Portfolio-4/ Product-4</v>
          </cell>
          <cell r="BA13" t="str">
            <v>SHARE OF Portfolio-4</v>
          </cell>
          <cell r="BB13" t="str">
            <v>ACT Portfolio-4/ Product-1</v>
          </cell>
          <cell r="BC13" t="str">
            <v>ACT Portfolio-4/ Product-2</v>
          </cell>
          <cell r="BD13" t="str">
            <v>ACT Portfolio-4/ Product-3</v>
          </cell>
          <cell r="BE13" t="str">
            <v>ACT Portfolio-4/ Product-4</v>
          </cell>
          <cell r="BF13" t="str">
            <v>PLAN  Portfolio-4/ Product-1</v>
          </cell>
          <cell r="BG13" t="str">
            <v>PLAN Portfolio-4/ Product-2</v>
          </cell>
          <cell r="BH13" t="str">
            <v>PLAN Portfolio-4/ Product-3</v>
          </cell>
          <cell r="BI13" t="str">
            <v>PLAN Portfolio-4/ Product-4</v>
          </cell>
          <cell r="BJ13" t="str">
            <v>Total ACT</v>
          </cell>
          <cell r="BK13" t="str">
            <v>Total PLAN</v>
          </cell>
          <cell r="BL13" t="str">
            <v>Time in Coaching (RM)</v>
          </cell>
          <cell r="BM13" t="str">
            <v>TCFA</v>
          </cell>
          <cell r="BO13" t="str">
            <v>Status</v>
          </cell>
          <cell r="BP13" t="str">
            <v>Starting date after probation period</v>
          </cell>
          <cell r="BQ13" t="str">
            <v>Reimbursed mnths</v>
          </cell>
          <cell r="BR13" t="str">
            <v>Starting  mnth of reimbursment</v>
          </cell>
          <cell r="BS13" t="str">
            <v>Last mnth of reimbursment</v>
          </cell>
          <cell r="BT13" t="str">
            <v>Target insentive</v>
          </cell>
          <cell r="BU13" t="str">
            <v>Reimbursable months, %</v>
          </cell>
          <cell r="BW13" t="str">
            <v>% ACHIEVEMENT</v>
          </cell>
          <cell r="BX13" t="str">
            <v>% ACHIEVEMENT</v>
          </cell>
          <cell r="BY13" t="str">
            <v>% ACHIEVEMENT</v>
          </cell>
          <cell r="BZ13" t="str">
            <v>% ACHIEVEMENT</v>
          </cell>
          <cell r="CG13" t="str">
            <v>% ACHIEVEMENT</v>
          </cell>
          <cell r="CH13" t="str">
            <v xml:space="preserve">check sales </v>
          </cell>
          <cell r="CI13" t="str">
            <v xml:space="preserve">Payment coefficient </v>
          </cell>
          <cell r="CJ13" t="str">
            <v xml:space="preserve">Payment coefficient </v>
          </cell>
          <cell r="CK13" t="str">
            <v xml:space="preserve">Payment coefficient </v>
          </cell>
        </row>
        <row r="14">
          <cell r="A14" t="str">
            <v>1Q1</v>
          </cell>
          <cell r="B14" t="str">
            <v>Q1</v>
          </cell>
          <cell r="C14">
            <v>1</v>
          </cell>
          <cell r="D14" t="str">
            <v>Abasheva Anna</v>
          </cell>
          <cell r="E14" t="str">
            <v>Medical Representative</v>
          </cell>
          <cell r="F14">
            <v>41017</v>
          </cell>
          <cell r="G14" t="str">
            <v/>
          </cell>
          <cell r="H14" t="str">
            <v/>
          </cell>
          <cell r="I14" t="str">
            <v>Line 2</v>
          </cell>
          <cell r="J14" t="str">
            <v xml:space="preserve">DUPHASTON </v>
          </cell>
          <cell r="K14" t="str">
            <v>FEMOSTON</v>
          </cell>
          <cell r="L14">
            <v>0</v>
          </cell>
          <cell r="M14">
            <v>0</v>
          </cell>
          <cell r="N14">
            <v>0.3</v>
          </cell>
          <cell r="O14">
            <v>43699.5</v>
          </cell>
          <cell r="P14">
            <v>22237.200000000001</v>
          </cell>
          <cell r="Q14">
            <v>0</v>
          </cell>
          <cell r="R14">
            <v>0</v>
          </cell>
          <cell r="S14">
            <v>50436</v>
          </cell>
          <cell r="T14">
            <v>25659.199999999997</v>
          </cell>
          <cell r="U14">
            <v>0</v>
          </cell>
          <cell r="V14">
            <v>0</v>
          </cell>
          <cell r="W14" t="str">
            <v>PHYSIOTENS</v>
          </cell>
          <cell r="X14" t="str">
            <v>TRICOR /LIPANTHYL</v>
          </cell>
          <cell r="Y14" t="str">
            <v>OMACOR</v>
          </cell>
          <cell r="Z14">
            <v>0</v>
          </cell>
          <cell r="AA14">
            <v>0.25</v>
          </cell>
          <cell r="AB14">
            <v>43285.5</v>
          </cell>
          <cell r="AC14">
            <v>2694.06</v>
          </cell>
          <cell r="AD14">
            <v>341</v>
          </cell>
          <cell r="AE14">
            <v>0</v>
          </cell>
          <cell r="AF14">
            <v>30748</v>
          </cell>
          <cell r="AG14">
            <v>2627.54</v>
          </cell>
          <cell r="AH14">
            <v>2015</v>
          </cell>
          <cell r="AI14">
            <v>0</v>
          </cell>
          <cell r="AJ14" t="str">
            <v>HEPTRAL</v>
          </cell>
          <cell r="AK14">
            <v>0</v>
          </cell>
          <cell r="AL14">
            <v>0</v>
          </cell>
          <cell r="AM14">
            <v>0</v>
          </cell>
          <cell r="AN14">
            <v>0.25</v>
          </cell>
          <cell r="AO14">
            <v>15552.420000000002</v>
          </cell>
          <cell r="AP14">
            <v>0</v>
          </cell>
          <cell r="AQ14">
            <v>0</v>
          </cell>
          <cell r="AR14">
            <v>0</v>
          </cell>
          <cell r="AS14">
            <v>17385.03</v>
          </cell>
          <cell r="AT14">
            <v>0</v>
          </cell>
          <cell r="AU14">
            <v>0</v>
          </cell>
          <cell r="AV14">
            <v>0</v>
          </cell>
          <cell r="AW14" t="str">
            <v>BETASERC</v>
          </cell>
          <cell r="AX14" t="str">
            <v xml:space="preserve">DUPHALAC </v>
          </cell>
          <cell r="AY14" t="str">
            <v>CREON</v>
          </cell>
          <cell r="AZ14">
            <v>0</v>
          </cell>
          <cell r="BA14">
            <v>0.19999999999999996</v>
          </cell>
          <cell r="BB14">
            <v>20892.419999999998</v>
          </cell>
          <cell r="BC14">
            <v>2833.65</v>
          </cell>
          <cell r="BD14">
            <v>3353.9445000000001</v>
          </cell>
          <cell r="BE14">
            <v>0</v>
          </cell>
          <cell r="BF14">
            <v>15282.86</v>
          </cell>
          <cell r="BG14">
            <v>3368.3</v>
          </cell>
          <cell r="BH14">
            <v>2762.6979999999999</v>
          </cell>
          <cell r="BI14">
            <v>0</v>
          </cell>
          <cell r="BJ14">
            <v>154889.69449999998</v>
          </cell>
          <cell r="BK14">
            <v>150284.628</v>
          </cell>
          <cell r="BL14" t="str">
            <v/>
          </cell>
          <cell r="BM14">
            <v>0.9</v>
          </cell>
          <cell r="BO14" t="str">
            <v>Staff</v>
          </cell>
          <cell r="BP14">
            <v>41108</v>
          </cell>
          <cell r="BQ14">
            <v>3</v>
          </cell>
          <cell r="BR14">
            <v>1</v>
          </cell>
          <cell r="BS14">
            <v>3</v>
          </cell>
          <cell r="BT14">
            <v>329604</v>
          </cell>
          <cell r="BU14">
            <v>1</v>
          </cell>
          <cell r="BW14">
            <v>0.86699999999999999</v>
          </cell>
          <cell r="BX14">
            <v>1.3089999999999999</v>
          </cell>
          <cell r="BY14">
            <v>0.89500000000000002</v>
          </cell>
          <cell r="BZ14">
            <v>1.2649999999999999</v>
          </cell>
          <cell r="CG14">
            <v>1.03</v>
          </cell>
          <cell r="CH14">
            <v>1</v>
          </cell>
          <cell r="CI14">
            <v>1.3</v>
          </cell>
          <cell r="CJ14">
            <v>0</v>
          </cell>
          <cell r="CK14">
            <v>0.5</v>
          </cell>
        </row>
        <row r="15">
          <cell r="A15" t="str">
            <v>2Q1</v>
          </cell>
          <cell r="B15" t="str">
            <v>Q1</v>
          </cell>
          <cell r="C15">
            <v>2</v>
          </cell>
          <cell r="D15" t="str">
            <v>Abdulanova Lyazzat</v>
          </cell>
          <cell r="E15" t="str">
            <v>Medical Representative</v>
          </cell>
          <cell r="F15">
            <v>40763</v>
          </cell>
          <cell r="G15" t="str">
            <v/>
          </cell>
          <cell r="H15" t="str">
            <v/>
          </cell>
          <cell r="I15" t="str">
            <v>Line 1</v>
          </cell>
          <cell r="J15" t="str">
            <v>CREON</v>
          </cell>
          <cell r="K15" t="str">
            <v xml:space="preserve">DUPHALAC </v>
          </cell>
          <cell r="L15">
            <v>0</v>
          </cell>
          <cell r="M15">
            <v>0</v>
          </cell>
          <cell r="N15">
            <v>0.5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158905.20000000001</v>
          </cell>
          <cell r="T15">
            <v>92581</v>
          </cell>
          <cell r="U15">
            <v>0</v>
          </cell>
          <cell r="V15">
            <v>0</v>
          </cell>
          <cell r="W15" t="str">
            <v>HEPTRAL</v>
          </cell>
          <cell r="X15" t="str">
            <v xml:space="preserve">DUSPATALIN </v>
          </cell>
          <cell r="Y15">
            <v>0</v>
          </cell>
          <cell r="Z15">
            <v>0</v>
          </cell>
          <cell r="AA15">
            <v>0.25</v>
          </cell>
          <cell r="AB15">
            <v>0</v>
          </cell>
          <cell r="AC15">
            <v>0</v>
          </cell>
          <cell r="AF15">
            <v>109098</v>
          </cell>
          <cell r="AG15">
            <v>22724</v>
          </cell>
          <cell r="AJ15" t="str">
            <v>IRS 19</v>
          </cell>
          <cell r="AK15" t="str">
            <v>IMUDON</v>
          </cell>
          <cell r="AL15">
            <v>0</v>
          </cell>
          <cell r="AM15">
            <v>0</v>
          </cell>
          <cell r="AN15">
            <v>0.1</v>
          </cell>
          <cell r="AO15">
            <v>0</v>
          </cell>
          <cell r="AP15">
            <v>0</v>
          </cell>
          <cell r="AS15">
            <v>15708</v>
          </cell>
          <cell r="AT15">
            <v>26736</v>
          </cell>
          <cell r="AW15" t="str">
            <v xml:space="preserve">GANATON </v>
          </cell>
          <cell r="AX15">
            <v>0</v>
          </cell>
          <cell r="AY15">
            <v>0</v>
          </cell>
          <cell r="AZ15">
            <v>0</v>
          </cell>
          <cell r="BA15">
            <v>0.15</v>
          </cell>
          <cell r="BB15">
            <v>0</v>
          </cell>
          <cell r="BF15">
            <v>3320</v>
          </cell>
          <cell r="BJ15">
            <v>0</v>
          </cell>
          <cell r="BK15">
            <v>429072.2</v>
          </cell>
          <cell r="BL15" t="str">
            <v/>
          </cell>
          <cell r="BM15">
            <v>0.93</v>
          </cell>
          <cell r="BO15" t="str">
            <v>Staff</v>
          </cell>
          <cell r="BP15">
            <v>40855</v>
          </cell>
          <cell r="BQ15">
            <v>3</v>
          </cell>
          <cell r="BR15">
            <v>1</v>
          </cell>
          <cell r="BS15">
            <v>3</v>
          </cell>
          <cell r="BT15">
            <v>329604</v>
          </cell>
          <cell r="BU15">
            <v>1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0.5</v>
          </cell>
          <cell r="CL15" t="str">
            <v>Medical Representative</v>
          </cell>
          <cell r="CM15">
            <v>0.8</v>
          </cell>
          <cell r="CQ15" t="str">
            <v>Medical Representative</v>
          </cell>
          <cell r="CR15">
            <v>0.2</v>
          </cell>
          <cell r="CV15" t="str">
            <v>Medical Representative</v>
          </cell>
          <cell r="CW15">
            <v>0</v>
          </cell>
        </row>
        <row r="16">
          <cell r="A16" t="str">
            <v>3Q1</v>
          </cell>
          <cell r="B16" t="str">
            <v>Q1</v>
          </cell>
          <cell r="C16">
            <v>3</v>
          </cell>
          <cell r="D16" t="str">
            <v>Aitbenbetova Dinara</v>
          </cell>
          <cell r="E16" t="str">
            <v>Medical Representative</v>
          </cell>
          <cell r="F16">
            <v>41745</v>
          </cell>
          <cell r="G16" t="str">
            <v/>
          </cell>
          <cell r="H16" t="str">
            <v/>
          </cell>
          <cell r="I16" t="str">
            <v>Line 1</v>
          </cell>
          <cell r="J16" t="str">
            <v>CREON</v>
          </cell>
          <cell r="K16" t="str">
            <v xml:space="preserve">DUPHALAC </v>
          </cell>
          <cell r="L16">
            <v>0</v>
          </cell>
          <cell r="M16">
            <v>0</v>
          </cell>
          <cell r="N16">
            <v>0.5</v>
          </cell>
          <cell r="O16">
            <v>422723.07</v>
          </cell>
          <cell r="P16">
            <v>199408</v>
          </cell>
          <cell r="Q16">
            <v>0</v>
          </cell>
          <cell r="R16">
            <v>0</v>
          </cell>
          <cell r="S16">
            <v>340538.94</v>
          </cell>
          <cell r="T16">
            <v>185152.5</v>
          </cell>
          <cell r="U16">
            <v>0</v>
          </cell>
          <cell r="V16">
            <v>0</v>
          </cell>
          <cell r="W16" t="str">
            <v>HEPTRAL</v>
          </cell>
          <cell r="X16" t="str">
            <v xml:space="preserve">DUSPATALIN </v>
          </cell>
          <cell r="Y16">
            <v>0</v>
          </cell>
          <cell r="Z16">
            <v>0</v>
          </cell>
          <cell r="AA16">
            <v>0.25</v>
          </cell>
          <cell r="AB16">
            <v>376824.24</v>
          </cell>
          <cell r="AC16">
            <v>37848</v>
          </cell>
          <cell r="AD16">
            <v>0</v>
          </cell>
          <cell r="AE16">
            <v>0</v>
          </cell>
          <cell r="AF16">
            <v>261353.30000000002</v>
          </cell>
          <cell r="AG16">
            <v>42873.5</v>
          </cell>
          <cell r="AH16">
            <v>0</v>
          </cell>
          <cell r="AI16">
            <v>0</v>
          </cell>
          <cell r="AJ16" t="str">
            <v>IRS 19</v>
          </cell>
          <cell r="AK16" t="str">
            <v>IMUDON</v>
          </cell>
          <cell r="AL16">
            <v>0</v>
          </cell>
          <cell r="AM16">
            <v>0</v>
          </cell>
          <cell r="AN16">
            <v>0.1</v>
          </cell>
          <cell r="AO16">
            <v>32076</v>
          </cell>
          <cell r="AP16">
            <v>34896</v>
          </cell>
          <cell r="AQ16">
            <v>0</v>
          </cell>
          <cell r="AR16">
            <v>0</v>
          </cell>
          <cell r="AS16">
            <v>39732</v>
          </cell>
          <cell r="AT16">
            <v>37068</v>
          </cell>
          <cell r="AU16">
            <v>0</v>
          </cell>
          <cell r="AV16">
            <v>0</v>
          </cell>
          <cell r="AW16" t="str">
            <v xml:space="preserve">GANATON </v>
          </cell>
          <cell r="AX16">
            <v>0</v>
          </cell>
          <cell r="AY16">
            <v>0</v>
          </cell>
          <cell r="AZ16">
            <v>0</v>
          </cell>
          <cell r="BA16">
            <v>0.15</v>
          </cell>
          <cell r="BB16">
            <v>6225.0000000000009</v>
          </cell>
          <cell r="BC16">
            <v>0</v>
          </cell>
          <cell r="BD16">
            <v>0</v>
          </cell>
          <cell r="BE16">
            <v>0</v>
          </cell>
          <cell r="BF16">
            <v>6640.0000000000009</v>
          </cell>
          <cell r="BG16">
            <v>0</v>
          </cell>
          <cell r="BH16">
            <v>0</v>
          </cell>
          <cell r="BI16">
            <v>0</v>
          </cell>
          <cell r="BJ16">
            <v>1110000.31</v>
          </cell>
          <cell r="BK16">
            <v>913358.24</v>
          </cell>
          <cell r="BL16" t="str">
            <v/>
          </cell>
          <cell r="BM16">
            <v>0.96</v>
          </cell>
          <cell r="BO16" t="str">
            <v>Staff</v>
          </cell>
          <cell r="BP16">
            <v>41836</v>
          </cell>
          <cell r="BQ16">
            <v>3</v>
          </cell>
          <cell r="BR16">
            <v>1</v>
          </cell>
          <cell r="BS16">
            <v>3</v>
          </cell>
          <cell r="BT16">
            <v>329604</v>
          </cell>
          <cell r="BU16">
            <v>1</v>
          </cell>
          <cell r="BW16">
            <v>1.1830000000000001</v>
          </cell>
          <cell r="BX16">
            <v>1.363</v>
          </cell>
          <cell r="BY16">
            <v>0.872</v>
          </cell>
          <cell r="BZ16">
            <v>0.93799999999999994</v>
          </cell>
          <cell r="CG16">
            <v>1.22</v>
          </cell>
          <cell r="CH16">
            <v>1</v>
          </cell>
          <cell r="CI16">
            <v>2.5</v>
          </cell>
          <cell r="CJ16">
            <v>0</v>
          </cell>
          <cell r="CK16">
            <v>1</v>
          </cell>
          <cell r="CL16" t="str">
            <v>Regional Manager</v>
          </cell>
          <cell r="CM16">
            <v>0.8</v>
          </cell>
          <cell r="CQ16" t="str">
            <v>Regional Manager</v>
          </cell>
          <cell r="CR16">
            <v>0.1</v>
          </cell>
          <cell r="CV16" t="str">
            <v>Regional Manager</v>
          </cell>
          <cell r="CW16">
            <v>0.1</v>
          </cell>
        </row>
        <row r="17">
          <cell r="A17" t="str">
            <v>4Q1</v>
          </cell>
          <cell r="B17" t="str">
            <v>Q1</v>
          </cell>
          <cell r="C17">
            <v>4</v>
          </cell>
          <cell r="D17" t="str">
            <v>Akhmadiyeva Gulzhan</v>
          </cell>
          <cell r="E17" t="str">
            <v>Medical Representative</v>
          </cell>
          <cell r="F17">
            <v>40686</v>
          </cell>
          <cell r="G17" t="str">
            <v/>
          </cell>
          <cell r="H17" t="str">
            <v/>
          </cell>
          <cell r="I17" t="str">
            <v>Line 1</v>
          </cell>
          <cell r="J17" t="str">
            <v>CREON</v>
          </cell>
          <cell r="K17" t="str">
            <v xml:space="preserve">DUPHALAC </v>
          </cell>
          <cell r="L17">
            <v>0</v>
          </cell>
          <cell r="M17">
            <v>0</v>
          </cell>
          <cell r="N17">
            <v>0.5</v>
          </cell>
          <cell r="O17">
            <v>92460.68</v>
          </cell>
          <cell r="P17">
            <v>39523</v>
          </cell>
          <cell r="Q17">
            <v>0</v>
          </cell>
          <cell r="R17">
            <v>0</v>
          </cell>
          <cell r="S17">
            <v>68787.149999999994</v>
          </cell>
          <cell r="T17">
            <v>41617</v>
          </cell>
          <cell r="U17">
            <v>0</v>
          </cell>
          <cell r="V17">
            <v>0</v>
          </cell>
          <cell r="W17" t="str">
            <v>HEPTRAL</v>
          </cell>
          <cell r="X17" t="str">
            <v xml:space="preserve">DUSPATALIN </v>
          </cell>
          <cell r="Y17">
            <v>0</v>
          </cell>
          <cell r="Z17">
            <v>0</v>
          </cell>
          <cell r="AA17">
            <v>0.25</v>
          </cell>
          <cell r="AB17">
            <v>28529.280000000002</v>
          </cell>
          <cell r="AC17">
            <v>18810</v>
          </cell>
          <cell r="AD17">
            <v>0</v>
          </cell>
          <cell r="AE17">
            <v>0</v>
          </cell>
          <cell r="AF17">
            <v>38699.440000000002</v>
          </cell>
          <cell r="AG17">
            <v>17575</v>
          </cell>
          <cell r="AH17">
            <v>0</v>
          </cell>
          <cell r="AI17">
            <v>0</v>
          </cell>
          <cell r="AJ17" t="str">
            <v>IRS 19</v>
          </cell>
          <cell r="AK17" t="str">
            <v>IMUDON</v>
          </cell>
          <cell r="AL17">
            <v>0</v>
          </cell>
          <cell r="AM17">
            <v>0</v>
          </cell>
          <cell r="AN17">
            <v>0.1</v>
          </cell>
          <cell r="AO17">
            <v>7008</v>
          </cell>
          <cell r="AP17">
            <v>17052</v>
          </cell>
          <cell r="AQ17">
            <v>0</v>
          </cell>
          <cell r="AR17">
            <v>0</v>
          </cell>
          <cell r="AS17">
            <v>5544</v>
          </cell>
          <cell r="AT17">
            <v>14676</v>
          </cell>
          <cell r="AU17">
            <v>0</v>
          </cell>
          <cell r="AV17">
            <v>0</v>
          </cell>
          <cell r="AW17" t="str">
            <v xml:space="preserve">GANATON </v>
          </cell>
          <cell r="AX17">
            <v>0</v>
          </cell>
          <cell r="AY17">
            <v>0</v>
          </cell>
          <cell r="AZ17">
            <v>0</v>
          </cell>
          <cell r="BA17">
            <v>0.15</v>
          </cell>
          <cell r="BB17">
            <v>929.60000000000014</v>
          </cell>
          <cell r="BC17">
            <v>0</v>
          </cell>
          <cell r="BD17">
            <v>0</v>
          </cell>
          <cell r="BE17">
            <v>0</v>
          </cell>
          <cell r="BF17">
            <v>1660.0000000000002</v>
          </cell>
          <cell r="BG17">
            <v>0</v>
          </cell>
          <cell r="BH17">
            <v>0</v>
          </cell>
          <cell r="BI17">
            <v>0</v>
          </cell>
          <cell r="BJ17">
            <v>204312.56</v>
          </cell>
          <cell r="BK17">
            <v>188558.59</v>
          </cell>
          <cell r="BL17" t="str">
            <v/>
          </cell>
          <cell r="BM17">
            <v>0.95</v>
          </cell>
          <cell r="BO17" t="str">
            <v>Staff</v>
          </cell>
          <cell r="BP17">
            <v>40778</v>
          </cell>
          <cell r="BQ17">
            <v>3</v>
          </cell>
          <cell r="BR17">
            <v>1</v>
          </cell>
          <cell r="BS17">
            <v>3</v>
          </cell>
          <cell r="BT17">
            <v>329604</v>
          </cell>
          <cell r="BU17">
            <v>1</v>
          </cell>
          <cell r="BW17">
            <v>1.1950000000000001</v>
          </cell>
          <cell r="BX17">
            <v>0.84099999999999997</v>
          </cell>
          <cell r="BY17">
            <v>1.19</v>
          </cell>
          <cell r="BZ17">
            <v>0.56000000000000005</v>
          </cell>
          <cell r="CG17">
            <v>1.08</v>
          </cell>
          <cell r="CH17">
            <v>1</v>
          </cell>
          <cell r="CI17">
            <v>1.8</v>
          </cell>
          <cell r="CJ17">
            <v>0</v>
          </cell>
          <cell r="CK17">
            <v>1</v>
          </cell>
          <cell r="CL17" t="str">
            <v>Pharm Representative</v>
          </cell>
          <cell r="CM17">
            <v>0.8</v>
          </cell>
          <cell r="CQ17" t="str">
            <v>Pharm Representative</v>
          </cell>
          <cell r="CR17">
            <v>0.2</v>
          </cell>
        </row>
        <row r="18">
          <cell r="A18" t="str">
            <v>5Q1</v>
          </cell>
          <cell r="B18" t="str">
            <v>Q1</v>
          </cell>
          <cell r="C18">
            <v>5</v>
          </cell>
          <cell r="D18" t="str">
            <v>Akhmetova (Imanzhanova) Sholpan</v>
          </cell>
          <cell r="E18" t="str">
            <v>Medical Representative</v>
          </cell>
          <cell r="F18">
            <v>40680</v>
          </cell>
          <cell r="G18" t="str">
            <v/>
          </cell>
          <cell r="H18" t="str">
            <v/>
          </cell>
          <cell r="I18" t="str">
            <v>Line 3 (big cities)</v>
          </cell>
          <cell r="J18" t="str">
            <v xml:space="preserve">DUPHASTON </v>
          </cell>
          <cell r="K18">
            <v>0</v>
          </cell>
          <cell r="L18">
            <v>0</v>
          </cell>
          <cell r="M18">
            <v>0</v>
          </cell>
          <cell r="N18">
            <v>0.45</v>
          </cell>
          <cell r="O18">
            <v>103288.5</v>
          </cell>
          <cell r="P18">
            <v>0</v>
          </cell>
          <cell r="Q18">
            <v>0</v>
          </cell>
          <cell r="R18">
            <v>0</v>
          </cell>
          <cell r="S18">
            <v>136377</v>
          </cell>
          <cell r="T18">
            <v>0</v>
          </cell>
          <cell r="U18">
            <v>0</v>
          </cell>
          <cell r="V18">
            <v>0</v>
          </cell>
          <cell r="W18" t="str">
            <v>FEMOSTON</v>
          </cell>
          <cell r="X18">
            <v>0</v>
          </cell>
          <cell r="Y18">
            <v>0</v>
          </cell>
          <cell r="Z18">
            <v>0</v>
          </cell>
          <cell r="AA18">
            <v>0.25</v>
          </cell>
          <cell r="AB18">
            <v>71108</v>
          </cell>
          <cell r="AC18">
            <v>0</v>
          </cell>
          <cell r="AD18">
            <v>0</v>
          </cell>
          <cell r="AE18">
            <v>0</v>
          </cell>
          <cell r="AF18">
            <v>66433.2</v>
          </cell>
          <cell r="AG18">
            <v>0</v>
          </cell>
          <cell r="AH18">
            <v>0</v>
          </cell>
          <cell r="AI18">
            <v>0</v>
          </cell>
          <cell r="AJ18" t="str">
            <v xml:space="preserve">DUPHALAC </v>
          </cell>
          <cell r="AK18" t="str">
            <v>OVATEL</v>
          </cell>
          <cell r="AL18">
            <v>0</v>
          </cell>
          <cell r="AM18">
            <v>0</v>
          </cell>
          <cell r="AN18">
            <v>0.25</v>
          </cell>
          <cell r="AO18">
            <v>7873.4500000000007</v>
          </cell>
          <cell r="AP18">
            <v>333.29999999999995</v>
          </cell>
          <cell r="AQ18">
            <v>0</v>
          </cell>
          <cell r="AR18">
            <v>0</v>
          </cell>
          <cell r="AS18">
            <v>9258.1</v>
          </cell>
          <cell r="AT18">
            <v>2899.71</v>
          </cell>
          <cell r="AU18">
            <v>0</v>
          </cell>
          <cell r="AV18">
            <v>0</v>
          </cell>
          <cell r="AW18" t="str">
            <v>CREON</v>
          </cell>
          <cell r="AX18">
            <v>0</v>
          </cell>
          <cell r="AY18">
            <v>0</v>
          </cell>
          <cell r="AZ18">
            <v>0</v>
          </cell>
          <cell r="BA18">
            <v>5.0000000000000044E-2</v>
          </cell>
          <cell r="BB18">
            <v>8430.5022499999995</v>
          </cell>
          <cell r="BC18">
            <v>0</v>
          </cell>
          <cell r="BD18">
            <v>0</v>
          </cell>
          <cell r="BE18">
            <v>0</v>
          </cell>
          <cell r="BF18">
            <v>7945.2600000000011</v>
          </cell>
          <cell r="BG18">
            <v>0</v>
          </cell>
          <cell r="BH18">
            <v>0</v>
          </cell>
          <cell r="BI18">
            <v>0</v>
          </cell>
          <cell r="BJ18">
            <v>191033.75224999999</v>
          </cell>
          <cell r="BK18">
            <v>222913.27000000002</v>
          </cell>
          <cell r="BL18" t="str">
            <v/>
          </cell>
          <cell r="BM18">
            <v>0.97</v>
          </cell>
          <cell r="BO18" t="str">
            <v>Staff</v>
          </cell>
          <cell r="BP18">
            <v>40772</v>
          </cell>
          <cell r="BQ18">
            <v>3</v>
          </cell>
          <cell r="BR18">
            <v>1</v>
          </cell>
          <cell r="BS18">
            <v>3</v>
          </cell>
          <cell r="BT18">
            <v>329604</v>
          </cell>
          <cell r="BU18">
            <v>1</v>
          </cell>
          <cell r="BW18">
            <v>0.75700000000000001</v>
          </cell>
          <cell r="BX18">
            <v>1.07</v>
          </cell>
          <cell r="BY18">
            <v>0.67500000000000004</v>
          </cell>
          <cell r="BZ18">
            <v>1.0609999999999999</v>
          </cell>
          <cell r="CG18">
            <v>0.86</v>
          </cell>
          <cell r="CH18">
            <v>0</v>
          </cell>
          <cell r="CI18">
            <v>0</v>
          </cell>
          <cell r="CJ18">
            <v>0</v>
          </cell>
          <cell r="CK18">
            <v>1</v>
          </cell>
        </row>
        <row r="19">
          <cell r="A19" t="str">
            <v>6Q1</v>
          </cell>
          <cell r="B19" t="str">
            <v>Q1</v>
          </cell>
          <cell r="C19">
            <v>6</v>
          </cell>
          <cell r="D19" t="str">
            <v>Aliyev Askar</v>
          </cell>
          <cell r="E19" t="str">
            <v>Medical Representative</v>
          </cell>
          <cell r="F19">
            <v>41564</v>
          </cell>
          <cell r="G19" t="str">
            <v/>
          </cell>
          <cell r="H19" t="str">
            <v/>
          </cell>
          <cell r="I19" t="str">
            <v>Line 1</v>
          </cell>
          <cell r="J19" t="str">
            <v>CREON</v>
          </cell>
          <cell r="K19" t="str">
            <v xml:space="preserve">DUPHALAC </v>
          </cell>
          <cell r="L19">
            <v>0</v>
          </cell>
          <cell r="M19">
            <v>0</v>
          </cell>
          <cell r="N19">
            <v>0.5</v>
          </cell>
          <cell r="O19">
            <v>68594.5</v>
          </cell>
          <cell r="P19">
            <v>31436</v>
          </cell>
          <cell r="Q19">
            <v>0</v>
          </cell>
          <cell r="R19">
            <v>0</v>
          </cell>
          <cell r="S19">
            <v>55352.619999999995</v>
          </cell>
          <cell r="T19">
            <v>39224</v>
          </cell>
          <cell r="U19">
            <v>0</v>
          </cell>
          <cell r="V19">
            <v>0</v>
          </cell>
          <cell r="W19" t="str">
            <v>HEPTRAL</v>
          </cell>
          <cell r="X19" t="str">
            <v xml:space="preserve">DUSPATALIN </v>
          </cell>
          <cell r="Y19">
            <v>0</v>
          </cell>
          <cell r="Z19">
            <v>0</v>
          </cell>
          <cell r="AA19">
            <v>0.25</v>
          </cell>
          <cell r="AB19">
            <v>43784.520000000004</v>
          </cell>
          <cell r="AC19">
            <v>11504.5</v>
          </cell>
          <cell r="AD19">
            <v>0</v>
          </cell>
          <cell r="AE19">
            <v>0</v>
          </cell>
          <cell r="AF19">
            <v>36090.86</v>
          </cell>
          <cell r="AG19">
            <v>10545</v>
          </cell>
          <cell r="AH19">
            <v>0</v>
          </cell>
          <cell r="AI19">
            <v>0</v>
          </cell>
          <cell r="AJ19" t="str">
            <v>IRS 19</v>
          </cell>
          <cell r="AK19" t="str">
            <v>IMUDON</v>
          </cell>
          <cell r="AL19">
            <v>0</v>
          </cell>
          <cell r="AM19">
            <v>0</v>
          </cell>
          <cell r="AN19">
            <v>0.1</v>
          </cell>
          <cell r="AO19">
            <v>2724</v>
          </cell>
          <cell r="AP19">
            <v>8616</v>
          </cell>
          <cell r="AQ19">
            <v>0</v>
          </cell>
          <cell r="AR19">
            <v>0</v>
          </cell>
          <cell r="AS19">
            <v>3396</v>
          </cell>
          <cell r="AT19">
            <v>6768</v>
          </cell>
          <cell r="AU19">
            <v>0</v>
          </cell>
          <cell r="AV19">
            <v>0</v>
          </cell>
          <cell r="AW19" t="str">
            <v xml:space="preserve">GANATON </v>
          </cell>
          <cell r="AX19">
            <v>0</v>
          </cell>
          <cell r="AY19">
            <v>0</v>
          </cell>
          <cell r="AZ19">
            <v>0</v>
          </cell>
          <cell r="BA19">
            <v>0.15</v>
          </cell>
          <cell r="BB19">
            <v>481.40000000000009</v>
          </cell>
          <cell r="BC19">
            <v>0</v>
          </cell>
          <cell r="BD19">
            <v>0</v>
          </cell>
          <cell r="BE19">
            <v>0</v>
          </cell>
          <cell r="BF19">
            <v>996.00000000000011</v>
          </cell>
          <cell r="BG19">
            <v>0</v>
          </cell>
          <cell r="BH19">
            <v>0</v>
          </cell>
          <cell r="BI19">
            <v>0</v>
          </cell>
          <cell r="BJ19">
            <v>167140.92000000001</v>
          </cell>
          <cell r="BK19">
            <v>152372.47999999998</v>
          </cell>
          <cell r="BL19" t="str">
            <v/>
          </cell>
          <cell r="BM19">
            <v>1</v>
          </cell>
          <cell r="BO19" t="str">
            <v>Staff</v>
          </cell>
          <cell r="BP19">
            <v>41656</v>
          </cell>
          <cell r="BQ19">
            <v>3</v>
          </cell>
          <cell r="BR19">
            <v>1</v>
          </cell>
          <cell r="BS19">
            <v>3</v>
          </cell>
          <cell r="BT19">
            <v>329604</v>
          </cell>
          <cell r="BU19">
            <v>1</v>
          </cell>
          <cell r="BW19">
            <v>1.0580000000000001</v>
          </cell>
          <cell r="BX19">
            <v>1.1859999999999999</v>
          </cell>
          <cell r="BY19">
            <v>1.1160000000000001</v>
          </cell>
          <cell r="BZ19">
            <v>0.48299999999999998</v>
          </cell>
          <cell r="CG19">
            <v>1.1000000000000001</v>
          </cell>
          <cell r="CH19">
            <v>1</v>
          </cell>
          <cell r="CI19">
            <v>2</v>
          </cell>
          <cell r="CJ19">
            <v>0</v>
          </cell>
          <cell r="CK19">
            <v>1</v>
          </cell>
        </row>
        <row r="20">
          <cell r="A20" t="str">
            <v>7Q1</v>
          </cell>
          <cell r="B20" t="str">
            <v>Q1</v>
          </cell>
          <cell r="C20">
            <v>7</v>
          </cell>
          <cell r="D20" t="str">
            <v>Altynbassova Shynar</v>
          </cell>
          <cell r="E20" t="str">
            <v>Medical Representative</v>
          </cell>
          <cell r="F20">
            <v>42681</v>
          </cell>
          <cell r="G20" t="str">
            <v/>
          </cell>
          <cell r="H20" t="str">
            <v/>
          </cell>
          <cell r="I20" t="str">
            <v>Line 2</v>
          </cell>
          <cell r="J20" t="str">
            <v xml:space="preserve">DUPHASTON </v>
          </cell>
          <cell r="K20" t="str">
            <v>FEMOSTON</v>
          </cell>
          <cell r="L20">
            <v>0</v>
          </cell>
          <cell r="M20">
            <v>0</v>
          </cell>
          <cell r="N20">
            <v>0.3</v>
          </cell>
          <cell r="O20">
            <v>11502</v>
          </cell>
          <cell r="P20">
            <v>1276</v>
          </cell>
          <cell r="Q20">
            <v>0</v>
          </cell>
          <cell r="R20">
            <v>0</v>
          </cell>
          <cell r="S20">
            <v>7155</v>
          </cell>
          <cell r="T20">
            <v>1392</v>
          </cell>
          <cell r="U20">
            <v>0</v>
          </cell>
          <cell r="V20">
            <v>0</v>
          </cell>
          <cell r="W20" t="str">
            <v>PHYSIOTENS</v>
          </cell>
          <cell r="X20" t="str">
            <v>TRICOR /LIPANTHYL</v>
          </cell>
          <cell r="Y20" t="str">
            <v>OMACOR</v>
          </cell>
          <cell r="Z20">
            <v>0</v>
          </cell>
          <cell r="AA20">
            <v>0.25</v>
          </cell>
          <cell r="AB20">
            <v>10124.5</v>
          </cell>
          <cell r="AC20">
            <v>449.01</v>
          </cell>
          <cell r="AD20">
            <v>868</v>
          </cell>
          <cell r="AE20">
            <v>0</v>
          </cell>
          <cell r="AF20">
            <v>5842.5</v>
          </cell>
          <cell r="AG20">
            <v>415.75</v>
          </cell>
          <cell r="AH20">
            <v>465</v>
          </cell>
          <cell r="AI20">
            <v>0</v>
          </cell>
          <cell r="AJ20" t="str">
            <v>HEPTRAL</v>
          </cell>
          <cell r="AK20">
            <v>0</v>
          </cell>
          <cell r="AL20">
            <v>0</v>
          </cell>
          <cell r="AM20">
            <v>0</v>
          </cell>
          <cell r="AN20">
            <v>0.25</v>
          </cell>
          <cell r="AO20">
            <v>8007.35</v>
          </cell>
          <cell r="AP20">
            <v>0</v>
          </cell>
          <cell r="AQ20">
            <v>0</v>
          </cell>
          <cell r="AR20">
            <v>0</v>
          </cell>
          <cell r="AS20">
            <v>4424.68</v>
          </cell>
          <cell r="AT20">
            <v>0</v>
          </cell>
          <cell r="AU20">
            <v>0</v>
          </cell>
          <cell r="AV20">
            <v>0</v>
          </cell>
          <cell r="AW20" t="str">
            <v>BETASERC</v>
          </cell>
          <cell r="AX20" t="str">
            <v xml:space="preserve">DUPHALAC </v>
          </cell>
          <cell r="AY20" t="str">
            <v>CREON</v>
          </cell>
          <cell r="AZ20">
            <v>0</v>
          </cell>
          <cell r="BA20">
            <v>0.19999999999999996</v>
          </cell>
          <cell r="BB20">
            <v>3022.22</v>
          </cell>
          <cell r="BC20">
            <v>1059.2</v>
          </cell>
          <cell r="BD20">
            <v>656.77600000000007</v>
          </cell>
          <cell r="BE20">
            <v>0</v>
          </cell>
          <cell r="BF20">
            <v>2310.6999999999998</v>
          </cell>
          <cell r="BG20">
            <v>813.45</v>
          </cell>
          <cell r="BH20">
            <v>575.21500000000003</v>
          </cell>
          <cell r="BI20">
            <v>0</v>
          </cell>
          <cell r="BJ20">
            <v>36965.055999999997</v>
          </cell>
          <cell r="BK20">
            <v>23394.294999999998</v>
          </cell>
          <cell r="BL20" t="str">
            <v/>
          </cell>
          <cell r="BM20">
            <v>0.87</v>
          </cell>
          <cell r="BO20" t="str">
            <v>Newcomer</v>
          </cell>
          <cell r="BP20">
            <v>42773</v>
          </cell>
          <cell r="BQ20">
            <v>1</v>
          </cell>
          <cell r="BR20">
            <v>3</v>
          </cell>
          <cell r="BS20">
            <v>3</v>
          </cell>
          <cell r="BT20">
            <v>329604</v>
          </cell>
          <cell r="BU20">
            <v>0.33333333333333331</v>
          </cell>
          <cell r="BW20">
            <v>1.4950000000000001</v>
          </cell>
          <cell r="BX20">
            <v>1.702</v>
          </cell>
          <cell r="BY20">
            <v>1.81</v>
          </cell>
          <cell r="BZ20">
            <v>1.2809999999999999</v>
          </cell>
          <cell r="CG20">
            <v>1.58</v>
          </cell>
          <cell r="CH20">
            <v>1</v>
          </cell>
          <cell r="CI20">
            <v>2.5</v>
          </cell>
          <cell r="CJ20">
            <v>0</v>
          </cell>
          <cell r="CK20">
            <v>0.5</v>
          </cell>
        </row>
        <row r="21">
          <cell r="A21" t="str">
            <v>8Q1</v>
          </cell>
          <cell r="B21" t="str">
            <v>Q1</v>
          </cell>
          <cell r="C21">
            <v>8</v>
          </cell>
          <cell r="D21" t="str">
            <v>Alzhanova Zhuldyz</v>
          </cell>
          <cell r="E21" t="str">
            <v>Pharm Representative</v>
          </cell>
          <cell r="F21">
            <v>42226</v>
          </cell>
          <cell r="G21" t="str">
            <v/>
          </cell>
          <cell r="H21" t="str">
            <v/>
          </cell>
          <cell r="I21" t="str">
            <v>Pharma line</v>
          </cell>
          <cell r="J21" t="str">
            <v>CREON</v>
          </cell>
          <cell r="K21">
            <v>0</v>
          </cell>
          <cell r="L21">
            <v>0</v>
          </cell>
          <cell r="M21">
            <v>0</v>
          </cell>
          <cell r="N21">
            <v>0.4</v>
          </cell>
          <cell r="O21">
            <v>168610.04499999998</v>
          </cell>
          <cell r="P21">
            <v>0</v>
          </cell>
          <cell r="Q21">
            <v>0</v>
          </cell>
          <cell r="R21">
            <v>0</v>
          </cell>
          <cell r="S21">
            <v>158905.20000000001</v>
          </cell>
          <cell r="T21">
            <v>0</v>
          </cell>
          <cell r="U21">
            <v>0</v>
          </cell>
          <cell r="V21">
            <v>0</v>
          </cell>
          <cell r="W21" t="str">
            <v xml:space="preserve">DUPHALAC </v>
          </cell>
          <cell r="X21">
            <v>0</v>
          </cell>
          <cell r="Y21">
            <v>0</v>
          </cell>
          <cell r="Z21">
            <v>0</v>
          </cell>
          <cell r="AA21">
            <v>0.35</v>
          </cell>
          <cell r="AB21">
            <v>78734.5</v>
          </cell>
          <cell r="AC21">
            <v>0</v>
          </cell>
          <cell r="AD21">
            <v>0</v>
          </cell>
          <cell r="AE21">
            <v>0</v>
          </cell>
          <cell r="AF21">
            <v>92581</v>
          </cell>
          <cell r="AG21">
            <v>0</v>
          </cell>
          <cell r="AH21">
            <v>0</v>
          </cell>
          <cell r="AI21">
            <v>0</v>
          </cell>
          <cell r="AJ21" t="str">
            <v>IRS 19</v>
          </cell>
          <cell r="AK21" t="str">
            <v>IMUDON</v>
          </cell>
          <cell r="AL21">
            <v>0</v>
          </cell>
          <cell r="AM21">
            <v>0</v>
          </cell>
          <cell r="AN21">
            <v>0.25</v>
          </cell>
          <cell r="AO21">
            <v>12972</v>
          </cell>
          <cell r="AP21">
            <v>25797.599999999999</v>
          </cell>
          <cell r="AQ21">
            <v>0</v>
          </cell>
          <cell r="AR21">
            <v>0</v>
          </cell>
          <cell r="AS21">
            <v>15708</v>
          </cell>
          <cell r="AT21">
            <v>26736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286114.14499999996</v>
          </cell>
          <cell r="BK21">
            <v>293930.2</v>
          </cell>
          <cell r="BL21" t="str">
            <v/>
          </cell>
          <cell r="BM21">
            <v>0.91</v>
          </cell>
          <cell r="BO21" t="str">
            <v>Staff</v>
          </cell>
          <cell r="BP21">
            <v>42318</v>
          </cell>
          <cell r="BQ21">
            <v>3</v>
          </cell>
          <cell r="BR21">
            <v>1</v>
          </cell>
          <cell r="BS21">
            <v>3</v>
          </cell>
          <cell r="BT21">
            <v>329604</v>
          </cell>
          <cell r="BU21">
            <v>1</v>
          </cell>
          <cell r="BW21">
            <v>1.0609999999999999</v>
          </cell>
          <cell r="BX21">
            <v>0.85</v>
          </cell>
          <cell r="BY21">
            <v>0.91300000000000003</v>
          </cell>
          <cell r="BZ21">
            <v>0</v>
          </cell>
          <cell r="CG21">
            <v>0.97</v>
          </cell>
          <cell r="CH21">
            <v>1</v>
          </cell>
          <cell r="CI21">
            <v>0.85</v>
          </cell>
          <cell r="CJ21">
            <v>0</v>
          </cell>
          <cell r="CK21">
            <v>0.5</v>
          </cell>
        </row>
        <row r="22">
          <cell r="A22" t="str">
            <v>9Q1</v>
          </cell>
          <cell r="B22" t="str">
            <v>Q1</v>
          </cell>
          <cell r="C22">
            <v>9</v>
          </cell>
          <cell r="D22" t="str">
            <v>Arestova Yelena</v>
          </cell>
          <cell r="E22" t="str">
            <v>Medical Representative</v>
          </cell>
          <cell r="F22">
            <v>42051</v>
          </cell>
          <cell r="G22" t="str">
            <v/>
          </cell>
          <cell r="H22" t="str">
            <v/>
          </cell>
          <cell r="I22" t="str">
            <v>Line 2 (big cities)</v>
          </cell>
          <cell r="J22" t="str">
            <v>CREON</v>
          </cell>
          <cell r="K22" t="str">
            <v xml:space="preserve">DUPHALAC </v>
          </cell>
          <cell r="L22">
            <v>0</v>
          </cell>
          <cell r="M22">
            <v>0</v>
          </cell>
          <cell r="N22">
            <v>0.1</v>
          </cell>
          <cell r="O22">
            <v>21136.1535</v>
          </cell>
          <cell r="P22">
            <v>9970.4000000000015</v>
          </cell>
          <cell r="Q22">
            <v>0</v>
          </cell>
          <cell r="R22">
            <v>0</v>
          </cell>
          <cell r="S22">
            <v>17026.947</v>
          </cell>
          <cell r="T22">
            <v>9257.625</v>
          </cell>
          <cell r="U22">
            <v>0</v>
          </cell>
          <cell r="V22">
            <v>0</v>
          </cell>
          <cell r="W22" t="str">
            <v>PHYSIOTENS</v>
          </cell>
          <cell r="X22" t="str">
            <v>TRICOR /LIPANTHYL</v>
          </cell>
          <cell r="Y22" t="str">
            <v>OMACOR</v>
          </cell>
          <cell r="Z22">
            <v>0</v>
          </cell>
          <cell r="AA22">
            <v>0.3</v>
          </cell>
          <cell r="AB22">
            <v>282509.5</v>
          </cell>
          <cell r="AC22">
            <v>9728.5499999999993</v>
          </cell>
          <cell r="AD22">
            <v>4712</v>
          </cell>
          <cell r="AE22">
            <v>0</v>
          </cell>
          <cell r="AF22">
            <v>148192.5</v>
          </cell>
          <cell r="AG22">
            <v>9678.66</v>
          </cell>
          <cell r="AH22">
            <v>9951</v>
          </cell>
          <cell r="AI22">
            <v>0</v>
          </cell>
          <cell r="AJ22" t="str">
            <v>HEPTRAL</v>
          </cell>
          <cell r="AK22">
            <v>0</v>
          </cell>
          <cell r="AL22">
            <v>0</v>
          </cell>
          <cell r="AM22">
            <v>0</v>
          </cell>
          <cell r="AN22">
            <v>0.3</v>
          </cell>
          <cell r="AO22">
            <v>376824.24</v>
          </cell>
          <cell r="AP22">
            <v>0</v>
          </cell>
          <cell r="AQ22">
            <v>0</v>
          </cell>
          <cell r="AR22">
            <v>0</v>
          </cell>
          <cell r="AS22">
            <v>261353.30000000002</v>
          </cell>
          <cell r="AT22">
            <v>0</v>
          </cell>
          <cell r="AU22">
            <v>0</v>
          </cell>
          <cell r="AV22">
            <v>0</v>
          </cell>
          <cell r="AW22" t="str">
            <v>BETASERC</v>
          </cell>
          <cell r="AX22">
            <v>0</v>
          </cell>
          <cell r="AY22">
            <v>0</v>
          </cell>
          <cell r="AZ22">
            <v>0</v>
          </cell>
          <cell r="BA22">
            <v>0.3000000000000001</v>
          </cell>
          <cell r="BB22">
            <v>90583.560000000012</v>
          </cell>
          <cell r="BC22">
            <v>0</v>
          </cell>
          <cell r="BD22">
            <v>0</v>
          </cell>
          <cell r="BE22">
            <v>0</v>
          </cell>
          <cell r="BF22">
            <v>73247.38</v>
          </cell>
          <cell r="BG22">
            <v>0</v>
          </cell>
          <cell r="BH22">
            <v>0</v>
          </cell>
          <cell r="BI22">
            <v>0</v>
          </cell>
          <cell r="BJ22">
            <v>795464.40350000001</v>
          </cell>
          <cell r="BK22">
            <v>528707.41200000001</v>
          </cell>
          <cell r="BL22" t="str">
            <v/>
          </cell>
          <cell r="BM22">
            <v>0.94</v>
          </cell>
          <cell r="BO22" t="str">
            <v>Staff</v>
          </cell>
          <cell r="BP22">
            <v>42140</v>
          </cell>
          <cell r="BQ22">
            <v>3</v>
          </cell>
          <cell r="BR22">
            <v>1</v>
          </cell>
          <cell r="BS22">
            <v>3</v>
          </cell>
          <cell r="BT22">
            <v>329604</v>
          </cell>
          <cell r="BU22">
            <v>1</v>
          </cell>
          <cell r="BW22">
            <v>1.1830000000000001</v>
          </cell>
          <cell r="BX22">
            <v>1.7689999999999999</v>
          </cell>
          <cell r="BY22">
            <v>1.4419999999999999</v>
          </cell>
          <cell r="BZ22">
            <v>1.2370000000000001</v>
          </cell>
          <cell r="CG22">
            <v>1.5</v>
          </cell>
          <cell r="CH22">
            <v>1</v>
          </cell>
          <cell r="CI22">
            <v>2.5</v>
          </cell>
          <cell r="CJ22">
            <v>0</v>
          </cell>
          <cell r="CK22">
            <v>0.5</v>
          </cell>
        </row>
        <row r="23">
          <cell r="A23" t="str">
            <v>10Q1</v>
          </cell>
          <cell r="B23" t="str">
            <v>Q1</v>
          </cell>
          <cell r="C23">
            <v>10</v>
          </cell>
          <cell r="D23" t="str">
            <v>Auyelbekova Syndykul</v>
          </cell>
          <cell r="E23" t="str">
            <v>Medical Representative</v>
          </cell>
          <cell r="F23">
            <v>41345</v>
          </cell>
          <cell r="G23" t="str">
            <v/>
          </cell>
          <cell r="H23" t="str">
            <v/>
          </cell>
          <cell r="I23" t="str">
            <v>Line 2</v>
          </cell>
          <cell r="J23" t="str">
            <v xml:space="preserve">DUPHASTON </v>
          </cell>
          <cell r="K23" t="str">
            <v>FEMOSTON</v>
          </cell>
          <cell r="L23">
            <v>0</v>
          </cell>
          <cell r="M23">
            <v>0</v>
          </cell>
          <cell r="N23">
            <v>0.3</v>
          </cell>
          <cell r="O23">
            <v>25650</v>
          </cell>
          <cell r="P23">
            <v>11913.199999999999</v>
          </cell>
          <cell r="Q23">
            <v>0</v>
          </cell>
          <cell r="R23">
            <v>0</v>
          </cell>
          <cell r="S23">
            <v>43200</v>
          </cell>
          <cell r="T23">
            <v>9001.6</v>
          </cell>
          <cell r="U23">
            <v>0</v>
          </cell>
          <cell r="V23">
            <v>0</v>
          </cell>
          <cell r="W23" t="str">
            <v>PHYSIOTENS</v>
          </cell>
          <cell r="X23" t="str">
            <v>TRICOR /LIPANTHYL</v>
          </cell>
          <cell r="Y23" t="str">
            <v>OMACOR</v>
          </cell>
          <cell r="Z23">
            <v>0</v>
          </cell>
          <cell r="AA23">
            <v>0.25</v>
          </cell>
          <cell r="AB23">
            <v>71780</v>
          </cell>
          <cell r="AC23">
            <v>1164.0999999999999</v>
          </cell>
          <cell r="AD23">
            <v>186</v>
          </cell>
          <cell r="AE23">
            <v>0</v>
          </cell>
          <cell r="AF23">
            <v>58160</v>
          </cell>
          <cell r="AG23">
            <v>1097.58</v>
          </cell>
          <cell r="AH23">
            <v>1178</v>
          </cell>
          <cell r="AI23">
            <v>0</v>
          </cell>
          <cell r="AJ23" t="str">
            <v>HEPTRAL</v>
          </cell>
          <cell r="AK23">
            <v>0</v>
          </cell>
          <cell r="AL23">
            <v>0</v>
          </cell>
          <cell r="AM23">
            <v>0</v>
          </cell>
          <cell r="AN23">
            <v>0.25</v>
          </cell>
          <cell r="AO23">
            <v>21215.35</v>
          </cell>
          <cell r="AP23">
            <v>0</v>
          </cell>
          <cell r="AQ23">
            <v>0</v>
          </cell>
          <cell r="AR23">
            <v>0</v>
          </cell>
          <cell r="AS23">
            <v>17054.830000000002</v>
          </cell>
          <cell r="AT23">
            <v>0</v>
          </cell>
          <cell r="AU23">
            <v>0</v>
          </cell>
          <cell r="AV23">
            <v>0</v>
          </cell>
          <cell r="AW23" t="str">
            <v>BETASERC</v>
          </cell>
          <cell r="AX23" t="str">
            <v xml:space="preserve">DUPHALAC </v>
          </cell>
          <cell r="AY23" t="str">
            <v>CREON</v>
          </cell>
          <cell r="AZ23">
            <v>0</v>
          </cell>
          <cell r="BA23">
            <v>0.19999999999999996</v>
          </cell>
          <cell r="BB23">
            <v>12095.759999999998</v>
          </cell>
          <cell r="BC23">
            <v>3936.4</v>
          </cell>
          <cell r="BD23">
            <v>2564.3080000000004</v>
          </cell>
          <cell r="BE23">
            <v>0</v>
          </cell>
          <cell r="BF23">
            <v>12839.720000000001</v>
          </cell>
          <cell r="BG23">
            <v>3138.25</v>
          </cell>
          <cell r="BH23">
            <v>1991.902</v>
          </cell>
          <cell r="BI23">
            <v>0</v>
          </cell>
          <cell r="BJ23">
            <v>150505.11799999999</v>
          </cell>
          <cell r="BK23">
            <v>147661.88199999998</v>
          </cell>
          <cell r="BL23" t="str">
            <v/>
          </cell>
          <cell r="BM23">
            <v>0.92</v>
          </cell>
          <cell r="BO23" t="str">
            <v>Staff</v>
          </cell>
          <cell r="BP23">
            <v>41437</v>
          </cell>
          <cell r="BQ23">
            <v>3</v>
          </cell>
          <cell r="BR23">
            <v>1</v>
          </cell>
          <cell r="BS23">
            <v>3</v>
          </cell>
          <cell r="BT23">
            <v>329604</v>
          </cell>
          <cell r="BU23">
            <v>1</v>
          </cell>
          <cell r="BW23">
            <v>0.72</v>
          </cell>
          <cell r="BX23">
            <v>1.21</v>
          </cell>
          <cell r="BY23">
            <v>1.244</v>
          </cell>
          <cell r="BZ23">
            <v>1.0349999999999999</v>
          </cell>
          <cell r="CG23">
            <v>1.02</v>
          </cell>
          <cell r="CH23">
            <v>1</v>
          </cell>
          <cell r="CI23">
            <v>1.2</v>
          </cell>
          <cell r="CJ23">
            <v>0</v>
          </cell>
          <cell r="CK23">
            <v>0.5</v>
          </cell>
        </row>
        <row r="24">
          <cell r="A24" t="str">
            <v>11Q1</v>
          </cell>
          <cell r="B24" t="str">
            <v>Q1</v>
          </cell>
          <cell r="C24">
            <v>11</v>
          </cell>
          <cell r="D24" t="str">
            <v>Aybolova Zhazira</v>
          </cell>
          <cell r="E24" t="str">
            <v>Medical Representative</v>
          </cell>
          <cell r="F24">
            <v>41897</v>
          </cell>
          <cell r="G24" t="str">
            <v/>
          </cell>
          <cell r="H24" t="str">
            <v/>
          </cell>
          <cell r="I24" t="str">
            <v>Line 2 (big cities)</v>
          </cell>
          <cell r="J24" t="str">
            <v>CREON</v>
          </cell>
          <cell r="K24" t="str">
            <v xml:space="preserve">DUPHALAC </v>
          </cell>
          <cell r="L24">
            <v>0</v>
          </cell>
          <cell r="M24">
            <v>0</v>
          </cell>
          <cell r="N24">
            <v>0.1</v>
          </cell>
          <cell r="O24">
            <v>15049.333000000002</v>
          </cell>
          <cell r="P24">
            <v>7744.3250000000007</v>
          </cell>
          <cell r="Q24">
            <v>0</v>
          </cell>
          <cell r="R24">
            <v>0</v>
          </cell>
          <cell r="S24">
            <v>12113.050000000001</v>
          </cell>
          <cell r="T24">
            <v>7000.9000000000005</v>
          </cell>
          <cell r="U24">
            <v>0</v>
          </cell>
          <cell r="V24">
            <v>0</v>
          </cell>
          <cell r="W24" t="str">
            <v>PHYSIOTENS</v>
          </cell>
          <cell r="X24" t="str">
            <v>TRICOR /LIPANTHYL</v>
          </cell>
          <cell r="Y24" t="str">
            <v>OMACOR</v>
          </cell>
          <cell r="Z24">
            <v>0</v>
          </cell>
          <cell r="AA24">
            <v>0.3</v>
          </cell>
          <cell r="AB24">
            <v>174153.5</v>
          </cell>
          <cell r="AC24">
            <v>15831.759999999998</v>
          </cell>
          <cell r="AD24">
            <v>3813</v>
          </cell>
          <cell r="AE24">
            <v>0</v>
          </cell>
          <cell r="AF24">
            <v>166047</v>
          </cell>
          <cell r="AG24">
            <v>8980.1999999999989</v>
          </cell>
          <cell r="AH24">
            <v>6293</v>
          </cell>
          <cell r="AI24">
            <v>0</v>
          </cell>
          <cell r="AJ24" t="str">
            <v>HEPTRAL</v>
          </cell>
          <cell r="AK24">
            <v>0</v>
          </cell>
          <cell r="AL24">
            <v>0</v>
          </cell>
          <cell r="AM24">
            <v>0</v>
          </cell>
          <cell r="AN24">
            <v>0.3</v>
          </cell>
          <cell r="AO24">
            <v>155755.34000000003</v>
          </cell>
          <cell r="AP24">
            <v>0</v>
          </cell>
          <cell r="AQ24">
            <v>0</v>
          </cell>
          <cell r="AR24">
            <v>0</v>
          </cell>
          <cell r="AS24">
            <v>128976.12000000001</v>
          </cell>
          <cell r="AT24">
            <v>0</v>
          </cell>
          <cell r="AU24">
            <v>0</v>
          </cell>
          <cell r="AV24">
            <v>0</v>
          </cell>
          <cell r="AW24" t="str">
            <v>BETASERC</v>
          </cell>
          <cell r="AX24">
            <v>0</v>
          </cell>
          <cell r="AY24">
            <v>0</v>
          </cell>
          <cell r="AZ24">
            <v>0</v>
          </cell>
          <cell r="BA24">
            <v>0.3000000000000001</v>
          </cell>
          <cell r="BB24">
            <v>33868.94</v>
          </cell>
          <cell r="BC24">
            <v>0</v>
          </cell>
          <cell r="BD24">
            <v>0</v>
          </cell>
          <cell r="BE24">
            <v>0</v>
          </cell>
          <cell r="BF24">
            <v>30353.98</v>
          </cell>
          <cell r="BG24">
            <v>0</v>
          </cell>
          <cell r="BH24">
            <v>0</v>
          </cell>
          <cell r="BI24">
            <v>0</v>
          </cell>
          <cell r="BJ24">
            <v>406216.19800000003</v>
          </cell>
          <cell r="BK24">
            <v>359764.25</v>
          </cell>
          <cell r="BL24" t="str">
            <v/>
          </cell>
          <cell r="BM24">
            <v>0.96</v>
          </cell>
          <cell r="BO24" t="str">
            <v>Staff</v>
          </cell>
          <cell r="BP24">
            <v>41988</v>
          </cell>
          <cell r="BQ24">
            <v>3</v>
          </cell>
          <cell r="BR24">
            <v>1</v>
          </cell>
          <cell r="BS24">
            <v>3</v>
          </cell>
          <cell r="BT24">
            <v>329604</v>
          </cell>
          <cell r="BU24">
            <v>1</v>
          </cell>
          <cell r="BW24">
            <v>1.1930000000000001</v>
          </cell>
          <cell r="BX24">
            <v>1.069</v>
          </cell>
          <cell r="BY24">
            <v>1.208</v>
          </cell>
          <cell r="BZ24">
            <v>1.1160000000000001</v>
          </cell>
          <cell r="CG24">
            <v>1.1299999999999999</v>
          </cell>
          <cell r="CH24">
            <v>1</v>
          </cell>
          <cell r="CI24">
            <v>2.15</v>
          </cell>
          <cell r="CJ24">
            <v>0</v>
          </cell>
          <cell r="CK24">
            <v>1</v>
          </cell>
        </row>
        <row r="25">
          <cell r="A25" t="str">
            <v>12Q1</v>
          </cell>
          <cell r="B25" t="str">
            <v>Q1</v>
          </cell>
          <cell r="C25">
            <v>12</v>
          </cell>
          <cell r="D25" t="str">
            <v>Baimysheva Mariya</v>
          </cell>
          <cell r="E25" t="str">
            <v>Medical Representative</v>
          </cell>
          <cell r="F25">
            <v>42675</v>
          </cell>
          <cell r="G25" t="str">
            <v/>
          </cell>
          <cell r="H25" t="str">
            <v/>
          </cell>
          <cell r="I25" t="str">
            <v>Line 2</v>
          </cell>
          <cell r="J25" t="str">
            <v xml:space="preserve">DUPHASTON </v>
          </cell>
          <cell r="K25" t="str">
            <v>FEMOSTON</v>
          </cell>
          <cell r="L25">
            <v>0</v>
          </cell>
          <cell r="M25">
            <v>0</v>
          </cell>
          <cell r="N25">
            <v>0.3</v>
          </cell>
          <cell r="O25">
            <v>14175</v>
          </cell>
          <cell r="P25">
            <v>4176</v>
          </cell>
          <cell r="Q25">
            <v>0</v>
          </cell>
          <cell r="R25">
            <v>0</v>
          </cell>
          <cell r="S25">
            <v>17712</v>
          </cell>
          <cell r="T25">
            <v>5057.6000000000004</v>
          </cell>
          <cell r="U25">
            <v>0</v>
          </cell>
          <cell r="V25">
            <v>0</v>
          </cell>
          <cell r="W25" t="str">
            <v>PHYSIOTENS</v>
          </cell>
          <cell r="X25" t="str">
            <v>TRICOR /LIPANTHYL</v>
          </cell>
          <cell r="Y25" t="str">
            <v>OMACOR</v>
          </cell>
          <cell r="Z25">
            <v>0</v>
          </cell>
          <cell r="AA25">
            <v>0.25</v>
          </cell>
          <cell r="AB25">
            <v>41958</v>
          </cell>
          <cell r="AC25">
            <v>731.71999999999991</v>
          </cell>
          <cell r="AD25">
            <v>124</v>
          </cell>
          <cell r="AE25">
            <v>0</v>
          </cell>
          <cell r="AF25">
            <v>32746.5</v>
          </cell>
          <cell r="AG25">
            <v>1380.29</v>
          </cell>
          <cell r="AH25">
            <v>310</v>
          </cell>
          <cell r="AI25">
            <v>0</v>
          </cell>
          <cell r="AJ25" t="str">
            <v>HEPTRAL</v>
          </cell>
          <cell r="AK25">
            <v>0</v>
          </cell>
          <cell r="AL25">
            <v>0</v>
          </cell>
          <cell r="AM25">
            <v>0</v>
          </cell>
          <cell r="AN25">
            <v>0.25</v>
          </cell>
          <cell r="AO25">
            <v>6158.2300000000005</v>
          </cell>
          <cell r="AP25">
            <v>0</v>
          </cell>
          <cell r="AQ25">
            <v>0</v>
          </cell>
          <cell r="AR25">
            <v>0</v>
          </cell>
          <cell r="AS25">
            <v>8684.26</v>
          </cell>
          <cell r="AT25">
            <v>0</v>
          </cell>
          <cell r="AU25">
            <v>0</v>
          </cell>
          <cell r="AV25">
            <v>0</v>
          </cell>
          <cell r="AW25" t="str">
            <v>BETASERC</v>
          </cell>
          <cell r="AX25" t="str">
            <v xml:space="preserve">DUPHALAC </v>
          </cell>
          <cell r="AY25" t="str">
            <v>CREON</v>
          </cell>
          <cell r="AZ25">
            <v>0</v>
          </cell>
          <cell r="BA25">
            <v>0.19999999999999996</v>
          </cell>
          <cell r="BB25">
            <v>7198.8200000000006</v>
          </cell>
          <cell r="BC25">
            <v>1559.8500000000001</v>
          </cell>
          <cell r="BD25">
            <v>1503.1655000000001</v>
          </cell>
          <cell r="BE25">
            <v>0</v>
          </cell>
          <cell r="BF25">
            <v>5584.6200000000008</v>
          </cell>
          <cell r="BG25">
            <v>1936.3000000000002</v>
          </cell>
          <cell r="BH25">
            <v>1207.2939999999999</v>
          </cell>
          <cell r="BI25">
            <v>0</v>
          </cell>
          <cell r="BJ25">
            <v>77584.785499999998</v>
          </cell>
          <cell r="BK25">
            <v>74618.864000000001</v>
          </cell>
          <cell r="BL25" t="str">
            <v/>
          </cell>
          <cell r="BM25">
            <v>0.95</v>
          </cell>
          <cell r="BO25" t="str">
            <v>Newcomer</v>
          </cell>
          <cell r="BP25">
            <v>42767</v>
          </cell>
          <cell r="BQ25">
            <v>2</v>
          </cell>
          <cell r="BR25">
            <v>2</v>
          </cell>
          <cell r="BS25">
            <v>3</v>
          </cell>
          <cell r="BT25">
            <v>329604</v>
          </cell>
          <cell r="BU25">
            <v>0.66666666666666663</v>
          </cell>
          <cell r="BW25">
            <v>0.80600000000000005</v>
          </cell>
          <cell r="BX25">
            <v>1.2430000000000001</v>
          </cell>
          <cell r="BY25">
            <v>0.70899999999999996</v>
          </cell>
          <cell r="BZ25">
            <v>1.1759999999999999</v>
          </cell>
          <cell r="CG25">
            <v>1.04</v>
          </cell>
          <cell r="CH25">
            <v>1</v>
          </cell>
          <cell r="CI25">
            <v>1.4</v>
          </cell>
          <cell r="CJ25">
            <v>0</v>
          </cell>
          <cell r="CK25">
            <v>1</v>
          </cell>
        </row>
        <row r="26">
          <cell r="A26" t="str">
            <v>13Q1</v>
          </cell>
          <cell r="B26" t="str">
            <v>Q1</v>
          </cell>
          <cell r="C26">
            <v>13</v>
          </cell>
          <cell r="D26" t="str">
            <v>Bakisheva Aliya</v>
          </cell>
          <cell r="E26" t="str">
            <v>Medical Representative</v>
          </cell>
          <cell r="F26">
            <v>40683</v>
          </cell>
          <cell r="G26" t="str">
            <v/>
          </cell>
          <cell r="H26" t="str">
            <v/>
          </cell>
          <cell r="I26" t="str">
            <v>Line 3 (big cities)</v>
          </cell>
          <cell r="J26" t="str">
            <v xml:space="preserve">DUPHASTON </v>
          </cell>
          <cell r="K26">
            <v>0</v>
          </cell>
          <cell r="L26">
            <v>0</v>
          </cell>
          <cell r="M26">
            <v>0</v>
          </cell>
          <cell r="N26">
            <v>0.45</v>
          </cell>
          <cell r="O26">
            <v>216202.5</v>
          </cell>
          <cell r="P26">
            <v>0</v>
          </cell>
          <cell r="Q26">
            <v>0</v>
          </cell>
          <cell r="R26">
            <v>0</v>
          </cell>
          <cell r="S26">
            <v>240300</v>
          </cell>
          <cell r="T26">
            <v>0</v>
          </cell>
          <cell r="U26">
            <v>0</v>
          </cell>
          <cell r="V26">
            <v>0</v>
          </cell>
          <cell r="W26" t="str">
            <v>FEMOSTON</v>
          </cell>
          <cell r="X26">
            <v>0</v>
          </cell>
          <cell r="Y26">
            <v>0</v>
          </cell>
          <cell r="Z26">
            <v>0</v>
          </cell>
          <cell r="AA26">
            <v>0.25</v>
          </cell>
          <cell r="AB26">
            <v>116371.20000000001</v>
          </cell>
          <cell r="AC26">
            <v>0</v>
          </cell>
          <cell r="AD26">
            <v>0</v>
          </cell>
          <cell r="AE26">
            <v>0</v>
          </cell>
          <cell r="AF26">
            <v>120245.6</v>
          </cell>
          <cell r="AG26">
            <v>0</v>
          </cell>
          <cell r="AH26">
            <v>0</v>
          </cell>
          <cell r="AI26">
            <v>0</v>
          </cell>
          <cell r="AJ26" t="str">
            <v xml:space="preserve">DUPHALAC </v>
          </cell>
          <cell r="AK26" t="str">
            <v>OVATEL</v>
          </cell>
          <cell r="AL26">
            <v>0</v>
          </cell>
          <cell r="AM26">
            <v>0</v>
          </cell>
          <cell r="AN26">
            <v>0.25</v>
          </cell>
          <cell r="AO26">
            <v>19940.800000000003</v>
          </cell>
          <cell r="AP26">
            <v>399.96</v>
          </cell>
          <cell r="AQ26">
            <v>0</v>
          </cell>
          <cell r="AR26">
            <v>0</v>
          </cell>
          <cell r="AS26">
            <v>18515.25</v>
          </cell>
          <cell r="AT26">
            <v>4399.5599999999995</v>
          </cell>
          <cell r="AU26">
            <v>0</v>
          </cell>
          <cell r="AV26">
            <v>0</v>
          </cell>
          <cell r="AW26" t="str">
            <v>CREON</v>
          </cell>
          <cell r="AX26">
            <v>0</v>
          </cell>
          <cell r="AY26">
            <v>0</v>
          </cell>
          <cell r="AZ26">
            <v>0</v>
          </cell>
          <cell r="BA26">
            <v>5.0000000000000044E-2</v>
          </cell>
          <cell r="BB26">
            <v>21136.1535</v>
          </cell>
          <cell r="BC26">
            <v>0</v>
          </cell>
          <cell r="BD26">
            <v>0</v>
          </cell>
          <cell r="BE26">
            <v>0</v>
          </cell>
          <cell r="BF26">
            <v>17026.947</v>
          </cell>
          <cell r="BG26">
            <v>0</v>
          </cell>
          <cell r="BH26">
            <v>0</v>
          </cell>
          <cell r="BI26">
            <v>0</v>
          </cell>
          <cell r="BJ26">
            <v>374050.61350000004</v>
          </cell>
          <cell r="BK26">
            <v>400487.35699999996</v>
          </cell>
          <cell r="BL26" t="str">
            <v/>
          </cell>
          <cell r="BM26">
            <v>0.97</v>
          </cell>
          <cell r="BO26" t="str">
            <v>Staff</v>
          </cell>
          <cell r="BP26">
            <v>40775</v>
          </cell>
          <cell r="BQ26">
            <v>3</v>
          </cell>
          <cell r="BR26">
            <v>1</v>
          </cell>
          <cell r="BS26">
            <v>3</v>
          </cell>
          <cell r="BT26">
            <v>329604</v>
          </cell>
          <cell r="BU26">
            <v>1</v>
          </cell>
          <cell r="BW26">
            <v>0.9</v>
          </cell>
          <cell r="BX26">
            <v>0.96799999999999997</v>
          </cell>
          <cell r="BY26">
            <v>0.88800000000000001</v>
          </cell>
          <cell r="BZ26">
            <v>1.2410000000000001</v>
          </cell>
          <cell r="CG26">
            <v>0.93</v>
          </cell>
          <cell r="CH26">
            <v>1</v>
          </cell>
          <cell r="CI26">
            <v>0.7</v>
          </cell>
          <cell r="CJ26">
            <v>0</v>
          </cell>
          <cell r="CK26">
            <v>1</v>
          </cell>
        </row>
        <row r="27">
          <cell r="A27" t="str">
            <v>14Q1</v>
          </cell>
          <cell r="B27" t="str">
            <v>Q1</v>
          </cell>
          <cell r="C27">
            <v>14</v>
          </cell>
          <cell r="D27" t="str">
            <v>Balanesku Irina</v>
          </cell>
          <cell r="E27" t="str">
            <v>Medical Representative</v>
          </cell>
          <cell r="F27">
            <v>40819</v>
          </cell>
          <cell r="G27" t="str">
            <v/>
          </cell>
          <cell r="H27" t="str">
            <v/>
          </cell>
          <cell r="I27" t="str">
            <v>Line 2 (big cities)</v>
          </cell>
          <cell r="J27" t="str">
            <v>CREON</v>
          </cell>
          <cell r="K27" t="str">
            <v xml:space="preserve">DUPHALAC </v>
          </cell>
          <cell r="L27">
            <v>0</v>
          </cell>
          <cell r="M27">
            <v>0</v>
          </cell>
          <cell r="N27">
            <v>0.1</v>
          </cell>
          <cell r="O27">
            <v>6032</v>
          </cell>
          <cell r="P27">
            <v>3753</v>
          </cell>
          <cell r="Q27">
            <v>0</v>
          </cell>
          <cell r="R27">
            <v>0</v>
          </cell>
          <cell r="S27">
            <v>5398</v>
          </cell>
          <cell r="T27">
            <v>3379</v>
          </cell>
          <cell r="U27">
            <v>0</v>
          </cell>
          <cell r="V27">
            <v>0</v>
          </cell>
          <cell r="W27" t="str">
            <v>PHYSIOTENS</v>
          </cell>
          <cell r="X27" t="str">
            <v>TRICOR /LIPANTHYL</v>
          </cell>
          <cell r="Y27" t="str">
            <v>OMACOR</v>
          </cell>
          <cell r="Z27">
            <v>0</v>
          </cell>
          <cell r="AA27">
            <v>0.3</v>
          </cell>
          <cell r="AB27">
            <v>91483</v>
          </cell>
          <cell r="AC27">
            <v>1048</v>
          </cell>
          <cell r="AD27">
            <v>93</v>
          </cell>
          <cell r="AF27">
            <v>66071</v>
          </cell>
          <cell r="AG27">
            <v>2594</v>
          </cell>
          <cell r="AH27">
            <v>1922</v>
          </cell>
          <cell r="AJ27" t="str">
            <v>HEPTRAL</v>
          </cell>
          <cell r="AK27">
            <v>0</v>
          </cell>
          <cell r="AL27">
            <v>0</v>
          </cell>
          <cell r="AM27">
            <v>0</v>
          </cell>
          <cell r="AN27">
            <v>0.3</v>
          </cell>
          <cell r="AO27">
            <v>62989</v>
          </cell>
          <cell r="AS27">
            <v>73172</v>
          </cell>
          <cell r="AW27" t="str">
            <v>BETASERC</v>
          </cell>
          <cell r="AX27">
            <v>0</v>
          </cell>
          <cell r="AY27">
            <v>0</v>
          </cell>
          <cell r="AZ27">
            <v>0</v>
          </cell>
          <cell r="BA27">
            <v>0.3000000000000001</v>
          </cell>
          <cell r="BB27">
            <v>49729</v>
          </cell>
          <cell r="BF27">
            <v>31797</v>
          </cell>
          <cell r="BJ27">
            <v>215127</v>
          </cell>
          <cell r="BK27">
            <v>184333</v>
          </cell>
          <cell r="BL27" t="str">
            <v/>
          </cell>
          <cell r="BM27">
            <v>0.98</v>
          </cell>
          <cell r="BO27" t="str">
            <v>Staff</v>
          </cell>
          <cell r="BP27">
            <v>40911</v>
          </cell>
          <cell r="BQ27">
            <v>3</v>
          </cell>
          <cell r="BR27">
            <v>1</v>
          </cell>
          <cell r="BS27">
            <v>3</v>
          </cell>
          <cell r="BT27">
            <v>329604</v>
          </cell>
          <cell r="BU27">
            <v>1</v>
          </cell>
          <cell r="BW27">
            <v>1.115</v>
          </cell>
          <cell r="BX27">
            <v>1.3120000000000001</v>
          </cell>
          <cell r="BY27">
            <v>0.86099999999999999</v>
          </cell>
          <cell r="BZ27">
            <v>1.5640000000000001</v>
          </cell>
          <cell r="CG27">
            <v>1.17</v>
          </cell>
          <cell r="CH27">
            <v>1</v>
          </cell>
          <cell r="CI27">
            <v>2.35</v>
          </cell>
          <cell r="CJ27">
            <v>0</v>
          </cell>
          <cell r="CK27">
            <v>1</v>
          </cell>
        </row>
        <row r="28">
          <cell r="A28" t="str">
            <v>15Q1</v>
          </cell>
          <cell r="B28" t="str">
            <v>Q1</v>
          </cell>
          <cell r="C28">
            <v>15</v>
          </cell>
          <cell r="D28" t="str">
            <v>Balmagambetova Zamza</v>
          </cell>
          <cell r="E28" t="str">
            <v>Medical Representative</v>
          </cell>
          <cell r="F28">
            <v>41414</v>
          </cell>
          <cell r="G28" t="str">
            <v/>
          </cell>
          <cell r="H28" t="str">
            <v/>
          </cell>
          <cell r="I28" t="str">
            <v>Line 3 (big cities)</v>
          </cell>
          <cell r="J28" t="str">
            <v xml:space="preserve">DUPHASTON </v>
          </cell>
          <cell r="K28">
            <v>0</v>
          </cell>
          <cell r="L28">
            <v>0</v>
          </cell>
          <cell r="M28">
            <v>0</v>
          </cell>
          <cell r="N28">
            <v>0.45</v>
          </cell>
          <cell r="O28">
            <v>103288.5</v>
          </cell>
          <cell r="P28">
            <v>0</v>
          </cell>
          <cell r="Q28">
            <v>0</v>
          </cell>
          <cell r="R28">
            <v>0</v>
          </cell>
          <cell r="S28">
            <v>136377</v>
          </cell>
          <cell r="T28">
            <v>0</v>
          </cell>
          <cell r="U28">
            <v>0</v>
          </cell>
          <cell r="V28">
            <v>0</v>
          </cell>
          <cell r="W28" t="str">
            <v>FEMOSTON</v>
          </cell>
          <cell r="X28">
            <v>0</v>
          </cell>
          <cell r="Y28">
            <v>0</v>
          </cell>
          <cell r="Z28">
            <v>0</v>
          </cell>
          <cell r="AA28">
            <v>0.25</v>
          </cell>
          <cell r="AB28">
            <v>71108</v>
          </cell>
          <cell r="AC28">
            <v>0</v>
          </cell>
          <cell r="AD28">
            <v>0</v>
          </cell>
          <cell r="AE28">
            <v>0</v>
          </cell>
          <cell r="AF28">
            <v>66433.2</v>
          </cell>
          <cell r="AG28">
            <v>0</v>
          </cell>
          <cell r="AH28">
            <v>0</v>
          </cell>
          <cell r="AI28">
            <v>0</v>
          </cell>
          <cell r="AJ28" t="str">
            <v xml:space="preserve">DUPHALAC </v>
          </cell>
          <cell r="AK28" t="str">
            <v>OVATEL</v>
          </cell>
          <cell r="AL28">
            <v>0</v>
          </cell>
          <cell r="AM28">
            <v>0</v>
          </cell>
          <cell r="AN28">
            <v>0.25</v>
          </cell>
          <cell r="AO28">
            <v>7873.4500000000007</v>
          </cell>
          <cell r="AP28">
            <v>333.29999999999995</v>
          </cell>
          <cell r="AQ28">
            <v>0</v>
          </cell>
          <cell r="AR28">
            <v>0</v>
          </cell>
          <cell r="AS28">
            <v>9258.1</v>
          </cell>
          <cell r="AT28">
            <v>2899.71</v>
          </cell>
          <cell r="AU28">
            <v>0</v>
          </cell>
          <cell r="AV28">
            <v>0</v>
          </cell>
          <cell r="AW28" t="str">
            <v>CREON</v>
          </cell>
          <cell r="AX28">
            <v>0</v>
          </cell>
          <cell r="AY28">
            <v>0</v>
          </cell>
          <cell r="AZ28">
            <v>0</v>
          </cell>
          <cell r="BA28">
            <v>5.0000000000000044E-2</v>
          </cell>
          <cell r="BB28">
            <v>8430.5022499999995</v>
          </cell>
          <cell r="BC28">
            <v>0</v>
          </cell>
          <cell r="BD28">
            <v>0</v>
          </cell>
          <cell r="BE28">
            <v>0</v>
          </cell>
          <cell r="BF28">
            <v>7945.2600000000011</v>
          </cell>
          <cell r="BG28">
            <v>0</v>
          </cell>
          <cell r="BH28">
            <v>0</v>
          </cell>
          <cell r="BI28">
            <v>0</v>
          </cell>
          <cell r="BJ28">
            <v>191033.75224999999</v>
          </cell>
          <cell r="BK28">
            <v>222913.27000000002</v>
          </cell>
          <cell r="BL28" t="str">
            <v/>
          </cell>
          <cell r="BM28">
            <v>0.95</v>
          </cell>
          <cell r="BO28" t="str">
            <v>Staff</v>
          </cell>
          <cell r="BP28">
            <v>41506</v>
          </cell>
          <cell r="BQ28">
            <v>3</v>
          </cell>
          <cell r="BR28">
            <v>1</v>
          </cell>
          <cell r="BS28">
            <v>3</v>
          </cell>
          <cell r="BT28">
            <v>329604</v>
          </cell>
          <cell r="BU28">
            <v>1</v>
          </cell>
          <cell r="BW28">
            <v>0.75700000000000001</v>
          </cell>
          <cell r="BX28">
            <v>1.07</v>
          </cell>
          <cell r="BY28">
            <v>0.67500000000000004</v>
          </cell>
          <cell r="BZ28">
            <v>1.0609999999999999</v>
          </cell>
          <cell r="CG28">
            <v>0.86</v>
          </cell>
          <cell r="CH28">
            <v>0</v>
          </cell>
          <cell r="CI28">
            <v>0</v>
          </cell>
          <cell r="CJ28">
            <v>0</v>
          </cell>
          <cell r="CK28">
            <v>1</v>
          </cell>
        </row>
        <row r="29">
          <cell r="A29" t="str">
            <v>16Q1</v>
          </cell>
          <cell r="B29" t="str">
            <v>Q1</v>
          </cell>
          <cell r="C29">
            <v>16</v>
          </cell>
          <cell r="D29" t="str">
            <v>Bayzakova Gulzhan</v>
          </cell>
          <cell r="E29" t="str">
            <v>Medical Representative</v>
          </cell>
          <cell r="F29">
            <v>42370</v>
          </cell>
          <cell r="G29" t="str">
            <v/>
          </cell>
          <cell r="H29" t="str">
            <v/>
          </cell>
          <cell r="I29" t="str">
            <v>Line 1</v>
          </cell>
          <cell r="J29" t="str">
            <v>CREON</v>
          </cell>
          <cell r="K29" t="str">
            <v xml:space="preserve">DUPHALAC </v>
          </cell>
          <cell r="L29">
            <v>0</v>
          </cell>
          <cell r="M29">
            <v>0</v>
          </cell>
          <cell r="N29">
            <v>0.5</v>
          </cell>
          <cell r="O29">
            <v>168610.04499999998</v>
          </cell>
          <cell r="P29">
            <v>78734.5</v>
          </cell>
          <cell r="Q29">
            <v>0</v>
          </cell>
          <cell r="R29">
            <v>0</v>
          </cell>
          <cell r="S29">
            <v>158905.20000000001</v>
          </cell>
          <cell r="T29">
            <v>92581</v>
          </cell>
          <cell r="U29">
            <v>0</v>
          </cell>
          <cell r="V29">
            <v>0</v>
          </cell>
          <cell r="W29" t="str">
            <v>HEPTRAL</v>
          </cell>
          <cell r="X29" t="str">
            <v xml:space="preserve">DUSPATALIN </v>
          </cell>
          <cell r="Y29">
            <v>0</v>
          </cell>
          <cell r="Z29">
            <v>0</v>
          </cell>
          <cell r="AA29">
            <v>0.25</v>
          </cell>
          <cell r="AB29">
            <v>98729.800000000017</v>
          </cell>
          <cell r="AC29">
            <v>22847.5</v>
          </cell>
          <cell r="AD29">
            <v>0</v>
          </cell>
          <cell r="AE29">
            <v>0</v>
          </cell>
          <cell r="AF29">
            <v>109098.08000000002</v>
          </cell>
          <cell r="AG29">
            <v>22724</v>
          </cell>
          <cell r="AH29">
            <v>0</v>
          </cell>
          <cell r="AI29">
            <v>0</v>
          </cell>
          <cell r="AJ29" t="str">
            <v>IRS 19</v>
          </cell>
          <cell r="AK29" t="str">
            <v>IMUDON</v>
          </cell>
          <cell r="AL29">
            <v>0</v>
          </cell>
          <cell r="AM29">
            <v>0</v>
          </cell>
          <cell r="AN29">
            <v>0.1</v>
          </cell>
          <cell r="AO29">
            <v>12972</v>
          </cell>
          <cell r="AP29">
            <v>25797.599999999999</v>
          </cell>
          <cell r="AQ29">
            <v>0</v>
          </cell>
          <cell r="AR29">
            <v>0</v>
          </cell>
          <cell r="AS29">
            <v>15708</v>
          </cell>
          <cell r="AT29">
            <v>26736</v>
          </cell>
          <cell r="AU29">
            <v>0</v>
          </cell>
          <cell r="AV29">
            <v>0</v>
          </cell>
          <cell r="AW29" t="str">
            <v xml:space="preserve">GANATON </v>
          </cell>
          <cell r="AX29">
            <v>0</v>
          </cell>
          <cell r="AY29">
            <v>0</v>
          </cell>
          <cell r="AZ29">
            <v>0</v>
          </cell>
          <cell r="BA29">
            <v>0.15</v>
          </cell>
          <cell r="BB29">
            <v>1863.3500000000001</v>
          </cell>
          <cell r="BC29">
            <v>0</v>
          </cell>
          <cell r="BD29">
            <v>0</v>
          </cell>
          <cell r="BE29">
            <v>0</v>
          </cell>
          <cell r="BF29">
            <v>3320.0000000000005</v>
          </cell>
          <cell r="BG29">
            <v>0</v>
          </cell>
          <cell r="BH29">
            <v>0</v>
          </cell>
          <cell r="BI29">
            <v>0</v>
          </cell>
          <cell r="BJ29">
            <v>409554.79499999993</v>
          </cell>
          <cell r="BK29">
            <v>429072.28</v>
          </cell>
          <cell r="BL29" t="str">
            <v/>
          </cell>
          <cell r="BM29">
            <v>0.82</v>
          </cell>
          <cell r="BO29" t="str">
            <v>Staff</v>
          </cell>
          <cell r="BP29">
            <v>42461</v>
          </cell>
          <cell r="BQ29">
            <v>3</v>
          </cell>
          <cell r="BR29">
            <v>1</v>
          </cell>
          <cell r="BS29">
            <v>3</v>
          </cell>
          <cell r="BT29">
            <v>329604</v>
          </cell>
          <cell r="BU29">
            <v>1</v>
          </cell>
          <cell r="BW29">
            <v>0.98399999999999999</v>
          </cell>
          <cell r="BX29">
            <v>0.92200000000000004</v>
          </cell>
          <cell r="BY29">
            <v>0.91300000000000003</v>
          </cell>
          <cell r="BZ29">
            <v>0.56100000000000005</v>
          </cell>
          <cell r="CG29">
            <v>0.95</v>
          </cell>
          <cell r="CH29">
            <v>1</v>
          </cell>
          <cell r="CI29">
            <v>0.8</v>
          </cell>
          <cell r="CJ29">
            <v>0</v>
          </cell>
          <cell r="CK29">
            <v>0.5</v>
          </cell>
        </row>
        <row r="30">
          <cell r="A30" t="str">
            <v>17Q1</v>
          </cell>
          <cell r="B30" t="str">
            <v>Q1</v>
          </cell>
          <cell r="C30">
            <v>17</v>
          </cell>
          <cell r="D30" t="str">
            <v>Bekbauova Saltanat</v>
          </cell>
          <cell r="E30" t="str">
            <v>Medical Representative</v>
          </cell>
          <cell r="F30">
            <v>41353</v>
          </cell>
          <cell r="G30" t="str">
            <v/>
          </cell>
          <cell r="H30" t="str">
            <v/>
          </cell>
          <cell r="I30" t="str">
            <v>Line 1</v>
          </cell>
          <cell r="J30" t="str">
            <v>CREON</v>
          </cell>
          <cell r="K30" t="str">
            <v xml:space="preserve">DUPHALAC </v>
          </cell>
          <cell r="L30">
            <v>0</v>
          </cell>
          <cell r="M30">
            <v>0</v>
          </cell>
          <cell r="N30">
            <v>0.5</v>
          </cell>
          <cell r="O30">
            <v>74773.53</v>
          </cell>
          <cell r="P30">
            <v>35752</v>
          </cell>
          <cell r="Q30">
            <v>0</v>
          </cell>
          <cell r="R30">
            <v>0</v>
          </cell>
          <cell r="S30">
            <v>69379.539999999994</v>
          </cell>
          <cell r="T30">
            <v>38181</v>
          </cell>
          <cell r="U30">
            <v>0</v>
          </cell>
          <cell r="V30">
            <v>0</v>
          </cell>
          <cell r="W30" t="str">
            <v>HEPTRAL</v>
          </cell>
          <cell r="X30" t="str">
            <v xml:space="preserve">DUSPATALIN </v>
          </cell>
          <cell r="Y30">
            <v>0</v>
          </cell>
          <cell r="Z30">
            <v>0</v>
          </cell>
          <cell r="AA30">
            <v>0.25</v>
          </cell>
          <cell r="AB30">
            <v>33944.560000000005</v>
          </cell>
          <cell r="AC30">
            <v>16273.5</v>
          </cell>
          <cell r="AD30">
            <v>0</v>
          </cell>
          <cell r="AE30">
            <v>0</v>
          </cell>
          <cell r="AF30">
            <v>29883.1</v>
          </cell>
          <cell r="AG30">
            <v>13832</v>
          </cell>
          <cell r="AH30">
            <v>0</v>
          </cell>
          <cell r="AI30">
            <v>0</v>
          </cell>
          <cell r="AJ30" t="str">
            <v>IRS 19</v>
          </cell>
          <cell r="AK30" t="str">
            <v>IMUDON</v>
          </cell>
          <cell r="AL30">
            <v>0</v>
          </cell>
          <cell r="AM30">
            <v>0</v>
          </cell>
          <cell r="AN30">
            <v>0.1</v>
          </cell>
          <cell r="AO30">
            <v>6948</v>
          </cell>
          <cell r="AP30">
            <v>9120</v>
          </cell>
          <cell r="AQ30">
            <v>0</v>
          </cell>
          <cell r="AR30">
            <v>0</v>
          </cell>
          <cell r="AS30">
            <v>9180</v>
          </cell>
          <cell r="AT30">
            <v>8280</v>
          </cell>
          <cell r="AU30">
            <v>0</v>
          </cell>
          <cell r="AV30">
            <v>0</v>
          </cell>
          <cell r="AW30" t="str">
            <v xml:space="preserve">GANATON </v>
          </cell>
          <cell r="AX30">
            <v>0</v>
          </cell>
          <cell r="AY30">
            <v>0</v>
          </cell>
          <cell r="AZ30">
            <v>0</v>
          </cell>
          <cell r="BA30">
            <v>0.15</v>
          </cell>
          <cell r="BB30">
            <v>1195.2</v>
          </cell>
          <cell r="BC30">
            <v>0</v>
          </cell>
          <cell r="BD30">
            <v>0</v>
          </cell>
          <cell r="BE30">
            <v>0</v>
          </cell>
          <cell r="BF30">
            <v>1660.0000000000002</v>
          </cell>
          <cell r="BG30">
            <v>0</v>
          </cell>
          <cell r="BH30">
            <v>0</v>
          </cell>
          <cell r="BI30">
            <v>0</v>
          </cell>
          <cell r="BJ30">
            <v>178006.79</v>
          </cell>
          <cell r="BK30">
            <v>170395.63999999998</v>
          </cell>
          <cell r="BL30" t="str">
            <v/>
          </cell>
          <cell r="BM30">
            <v>0.87</v>
          </cell>
          <cell r="BO30" t="str">
            <v>Staff</v>
          </cell>
          <cell r="BP30">
            <v>41445</v>
          </cell>
          <cell r="BQ30">
            <v>3</v>
          </cell>
          <cell r="BR30">
            <v>1</v>
          </cell>
          <cell r="BS30">
            <v>3</v>
          </cell>
          <cell r="BT30">
            <v>329604</v>
          </cell>
          <cell r="BU30">
            <v>1</v>
          </cell>
          <cell r="BW30">
            <v>1.028</v>
          </cell>
          <cell r="BX30">
            <v>1.149</v>
          </cell>
          <cell r="BY30">
            <v>0.92</v>
          </cell>
          <cell r="BZ30">
            <v>0.72</v>
          </cell>
          <cell r="CG30">
            <v>1.04</v>
          </cell>
          <cell r="CH30">
            <v>1</v>
          </cell>
          <cell r="CI30">
            <v>1.4</v>
          </cell>
          <cell r="CJ30">
            <v>0</v>
          </cell>
          <cell r="CK30">
            <v>0.5</v>
          </cell>
        </row>
        <row r="31">
          <cell r="A31" t="str">
            <v>18Q1</v>
          </cell>
          <cell r="B31" t="str">
            <v>Q1</v>
          </cell>
          <cell r="C31">
            <v>18</v>
          </cell>
          <cell r="D31" t="str">
            <v>Bekesheva Zalina</v>
          </cell>
          <cell r="E31" t="str">
            <v>Medical Representative</v>
          </cell>
          <cell r="F31">
            <v>42066</v>
          </cell>
          <cell r="G31">
            <v>42807</v>
          </cell>
          <cell r="H31" t="str">
            <v/>
          </cell>
          <cell r="I31" t="str">
            <v>Line 1</v>
          </cell>
          <cell r="J31" t="str">
            <v>CREON</v>
          </cell>
          <cell r="K31" t="str">
            <v xml:space="preserve">DUPHALAC </v>
          </cell>
          <cell r="L31">
            <v>0</v>
          </cell>
          <cell r="M31">
            <v>0</v>
          </cell>
          <cell r="N31">
            <v>0.5</v>
          </cell>
          <cell r="O31">
            <v>40131.31</v>
          </cell>
          <cell r="P31">
            <v>25047.5</v>
          </cell>
          <cell r="Q31">
            <v>0</v>
          </cell>
          <cell r="R31">
            <v>0</v>
          </cell>
          <cell r="S31">
            <v>33351.93</v>
          </cell>
          <cell r="T31">
            <v>26408</v>
          </cell>
          <cell r="U31">
            <v>0</v>
          </cell>
          <cell r="V31">
            <v>0</v>
          </cell>
          <cell r="W31" t="str">
            <v>HEPTRAL</v>
          </cell>
          <cell r="X31" t="str">
            <v xml:space="preserve">DUSPATALIN </v>
          </cell>
          <cell r="Y31">
            <v>0</v>
          </cell>
          <cell r="Z31">
            <v>0</v>
          </cell>
          <cell r="AA31">
            <v>0.25</v>
          </cell>
          <cell r="AB31">
            <v>30015.18</v>
          </cell>
          <cell r="AC31">
            <v>6916</v>
          </cell>
          <cell r="AD31">
            <v>0</v>
          </cell>
          <cell r="AE31">
            <v>0</v>
          </cell>
          <cell r="AF31">
            <v>24765</v>
          </cell>
          <cell r="AG31">
            <v>7600</v>
          </cell>
          <cell r="AH31">
            <v>0</v>
          </cell>
          <cell r="AI31">
            <v>0</v>
          </cell>
          <cell r="AJ31" t="str">
            <v>IRS 19</v>
          </cell>
          <cell r="AK31" t="str">
            <v>IMUDON</v>
          </cell>
          <cell r="AL31">
            <v>0</v>
          </cell>
          <cell r="AM31">
            <v>0</v>
          </cell>
          <cell r="AN31">
            <v>0.1</v>
          </cell>
          <cell r="AO31">
            <v>3780</v>
          </cell>
          <cell r="AP31">
            <v>5736</v>
          </cell>
          <cell r="AQ31">
            <v>0</v>
          </cell>
          <cell r="AR31">
            <v>0</v>
          </cell>
          <cell r="AS31">
            <v>3696</v>
          </cell>
          <cell r="AT31">
            <v>7848</v>
          </cell>
          <cell r="AU31">
            <v>0</v>
          </cell>
          <cell r="AV31">
            <v>0</v>
          </cell>
          <cell r="AW31" t="str">
            <v xml:space="preserve">GANATON </v>
          </cell>
          <cell r="AX31">
            <v>0</v>
          </cell>
          <cell r="AY31">
            <v>0</v>
          </cell>
          <cell r="AZ31">
            <v>0</v>
          </cell>
          <cell r="BA31">
            <v>0.15</v>
          </cell>
          <cell r="BB31">
            <v>830</v>
          </cell>
          <cell r="BC31">
            <v>0</v>
          </cell>
          <cell r="BD31">
            <v>0</v>
          </cell>
          <cell r="BE31">
            <v>0</v>
          </cell>
          <cell r="BF31">
            <v>747.00000000000011</v>
          </cell>
          <cell r="BG31">
            <v>0</v>
          </cell>
          <cell r="BH31">
            <v>0</v>
          </cell>
          <cell r="BI31">
            <v>0</v>
          </cell>
          <cell r="BJ31">
            <v>112455.98999999999</v>
          </cell>
          <cell r="BK31">
            <v>104415.93</v>
          </cell>
          <cell r="BL31" t="str">
            <v/>
          </cell>
          <cell r="BM31">
            <v>0.98</v>
          </cell>
          <cell r="BO31" t="str">
            <v>Maternity leave</v>
          </cell>
          <cell r="BP31">
            <v>42158</v>
          </cell>
          <cell r="BQ31">
            <v>2</v>
          </cell>
          <cell r="BR31">
            <v>1</v>
          </cell>
          <cell r="BS31">
            <v>2</v>
          </cell>
          <cell r="BT31">
            <v>329604</v>
          </cell>
          <cell r="BU31">
            <v>0.66666666666666663</v>
          </cell>
          <cell r="BW31">
            <v>1.091</v>
          </cell>
          <cell r="BX31">
            <v>1.141</v>
          </cell>
          <cell r="BY31">
            <v>0.82399999999999995</v>
          </cell>
          <cell r="BZ31">
            <v>1.111</v>
          </cell>
          <cell r="CG31">
            <v>1.08</v>
          </cell>
          <cell r="CH31">
            <v>1</v>
          </cell>
          <cell r="CI31">
            <v>1.8</v>
          </cell>
          <cell r="CJ31">
            <v>0</v>
          </cell>
          <cell r="CK31">
            <v>1</v>
          </cell>
        </row>
        <row r="32">
          <cell r="A32" t="str">
            <v>19Q1</v>
          </cell>
          <cell r="B32" t="str">
            <v>Q1</v>
          </cell>
          <cell r="C32">
            <v>19</v>
          </cell>
          <cell r="D32" t="str">
            <v>Boyarova Alfiya</v>
          </cell>
          <cell r="E32" t="str">
            <v>Medical Representative</v>
          </cell>
          <cell r="F32">
            <v>40591</v>
          </cell>
          <cell r="G32" t="str">
            <v/>
          </cell>
          <cell r="H32" t="str">
            <v/>
          </cell>
          <cell r="I32" t="str">
            <v>Line 2</v>
          </cell>
          <cell r="J32" t="str">
            <v xml:space="preserve">DUPHASTON </v>
          </cell>
          <cell r="K32" t="str">
            <v>FEMOSTON</v>
          </cell>
          <cell r="L32">
            <v>0</v>
          </cell>
          <cell r="M32">
            <v>0</v>
          </cell>
          <cell r="N32">
            <v>0.3</v>
          </cell>
          <cell r="O32">
            <v>27310.5</v>
          </cell>
          <cell r="P32">
            <v>7296.4</v>
          </cell>
          <cell r="Q32">
            <v>0</v>
          </cell>
          <cell r="R32">
            <v>0</v>
          </cell>
          <cell r="S32">
            <v>27121.5</v>
          </cell>
          <cell r="T32">
            <v>9848.4</v>
          </cell>
          <cell r="U32">
            <v>0</v>
          </cell>
          <cell r="V32">
            <v>0</v>
          </cell>
          <cell r="W32" t="str">
            <v>PHYSIOTENS</v>
          </cell>
          <cell r="X32" t="str">
            <v>TRICOR /LIPANTHYL</v>
          </cell>
          <cell r="Y32" t="str">
            <v>OMACOR</v>
          </cell>
          <cell r="Z32">
            <v>0</v>
          </cell>
          <cell r="AA32">
            <v>0.25</v>
          </cell>
          <cell r="AB32">
            <v>48418</v>
          </cell>
          <cell r="AC32">
            <v>3625.3399999999997</v>
          </cell>
          <cell r="AD32">
            <v>310</v>
          </cell>
          <cell r="AE32">
            <v>0</v>
          </cell>
          <cell r="AF32">
            <v>56517</v>
          </cell>
          <cell r="AG32">
            <v>2261.6800000000003</v>
          </cell>
          <cell r="AH32">
            <v>2015</v>
          </cell>
          <cell r="AI32">
            <v>0</v>
          </cell>
          <cell r="AJ32" t="str">
            <v>HEPTRAL</v>
          </cell>
          <cell r="AK32">
            <v>0</v>
          </cell>
          <cell r="AL32">
            <v>0</v>
          </cell>
          <cell r="AM32">
            <v>0</v>
          </cell>
          <cell r="AN32">
            <v>0.25</v>
          </cell>
          <cell r="AO32">
            <v>10104.119999999999</v>
          </cell>
          <cell r="AP32">
            <v>0</v>
          </cell>
          <cell r="AQ32">
            <v>0</v>
          </cell>
          <cell r="AR32">
            <v>0</v>
          </cell>
          <cell r="AS32">
            <v>13059.410000000002</v>
          </cell>
          <cell r="AT32">
            <v>0</v>
          </cell>
          <cell r="AU32">
            <v>0</v>
          </cell>
          <cell r="AV32">
            <v>0</v>
          </cell>
          <cell r="AW32" t="str">
            <v>BETASERC</v>
          </cell>
          <cell r="AX32" t="str">
            <v xml:space="preserve">DUPHALAC </v>
          </cell>
          <cell r="AY32" t="str">
            <v>CREON</v>
          </cell>
          <cell r="AZ32">
            <v>0</v>
          </cell>
          <cell r="BA32">
            <v>0.19999999999999996</v>
          </cell>
          <cell r="BB32">
            <v>8799.0400000000009</v>
          </cell>
          <cell r="BC32">
            <v>2155.5</v>
          </cell>
          <cell r="BD32">
            <v>1981.6105</v>
          </cell>
          <cell r="BE32">
            <v>0</v>
          </cell>
          <cell r="BF32">
            <v>9724.08</v>
          </cell>
          <cell r="BG32">
            <v>2393.1</v>
          </cell>
          <cell r="BH32">
            <v>2065.5475000000001</v>
          </cell>
          <cell r="BI32">
            <v>0</v>
          </cell>
          <cell r="BJ32">
            <v>110000.51049999999</v>
          </cell>
          <cell r="BK32">
            <v>125005.7175</v>
          </cell>
          <cell r="BL32" t="str">
            <v/>
          </cell>
          <cell r="BM32">
            <v>0.81</v>
          </cell>
          <cell r="BO32" t="str">
            <v>Staff</v>
          </cell>
          <cell r="BP32">
            <v>40680</v>
          </cell>
          <cell r="BQ32">
            <v>3</v>
          </cell>
          <cell r="BR32">
            <v>1</v>
          </cell>
          <cell r="BS32">
            <v>3</v>
          </cell>
          <cell r="BT32">
            <v>329604</v>
          </cell>
          <cell r="BU32">
            <v>1</v>
          </cell>
          <cell r="BW32">
            <v>0.93600000000000005</v>
          </cell>
          <cell r="BX32">
            <v>0.86099999999999999</v>
          </cell>
          <cell r="BY32">
            <v>0.77400000000000002</v>
          </cell>
          <cell r="BZ32">
            <v>0.91200000000000003</v>
          </cell>
          <cell r="CG32">
            <v>0.88</v>
          </cell>
          <cell r="CH32">
            <v>0</v>
          </cell>
          <cell r="CI32">
            <v>0</v>
          </cell>
          <cell r="CJ32">
            <v>0</v>
          </cell>
          <cell r="CK32">
            <v>0.5</v>
          </cell>
        </row>
        <row r="33">
          <cell r="A33" t="str">
            <v>20Q1</v>
          </cell>
          <cell r="B33" t="str">
            <v>Q1</v>
          </cell>
          <cell r="C33">
            <v>20</v>
          </cell>
          <cell r="D33" t="str">
            <v>Brialinova Inkar</v>
          </cell>
          <cell r="E33" t="str">
            <v>Medical Representative</v>
          </cell>
          <cell r="F33">
            <v>41715</v>
          </cell>
          <cell r="G33" t="str">
            <v/>
          </cell>
          <cell r="H33" t="str">
            <v/>
          </cell>
          <cell r="I33" t="str">
            <v>Line 1</v>
          </cell>
          <cell r="J33" t="str">
            <v>CREON</v>
          </cell>
          <cell r="K33" t="str">
            <v xml:space="preserve">DUPHALAC </v>
          </cell>
          <cell r="L33">
            <v>0</v>
          </cell>
          <cell r="M33">
            <v>0</v>
          </cell>
          <cell r="N33">
            <v>0.5</v>
          </cell>
          <cell r="O33">
            <v>65555.56</v>
          </cell>
          <cell r="P33">
            <v>43089.5</v>
          </cell>
          <cell r="Q33">
            <v>0</v>
          </cell>
          <cell r="R33">
            <v>0</v>
          </cell>
          <cell r="S33">
            <v>51543.27</v>
          </cell>
          <cell r="T33">
            <v>40805.5</v>
          </cell>
          <cell r="U33">
            <v>0</v>
          </cell>
          <cell r="V33">
            <v>0</v>
          </cell>
          <cell r="W33" t="str">
            <v>HEPTRAL</v>
          </cell>
          <cell r="X33" t="str">
            <v xml:space="preserve">DUSPATALIN </v>
          </cell>
          <cell r="Y33">
            <v>0</v>
          </cell>
          <cell r="Z33">
            <v>0</v>
          </cell>
          <cell r="AA33">
            <v>0.25</v>
          </cell>
          <cell r="AB33">
            <v>39194.740000000005</v>
          </cell>
          <cell r="AC33">
            <v>10070</v>
          </cell>
          <cell r="AD33">
            <v>0</v>
          </cell>
          <cell r="AE33">
            <v>0</v>
          </cell>
          <cell r="AF33">
            <v>38699.440000000002</v>
          </cell>
          <cell r="AG33">
            <v>11400</v>
          </cell>
          <cell r="AH33">
            <v>0</v>
          </cell>
          <cell r="AI33">
            <v>0</v>
          </cell>
          <cell r="AJ33" t="str">
            <v>IRS 19</v>
          </cell>
          <cell r="AK33" t="str">
            <v>IMUDON</v>
          </cell>
          <cell r="AL33">
            <v>0</v>
          </cell>
          <cell r="AM33">
            <v>0</v>
          </cell>
          <cell r="AN33">
            <v>0.1</v>
          </cell>
          <cell r="AO33">
            <v>6708</v>
          </cell>
          <cell r="AP33">
            <v>12888</v>
          </cell>
          <cell r="AQ33">
            <v>0</v>
          </cell>
          <cell r="AR33">
            <v>0</v>
          </cell>
          <cell r="AS33">
            <v>5208</v>
          </cell>
          <cell r="AT33">
            <v>12048</v>
          </cell>
          <cell r="AU33">
            <v>0</v>
          </cell>
          <cell r="AV33">
            <v>0</v>
          </cell>
          <cell r="AW33" t="str">
            <v xml:space="preserve">GANATON </v>
          </cell>
          <cell r="AX33">
            <v>0</v>
          </cell>
          <cell r="AY33">
            <v>0</v>
          </cell>
          <cell r="AZ33">
            <v>0</v>
          </cell>
          <cell r="BA33">
            <v>0.15</v>
          </cell>
          <cell r="BB33">
            <v>1328</v>
          </cell>
          <cell r="BC33">
            <v>0</v>
          </cell>
          <cell r="BD33">
            <v>0</v>
          </cell>
          <cell r="BE33">
            <v>0</v>
          </cell>
          <cell r="BF33">
            <v>1477.4</v>
          </cell>
          <cell r="BG33">
            <v>0</v>
          </cell>
          <cell r="BH33">
            <v>0</v>
          </cell>
          <cell r="BI33">
            <v>0</v>
          </cell>
          <cell r="BJ33">
            <v>178833.8</v>
          </cell>
          <cell r="BK33">
            <v>161181.60999999999</v>
          </cell>
          <cell r="BL33" t="str">
            <v/>
          </cell>
          <cell r="BM33">
            <v>0.99</v>
          </cell>
          <cell r="BO33" t="str">
            <v>Staff</v>
          </cell>
          <cell r="BP33">
            <v>41807</v>
          </cell>
          <cell r="BQ33">
            <v>3</v>
          </cell>
          <cell r="BR33">
            <v>1</v>
          </cell>
          <cell r="BS33">
            <v>3</v>
          </cell>
          <cell r="BT33">
            <v>329604</v>
          </cell>
          <cell r="BU33">
            <v>1</v>
          </cell>
          <cell r="BW33">
            <v>1.1759999999999999</v>
          </cell>
          <cell r="BX33">
            <v>0.98299999999999998</v>
          </cell>
          <cell r="BY33">
            <v>1.1359999999999999</v>
          </cell>
          <cell r="BZ33">
            <v>0.89900000000000002</v>
          </cell>
          <cell r="CG33">
            <v>1.1100000000000001</v>
          </cell>
          <cell r="CH33">
            <v>1</v>
          </cell>
          <cell r="CI33">
            <v>2.0499999999999998</v>
          </cell>
          <cell r="CJ33">
            <v>0</v>
          </cell>
          <cell r="CK33">
            <v>1</v>
          </cell>
        </row>
        <row r="34">
          <cell r="A34" t="str">
            <v>21Q1</v>
          </cell>
          <cell r="B34" t="str">
            <v>Q1</v>
          </cell>
          <cell r="C34">
            <v>21</v>
          </cell>
          <cell r="D34" t="str">
            <v>Donayeva Nazira</v>
          </cell>
          <cell r="E34" t="str">
            <v>Medical Representative</v>
          </cell>
          <cell r="F34">
            <v>42583</v>
          </cell>
          <cell r="G34" t="str">
            <v/>
          </cell>
          <cell r="H34" t="str">
            <v/>
          </cell>
          <cell r="I34" t="str">
            <v>Line 1</v>
          </cell>
          <cell r="J34" t="str">
            <v>CREON</v>
          </cell>
          <cell r="K34" t="str">
            <v xml:space="preserve">DUPHALAC </v>
          </cell>
          <cell r="L34">
            <v>0</v>
          </cell>
          <cell r="M34">
            <v>0</v>
          </cell>
          <cell r="N34">
            <v>0.5</v>
          </cell>
          <cell r="O34">
            <v>422723.07</v>
          </cell>
          <cell r="P34">
            <v>199408</v>
          </cell>
          <cell r="Q34">
            <v>0</v>
          </cell>
          <cell r="R34">
            <v>0</v>
          </cell>
          <cell r="S34">
            <v>340538.94</v>
          </cell>
          <cell r="T34">
            <v>185152.5</v>
          </cell>
          <cell r="U34">
            <v>0</v>
          </cell>
          <cell r="V34">
            <v>0</v>
          </cell>
          <cell r="W34" t="str">
            <v>HEPTRAL</v>
          </cell>
          <cell r="X34" t="str">
            <v xml:space="preserve">DUSPATALIN </v>
          </cell>
          <cell r="Y34">
            <v>0</v>
          </cell>
          <cell r="Z34">
            <v>0</v>
          </cell>
          <cell r="AA34">
            <v>0.25</v>
          </cell>
          <cell r="AB34">
            <v>376824.24</v>
          </cell>
          <cell r="AC34">
            <v>37848</v>
          </cell>
          <cell r="AD34">
            <v>0</v>
          </cell>
          <cell r="AE34">
            <v>0</v>
          </cell>
          <cell r="AF34">
            <v>261353.30000000002</v>
          </cell>
          <cell r="AG34">
            <v>42873.5</v>
          </cell>
          <cell r="AH34">
            <v>0</v>
          </cell>
          <cell r="AI34">
            <v>0</v>
          </cell>
          <cell r="AJ34" t="str">
            <v>IRS 19</v>
          </cell>
          <cell r="AK34" t="str">
            <v>IMUDON</v>
          </cell>
          <cell r="AL34">
            <v>0</v>
          </cell>
          <cell r="AM34">
            <v>0</v>
          </cell>
          <cell r="AN34">
            <v>0.1</v>
          </cell>
          <cell r="AO34">
            <v>32076</v>
          </cell>
          <cell r="AP34">
            <v>34896</v>
          </cell>
          <cell r="AQ34">
            <v>0</v>
          </cell>
          <cell r="AR34">
            <v>0</v>
          </cell>
          <cell r="AS34">
            <v>39732</v>
          </cell>
          <cell r="AT34">
            <v>37068</v>
          </cell>
          <cell r="AU34">
            <v>0</v>
          </cell>
          <cell r="AV34">
            <v>0</v>
          </cell>
          <cell r="AW34" t="str">
            <v xml:space="preserve">GANATON </v>
          </cell>
          <cell r="AX34">
            <v>0</v>
          </cell>
          <cell r="AY34">
            <v>0</v>
          </cell>
          <cell r="AZ34">
            <v>0</v>
          </cell>
          <cell r="BA34">
            <v>0.15</v>
          </cell>
          <cell r="BB34">
            <v>6225.0000000000009</v>
          </cell>
          <cell r="BC34">
            <v>0</v>
          </cell>
          <cell r="BD34">
            <v>0</v>
          </cell>
          <cell r="BE34">
            <v>0</v>
          </cell>
          <cell r="BF34">
            <v>6640.0000000000009</v>
          </cell>
          <cell r="BG34">
            <v>0</v>
          </cell>
          <cell r="BH34">
            <v>0</v>
          </cell>
          <cell r="BI34">
            <v>0</v>
          </cell>
          <cell r="BJ34">
            <v>1110000.31</v>
          </cell>
          <cell r="BK34">
            <v>913358.24</v>
          </cell>
          <cell r="BL34" t="str">
            <v/>
          </cell>
          <cell r="BM34">
            <v>0.93</v>
          </cell>
          <cell r="BO34" t="str">
            <v>Staff</v>
          </cell>
          <cell r="BP34">
            <v>42675</v>
          </cell>
          <cell r="BQ34">
            <v>3</v>
          </cell>
          <cell r="BR34">
            <v>1</v>
          </cell>
          <cell r="BS34">
            <v>3</v>
          </cell>
          <cell r="BT34">
            <v>329604</v>
          </cell>
          <cell r="BU34">
            <v>1</v>
          </cell>
          <cell r="BW34">
            <v>1.1830000000000001</v>
          </cell>
          <cell r="BX34">
            <v>1.363</v>
          </cell>
          <cell r="BY34">
            <v>0.872</v>
          </cell>
          <cell r="BZ34">
            <v>0.93799999999999994</v>
          </cell>
          <cell r="CG34">
            <v>1.22</v>
          </cell>
          <cell r="CH34">
            <v>1</v>
          </cell>
          <cell r="CI34">
            <v>2.5</v>
          </cell>
          <cell r="CJ34">
            <v>0</v>
          </cell>
          <cell r="CK34">
            <v>0.5</v>
          </cell>
        </row>
        <row r="35">
          <cell r="A35" t="str">
            <v>22Q1</v>
          </cell>
          <cell r="B35" t="str">
            <v>Q1</v>
          </cell>
          <cell r="C35">
            <v>22</v>
          </cell>
          <cell r="D35" t="str">
            <v>Dratkov Grigoriy</v>
          </cell>
          <cell r="E35" t="str">
            <v>Pharm Representative</v>
          </cell>
          <cell r="F35">
            <v>42522</v>
          </cell>
          <cell r="G35" t="str">
            <v/>
          </cell>
          <cell r="H35" t="str">
            <v/>
          </cell>
          <cell r="I35" t="str">
            <v>Pharma line</v>
          </cell>
          <cell r="J35" t="str">
            <v>CREON</v>
          </cell>
          <cell r="K35">
            <v>0</v>
          </cell>
          <cell r="L35">
            <v>0</v>
          </cell>
          <cell r="M35">
            <v>0</v>
          </cell>
          <cell r="N35">
            <v>0.4</v>
          </cell>
          <cell r="O35">
            <v>422723.07</v>
          </cell>
          <cell r="P35">
            <v>0</v>
          </cell>
          <cell r="Q35">
            <v>0</v>
          </cell>
          <cell r="R35">
            <v>0</v>
          </cell>
          <cell r="S35">
            <v>340538.94</v>
          </cell>
          <cell r="T35">
            <v>0</v>
          </cell>
          <cell r="U35">
            <v>0</v>
          </cell>
          <cell r="V35">
            <v>0</v>
          </cell>
          <cell r="W35" t="str">
            <v xml:space="preserve">DUPHALAC </v>
          </cell>
          <cell r="X35">
            <v>0</v>
          </cell>
          <cell r="Y35">
            <v>0</v>
          </cell>
          <cell r="Z35">
            <v>0</v>
          </cell>
          <cell r="AA35">
            <v>0.35</v>
          </cell>
          <cell r="AB35">
            <v>199408</v>
          </cell>
          <cell r="AC35">
            <v>0</v>
          </cell>
          <cell r="AD35">
            <v>0</v>
          </cell>
          <cell r="AE35">
            <v>0</v>
          </cell>
          <cell r="AF35">
            <v>185152.5</v>
          </cell>
          <cell r="AG35">
            <v>0</v>
          </cell>
          <cell r="AH35">
            <v>0</v>
          </cell>
          <cell r="AI35">
            <v>0</v>
          </cell>
          <cell r="AJ35" t="str">
            <v>IRS 19</v>
          </cell>
          <cell r="AK35" t="str">
            <v>IMUDON</v>
          </cell>
          <cell r="AL35">
            <v>0</v>
          </cell>
          <cell r="AM35">
            <v>0</v>
          </cell>
          <cell r="AN35">
            <v>0.25</v>
          </cell>
          <cell r="AO35">
            <v>32076</v>
          </cell>
          <cell r="AP35">
            <v>34896</v>
          </cell>
          <cell r="AQ35">
            <v>0</v>
          </cell>
          <cell r="AR35">
            <v>0</v>
          </cell>
          <cell r="AS35">
            <v>39732</v>
          </cell>
          <cell r="AT35">
            <v>37068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689103.07000000007</v>
          </cell>
          <cell r="BK35">
            <v>602491.43999999994</v>
          </cell>
          <cell r="BL35" t="str">
            <v/>
          </cell>
          <cell r="BM35">
            <v>1</v>
          </cell>
          <cell r="BO35" t="str">
            <v>Staff</v>
          </cell>
          <cell r="BP35">
            <v>42614</v>
          </cell>
          <cell r="BQ35">
            <v>3</v>
          </cell>
          <cell r="BR35">
            <v>1</v>
          </cell>
          <cell r="BS35">
            <v>3</v>
          </cell>
          <cell r="BT35">
            <v>329604</v>
          </cell>
          <cell r="BU35">
            <v>1</v>
          </cell>
          <cell r="BW35">
            <v>1.2410000000000001</v>
          </cell>
          <cell r="BX35">
            <v>1.077</v>
          </cell>
          <cell r="BY35">
            <v>0.872</v>
          </cell>
          <cell r="BZ35">
            <v>0</v>
          </cell>
          <cell r="CG35">
            <v>1.1399999999999999</v>
          </cell>
          <cell r="CH35">
            <v>1</v>
          </cell>
          <cell r="CI35">
            <v>2.2000000000000002</v>
          </cell>
          <cell r="CJ35">
            <v>0</v>
          </cell>
          <cell r="CK35">
            <v>1</v>
          </cell>
        </row>
        <row r="36">
          <cell r="A36" t="str">
            <v>23Q1</v>
          </cell>
          <cell r="B36" t="str">
            <v>Q1</v>
          </cell>
          <cell r="C36">
            <v>23</v>
          </cell>
          <cell r="D36" t="str">
            <v>Feist Yekaterina</v>
          </cell>
          <cell r="E36" t="str">
            <v>Medical Representative</v>
          </cell>
          <cell r="F36">
            <v>41891</v>
          </cell>
          <cell r="G36" t="str">
            <v/>
          </cell>
          <cell r="H36" t="str">
            <v/>
          </cell>
          <cell r="I36" t="str">
            <v>Line 1</v>
          </cell>
          <cell r="J36" t="str">
            <v>CREON</v>
          </cell>
          <cell r="K36" t="str">
            <v xml:space="preserve">DUPHALAC </v>
          </cell>
          <cell r="L36">
            <v>0</v>
          </cell>
          <cell r="M36">
            <v>0</v>
          </cell>
          <cell r="N36">
            <v>0.5</v>
          </cell>
          <cell r="O36">
            <v>67078.89</v>
          </cell>
          <cell r="P36">
            <v>28336.5</v>
          </cell>
          <cell r="Q36">
            <v>0</v>
          </cell>
          <cell r="R36">
            <v>0</v>
          </cell>
          <cell r="S36">
            <v>55253.959999999992</v>
          </cell>
          <cell r="T36">
            <v>33683</v>
          </cell>
          <cell r="U36">
            <v>0</v>
          </cell>
          <cell r="V36">
            <v>0</v>
          </cell>
          <cell r="W36" t="str">
            <v>HEPTRAL</v>
          </cell>
          <cell r="X36" t="str">
            <v xml:space="preserve">DUSPATALIN </v>
          </cell>
          <cell r="Y36">
            <v>0</v>
          </cell>
          <cell r="Z36">
            <v>0</v>
          </cell>
          <cell r="AA36">
            <v>0.25</v>
          </cell>
          <cell r="AB36">
            <v>31104.840000000004</v>
          </cell>
          <cell r="AC36">
            <v>19104.5</v>
          </cell>
          <cell r="AD36">
            <v>0</v>
          </cell>
          <cell r="AE36">
            <v>0</v>
          </cell>
          <cell r="AF36">
            <v>34770.06</v>
          </cell>
          <cell r="AG36">
            <v>17100</v>
          </cell>
          <cell r="AH36">
            <v>0</v>
          </cell>
          <cell r="AI36">
            <v>0</v>
          </cell>
          <cell r="AJ36" t="str">
            <v>IRS 19</v>
          </cell>
          <cell r="AK36" t="str">
            <v>IMUDON</v>
          </cell>
          <cell r="AL36">
            <v>0</v>
          </cell>
          <cell r="AM36">
            <v>0</v>
          </cell>
          <cell r="AN36">
            <v>0.1</v>
          </cell>
          <cell r="AO36">
            <v>5112</v>
          </cell>
          <cell r="AP36">
            <v>4680</v>
          </cell>
          <cell r="AQ36">
            <v>0</v>
          </cell>
          <cell r="AR36">
            <v>0</v>
          </cell>
          <cell r="AS36">
            <v>4560</v>
          </cell>
          <cell r="AT36">
            <v>6192</v>
          </cell>
          <cell r="AU36">
            <v>0</v>
          </cell>
          <cell r="AV36">
            <v>0</v>
          </cell>
          <cell r="AW36" t="str">
            <v xml:space="preserve">GANATON </v>
          </cell>
          <cell r="AX36">
            <v>0</v>
          </cell>
          <cell r="AY36">
            <v>0</v>
          </cell>
          <cell r="AZ36">
            <v>0</v>
          </cell>
          <cell r="BA36">
            <v>0.15</v>
          </cell>
          <cell r="BB36">
            <v>1079</v>
          </cell>
          <cell r="BC36">
            <v>0</v>
          </cell>
          <cell r="BD36">
            <v>0</v>
          </cell>
          <cell r="BE36">
            <v>0</v>
          </cell>
          <cell r="BF36">
            <v>1494.0000000000002</v>
          </cell>
          <cell r="BG36">
            <v>0</v>
          </cell>
          <cell r="BH36">
            <v>0</v>
          </cell>
          <cell r="BI36">
            <v>0</v>
          </cell>
          <cell r="BJ36">
            <v>156495.73000000001</v>
          </cell>
          <cell r="BK36">
            <v>153053.01999999999</v>
          </cell>
          <cell r="BL36" t="str">
            <v/>
          </cell>
          <cell r="BM36">
            <v>0.84</v>
          </cell>
          <cell r="BO36" t="str">
            <v>Staff</v>
          </cell>
          <cell r="BP36">
            <v>41982</v>
          </cell>
          <cell r="BQ36">
            <v>3</v>
          </cell>
          <cell r="BR36">
            <v>1</v>
          </cell>
          <cell r="BS36">
            <v>3</v>
          </cell>
          <cell r="BT36">
            <v>329604</v>
          </cell>
          <cell r="BU36">
            <v>1</v>
          </cell>
          <cell r="BW36">
            <v>1.073</v>
          </cell>
          <cell r="BX36">
            <v>0.96799999999999997</v>
          </cell>
          <cell r="BY36">
            <v>0.91100000000000003</v>
          </cell>
          <cell r="BZ36">
            <v>0.72199999999999998</v>
          </cell>
          <cell r="CG36">
            <v>1.02</v>
          </cell>
          <cell r="CH36">
            <v>1</v>
          </cell>
          <cell r="CI36">
            <v>1.2</v>
          </cell>
          <cell r="CJ36">
            <v>0</v>
          </cell>
          <cell r="CK36">
            <v>0.5</v>
          </cell>
        </row>
        <row r="37">
          <cell r="A37" t="str">
            <v>24Q1</v>
          </cell>
          <cell r="B37" t="str">
            <v>Q1</v>
          </cell>
          <cell r="C37">
            <v>24</v>
          </cell>
          <cell r="D37" t="str">
            <v>Galiyeva Saule</v>
          </cell>
          <cell r="E37" t="str">
            <v>Regional Manager</v>
          </cell>
          <cell r="F37">
            <v>40680</v>
          </cell>
          <cell r="G37" t="str">
            <v/>
          </cell>
          <cell r="H37" t="str">
            <v/>
          </cell>
          <cell r="I37" t="str">
            <v>Regional Manager-1</v>
          </cell>
          <cell r="J37" t="str">
            <v>GASTRO</v>
          </cell>
          <cell r="K37">
            <v>0</v>
          </cell>
          <cell r="L37">
            <v>0</v>
          </cell>
          <cell r="M37">
            <v>0</v>
          </cell>
          <cell r="N37">
            <v>0.5</v>
          </cell>
          <cell r="O37">
            <v>434045.23500000004</v>
          </cell>
          <cell r="P37">
            <v>0</v>
          </cell>
          <cell r="Q37">
            <v>0</v>
          </cell>
          <cell r="R37">
            <v>0</v>
          </cell>
          <cell r="S37">
            <v>453231.89000000007</v>
          </cell>
          <cell r="T37">
            <v>0</v>
          </cell>
          <cell r="U37">
            <v>0</v>
          </cell>
          <cell r="V37">
            <v>0</v>
          </cell>
          <cell r="W37" t="str">
            <v>GYNECOLOGY</v>
          </cell>
          <cell r="X37">
            <v>0</v>
          </cell>
          <cell r="Y37">
            <v>0</v>
          </cell>
          <cell r="Z37">
            <v>0</v>
          </cell>
          <cell r="AA37">
            <v>0.25</v>
          </cell>
          <cell r="AB37">
            <v>198792.19999999998</v>
          </cell>
          <cell r="AC37">
            <v>0</v>
          </cell>
          <cell r="AD37">
            <v>0</v>
          </cell>
          <cell r="AE37">
            <v>0</v>
          </cell>
          <cell r="AF37">
            <v>235943.41</v>
          </cell>
          <cell r="AG37">
            <v>0</v>
          </cell>
          <cell r="AH37">
            <v>0</v>
          </cell>
          <cell r="AI37">
            <v>0</v>
          </cell>
          <cell r="AJ37" t="str">
            <v>CARDIO-NEURO</v>
          </cell>
          <cell r="AK37">
            <v>0</v>
          </cell>
          <cell r="AL37">
            <v>0</v>
          </cell>
          <cell r="AM37">
            <v>0</v>
          </cell>
          <cell r="AN37">
            <v>0.2</v>
          </cell>
          <cell r="AO37">
            <v>170766.79</v>
          </cell>
          <cell r="AP37">
            <v>0</v>
          </cell>
          <cell r="AQ37">
            <v>0</v>
          </cell>
          <cell r="AR37">
            <v>0</v>
          </cell>
          <cell r="AS37">
            <v>164576.17000000001</v>
          </cell>
          <cell r="AT37">
            <v>0</v>
          </cell>
          <cell r="AU37">
            <v>0</v>
          </cell>
          <cell r="AV37">
            <v>0</v>
          </cell>
          <cell r="AW37" t="str">
            <v>IMMUNOLOGY</v>
          </cell>
          <cell r="AX37">
            <v>0</v>
          </cell>
          <cell r="AY37">
            <v>0</v>
          </cell>
          <cell r="AZ37">
            <v>0</v>
          </cell>
          <cell r="BA37">
            <v>4.9999999999999989E-2</v>
          </cell>
          <cell r="BB37">
            <v>43629.599999999999</v>
          </cell>
          <cell r="BC37">
            <v>0</v>
          </cell>
          <cell r="BD37">
            <v>0</v>
          </cell>
          <cell r="BE37">
            <v>0</v>
          </cell>
          <cell r="BF37">
            <v>47400</v>
          </cell>
          <cell r="BG37">
            <v>0</v>
          </cell>
          <cell r="BH37">
            <v>0</v>
          </cell>
          <cell r="BI37">
            <v>0</v>
          </cell>
          <cell r="BJ37">
            <v>847233.82500000007</v>
          </cell>
          <cell r="BK37">
            <v>901151.47000000009</v>
          </cell>
          <cell r="BL37">
            <v>0.61</v>
          </cell>
          <cell r="BM37">
            <v>0.93</v>
          </cell>
          <cell r="BO37" t="str">
            <v>Staff</v>
          </cell>
          <cell r="BP37">
            <v>40772</v>
          </cell>
          <cell r="BQ37">
            <v>3</v>
          </cell>
          <cell r="BR37">
            <v>1</v>
          </cell>
          <cell r="BS37">
            <v>3</v>
          </cell>
          <cell r="BT37">
            <v>605000</v>
          </cell>
          <cell r="BU37">
            <v>1</v>
          </cell>
          <cell r="BW37">
            <v>0.95799999999999996</v>
          </cell>
          <cell r="BX37">
            <v>0.84299999999999997</v>
          </cell>
          <cell r="BY37">
            <v>1.038</v>
          </cell>
          <cell r="BZ37">
            <v>0.92</v>
          </cell>
          <cell r="CG37">
            <v>0.94</v>
          </cell>
          <cell r="CH37">
            <v>1</v>
          </cell>
          <cell r="CI37">
            <v>0.7</v>
          </cell>
          <cell r="CJ37">
            <v>0</v>
          </cell>
          <cell r="CK37">
            <v>0.5</v>
          </cell>
        </row>
        <row r="38">
          <cell r="A38" t="str">
            <v>25Q1</v>
          </cell>
          <cell r="B38" t="str">
            <v>Q1</v>
          </cell>
          <cell r="C38">
            <v>25</v>
          </cell>
          <cell r="D38" t="str">
            <v>Gulyakova Olga</v>
          </cell>
          <cell r="E38" t="str">
            <v>Medical Representative</v>
          </cell>
          <cell r="F38">
            <v>41918</v>
          </cell>
          <cell r="G38" t="str">
            <v/>
          </cell>
          <cell r="H38" t="str">
            <v/>
          </cell>
          <cell r="I38" t="str">
            <v>Line 1</v>
          </cell>
          <cell r="J38" t="str">
            <v>CREON</v>
          </cell>
          <cell r="K38" t="str">
            <v xml:space="preserve">DUPHALAC </v>
          </cell>
          <cell r="L38">
            <v>0</v>
          </cell>
          <cell r="M38">
            <v>0</v>
          </cell>
          <cell r="N38">
            <v>0.5</v>
          </cell>
          <cell r="O38">
            <v>110484.315</v>
          </cell>
          <cell r="P38">
            <v>68752</v>
          </cell>
          <cell r="Q38">
            <v>0</v>
          </cell>
          <cell r="R38">
            <v>0</v>
          </cell>
          <cell r="S38">
            <v>99030.41</v>
          </cell>
          <cell r="T38">
            <v>61435</v>
          </cell>
          <cell r="U38">
            <v>0</v>
          </cell>
          <cell r="V38">
            <v>0</v>
          </cell>
          <cell r="W38" t="str">
            <v>HEPTRAL</v>
          </cell>
          <cell r="X38" t="str">
            <v xml:space="preserve">DUSPATALIN </v>
          </cell>
          <cell r="Y38">
            <v>0</v>
          </cell>
          <cell r="Z38">
            <v>0</v>
          </cell>
          <cell r="AA38">
            <v>0.25</v>
          </cell>
          <cell r="AB38">
            <v>58432.192000000003</v>
          </cell>
          <cell r="AC38">
            <v>17779.25</v>
          </cell>
          <cell r="AD38">
            <v>0</v>
          </cell>
          <cell r="AE38">
            <v>0</v>
          </cell>
          <cell r="AF38">
            <v>68417.440000000002</v>
          </cell>
          <cell r="AG38">
            <v>17955</v>
          </cell>
          <cell r="AH38">
            <v>0</v>
          </cell>
          <cell r="AI38">
            <v>0</v>
          </cell>
          <cell r="AJ38" t="str">
            <v>IRS 19</v>
          </cell>
          <cell r="AK38" t="str">
            <v>IMUDON</v>
          </cell>
          <cell r="AL38">
            <v>0</v>
          </cell>
          <cell r="AM38">
            <v>0</v>
          </cell>
          <cell r="AN38">
            <v>0.1</v>
          </cell>
          <cell r="AO38">
            <v>6744</v>
          </cell>
          <cell r="AP38">
            <v>9864</v>
          </cell>
          <cell r="AQ38">
            <v>0</v>
          </cell>
          <cell r="AR38">
            <v>0</v>
          </cell>
          <cell r="AS38">
            <v>6372</v>
          </cell>
          <cell r="AT38">
            <v>9312</v>
          </cell>
          <cell r="AU38">
            <v>0</v>
          </cell>
          <cell r="AV38">
            <v>0</v>
          </cell>
          <cell r="AW38" t="str">
            <v xml:space="preserve">GANATON </v>
          </cell>
          <cell r="AX38">
            <v>0</v>
          </cell>
          <cell r="AY38">
            <v>0</v>
          </cell>
          <cell r="AZ38">
            <v>0</v>
          </cell>
          <cell r="BA38">
            <v>0.15</v>
          </cell>
          <cell r="BB38">
            <v>232.40000000000003</v>
          </cell>
          <cell r="BC38">
            <v>0</v>
          </cell>
          <cell r="BD38">
            <v>0</v>
          </cell>
          <cell r="BE38">
            <v>0</v>
          </cell>
          <cell r="BF38">
            <v>1992.0000000000002</v>
          </cell>
          <cell r="BG38">
            <v>0</v>
          </cell>
          <cell r="BH38">
            <v>0</v>
          </cell>
          <cell r="BI38">
            <v>0</v>
          </cell>
          <cell r="BJ38">
            <v>272288.15700000001</v>
          </cell>
          <cell r="BK38">
            <v>264513.84999999998</v>
          </cell>
          <cell r="BL38" t="str">
            <v/>
          </cell>
          <cell r="BM38">
            <v>0.95</v>
          </cell>
          <cell r="BO38" t="str">
            <v>Staff</v>
          </cell>
          <cell r="BP38">
            <v>42010</v>
          </cell>
          <cell r="BQ38">
            <v>3</v>
          </cell>
          <cell r="BR38">
            <v>1</v>
          </cell>
          <cell r="BS38">
            <v>3</v>
          </cell>
          <cell r="BT38">
            <v>329604</v>
          </cell>
          <cell r="BU38">
            <v>1</v>
          </cell>
          <cell r="BW38">
            <v>1.117</v>
          </cell>
          <cell r="BX38">
            <v>0.88200000000000001</v>
          </cell>
          <cell r="BY38">
            <v>1.0589999999999999</v>
          </cell>
          <cell r="BZ38">
            <v>0.11700000000000001</v>
          </cell>
          <cell r="CG38">
            <v>1.03</v>
          </cell>
          <cell r="CH38">
            <v>1</v>
          </cell>
          <cell r="CI38">
            <v>1.3</v>
          </cell>
          <cell r="CJ38">
            <v>0</v>
          </cell>
          <cell r="CK38">
            <v>1</v>
          </cell>
        </row>
        <row r="39">
          <cell r="A39" t="str">
            <v>26Q1</v>
          </cell>
          <cell r="B39" t="str">
            <v>Q1</v>
          </cell>
          <cell r="C39">
            <v>26</v>
          </cell>
          <cell r="D39" t="str">
            <v>Inkarbekova Nurbibi</v>
          </cell>
          <cell r="E39" t="str">
            <v>Medical Representative</v>
          </cell>
          <cell r="F39">
            <v>42513</v>
          </cell>
          <cell r="G39" t="str">
            <v/>
          </cell>
          <cell r="H39" t="str">
            <v/>
          </cell>
          <cell r="I39" t="str">
            <v>Line 1</v>
          </cell>
          <cell r="J39" t="str">
            <v>CREON</v>
          </cell>
          <cell r="K39" t="str">
            <v xml:space="preserve">DUPHALAC </v>
          </cell>
          <cell r="L39">
            <v>0</v>
          </cell>
          <cell r="M39">
            <v>0</v>
          </cell>
          <cell r="N39">
            <v>0.5</v>
          </cell>
          <cell r="O39">
            <v>422723.07</v>
          </cell>
          <cell r="P39">
            <v>199408</v>
          </cell>
          <cell r="Q39">
            <v>0</v>
          </cell>
          <cell r="R39">
            <v>0</v>
          </cell>
          <cell r="S39">
            <v>340538.94</v>
          </cell>
          <cell r="T39">
            <v>185152.5</v>
          </cell>
          <cell r="U39">
            <v>0</v>
          </cell>
          <cell r="V39">
            <v>0</v>
          </cell>
          <cell r="W39" t="str">
            <v>HEPTRAL</v>
          </cell>
          <cell r="X39" t="str">
            <v xml:space="preserve">DUSPATALIN </v>
          </cell>
          <cell r="Y39">
            <v>0</v>
          </cell>
          <cell r="Z39">
            <v>0</v>
          </cell>
          <cell r="AA39">
            <v>0.25</v>
          </cell>
          <cell r="AB39">
            <v>376824.24</v>
          </cell>
          <cell r="AC39">
            <v>37848</v>
          </cell>
          <cell r="AD39">
            <v>0</v>
          </cell>
          <cell r="AE39">
            <v>0</v>
          </cell>
          <cell r="AF39">
            <v>261353.30000000002</v>
          </cell>
          <cell r="AG39">
            <v>42873.5</v>
          </cell>
          <cell r="AH39">
            <v>0</v>
          </cell>
          <cell r="AI39">
            <v>0</v>
          </cell>
          <cell r="AJ39" t="str">
            <v>IRS 19</v>
          </cell>
          <cell r="AK39" t="str">
            <v>IMUDON</v>
          </cell>
          <cell r="AL39">
            <v>0</v>
          </cell>
          <cell r="AM39">
            <v>0</v>
          </cell>
          <cell r="AN39">
            <v>0.1</v>
          </cell>
          <cell r="AO39">
            <v>32076</v>
          </cell>
          <cell r="AP39">
            <v>34896</v>
          </cell>
          <cell r="AQ39">
            <v>0</v>
          </cell>
          <cell r="AR39">
            <v>0</v>
          </cell>
          <cell r="AS39">
            <v>39732</v>
          </cell>
          <cell r="AT39">
            <v>37068</v>
          </cell>
          <cell r="AU39">
            <v>0</v>
          </cell>
          <cell r="AV39">
            <v>0</v>
          </cell>
          <cell r="AW39" t="str">
            <v xml:space="preserve">GANATON </v>
          </cell>
          <cell r="AX39">
            <v>0</v>
          </cell>
          <cell r="AY39">
            <v>0</v>
          </cell>
          <cell r="AZ39">
            <v>0</v>
          </cell>
          <cell r="BA39">
            <v>0.15</v>
          </cell>
          <cell r="BB39">
            <v>6225.0000000000009</v>
          </cell>
          <cell r="BC39">
            <v>0</v>
          </cell>
          <cell r="BD39">
            <v>0</v>
          </cell>
          <cell r="BE39">
            <v>0</v>
          </cell>
          <cell r="BF39">
            <v>6640.0000000000009</v>
          </cell>
          <cell r="BG39">
            <v>0</v>
          </cell>
          <cell r="BH39">
            <v>0</v>
          </cell>
          <cell r="BI39">
            <v>0</v>
          </cell>
          <cell r="BJ39">
            <v>1110000.31</v>
          </cell>
          <cell r="BK39">
            <v>913358.24</v>
          </cell>
          <cell r="BL39" t="str">
            <v/>
          </cell>
          <cell r="BM39">
            <v>0.98</v>
          </cell>
          <cell r="BO39" t="str">
            <v>Staff</v>
          </cell>
          <cell r="BP39">
            <v>42605</v>
          </cell>
          <cell r="BQ39">
            <v>3</v>
          </cell>
          <cell r="BR39">
            <v>1</v>
          </cell>
          <cell r="BS39">
            <v>3</v>
          </cell>
          <cell r="BT39">
            <v>329604</v>
          </cell>
          <cell r="BU39">
            <v>1</v>
          </cell>
          <cell r="BW39">
            <v>1.1830000000000001</v>
          </cell>
          <cell r="BX39">
            <v>1.363</v>
          </cell>
          <cell r="BY39">
            <v>0.872</v>
          </cell>
          <cell r="BZ39">
            <v>0.93799999999999994</v>
          </cell>
          <cell r="CG39">
            <v>1.22</v>
          </cell>
          <cell r="CH39">
            <v>1</v>
          </cell>
          <cell r="CI39">
            <v>2.5</v>
          </cell>
          <cell r="CJ39">
            <v>0</v>
          </cell>
          <cell r="CK39">
            <v>1</v>
          </cell>
        </row>
        <row r="40">
          <cell r="A40" t="str">
            <v>27Q1</v>
          </cell>
          <cell r="B40" t="str">
            <v>Q1</v>
          </cell>
          <cell r="C40">
            <v>27</v>
          </cell>
          <cell r="D40" t="str">
            <v>Issakhanova Assem</v>
          </cell>
          <cell r="E40" t="str">
            <v>Medical Representative</v>
          </cell>
          <cell r="F40">
            <v>40686</v>
          </cell>
          <cell r="G40" t="str">
            <v/>
          </cell>
          <cell r="H40" t="str">
            <v/>
          </cell>
          <cell r="I40" t="str">
            <v>Line 2</v>
          </cell>
          <cell r="J40" t="str">
            <v xml:space="preserve">DUPHASTON </v>
          </cell>
          <cell r="K40" t="str">
            <v>FEMOSTON</v>
          </cell>
          <cell r="L40">
            <v>0</v>
          </cell>
          <cell r="M40">
            <v>0</v>
          </cell>
          <cell r="N40">
            <v>0.3</v>
          </cell>
          <cell r="O40">
            <v>28836</v>
          </cell>
          <cell r="P40">
            <v>12980.4</v>
          </cell>
          <cell r="Q40">
            <v>0</v>
          </cell>
          <cell r="R40">
            <v>0</v>
          </cell>
          <cell r="S40">
            <v>34425</v>
          </cell>
          <cell r="T40">
            <v>12261.2</v>
          </cell>
          <cell r="U40">
            <v>0</v>
          </cell>
          <cell r="V40">
            <v>0</v>
          </cell>
          <cell r="W40" t="str">
            <v>PHYSIOTENS</v>
          </cell>
          <cell r="X40" t="str">
            <v>TRICOR /LIPANTHYL</v>
          </cell>
          <cell r="Y40" t="str">
            <v>OMACOR</v>
          </cell>
          <cell r="Z40">
            <v>0</v>
          </cell>
          <cell r="AA40">
            <v>0.25</v>
          </cell>
          <cell r="AB40">
            <v>77212</v>
          </cell>
          <cell r="AC40">
            <v>1446.81</v>
          </cell>
          <cell r="AD40">
            <v>155</v>
          </cell>
          <cell r="AE40">
            <v>0</v>
          </cell>
          <cell r="AF40">
            <v>63477</v>
          </cell>
          <cell r="AG40">
            <v>1929.08</v>
          </cell>
          <cell r="AH40">
            <v>651</v>
          </cell>
          <cell r="AI40">
            <v>0</v>
          </cell>
          <cell r="AJ40" t="str">
            <v>HEPTRAL</v>
          </cell>
          <cell r="AK40">
            <v>0</v>
          </cell>
          <cell r="AL40">
            <v>0</v>
          </cell>
          <cell r="AM40">
            <v>0</v>
          </cell>
          <cell r="AN40">
            <v>0.25</v>
          </cell>
          <cell r="AO40">
            <v>11358.880000000001</v>
          </cell>
          <cell r="AP40">
            <v>0</v>
          </cell>
          <cell r="AQ40">
            <v>0</v>
          </cell>
          <cell r="AR40">
            <v>0</v>
          </cell>
          <cell r="AS40">
            <v>11078.210000000001</v>
          </cell>
          <cell r="AT40">
            <v>0</v>
          </cell>
          <cell r="AU40">
            <v>0</v>
          </cell>
          <cell r="AV40">
            <v>0</v>
          </cell>
          <cell r="AW40" t="str">
            <v>BETASERC</v>
          </cell>
          <cell r="AX40" t="str">
            <v xml:space="preserve">DUPHALAC </v>
          </cell>
          <cell r="AY40" t="str">
            <v>CREON</v>
          </cell>
          <cell r="AZ40">
            <v>0</v>
          </cell>
          <cell r="BA40">
            <v>0.19999999999999996</v>
          </cell>
          <cell r="BB40">
            <v>14363.52</v>
          </cell>
          <cell r="BC40">
            <v>2380.15</v>
          </cell>
          <cell r="BD40">
            <v>2749.8745000000004</v>
          </cell>
          <cell r="BE40">
            <v>0</v>
          </cell>
          <cell r="BF40">
            <v>11799.7</v>
          </cell>
          <cell r="BG40">
            <v>2728.2000000000003</v>
          </cell>
          <cell r="BH40">
            <v>2539.3235000000004</v>
          </cell>
          <cell r="BI40">
            <v>0</v>
          </cell>
          <cell r="BJ40">
            <v>151482.63449999999</v>
          </cell>
          <cell r="BK40">
            <v>140888.71350000001</v>
          </cell>
          <cell r="BL40" t="str">
            <v/>
          </cell>
          <cell r="BM40">
            <v>0.95</v>
          </cell>
          <cell r="BO40" t="str">
            <v>Staff</v>
          </cell>
          <cell r="BP40">
            <v>40778</v>
          </cell>
          <cell r="BQ40">
            <v>3</v>
          </cell>
          <cell r="BR40">
            <v>1</v>
          </cell>
          <cell r="BS40">
            <v>3</v>
          </cell>
          <cell r="BT40">
            <v>329604</v>
          </cell>
          <cell r="BU40">
            <v>1</v>
          </cell>
          <cell r="BW40">
            <v>0.89600000000000002</v>
          </cell>
          <cell r="BX40">
            <v>1.1930000000000001</v>
          </cell>
          <cell r="BY40">
            <v>1.0249999999999999</v>
          </cell>
          <cell r="BZ40">
            <v>1.1419999999999999</v>
          </cell>
          <cell r="CG40">
            <v>1.08</v>
          </cell>
          <cell r="CH40">
            <v>1</v>
          </cell>
          <cell r="CI40">
            <v>1.8</v>
          </cell>
          <cell r="CJ40">
            <v>0</v>
          </cell>
          <cell r="CK40">
            <v>1</v>
          </cell>
        </row>
        <row r="41">
          <cell r="A41" t="str">
            <v>28Q1</v>
          </cell>
          <cell r="B41" t="str">
            <v>Q1</v>
          </cell>
          <cell r="C41">
            <v>28</v>
          </cell>
          <cell r="D41" t="str">
            <v>Issakova Dina</v>
          </cell>
          <cell r="E41" t="str">
            <v>Medical Representative</v>
          </cell>
          <cell r="F41">
            <v>40676</v>
          </cell>
          <cell r="G41">
            <v>42795</v>
          </cell>
          <cell r="H41" t="str">
            <v/>
          </cell>
          <cell r="I41" t="str">
            <v>Line 2</v>
          </cell>
          <cell r="J41" t="str">
            <v xml:space="preserve">DUPHASTON </v>
          </cell>
          <cell r="K41" t="str">
            <v>FEMOSTON</v>
          </cell>
          <cell r="L41">
            <v>0</v>
          </cell>
          <cell r="M41">
            <v>0</v>
          </cell>
          <cell r="N41">
            <v>0.3</v>
          </cell>
          <cell r="O41">
            <v>17307</v>
          </cell>
          <cell r="P41">
            <v>7494</v>
          </cell>
          <cell r="Q41">
            <v>0</v>
          </cell>
          <cell r="R41">
            <v>0</v>
          </cell>
          <cell r="S41">
            <v>28350</v>
          </cell>
          <cell r="T41">
            <v>5742</v>
          </cell>
          <cell r="U41">
            <v>0</v>
          </cell>
          <cell r="V41">
            <v>0</v>
          </cell>
          <cell r="W41" t="str">
            <v>PHYSIOTENS</v>
          </cell>
          <cell r="X41" t="str">
            <v>TRICOR /LIPANTHYL</v>
          </cell>
          <cell r="Y41" t="str">
            <v>OMACOR</v>
          </cell>
          <cell r="Z41">
            <v>0</v>
          </cell>
          <cell r="AA41">
            <v>0.25</v>
          </cell>
          <cell r="AB41">
            <v>16912</v>
          </cell>
          <cell r="AC41">
            <v>615</v>
          </cell>
          <cell r="AD41">
            <v>124</v>
          </cell>
          <cell r="AF41">
            <v>36315</v>
          </cell>
          <cell r="AG41">
            <v>748</v>
          </cell>
          <cell r="AH41">
            <v>806</v>
          </cell>
          <cell r="AJ41" t="str">
            <v>HEPTRAL</v>
          </cell>
          <cell r="AK41">
            <v>0</v>
          </cell>
          <cell r="AL41">
            <v>0</v>
          </cell>
          <cell r="AM41">
            <v>0</v>
          </cell>
          <cell r="AN41">
            <v>0.25</v>
          </cell>
          <cell r="AO41">
            <v>11755</v>
          </cell>
          <cell r="AS41">
            <v>12383</v>
          </cell>
          <cell r="AW41" t="str">
            <v>BETASERC</v>
          </cell>
          <cell r="AX41" t="str">
            <v xml:space="preserve">DUPHALAC </v>
          </cell>
          <cell r="AY41" t="str">
            <v>CREON</v>
          </cell>
          <cell r="AZ41">
            <v>0</v>
          </cell>
          <cell r="BA41">
            <v>0.19999999999999996</v>
          </cell>
          <cell r="BB41">
            <v>6087</v>
          </cell>
          <cell r="BC41">
            <v>2376</v>
          </cell>
          <cell r="BD41">
            <v>1434</v>
          </cell>
          <cell r="BF41">
            <v>8480</v>
          </cell>
          <cell r="BG41">
            <v>2085</v>
          </cell>
          <cell r="BH41">
            <v>1232</v>
          </cell>
          <cell r="BJ41">
            <v>64104</v>
          </cell>
          <cell r="BK41">
            <v>96141</v>
          </cell>
          <cell r="BL41" t="str">
            <v/>
          </cell>
          <cell r="BM41">
            <v>0.79</v>
          </cell>
          <cell r="BO41" t="str">
            <v>Maternity leave</v>
          </cell>
          <cell r="BP41">
            <v>40768</v>
          </cell>
          <cell r="BQ41">
            <v>2</v>
          </cell>
          <cell r="BR41">
            <v>1</v>
          </cell>
          <cell r="BS41">
            <v>2</v>
          </cell>
          <cell r="BT41">
            <v>329604</v>
          </cell>
          <cell r="BU41">
            <v>0.66666666666666663</v>
          </cell>
          <cell r="BW41">
            <v>0.72699999999999998</v>
          </cell>
          <cell r="BX41">
            <v>0.46600000000000003</v>
          </cell>
          <cell r="BY41">
            <v>0.94899999999999995</v>
          </cell>
          <cell r="BZ41">
            <v>0.83899999999999997</v>
          </cell>
          <cell r="CG41">
            <v>0.67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</row>
        <row r="42">
          <cell r="A42" t="str">
            <v>29Q1</v>
          </cell>
          <cell r="B42" t="str">
            <v>Q1</v>
          </cell>
          <cell r="C42">
            <v>29</v>
          </cell>
          <cell r="D42" t="str">
            <v>Issakova Dina</v>
          </cell>
          <cell r="E42" t="str">
            <v>Medical Representative</v>
          </cell>
          <cell r="F42">
            <v>40676</v>
          </cell>
          <cell r="G42" t="str">
            <v/>
          </cell>
          <cell r="H42">
            <v>42826</v>
          </cell>
          <cell r="I42" t="str">
            <v>Line 1</v>
          </cell>
          <cell r="J42" t="str">
            <v>CREON</v>
          </cell>
          <cell r="K42" t="str">
            <v xml:space="preserve">DUPHALAC </v>
          </cell>
          <cell r="L42">
            <v>0</v>
          </cell>
          <cell r="M42">
            <v>0</v>
          </cell>
          <cell r="N42">
            <v>0.5</v>
          </cell>
          <cell r="O42">
            <v>213923</v>
          </cell>
          <cell r="P42">
            <v>72224</v>
          </cell>
          <cell r="Q42">
            <v>0</v>
          </cell>
          <cell r="R42">
            <v>0</v>
          </cell>
          <cell r="S42">
            <v>121175.36</v>
          </cell>
          <cell r="T42">
            <v>64213.5</v>
          </cell>
          <cell r="U42">
            <v>0</v>
          </cell>
          <cell r="V42">
            <v>0</v>
          </cell>
          <cell r="W42" t="str">
            <v>HEPTRAL</v>
          </cell>
          <cell r="X42" t="str">
            <v xml:space="preserve">DUSPATALIN </v>
          </cell>
          <cell r="Y42">
            <v>0</v>
          </cell>
          <cell r="Z42">
            <v>0</v>
          </cell>
          <cell r="AA42">
            <v>0.25</v>
          </cell>
          <cell r="AB42">
            <v>128481</v>
          </cell>
          <cell r="AC42">
            <v>12759</v>
          </cell>
          <cell r="AF42">
            <v>89649</v>
          </cell>
          <cell r="AG42">
            <v>14250</v>
          </cell>
          <cell r="AJ42" t="str">
            <v>IRS 19</v>
          </cell>
          <cell r="AK42" t="str">
            <v>IMUDON</v>
          </cell>
          <cell r="AL42">
            <v>0</v>
          </cell>
          <cell r="AM42">
            <v>0</v>
          </cell>
          <cell r="AN42">
            <v>0.1</v>
          </cell>
          <cell r="AO42">
            <v>7476</v>
          </cell>
          <cell r="AP42">
            <v>10560</v>
          </cell>
          <cell r="AS42">
            <v>13200</v>
          </cell>
          <cell r="AT42">
            <v>12516</v>
          </cell>
          <cell r="AW42" t="str">
            <v xml:space="preserve">GANATON </v>
          </cell>
          <cell r="AX42">
            <v>0</v>
          </cell>
          <cell r="AY42">
            <v>0</v>
          </cell>
          <cell r="AZ42">
            <v>0</v>
          </cell>
          <cell r="BA42">
            <v>0.15</v>
          </cell>
          <cell r="BB42">
            <v>2540</v>
          </cell>
          <cell r="BF42">
            <v>3320</v>
          </cell>
          <cell r="BJ42">
            <v>447963</v>
          </cell>
          <cell r="BK42">
            <v>318323.86</v>
          </cell>
          <cell r="BL42" t="str">
            <v/>
          </cell>
          <cell r="BM42">
            <v>0.79</v>
          </cell>
          <cell r="BO42" t="str">
            <v>Staff</v>
          </cell>
          <cell r="BP42">
            <v>40768</v>
          </cell>
          <cell r="BQ42">
            <v>3</v>
          </cell>
          <cell r="BR42">
            <v>1</v>
          </cell>
          <cell r="BS42">
            <v>3</v>
          </cell>
          <cell r="BT42">
            <v>329604</v>
          </cell>
          <cell r="BU42">
            <v>1</v>
          </cell>
          <cell r="BW42">
            <v>1.5429999999999999</v>
          </cell>
          <cell r="BX42">
            <v>1.359</v>
          </cell>
          <cell r="BY42">
            <v>0.70099999999999996</v>
          </cell>
          <cell r="BZ42">
            <v>0.76500000000000001</v>
          </cell>
          <cell r="CG42">
            <v>1.41</v>
          </cell>
          <cell r="CH42">
            <v>1</v>
          </cell>
          <cell r="CI42">
            <v>2.5</v>
          </cell>
          <cell r="CJ42">
            <v>0</v>
          </cell>
          <cell r="CK42">
            <v>0</v>
          </cell>
        </row>
        <row r="43">
          <cell r="A43" t="str">
            <v>30Q1</v>
          </cell>
          <cell r="B43" t="str">
            <v>Q1</v>
          </cell>
          <cell r="C43">
            <v>30</v>
          </cell>
          <cell r="D43" t="str">
            <v>Itakhunov Rassul</v>
          </cell>
          <cell r="E43" t="str">
            <v>Pharm Representative</v>
          </cell>
          <cell r="F43">
            <v>42417</v>
          </cell>
          <cell r="G43" t="str">
            <v/>
          </cell>
          <cell r="H43" t="str">
            <v/>
          </cell>
          <cell r="I43" t="str">
            <v>Pharma line</v>
          </cell>
          <cell r="J43" t="str">
            <v>CREON</v>
          </cell>
          <cell r="K43">
            <v>0</v>
          </cell>
          <cell r="L43">
            <v>0</v>
          </cell>
          <cell r="M43">
            <v>0</v>
          </cell>
          <cell r="N43">
            <v>0.4</v>
          </cell>
          <cell r="O43">
            <v>422723.07</v>
          </cell>
          <cell r="P43">
            <v>0</v>
          </cell>
          <cell r="Q43">
            <v>0</v>
          </cell>
          <cell r="R43">
            <v>0</v>
          </cell>
          <cell r="S43">
            <v>340538.94</v>
          </cell>
          <cell r="T43">
            <v>0</v>
          </cell>
          <cell r="U43">
            <v>0</v>
          </cell>
          <cell r="V43">
            <v>0</v>
          </cell>
          <cell r="W43" t="str">
            <v xml:space="preserve">DUPHALAC </v>
          </cell>
          <cell r="X43">
            <v>0</v>
          </cell>
          <cell r="Y43">
            <v>0</v>
          </cell>
          <cell r="Z43">
            <v>0</v>
          </cell>
          <cell r="AA43">
            <v>0.35</v>
          </cell>
          <cell r="AB43">
            <v>199408</v>
          </cell>
          <cell r="AC43">
            <v>0</v>
          </cell>
          <cell r="AD43">
            <v>0</v>
          </cell>
          <cell r="AE43">
            <v>0</v>
          </cell>
          <cell r="AF43">
            <v>185152.5</v>
          </cell>
          <cell r="AG43">
            <v>0</v>
          </cell>
          <cell r="AH43">
            <v>0</v>
          </cell>
          <cell r="AI43">
            <v>0</v>
          </cell>
          <cell r="AJ43" t="str">
            <v>IRS 19</v>
          </cell>
          <cell r="AK43" t="str">
            <v>IMUDON</v>
          </cell>
          <cell r="AL43">
            <v>0</v>
          </cell>
          <cell r="AM43">
            <v>0</v>
          </cell>
          <cell r="AN43">
            <v>0.25</v>
          </cell>
          <cell r="AO43">
            <v>32076</v>
          </cell>
          <cell r="AP43">
            <v>34896</v>
          </cell>
          <cell r="AQ43">
            <v>0</v>
          </cell>
          <cell r="AR43">
            <v>0</v>
          </cell>
          <cell r="AS43">
            <v>39732</v>
          </cell>
          <cell r="AT43">
            <v>37068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689103.07000000007</v>
          </cell>
          <cell r="BK43">
            <v>602491.43999999994</v>
          </cell>
          <cell r="BL43" t="str">
            <v/>
          </cell>
          <cell r="BM43">
            <v>0.91</v>
          </cell>
          <cell r="BO43" t="str">
            <v>Staff</v>
          </cell>
          <cell r="BP43">
            <v>42507</v>
          </cell>
          <cell r="BQ43">
            <v>3</v>
          </cell>
          <cell r="BR43">
            <v>1</v>
          </cell>
          <cell r="BS43">
            <v>3</v>
          </cell>
          <cell r="BT43">
            <v>329604</v>
          </cell>
          <cell r="BU43">
            <v>1</v>
          </cell>
          <cell r="BW43">
            <v>1.2410000000000001</v>
          </cell>
          <cell r="BX43">
            <v>1.077</v>
          </cell>
          <cell r="BY43">
            <v>0.872</v>
          </cell>
          <cell r="BZ43">
            <v>0</v>
          </cell>
          <cell r="CG43">
            <v>1.1399999999999999</v>
          </cell>
          <cell r="CH43">
            <v>1</v>
          </cell>
          <cell r="CI43">
            <v>2.2000000000000002</v>
          </cell>
          <cell r="CJ43">
            <v>0</v>
          </cell>
          <cell r="CK43">
            <v>0.5</v>
          </cell>
        </row>
        <row r="44">
          <cell r="A44" t="str">
            <v>31Q1</v>
          </cell>
          <cell r="B44" t="str">
            <v>Q1</v>
          </cell>
          <cell r="C44">
            <v>31</v>
          </cell>
          <cell r="D44" t="str">
            <v>Kadyrova Azaliya</v>
          </cell>
          <cell r="E44" t="str">
            <v>Medical Representative</v>
          </cell>
          <cell r="F44">
            <v>41919</v>
          </cell>
          <cell r="G44" t="str">
            <v/>
          </cell>
          <cell r="H44" t="str">
            <v/>
          </cell>
          <cell r="I44" t="str">
            <v>Line 2 (big cities)</v>
          </cell>
          <cell r="J44" t="str">
            <v>CREON</v>
          </cell>
          <cell r="K44" t="str">
            <v xml:space="preserve">DUPHALAC </v>
          </cell>
          <cell r="L44">
            <v>0</v>
          </cell>
          <cell r="M44">
            <v>0</v>
          </cell>
          <cell r="N44">
            <v>0.1</v>
          </cell>
          <cell r="O44">
            <v>15049.333000000002</v>
          </cell>
          <cell r="P44">
            <v>7744.3250000000007</v>
          </cell>
          <cell r="Q44">
            <v>0</v>
          </cell>
          <cell r="R44">
            <v>0</v>
          </cell>
          <cell r="S44">
            <v>12113.050000000001</v>
          </cell>
          <cell r="T44">
            <v>7000.9000000000005</v>
          </cell>
          <cell r="U44">
            <v>0</v>
          </cell>
          <cell r="V44">
            <v>0</v>
          </cell>
          <cell r="W44" t="str">
            <v>PHYSIOTENS</v>
          </cell>
          <cell r="X44" t="str">
            <v>TRICOR /LIPANTHYL</v>
          </cell>
          <cell r="Y44" t="str">
            <v>OMACOR</v>
          </cell>
          <cell r="Z44">
            <v>0</v>
          </cell>
          <cell r="AA44">
            <v>0.3</v>
          </cell>
          <cell r="AB44">
            <v>174153.5</v>
          </cell>
          <cell r="AC44">
            <v>15831.759999999998</v>
          </cell>
          <cell r="AD44">
            <v>3813</v>
          </cell>
          <cell r="AE44">
            <v>0</v>
          </cell>
          <cell r="AF44">
            <v>166047</v>
          </cell>
          <cell r="AG44">
            <v>8980.1999999999989</v>
          </cell>
          <cell r="AH44">
            <v>6293</v>
          </cell>
          <cell r="AI44">
            <v>0</v>
          </cell>
          <cell r="AJ44" t="str">
            <v>HEPTRAL</v>
          </cell>
          <cell r="AK44">
            <v>0</v>
          </cell>
          <cell r="AL44">
            <v>0</v>
          </cell>
          <cell r="AM44">
            <v>0</v>
          </cell>
          <cell r="AN44">
            <v>0.3</v>
          </cell>
          <cell r="AO44">
            <v>155755.34000000003</v>
          </cell>
          <cell r="AP44">
            <v>0</v>
          </cell>
          <cell r="AQ44">
            <v>0</v>
          </cell>
          <cell r="AR44">
            <v>0</v>
          </cell>
          <cell r="AS44">
            <v>128976.12000000001</v>
          </cell>
          <cell r="AT44">
            <v>0</v>
          </cell>
          <cell r="AU44">
            <v>0</v>
          </cell>
          <cell r="AV44">
            <v>0</v>
          </cell>
          <cell r="AW44" t="str">
            <v>BETASERC</v>
          </cell>
          <cell r="AX44">
            <v>0</v>
          </cell>
          <cell r="AY44">
            <v>0</v>
          </cell>
          <cell r="AZ44">
            <v>0</v>
          </cell>
          <cell r="BA44">
            <v>0.3000000000000001</v>
          </cell>
          <cell r="BB44">
            <v>33868.94</v>
          </cell>
          <cell r="BC44">
            <v>0</v>
          </cell>
          <cell r="BD44">
            <v>0</v>
          </cell>
          <cell r="BE44">
            <v>0</v>
          </cell>
          <cell r="BF44">
            <v>30353.98</v>
          </cell>
          <cell r="BG44">
            <v>0</v>
          </cell>
          <cell r="BH44">
            <v>0</v>
          </cell>
          <cell r="BI44">
            <v>0</v>
          </cell>
          <cell r="BJ44">
            <v>406216.19800000003</v>
          </cell>
          <cell r="BK44">
            <v>359764.25</v>
          </cell>
          <cell r="BL44" t="str">
            <v/>
          </cell>
          <cell r="BM44">
            <v>0.87</v>
          </cell>
          <cell r="BO44" t="str">
            <v>Staff</v>
          </cell>
          <cell r="BP44">
            <v>42011</v>
          </cell>
          <cell r="BQ44">
            <v>3</v>
          </cell>
          <cell r="BR44">
            <v>1</v>
          </cell>
          <cell r="BS44">
            <v>3</v>
          </cell>
          <cell r="BT44">
            <v>329604</v>
          </cell>
          <cell r="BU44">
            <v>1</v>
          </cell>
          <cell r="BW44">
            <v>1.1930000000000001</v>
          </cell>
          <cell r="BX44">
            <v>1.069</v>
          </cell>
          <cell r="BY44">
            <v>1.208</v>
          </cell>
          <cell r="BZ44">
            <v>1.1160000000000001</v>
          </cell>
          <cell r="CG44">
            <v>1.1299999999999999</v>
          </cell>
          <cell r="CH44">
            <v>1</v>
          </cell>
          <cell r="CI44">
            <v>2.15</v>
          </cell>
          <cell r="CJ44">
            <v>0</v>
          </cell>
          <cell r="CK44">
            <v>0.5</v>
          </cell>
        </row>
        <row r="45">
          <cell r="A45" t="str">
            <v>32Q1</v>
          </cell>
          <cell r="B45" t="str">
            <v>Q1</v>
          </cell>
          <cell r="C45">
            <v>32</v>
          </cell>
          <cell r="D45" t="str">
            <v>Kalistratova Alexandra</v>
          </cell>
          <cell r="E45" t="str">
            <v>Medical Representative</v>
          </cell>
          <cell r="F45">
            <v>41555</v>
          </cell>
          <cell r="G45" t="str">
            <v/>
          </cell>
          <cell r="H45" t="str">
            <v/>
          </cell>
          <cell r="I45" t="str">
            <v>Line 2</v>
          </cell>
          <cell r="J45" t="str">
            <v xml:space="preserve">DUPHASTON </v>
          </cell>
          <cell r="K45" t="str">
            <v>FEMOSTON</v>
          </cell>
          <cell r="L45">
            <v>0</v>
          </cell>
          <cell r="M45">
            <v>0</v>
          </cell>
          <cell r="N45">
            <v>0.3</v>
          </cell>
          <cell r="O45">
            <v>28836</v>
          </cell>
          <cell r="P45">
            <v>12980.4</v>
          </cell>
          <cell r="Q45">
            <v>0</v>
          </cell>
          <cell r="R45">
            <v>0</v>
          </cell>
          <cell r="S45">
            <v>34425</v>
          </cell>
          <cell r="T45">
            <v>12261.2</v>
          </cell>
          <cell r="U45">
            <v>0</v>
          </cell>
          <cell r="V45">
            <v>0</v>
          </cell>
          <cell r="W45" t="str">
            <v>PHYSIOTENS</v>
          </cell>
          <cell r="X45" t="str">
            <v>TRICOR /LIPANTHYL</v>
          </cell>
          <cell r="Y45" t="str">
            <v>OMACOR</v>
          </cell>
          <cell r="Z45">
            <v>0</v>
          </cell>
          <cell r="AA45">
            <v>0.25</v>
          </cell>
          <cell r="AB45">
            <v>77212</v>
          </cell>
          <cell r="AC45">
            <v>1446.81</v>
          </cell>
          <cell r="AD45">
            <v>155</v>
          </cell>
          <cell r="AE45">
            <v>0</v>
          </cell>
          <cell r="AF45">
            <v>63477</v>
          </cell>
          <cell r="AG45">
            <v>1929.08</v>
          </cell>
          <cell r="AH45">
            <v>651</v>
          </cell>
          <cell r="AI45">
            <v>0</v>
          </cell>
          <cell r="AJ45" t="str">
            <v>HEPTRAL</v>
          </cell>
          <cell r="AK45">
            <v>0</v>
          </cell>
          <cell r="AL45">
            <v>0</v>
          </cell>
          <cell r="AM45">
            <v>0</v>
          </cell>
          <cell r="AN45">
            <v>0.25</v>
          </cell>
          <cell r="AO45">
            <v>11358.880000000001</v>
          </cell>
          <cell r="AP45">
            <v>0</v>
          </cell>
          <cell r="AQ45">
            <v>0</v>
          </cell>
          <cell r="AR45">
            <v>0</v>
          </cell>
          <cell r="AS45">
            <v>11078.210000000001</v>
          </cell>
          <cell r="AT45">
            <v>0</v>
          </cell>
          <cell r="AU45">
            <v>0</v>
          </cell>
          <cell r="AV45">
            <v>0</v>
          </cell>
          <cell r="AW45" t="str">
            <v>BETASERC</v>
          </cell>
          <cell r="AX45" t="str">
            <v xml:space="preserve">DUPHALAC </v>
          </cell>
          <cell r="AY45" t="str">
            <v>CREON</v>
          </cell>
          <cell r="AZ45">
            <v>0</v>
          </cell>
          <cell r="BA45">
            <v>0.19999999999999996</v>
          </cell>
          <cell r="BB45">
            <v>14363.52</v>
          </cell>
          <cell r="BC45">
            <v>2380.15</v>
          </cell>
          <cell r="BD45">
            <v>2749.8745000000004</v>
          </cell>
          <cell r="BE45">
            <v>0</v>
          </cell>
          <cell r="BF45">
            <v>11799.7</v>
          </cell>
          <cell r="BG45">
            <v>2728.2000000000003</v>
          </cell>
          <cell r="BH45">
            <v>2539.3235000000004</v>
          </cell>
          <cell r="BI45">
            <v>0</v>
          </cell>
          <cell r="BJ45">
            <v>151482.63449999999</v>
          </cell>
          <cell r="BK45">
            <v>140888.71350000001</v>
          </cell>
          <cell r="BL45" t="str">
            <v/>
          </cell>
          <cell r="BM45">
            <v>1</v>
          </cell>
          <cell r="BO45" t="str">
            <v>Staff</v>
          </cell>
          <cell r="BP45">
            <v>41647</v>
          </cell>
          <cell r="BQ45">
            <v>3</v>
          </cell>
          <cell r="BR45">
            <v>1</v>
          </cell>
          <cell r="BS45">
            <v>3</v>
          </cell>
          <cell r="BT45">
            <v>329604</v>
          </cell>
          <cell r="BU45">
            <v>1</v>
          </cell>
          <cell r="BW45">
            <v>0.89600000000000002</v>
          </cell>
          <cell r="BX45">
            <v>1.1930000000000001</v>
          </cell>
          <cell r="BY45">
            <v>1.0249999999999999</v>
          </cell>
          <cell r="BZ45">
            <v>1.1419999999999999</v>
          </cell>
          <cell r="CG45">
            <v>1.08</v>
          </cell>
          <cell r="CH45">
            <v>1</v>
          </cell>
          <cell r="CI45">
            <v>1.8</v>
          </cell>
          <cell r="CJ45">
            <v>0</v>
          </cell>
          <cell r="CK45">
            <v>1</v>
          </cell>
        </row>
        <row r="46">
          <cell r="A46" t="str">
            <v>33Q1</v>
          </cell>
          <cell r="B46" t="str">
            <v>Q1</v>
          </cell>
          <cell r="C46">
            <v>33</v>
          </cell>
          <cell r="D46" t="str">
            <v>Kassenova Gulshat</v>
          </cell>
          <cell r="E46" t="str">
            <v>Medical Representative</v>
          </cell>
          <cell r="F46">
            <v>42552</v>
          </cell>
          <cell r="G46" t="str">
            <v/>
          </cell>
          <cell r="H46" t="str">
            <v/>
          </cell>
          <cell r="I46" t="str">
            <v>Line 1</v>
          </cell>
          <cell r="J46" t="str">
            <v>CREON</v>
          </cell>
          <cell r="K46" t="str">
            <v xml:space="preserve">DUPHALAC </v>
          </cell>
          <cell r="L46">
            <v>0</v>
          </cell>
          <cell r="M46">
            <v>0</v>
          </cell>
          <cell r="N46">
            <v>0.5</v>
          </cell>
          <cell r="O46">
            <v>74773.53</v>
          </cell>
          <cell r="P46">
            <v>35752</v>
          </cell>
          <cell r="Q46">
            <v>0</v>
          </cell>
          <cell r="R46">
            <v>0</v>
          </cell>
          <cell r="S46">
            <v>69379.539999999994</v>
          </cell>
          <cell r="T46">
            <v>38181</v>
          </cell>
          <cell r="U46">
            <v>0</v>
          </cell>
          <cell r="V46">
            <v>0</v>
          </cell>
          <cell r="W46" t="str">
            <v>HEPTRAL</v>
          </cell>
          <cell r="X46" t="str">
            <v xml:space="preserve">DUSPATALIN </v>
          </cell>
          <cell r="Y46">
            <v>0</v>
          </cell>
          <cell r="Z46">
            <v>0</v>
          </cell>
          <cell r="AA46">
            <v>0.25</v>
          </cell>
          <cell r="AB46">
            <v>33944.560000000005</v>
          </cell>
          <cell r="AC46">
            <v>16273.5</v>
          </cell>
          <cell r="AD46">
            <v>0</v>
          </cell>
          <cell r="AE46">
            <v>0</v>
          </cell>
          <cell r="AF46">
            <v>29883.1</v>
          </cell>
          <cell r="AG46">
            <v>13832</v>
          </cell>
          <cell r="AH46">
            <v>0</v>
          </cell>
          <cell r="AI46">
            <v>0</v>
          </cell>
          <cell r="AJ46" t="str">
            <v>IRS 19</v>
          </cell>
          <cell r="AK46" t="str">
            <v>IMUDON</v>
          </cell>
          <cell r="AL46">
            <v>0</v>
          </cell>
          <cell r="AM46">
            <v>0</v>
          </cell>
          <cell r="AN46">
            <v>0.1</v>
          </cell>
          <cell r="AO46">
            <v>6948</v>
          </cell>
          <cell r="AP46">
            <v>9120</v>
          </cell>
          <cell r="AQ46">
            <v>0</v>
          </cell>
          <cell r="AR46">
            <v>0</v>
          </cell>
          <cell r="AS46">
            <v>9180</v>
          </cell>
          <cell r="AT46">
            <v>8280</v>
          </cell>
          <cell r="AU46">
            <v>0</v>
          </cell>
          <cell r="AV46">
            <v>0</v>
          </cell>
          <cell r="AW46" t="str">
            <v xml:space="preserve">GANATON </v>
          </cell>
          <cell r="AX46">
            <v>0</v>
          </cell>
          <cell r="AY46">
            <v>0</v>
          </cell>
          <cell r="AZ46">
            <v>0</v>
          </cell>
          <cell r="BA46">
            <v>0.15</v>
          </cell>
          <cell r="BB46">
            <v>1195.2</v>
          </cell>
          <cell r="BC46">
            <v>0</v>
          </cell>
          <cell r="BD46">
            <v>0</v>
          </cell>
          <cell r="BE46">
            <v>0</v>
          </cell>
          <cell r="BF46">
            <v>1660.0000000000002</v>
          </cell>
          <cell r="BG46">
            <v>0</v>
          </cell>
          <cell r="BH46">
            <v>0</v>
          </cell>
          <cell r="BI46">
            <v>0</v>
          </cell>
          <cell r="BJ46">
            <v>178006.79</v>
          </cell>
          <cell r="BK46">
            <v>170395.63999999998</v>
          </cell>
          <cell r="BL46" t="str">
            <v/>
          </cell>
          <cell r="BM46">
            <v>0.96</v>
          </cell>
          <cell r="BO46" t="str">
            <v>Staff</v>
          </cell>
          <cell r="BP46">
            <v>42644</v>
          </cell>
          <cell r="BQ46">
            <v>3</v>
          </cell>
          <cell r="BR46">
            <v>1</v>
          </cell>
          <cell r="BS46">
            <v>3</v>
          </cell>
          <cell r="BT46">
            <v>329604</v>
          </cell>
          <cell r="BU46">
            <v>1</v>
          </cell>
          <cell r="BW46">
            <v>1.028</v>
          </cell>
          <cell r="BX46">
            <v>1.149</v>
          </cell>
          <cell r="BY46">
            <v>0.92</v>
          </cell>
          <cell r="BZ46">
            <v>0.72</v>
          </cell>
          <cell r="CG46">
            <v>1.04</v>
          </cell>
          <cell r="CH46">
            <v>1</v>
          </cell>
          <cell r="CI46">
            <v>1.4</v>
          </cell>
          <cell r="CJ46">
            <v>0</v>
          </cell>
          <cell r="CK46">
            <v>1</v>
          </cell>
        </row>
        <row r="47">
          <cell r="A47" t="str">
            <v>34Q1</v>
          </cell>
          <cell r="B47" t="str">
            <v>Q1</v>
          </cell>
          <cell r="C47">
            <v>34</v>
          </cell>
          <cell r="D47" t="str">
            <v>Khalikova Nuriya</v>
          </cell>
          <cell r="E47" t="str">
            <v>Medical Representative</v>
          </cell>
          <cell r="F47">
            <v>41228</v>
          </cell>
          <cell r="G47" t="str">
            <v/>
          </cell>
          <cell r="H47" t="str">
            <v/>
          </cell>
          <cell r="I47" t="str">
            <v>Line 1</v>
          </cell>
          <cell r="J47" t="str">
            <v>CREON</v>
          </cell>
          <cell r="K47" t="str">
            <v xml:space="preserve">DUPHALAC </v>
          </cell>
          <cell r="L47">
            <v>0</v>
          </cell>
          <cell r="M47">
            <v>0</v>
          </cell>
          <cell r="N47">
            <v>0.5</v>
          </cell>
          <cell r="O47">
            <v>37294.460000000006</v>
          </cell>
          <cell r="P47">
            <v>26493</v>
          </cell>
          <cell r="Q47">
            <v>0</v>
          </cell>
          <cell r="R47">
            <v>0</v>
          </cell>
          <cell r="S47">
            <v>26851.46</v>
          </cell>
          <cell r="T47">
            <v>26335</v>
          </cell>
          <cell r="U47">
            <v>0</v>
          </cell>
          <cell r="V47">
            <v>0</v>
          </cell>
          <cell r="W47" t="str">
            <v>HEPTRAL</v>
          </cell>
          <cell r="X47" t="str">
            <v xml:space="preserve">DUSPATALIN </v>
          </cell>
          <cell r="Y47">
            <v>0</v>
          </cell>
          <cell r="Z47">
            <v>0</v>
          </cell>
          <cell r="AA47">
            <v>0.25</v>
          </cell>
          <cell r="AB47">
            <v>24368.760000000002</v>
          </cell>
          <cell r="AC47">
            <v>7039.5</v>
          </cell>
          <cell r="AD47">
            <v>0</v>
          </cell>
          <cell r="AE47">
            <v>0</v>
          </cell>
          <cell r="AF47">
            <v>17665.7</v>
          </cell>
          <cell r="AG47">
            <v>6859</v>
          </cell>
          <cell r="AH47">
            <v>0</v>
          </cell>
          <cell r="AI47">
            <v>0</v>
          </cell>
          <cell r="AJ47" t="str">
            <v>IRS 19</v>
          </cell>
          <cell r="AK47" t="str">
            <v>IMUDON</v>
          </cell>
          <cell r="AL47">
            <v>0</v>
          </cell>
          <cell r="AM47">
            <v>0</v>
          </cell>
          <cell r="AN47">
            <v>0.1</v>
          </cell>
          <cell r="AO47">
            <v>4692</v>
          </cell>
          <cell r="AP47">
            <v>5748</v>
          </cell>
          <cell r="AQ47">
            <v>0</v>
          </cell>
          <cell r="AR47">
            <v>0</v>
          </cell>
          <cell r="AS47">
            <v>3144</v>
          </cell>
          <cell r="AT47">
            <v>4560</v>
          </cell>
          <cell r="AU47">
            <v>0</v>
          </cell>
          <cell r="AV47">
            <v>0</v>
          </cell>
          <cell r="AW47" t="str">
            <v xml:space="preserve">GANATON </v>
          </cell>
          <cell r="AX47">
            <v>0</v>
          </cell>
          <cell r="AY47">
            <v>0</v>
          </cell>
          <cell r="AZ47">
            <v>0</v>
          </cell>
          <cell r="BA47">
            <v>0.15</v>
          </cell>
          <cell r="BB47">
            <v>647.40000000000009</v>
          </cell>
          <cell r="BC47">
            <v>0</v>
          </cell>
          <cell r="BD47">
            <v>0</v>
          </cell>
          <cell r="BE47">
            <v>0</v>
          </cell>
          <cell r="BF47">
            <v>830.00000000000011</v>
          </cell>
          <cell r="BG47">
            <v>0</v>
          </cell>
          <cell r="BH47">
            <v>0</v>
          </cell>
          <cell r="BI47">
            <v>0</v>
          </cell>
          <cell r="BJ47">
            <v>106283.12</v>
          </cell>
          <cell r="BK47">
            <v>86245.16</v>
          </cell>
          <cell r="BL47" t="str">
            <v/>
          </cell>
          <cell r="BM47">
            <v>0.92</v>
          </cell>
          <cell r="BO47" t="str">
            <v>Staff</v>
          </cell>
          <cell r="BP47">
            <v>41320</v>
          </cell>
          <cell r="BQ47">
            <v>3</v>
          </cell>
          <cell r="BR47">
            <v>1</v>
          </cell>
          <cell r="BS47">
            <v>3</v>
          </cell>
          <cell r="BT47">
            <v>329604</v>
          </cell>
          <cell r="BU47">
            <v>1</v>
          </cell>
          <cell r="BW47">
            <v>1.1990000000000001</v>
          </cell>
          <cell r="BX47">
            <v>1.2809999999999999</v>
          </cell>
          <cell r="BY47">
            <v>1.355</v>
          </cell>
          <cell r="BZ47">
            <v>0.78</v>
          </cell>
          <cell r="CG47">
            <v>1.23</v>
          </cell>
          <cell r="CH47">
            <v>1</v>
          </cell>
          <cell r="CI47">
            <v>2.5</v>
          </cell>
          <cell r="CJ47">
            <v>0</v>
          </cell>
          <cell r="CK47">
            <v>0.5</v>
          </cell>
        </row>
        <row r="48">
          <cell r="A48" t="str">
            <v>35Q1</v>
          </cell>
          <cell r="B48" t="str">
            <v>Q1</v>
          </cell>
          <cell r="C48">
            <v>35</v>
          </cell>
          <cell r="D48" t="str">
            <v>Kuchshanova Akmaral</v>
          </cell>
          <cell r="E48" t="str">
            <v>Medical Representative</v>
          </cell>
          <cell r="F48">
            <v>41739</v>
          </cell>
          <cell r="G48" t="str">
            <v/>
          </cell>
          <cell r="H48" t="str">
            <v/>
          </cell>
          <cell r="I48" t="str">
            <v>Line 2 (big cities)</v>
          </cell>
          <cell r="J48" t="str">
            <v>CREON</v>
          </cell>
          <cell r="K48" t="str">
            <v xml:space="preserve">DUPHALAC </v>
          </cell>
          <cell r="L48">
            <v>0</v>
          </cell>
          <cell r="M48">
            <v>0</v>
          </cell>
          <cell r="N48">
            <v>0.1</v>
          </cell>
          <cell r="O48">
            <v>21136.1535</v>
          </cell>
          <cell r="P48">
            <v>9970.4000000000015</v>
          </cell>
          <cell r="Q48">
            <v>0</v>
          </cell>
          <cell r="R48">
            <v>0</v>
          </cell>
          <cell r="S48">
            <v>17026.947</v>
          </cell>
          <cell r="T48">
            <v>9257.625</v>
          </cell>
          <cell r="U48">
            <v>0</v>
          </cell>
          <cell r="V48">
            <v>0</v>
          </cell>
          <cell r="W48" t="str">
            <v>PHYSIOTENS</v>
          </cell>
          <cell r="X48" t="str">
            <v>TRICOR /LIPANTHYL</v>
          </cell>
          <cell r="Y48" t="str">
            <v>OMACOR</v>
          </cell>
          <cell r="Z48">
            <v>0</v>
          </cell>
          <cell r="AA48">
            <v>0.3</v>
          </cell>
          <cell r="AB48">
            <v>282509.5</v>
          </cell>
          <cell r="AC48">
            <v>9728.5499999999993</v>
          </cell>
          <cell r="AD48">
            <v>4712</v>
          </cell>
          <cell r="AE48">
            <v>0</v>
          </cell>
          <cell r="AF48">
            <v>148192.5</v>
          </cell>
          <cell r="AG48">
            <v>9678.66</v>
          </cell>
          <cell r="AH48">
            <v>9951</v>
          </cell>
          <cell r="AI48">
            <v>0</v>
          </cell>
          <cell r="AJ48" t="str">
            <v>HEPTRAL</v>
          </cell>
          <cell r="AK48">
            <v>0</v>
          </cell>
          <cell r="AL48">
            <v>0</v>
          </cell>
          <cell r="AM48">
            <v>0</v>
          </cell>
          <cell r="AN48">
            <v>0.3</v>
          </cell>
          <cell r="AO48">
            <v>376824.24</v>
          </cell>
          <cell r="AP48">
            <v>0</v>
          </cell>
          <cell r="AQ48">
            <v>0</v>
          </cell>
          <cell r="AR48">
            <v>0</v>
          </cell>
          <cell r="AS48">
            <v>261353.30000000002</v>
          </cell>
          <cell r="AT48">
            <v>0</v>
          </cell>
          <cell r="AU48">
            <v>0</v>
          </cell>
          <cell r="AV48">
            <v>0</v>
          </cell>
          <cell r="AW48" t="str">
            <v>BETASERC</v>
          </cell>
          <cell r="AX48">
            <v>0</v>
          </cell>
          <cell r="AY48">
            <v>0</v>
          </cell>
          <cell r="AZ48">
            <v>0</v>
          </cell>
          <cell r="BA48">
            <v>0.3000000000000001</v>
          </cell>
          <cell r="BB48">
            <v>90583.560000000012</v>
          </cell>
          <cell r="BC48">
            <v>0</v>
          </cell>
          <cell r="BD48">
            <v>0</v>
          </cell>
          <cell r="BE48">
            <v>0</v>
          </cell>
          <cell r="BF48">
            <v>73247.38</v>
          </cell>
          <cell r="BG48">
            <v>0</v>
          </cell>
          <cell r="BH48">
            <v>0</v>
          </cell>
          <cell r="BI48">
            <v>0</v>
          </cell>
          <cell r="BJ48">
            <v>795464.40350000001</v>
          </cell>
          <cell r="BK48">
            <v>528707.41200000001</v>
          </cell>
          <cell r="BL48" t="str">
            <v/>
          </cell>
          <cell r="BM48">
            <v>1</v>
          </cell>
          <cell r="BO48" t="str">
            <v>Staff</v>
          </cell>
          <cell r="BP48">
            <v>41830</v>
          </cell>
          <cell r="BQ48">
            <v>3</v>
          </cell>
          <cell r="BR48">
            <v>1</v>
          </cell>
          <cell r="BS48">
            <v>3</v>
          </cell>
          <cell r="BT48">
            <v>329604</v>
          </cell>
          <cell r="BU48">
            <v>1</v>
          </cell>
          <cell r="BW48">
            <v>1.1830000000000001</v>
          </cell>
          <cell r="BX48">
            <v>1.7689999999999999</v>
          </cell>
          <cell r="BY48">
            <v>1.4419999999999999</v>
          </cell>
          <cell r="BZ48">
            <v>1.2370000000000001</v>
          </cell>
          <cell r="CG48">
            <v>1.5</v>
          </cell>
          <cell r="CH48">
            <v>1</v>
          </cell>
          <cell r="CI48">
            <v>2.5</v>
          </cell>
          <cell r="CJ48">
            <v>0</v>
          </cell>
          <cell r="CK48">
            <v>1</v>
          </cell>
        </row>
        <row r="49">
          <cell r="A49" t="str">
            <v>36Q1</v>
          </cell>
          <cell r="B49" t="str">
            <v>Q1</v>
          </cell>
          <cell r="C49">
            <v>36</v>
          </cell>
          <cell r="D49" t="str">
            <v>Kussainova Dilara</v>
          </cell>
          <cell r="E49" t="str">
            <v>Medical Representative</v>
          </cell>
          <cell r="F49">
            <v>39776</v>
          </cell>
          <cell r="G49" t="str">
            <v/>
          </cell>
          <cell r="H49" t="str">
            <v/>
          </cell>
          <cell r="I49" t="str">
            <v>Line 2 (big cities)</v>
          </cell>
          <cell r="J49" t="str">
            <v>CREON</v>
          </cell>
          <cell r="K49" t="str">
            <v xml:space="preserve">DUPHALAC </v>
          </cell>
          <cell r="L49">
            <v>0</v>
          </cell>
          <cell r="M49">
            <v>0</v>
          </cell>
          <cell r="N49">
            <v>0.1</v>
          </cell>
          <cell r="O49">
            <v>8430.5022499999995</v>
          </cell>
          <cell r="P49">
            <v>3936.7250000000004</v>
          </cell>
          <cell r="Q49">
            <v>0</v>
          </cell>
          <cell r="R49">
            <v>0</v>
          </cell>
          <cell r="S49">
            <v>7945.2600000000011</v>
          </cell>
          <cell r="T49">
            <v>4629.05</v>
          </cell>
          <cell r="U49">
            <v>0</v>
          </cell>
          <cell r="V49">
            <v>0</v>
          </cell>
          <cell r="W49" t="str">
            <v>PHYSIOTENS</v>
          </cell>
          <cell r="X49" t="str">
            <v>TRICOR /LIPANTHYL</v>
          </cell>
          <cell r="Y49" t="str">
            <v>OMACOR</v>
          </cell>
          <cell r="Z49">
            <v>0</v>
          </cell>
          <cell r="AA49">
            <v>0.3</v>
          </cell>
          <cell r="AB49">
            <v>78477</v>
          </cell>
          <cell r="AC49">
            <v>1663</v>
          </cell>
          <cell r="AD49">
            <v>1364</v>
          </cell>
          <cell r="AE49">
            <v>0</v>
          </cell>
          <cell r="AF49">
            <v>78135</v>
          </cell>
          <cell r="AG49">
            <v>3475.6699999999996</v>
          </cell>
          <cell r="AH49">
            <v>6324</v>
          </cell>
          <cell r="AI49">
            <v>0</v>
          </cell>
          <cell r="AJ49" t="str">
            <v>HEPTRAL</v>
          </cell>
          <cell r="AK49">
            <v>0</v>
          </cell>
          <cell r="AL49">
            <v>0</v>
          </cell>
          <cell r="AM49">
            <v>0</v>
          </cell>
          <cell r="AN49">
            <v>0.3</v>
          </cell>
          <cell r="AO49">
            <v>98729.800000000017</v>
          </cell>
          <cell r="AP49">
            <v>0</v>
          </cell>
          <cell r="AQ49">
            <v>0</v>
          </cell>
          <cell r="AR49">
            <v>0</v>
          </cell>
          <cell r="AS49">
            <v>109098.08000000002</v>
          </cell>
          <cell r="AT49">
            <v>0</v>
          </cell>
          <cell r="AU49">
            <v>0</v>
          </cell>
          <cell r="AV49">
            <v>0</v>
          </cell>
          <cell r="AW49" t="str">
            <v>BETASERC</v>
          </cell>
          <cell r="AX49">
            <v>0</v>
          </cell>
          <cell r="AY49">
            <v>0</v>
          </cell>
          <cell r="AZ49">
            <v>0</v>
          </cell>
          <cell r="BA49">
            <v>0.3000000000000001</v>
          </cell>
          <cell r="BB49">
            <v>32374.280000000002</v>
          </cell>
          <cell r="BC49">
            <v>0</v>
          </cell>
          <cell r="BD49">
            <v>0</v>
          </cell>
          <cell r="BE49">
            <v>0</v>
          </cell>
          <cell r="BF49">
            <v>30519.360000000001</v>
          </cell>
          <cell r="BG49">
            <v>0</v>
          </cell>
          <cell r="BH49">
            <v>0</v>
          </cell>
          <cell r="BI49">
            <v>0</v>
          </cell>
          <cell r="BJ49">
            <v>224975.30725000001</v>
          </cell>
          <cell r="BK49">
            <v>240126.41999999998</v>
          </cell>
          <cell r="BL49" t="str">
            <v/>
          </cell>
          <cell r="BM49">
            <v>0.99</v>
          </cell>
          <cell r="BO49" t="str">
            <v>Staff</v>
          </cell>
          <cell r="BP49">
            <v>39868</v>
          </cell>
          <cell r="BQ49">
            <v>3</v>
          </cell>
          <cell r="BR49">
            <v>1</v>
          </cell>
          <cell r="BS49">
            <v>3</v>
          </cell>
          <cell r="BT49">
            <v>329604</v>
          </cell>
          <cell r="BU49">
            <v>1</v>
          </cell>
          <cell r="BW49">
            <v>0.98399999999999999</v>
          </cell>
          <cell r="BX49">
            <v>0.92700000000000005</v>
          </cell>
          <cell r="BY49">
            <v>0.90500000000000003</v>
          </cell>
          <cell r="BZ49">
            <v>1.0609999999999999</v>
          </cell>
          <cell r="CG49">
            <v>0.94</v>
          </cell>
          <cell r="CH49">
            <v>1</v>
          </cell>
          <cell r="CI49">
            <v>0.7</v>
          </cell>
          <cell r="CJ49">
            <v>0</v>
          </cell>
          <cell r="CK49">
            <v>1</v>
          </cell>
        </row>
        <row r="50">
          <cell r="A50" t="str">
            <v>37Q1</v>
          </cell>
          <cell r="B50" t="str">
            <v>Q1</v>
          </cell>
          <cell r="C50">
            <v>37</v>
          </cell>
          <cell r="D50" t="str">
            <v>Kutdussova Liliya</v>
          </cell>
          <cell r="E50" t="str">
            <v>Medical Representative</v>
          </cell>
          <cell r="F50">
            <v>41043</v>
          </cell>
          <cell r="G50" t="str">
            <v/>
          </cell>
          <cell r="H50" t="str">
            <v/>
          </cell>
          <cell r="I50" t="str">
            <v>Line 2 (big cities)</v>
          </cell>
          <cell r="J50" t="str">
            <v>CREON</v>
          </cell>
          <cell r="K50" t="str">
            <v xml:space="preserve">DUPHALAC </v>
          </cell>
          <cell r="L50">
            <v>0</v>
          </cell>
          <cell r="M50">
            <v>0</v>
          </cell>
          <cell r="N50">
            <v>0.1</v>
          </cell>
          <cell r="O50">
            <v>3277.7780000000002</v>
          </cell>
          <cell r="P50">
            <v>2154.4749999999999</v>
          </cell>
          <cell r="Q50">
            <v>0</v>
          </cell>
          <cell r="R50">
            <v>0</v>
          </cell>
          <cell r="S50">
            <v>2577.1635000000001</v>
          </cell>
          <cell r="T50">
            <v>2040.2750000000001</v>
          </cell>
          <cell r="U50">
            <v>0</v>
          </cell>
          <cell r="V50">
            <v>0</v>
          </cell>
          <cell r="W50" t="str">
            <v>PHYSIOTENS</v>
          </cell>
          <cell r="X50" t="str">
            <v>TRICOR /LIPANTHYL</v>
          </cell>
          <cell r="Y50" t="str">
            <v>OMACOR</v>
          </cell>
          <cell r="Z50">
            <v>0</v>
          </cell>
          <cell r="AA50">
            <v>0.3</v>
          </cell>
          <cell r="AB50">
            <v>25549</v>
          </cell>
          <cell r="AC50">
            <v>764.9799999999999</v>
          </cell>
          <cell r="AD50">
            <v>1581</v>
          </cell>
          <cell r="AE50">
            <v>0</v>
          </cell>
          <cell r="AF50">
            <v>21605</v>
          </cell>
          <cell r="AG50">
            <v>2494.5</v>
          </cell>
          <cell r="AH50">
            <v>2821</v>
          </cell>
          <cell r="AI50">
            <v>0</v>
          </cell>
          <cell r="AJ50" t="str">
            <v>HEPTRAL</v>
          </cell>
          <cell r="AK50">
            <v>0</v>
          </cell>
          <cell r="AL50">
            <v>0</v>
          </cell>
          <cell r="AM50">
            <v>0</v>
          </cell>
          <cell r="AN50">
            <v>0.3</v>
          </cell>
          <cell r="AO50">
            <v>39194.740000000005</v>
          </cell>
          <cell r="AP50">
            <v>0</v>
          </cell>
          <cell r="AQ50">
            <v>0</v>
          </cell>
          <cell r="AR50">
            <v>0</v>
          </cell>
          <cell r="AS50">
            <v>38699.440000000002</v>
          </cell>
          <cell r="AT50">
            <v>0</v>
          </cell>
          <cell r="AU50">
            <v>0</v>
          </cell>
          <cell r="AV50">
            <v>0</v>
          </cell>
          <cell r="AW50" t="str">
            <v>BETASERC</v>
          </cell>
          <cell r="AX50">
            <v>0</v>
          </cell>
          <cell r="AY50">
            <v>0</v>
          </cell>
          <cell r="AZ50">
            <v>0</v>
          </cell>
          <cell r="BA50">
            <v>0.3000000000000001</v>
          </cell>
          <cell r="BB50">
            <v>17370.34</v>
          </cell>
          <cell r="BC50">
            <v>0</v>
          </cell>
          <cell r="BD50">
            <v>0</v>
          </cell>
          <cell r="BE50">
            <v>0</v>
          </cell>
          <cell r="BF50">
            <v>16528.559999999998</v>
          </cell>
          <cell r="BG50">
            <v>0</v>
          </cell>
          <cell r="BH50">
            <v>0</v>
          </cell>
          <cell r="BI50">
            <v>0</v>
          </cell>
          <cell r="BJ50">
            <v>89892.312999999995</v>
          </cell>
          <cell r="BK50">
            <v>86765.938500000004</v>
          </cell>
          <cell r="BL50" t="str">
            <v/>
          </cell>
          <cell r="BM50">
            <v>0.99</v>
          </cell>
          <cell r="BO50" t="str">
            <v>Staff</v>
          </cell>
          <cell r="BP50">
            <v>41135</v>
          </cell>
          <cell r="BQ50">
            <v>3</v>
          </cell>
          <cell r="BR50">
            <v>1</v>
          </cell>
          <cell r="BS50">
            <v>3</v>
          </cell>
          <cell r="BT50">
            <v>329604</v>
          </cell>
          <cell r="BU50">
            <v>1</v>
          </cell>
          <cell r="BW50">
            <v>1.1759999999999999</v>
          </cell>
          <cell r="BX50">
            <v>1.036</v>
          </cell>
          <cell r="BY50">
            <v>1.0129999999999999</v>
          </cell>
          <cell r="BZ50">
            <v>1.0509999999999999</v>
          </cell>
          <cell r="CG50">
            <v>1.04</v>
          </cell>
          <cell r="CH50">
            <v>1</v>
          </cell>
          <cell r="CI50">
            <v>1.4</v>
          </cell>
          <cell r="CJ50">
            <v>0</v>
          </cell>
          <cell r="CK50">
            <v>1</v>
          </cell>
        </row>
        <row r="51">
          <cell r="A51" t="str">
            <v>38Q1</v>
          </cell>
          <cell r="B51" t="str">
            <v>Q1</v>
          </cell>
          <cell r="C51">
            <v>38</v>
          </cell>
          <cell r="D51" t="str">
            <v>Kutlymuratov Assylatdin</v>
          </cell>
          <cell r="E51" t="str">
            <v>Medical Representative</v>
          </cell>
          <cell r="F51">
            <v>42348</v>
          </cell>
          <cell r="G51" t="str">
            <v/>
          </cell>
          <cell r="H51" t="str">
            <v/>
          </cell>
          <cell r="I51" t="str">
            <v>Line 2 (big cities)</v>
          </cell>
          <cell r="J51" t="str">
            <v>CREON</v>
          </cell>
          <cell r="K51" t="str">
            <v xml:space="preserve">DUPHALAC </v>
          </cell>
          <cell r="L51">
            <v>0</v>
          </cell>
          <cell r="M51">
            <v>0</v>
          </cell>
          <cell r="N51">
            <v>0.1</v>
          </cell>
          <cell r="O51">
            <v>21136.1535</v>
          </cell>
          <cell r="P51">
            <v>9970.4000000000015</v>
          </cell>
          <cell r="Q51">
            <v>0</v>
          </cell>
          <cell r="R51">
            <v>0</v>
          </cell>
          <cell r="S51">
            <v>17026.947</v>
          </cell>
          <cell r="T51">
            <v>9257.625</v>
          </cell>
          <cell r="U51">
            <v>0</v>
          </cell>
          <cell r="V51">
            <v>0</v>
          </cell>
          <cell r="W51" t="str">
            <v>PHYSIOTENS</v>
          </cell>
          <cell r="X51" t="str">
            <v>TRICOR /LIPANTHYL</v>
          </cell>
          <cell r="Y51" t="str">
            <v>OMACOR</v>
          </cell>
          <cell r="Z51">
            <v>0</v>
          </cell>
          <cell r="AA51">
            <v>0.3</v>
          </cell>
          <cell r="AB51">
            <v>282509.5</v>
          </cell>
          <cell r="AC51">
            <v>9728.5499999999993</v>
          </cell>
          <cell r="AD51">
            <v>4712</v>
          </cell>
          <cell r="AE51">
            <v>0</v>
          </cell>
          <cell r="AF51">
            <v>148192.5</v>
          </cell>
          <cell r="AG51">
            <v>9678.66</v>
          </cell>
          <cell r="AH51">
            <v>9951</v>
          </cell>
          <cell r="AI51">
            <v>0</v>
          </cell>
          <cell r="AJ51" t="str">
            <v>HEPTRAL</v>
          </cell>
          <cell r="AK51">
            <v>0</v>
          </cell>
          <cell r="AL51">
            <v>0</v>
          </cell>
          <cell r="AM51">
            <v>0</v>
          </cell>
          <cell r="AN51">
            <v>0.3</v>
          </cell>
          <cell r="AO51">
            <v>376824.24</v>
          </cell>
          <cell r="AP51">
            <v>0</v>
          </cell>
          <cell r="AQ51">
            <v>0</v>
          </cell>
          <cell r="AR51">
            <v>0</v>
          </cell>
          <cell r="AS51">
            <v>261353.30000000002</v>
          </cell>
          <cell r="AT51">
            <v>0</v>
          </cell>
          <cell r="AU51">
            <v>0</v>
          </cell>
          <cell r="AV51">
            <v>0</v>
          </cell>
          <cell r="AW51" t="str">
            <v>BETASERC</v>
          </cell>
          <cell r="AX51">
            <v>0</v>
          </cell>
          <cell r="AY51">
            <v>0</v>
          </cell>
          <cell r="AZ51">
            <v>0</v>
          </cell>
          <cell r="BA51">
            <v>0.3000000000000001</v>
          </cell>
          <cell r="BB51">
            <v>90583.560000000012</v>
          </cell>
          <cell r="BC51">
            <v>0</v>
          </cell>
          <cell r="BD51">
            <v>0</v>
          </cell>
          <cell r="BE51">
            <v>0</v>
          </cell>
          <cell r="BF51">
            <v>73247.38</v>
          </cell>
          <cell r="BG51">
            <v>0</v>
          </cell>
          <cell r="BH51">
            <v>0</v>
          </cell>
          <cell r="BI51">
            <v>0</v>
          </cell>
          <cell r="BJ51">
            <v>795464.40350000001</v>
          </cell>
          <cell r="BK51">
            <v>528707.41200000001</v>
          </cell>
          <cell r="BL51" t="str">
            <v/>
          </cell>
          <cell r="BM51">
            <v>0.94</v>
          </cell>
          <cell r="BO51" t="str">
            <v>Staff</v>
          </cell>
          <cell r="BP51">
            <v>42439</v>
          </cell>
          <cell r="BQ51">
            <v>3</v>
          </cell>
          <cell r="BR51">
            <v>1</v>
          </cell>
          <cell r="BS51">
            <v>3</v>
          </cell>
          <cell r="BT51">
            <v>329604</v>
          </cell>
          <cell r="BU51">
            <v>1</v>
          </cell>
          <cell r="BW51">
            <v>1.1830000000000001</v>
          </cell>
          <cell r="BX51">
            <v>1.7689999999999999</v>
          </cell>
          <cell r="BY51">
            <v>1.4419999999999999</v>
          </cell>
          <cell r="BZ51">
            <v>1.2370000000000001</v>
          </cell>
          <cell r="CG51">
            <v>1.5</v>
          </cell>
          <cell r="CH51">
            <v>1</v>
          </cell>
          <cell r="CI51">
            <v>2.5</v>
          </cell>
          <cell r="CJ51">
            <v>0</v>
          </cell>
          <cell r="CK51">
            <v>0.5</v>
          </cell>
        </row>
        <row r="52">
          <cell r="A52" t="str">
            <v>39Q1</v>
          </cell>
          <cell r="B52" t="str">
            <v>Q1</v>
          </cell>
          <cell r="C52">
            <v>39</v>
          </cell>
          <cell r="D52" t="str">
            <v>Kuxa Anna</v>
          </cell>
          <cell r="E52" t="str">
            <v>Regional Manager</v>
          </cell>
          <cell r="F52">
            <v>40686</v>
          </cell>
          <cell r="G52" t="str">
            <v/>
          </cell>
          <cell r="H52" t="str">
            <v/>
          </cell>
          <cell r="I52" t="str">
            <v>Regional Manager-1</v>
          </cell>
          <cell r="J52" t="str">
            <v>GASTRO</v>
          </cell>
          <cell r="K52">
            <v>0</v>
          </cell>
          <cell r="L52">
            <v>0</v>
          </cell>
          <cell r="M52">
            <v>0</v>
          </cell>
          <cell r="N52">
            <v>0.5</v>
          </cell>
          <cell r="O52">
            <v>1128449.26</v>
          </cell>
          <cell r="P52">
            <v>0</v>
          </cell>
          <cell r="Q52">
            <v>0</v>
          </cell>
          <cell r="R52">
            <v>0</v>
          </cell>
          <cell r="S52">
            <v>933190.51</v>
          </cell>
          <cell r="T52">
            <v>0</v>
          </cell>
          <cell r="U52">
            <v>0</v>
          </cell>
          <cell r="V52">
            <v>0</v>
          </cell>
          <cell r="W52" t="str">
            <v>GYNECOLOGY</v>
          </cell>
          <cell r="X52">
            <v>0</v>
          </cell>
          <cell r="Y52">
            <v>0</v>
          </cell>
          <cell r="Z52">
            <v>0</v>
          </cell>
          <cell r="AA52">
            <v>0.25</v>
          </cell>
          <cell r="AB52">
            <v>367613.88999999996</v>
          </cell>
          <cell r="AC52">
            <v>0</v>
          </cell>
          <cell r="AD52">
            <v>0</v>
          </cell>
          <cell r="AE52">
            <v>0</v>
          </cell>
          <cell r="AF52">
            <v>401915.06</v>
          </cell>
          <cell r="AG52">
            <v>0</v>
          </cell>
          <cell r="AH52">
            <v>0</v>
          </cell>
          <cell r="AI52">
            <v>0</v>
          </cell>
          <cell r="AJ52" t="str">
            <v>CARDIO-NEURO</v>
          </cell>
          <cell r="AK52">
            <v>0</v>
          </cell>
          <cell r="AL52">
            <v>0</v>
          </cell>
          <cell r="AM52">
            <v>0</v>
          </cell>
          <cell r="AN52">
            <v>0.2</v>
          </cell>
          <cell r="AO52">
            <v>448685.99</v>
          </cell>
          <cell r="AP52">
            <v>0</v>
          </cell>
          <cell r="AQ52">
            <v>0</v>
          </cell>
          <cell r="AR52">
            <v>0</v>
          </cell>
          <cell r="AS52">
            <v>311587.30000000005</v>
          </cell>
          <cell r="AT52">
            <v>0</v>
          </cell>
          <cell r="AU52">
            <v>0</v>
          </cell>
          <cell r="AV52">
            <v>0</v>
          </cell>
          <cell r="AW52" t="str">
            <v>IMMUNOLOGY</v>
          </cell>
          <cell r="AX52">
            <v>0</v>
          </cell>
          <cell r="AY52">
            <v>0</v>
          </cell>
          <cell r="AZ52">
            <v>0</v>
          </cell>
          <cell r="BA52">
            <v>4.9999999999999989E-2</v>
          </cell>
          <cell r="BB52">
            <v>70944</v>
          </cell>
          <cell r="BC52">
            <v>0</v>
          </cell>
          <cell r="BD52">
            <v>0</v>
          </cell>
          <cell r="BE52">
            <v>0</v>
          </cell>
          <cell r="BF52">
            <v>83652</v>
          </cell>
          <cell r="BG52">
            <v>0</v>
          </cell>
          <cell r="BH52">
            <v>0</v>
          </cell>
          <cell r="BI52">
            <v>0</v>
          </cell>
          <cell r="BJ52">
            <v>2015693.14</v>
          </cell>
          <cell r="BK52">
            <v>1730344.87</v>
          </cell>
          <cell r="BL52">
            <v>0.64666666666666661</v>
          </cell>
          <cell r="BM52">
            <v>0.92</v>
          </cell>
          <cell r="BO52" t="str">
            <v>Staff</v>
          </cell>
          <cell r="BP52">
            <v>40778</v>
          </cell>
          <cell r="BQ52">
            <v>3</v>
          </cell>
          <cell r="BR52">
            <v>1</v>
          </cell>
          <cell r="BS52">
            <v>3</v>
          </cell>
          <cell r="BT52">
            <v>605000</v>
          </cell>
          <cell r="BU52">
            <v>1</v>
          </cell>
          <cell r="BW52">
            <v>1.2090000000000001</v>
          </cell>
          <cell r="BX52">
            <v>0.91500000000000004</v>
          </cell>
          <cell r="BY52">
            <v>1.44</v>
          </cell>
          <cell r="BZ52">
            <v>0.84799999999999998</v>
          </cell>
          <cell r="CG52">
            <v>1.1599999999999999</v>
          </cell>
          <cell r="CH52">
            <v>1</v>
          </cell>
          <cell r="CI52">
            <v>2.2999999999999998</v>
          </cell>
          <cell r="CJ52">
            <v>0</v>
          </cell>
          <cell r="CK52">
            <v>0.5</v>
          </cell>
        </row>
        <row r="53">
          <cell r="A53" t="str">
            <v>40Q1</v>
          </cell>
          <cell r="B53" t="str">
            <v>Q1</v>
          </cell>
          <cell r="C53">
            <v>40</v>
          </cell>
          <cell r="D53" t="str">
            <v>Kuzikeyeva Dinara</v>
          </cell>
          <cell r="E53" t="str">
            <v>Regional Manager</v>
          </cell>
          <cell r="F53">
            <v>40983</v>
          </cell>
          <cell r="G53" t="str">
            <v/>
          </cell>
          <cell r="H53" t="str">
            <v/>
          </cell>
          <cell r="I53" t="str">
            <v>Regional Manager-1</v>
          </cell>
          <cell r="J53" t="str">
            <v>GASTRO</v>
          </cell>
          <cell r="K53">
            <v>0</v>
          </cell>
          <cell r="L53">
            <v>0</v>
          </cell>
          <cell r="M53">
            <v>0</v>
          </cell>
          <cell r="N53">
            <v>0.5</v>
          </cell>
          <cell r="O53">
            <v>300811.95</v>
          </cell>
          <cell r="P53">
            <v>0</v>
          </cell>
          <cell r="Q53">
            <v>0</v>
          </cell>
          <cell r="R53">
            <v>0</v>
          </cell>
          <cell r="S53">
            <v>265094.83999999997</v>
          </cell>
          <cell r="T53">
            <v>0</v>
          </cell>
          <cell r="U53">
            <v>0</v>
          </cell>
          <cell r="V53">
            <v>0</v>
          </cell>
          <cell r="W53" t="str">
            <v>GYNECOLOGY</v>
          </cell>
          <cell r="X53">
            <v>0</v>
          </cell>
          <cell r="Y53">
            <v>0</v>
          </cell>
          <cell r="Z53">
            <v>0</v>
          </cell>
          <cell r="AA53">
            <v>0.25</v>
          </cell>
          <cell r="AB53">
            <v>97935</v>
          </cell>
          <cell r="AF53">
            <v>114679</v>
          </cell>
          <cell r="AJ53" t="str">
            <v>CARDIO-NEURO</v>
          </cell>
          <cell r="AK53">
            <v>0</v>
          </cell>
          <cell r="AL53">
            <v>0</v>
          </cell>
          <cell r="AM53">
            <v>0</v>
          </cell>
          <cell r="AN53">
            <v>0.2</v>
          </cell>
          <cell r="AO53">
            <v>194568</v>
          </cell>
          <cell r="AS53">
            <v>169373</v>
          </cell>
          <cell r="AW53" t="str">
            <v>IMMUNOLOGY</v>
          </cell>
          <cell r="AX53">
            <v>0</v>
          </cell>
          <cell r="AY53">
            <v>0</v>
          </cell>
          <cell r="AZ53">
            <v>0</v>
          </cell>
          <cell r="BA53">
            <v>4.9999999999999989E-2</v>
          </cell>
          <cell r="BB53">
            <v>19752</v>
          </cell>
          <cell r="BF53">
            <v>23184</v>
          </cell>
          <cell r="BJ53">
            <v>613066.94999999995</v>
          </cell>
          <cell r="BK53">
            <v>572330.84</v>
          </cell>
          <cell r="BL53">
            <v>0.57999999999999996</v>
          </cell>
          <cell r="BM53">
            <v>0.95</v>
          </cell>
          <cell r="BO53" t="str">
            <v>Staff</v>
          </cell>
          <cell r="BP53">
            <v>41075</v>
          </cell>
          <cell r="BQ53">
            <v>3</v>
          </cell>
          <cell r="BR53">
            <v>1</v>
          </cell>
          <cell r="BS53">
            <v>3</v>
          </cell>
          <cell r="BT53">
            <v>605000</v>
          </cell>
          <cell r="BU53">
            <v>1</v>
          </cell>
          <cell r="BW53">
            <v>1.135</v>
          </cell>
          <cell r="BX53">
            <v>0.85399999999999998</v>
          </cell>
          <cell r="BY53">
            <v>1.149</v>
          </cell>
          <cell r="BZ53">
            <v>0.85199999999999998</v>
          </cell>
          <cell r="CG53">
            <v>1.07</v>
          </cell>
          <cell r="CH53">
            <v>1</v>
          </cell>
          <cell r="CI53">
            <v>1.7</v>
          </cell>
          <cell r="CJ53">
            <v>0</v>
          </cell>
          <cell r="CK53">
            <v>1</v>
          </cell>
        </row>
        <row r="54">
          <cell r="A54" t="str">
            <v>41Q1</v>
          </cell>
          <cell r="B54" t="str">
            <v>Q1</v>
          </cell>
          <cell r="C54">
            <v>41</v>
          </cell>
          <cell r="D54" t="str">
            <v>Kuznetsova Natalya</v>
          </cell>
          <cell r="E54" t="str">
            <v>Medical Representative</v>
          </cell>
          <cell r="F54">
            <v>41652</v>
          </cell>
          <cell r="G54" t="str">
            <v/>
          </cell>
          <cell r="H54" t="str">
            <v/>
          </cell>
          <cell r="I54" t="str">
            <v>Line 2 (big cities)</v>
          </cell>
          <cell r="J54" t="str">
            <v>CREON</v>
          </cell>
          <cell r="K54" t="str">
            <v xml:space="preserve">DUPHALAC </v>
          </cell>
          <cell r="L54">
            <v>0</v>
          </cell>
          <cell r="M54">
            <v>0</v>
          </cell>
          <cell r="N54">
            <v>0.1</v>
          </cell>
          <cell r="O54">
            <v>6032</v>
          </cell>
          <cell r="P54">
            <v>3753</v>
          </cell>
          <cell r="Q54">
            <v>0</v>
          </cell>
          <cell r="R54">
            <v>0</v>
          </cell>
          <cell r="S54">
            <v>5398</v>
          </cell>
          <cell r="T54">
            <v>3379</v>
          </cell>
          <cell r="U54">
            <v>0</v>
          </cell>
          <cell r="V54">
            <v>0</v>
          </cell>
          <cell r="W54" t="str">
            <v>PHYSIOTENS</v>
          </cell>
          <cell r="X54" t="str">
            <v>TRICOR /LIPANTHYL</v>
          </cell>
          <cell r="Y54" t="str">
            <v>OMACOR</v>
          </cell>
          <cell r="Z54">
            <v>0</v>
          </cell>
          <cell r="AA54">
            <v>0.3</v>
          </cell>
          <cell r="AB54">
            <v>91483</v>
          </cell>
          <cell r="AC54">
            <v>1048</v>
          </cell>
          <cell r="AD54">
            <v>93</v>
          </cell>
          <cell r="AF54">
            <v>66071</v>
          </cell>
          <cell r="AG54">
            <v>2594</v>
          </cell>
          <cell r="AH54">
            <v>1922</v>
          </cell>
          <cell r="AJ54" t="str">
            <v>HEPTRAL</v>
          </cell>
          <cell r="AK54">
            <v>0</v>
          </cell>
          <cell r="AL54">
            <v>0</v>
          </cell>
          <cell r="AM54">
            <v>0</v>
          </cell>
          <cell r="AN54">
            <v>0.3</v>
          </cell>
          <cell r="AO54">
            <v>62989</v>
          </cell>
          <cell r="AS54">
            <v>73172</v>
          </cell>
          <cell r="AW54" t="str">
            <v>BETASERC</v>
          </cell>
          <cell r="AX54">
            <v>0</v>
          </cell>
          <cell r="AY54">
            <v>0</v>
          </cell>
          <cell r="AZ54">
            <v>0</v>
          </cell>
          <cell r="BA54">
            <v>0.3000000000000001</v>
          </cell>
          <cell r="BB54">
            <v>49729</v>
          </cell>
          <cell r="BF54">
            <v>31797</v>
          </cell>
          <cell r="BJ54">
            <v>215127</v>
          </cell>
          <cell r="BK54">
            <v>184333</v>
          </cell>
          <cell r="BL54" t="str">
            <v/>
          </cell>
          <cell r="BM54">
            <v>0.99</v>
          </cell>
          <cell r="BO54" t="str">
            <v>Staff</v>
          </cell>
          <cell r="BP54">
            <v>41742</v>
          </cell>
          <cell r="BQ54">
            <v>3</v>
          </cell>
          <cell r="BR54">
            <v>1</v>
          </cell>
          <cell r="BS54">
            <v>3</v>
          </cell>
          <cell r="BT54">
            <v>329604</v>
          </cell>
          <cell r="BU54">
            <v>1</v>
          </cell>
          <cell r="BW54">
            <v>1.115</v>
          </cell>
          <cell r="BX54">
            <v>1.3120000000000001</v>
          </cell>
          <cell r="BY54">
            <v>0.86099999999999999</v>
          </cell>
          <cell r="BZ54">
            <v>1.5640000000000001</v>
          </cell>
          <cell r="CG54">
            <v>1.17</v>
          </cell>
          <cell r="CH54">
            <v>1</v>
          </cell>
          <cell r="CI54">
            <v>2.35</v>
          </cell>
          <cell r="CJ54">
            <v>0</v>
          </cell>
          <cell r="CK54">
            <v>1</v>
          </cell>
        </row>
        <row r="55">
          <cell r="A55" t="str">
            <v>42Q1</v>
          </cell>
          <cell r="B55" t="str">
            <v>Q1</v>
          </cell>
          <cell r="C55">
            <v>42</v>
          </cell>
          <cell r="D55" t="str">
            <v>Litvinenko Tatyana</v>
          </cell>
          <cell r="E55" t="str">
            <v>Pharm Representative</v>
          </cell>
          <cell r="F55">
            <v>41008</v>
          </cell>
          <cell r="G55" t="str">
            <v/>
          </cell>
          <cell r="H55" t="str">
            <v/>
          </cell>
          <cell r="I55" t="str">
            <v>Pharma line</v>
          </cell>
          <cell r="J55" t="str">
            <v>CREON</v>
          </cell>
          <cell r="K55">
            <v>0</v>
          </cell>
          <cell r="L55">
            <v>0</v>
          </cell>
          <cell r="M55">
            <v>0</v>
          </cell>
          <cell r="N55">
            <v>0.4</v>
          </cell>
          <cell r="O55">
            <v>74773.53</v>
          </cell>
          <cell r="P55">
            <v>0</v>
          </cell>
          <cell r="Q55">
            <v>0</v>
          </cell>
          <cell r="R55">
            <v>0</v>
          </cell>
          <cell r="S55">
            <v>69379.539999999994</v>
          </cell>
          <cell r="T55">
            <v>0</v>
          </cell>
          <cell r="U55">
            <v>0</v>
          </cell>
          <cell r="V55">
            <v>0</v>
          </cell>
          <cell r="W55" t="str">
            <v xml:space="preserve">DUPHALAC </v>
          </cell>
          <cell r="X55">
            <v>0</v>
          </cell>
          <cell r="Y55">
            <v>0</v>
          </cell>
          <cell r="Z55">
            <v>0</v>
          </cell>
          <cell r="AA55">
            <v>0.35</v>
          </cell>
          <cell r="AB55">
            <v>35752</v>
          </cell>
          <cell r="AC55">
            <v>0</v>
          </cell>
          <cell r="AD55">
            <v>0</v>
          </cell>
          <cell r="AE55">
            <v>0</v>
          </cell>
          <cell r="AF55">
            <v>38181</v>
          </cell>
          <cell r="AG55">
            <v>0</v>
          </cell>
          <cell r="AH55">
            <v>0</v>
          </cell>
          <cell r="AI55">
            <v>0</v>
          </cell>
          <cell r="AJ55" t="str">
            <v>IRS 19</v>
          </cell>
          <cell r="AK55" t="str">
            <v>IMUDON</v>
          </cell>
          <cell r="AL55">
            <v>0</v>
          </cell>
          <cell r="AM55">
            <v>0</v>
          </cell>
          <cell r="AN55">
            <v>0.25</v>
          </cell>
          <cell r="AO55">
            <v>6948</v>
          </cell>
          <cell r="AP55">
            <v>9120</v>
          </cell>
          <cell r="AQ55">
            <v>0</v>
          </cell>
          <cell r="AR55">
            <v>0</v>
          </cell>
          <cell r="AS55">
            <v>9180</v>
          </cell>
          <cell r="AT55">
            <v>8280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126593.53</v>
          </cell>
          <cell r="BK55">
            <v>125020.54</v>
          </cell>
          <cell r="BL55" t="str">
            <v/>
          </cell>
          <cell r="BM55">
            <v>0.87</v>
          </cell>
          <cell r="BO55" t="str">
            <v>Staff</v>
          </cell>
          <cell r="BP55">
            <v>41099</v>
          </cell>
          <cell r="BQ55">
            <v>3</v>
          </cell>
          <cell r="BR55">
            <v>1</v>
          </cell>
          <cell r="BS55">
            <v>3</v>
          </cell>
          <cell r="BT55">
            <v>329604</v>
          </cell>
          <cell r="BU55">
            <v>1</v>
          </cell>
          <cell r="BW55">
            <v>1.0780000000000001</v>
          </cell>
          <cell r="BX55">
            <v>0.93600000000000005</v>
          </cell>
          <cell r="BY55">
            <v>0.92</v>
          </cell>
          <cell r="BZ55">
            <v>0</v>
          </cell>
          <cell r="CG55">
            <v>1.01</v>
          </cell>
          <cell r="CH55">
            <v>1</v>
          </cell>
          <cell r="CI55">
            <v>1.1000000000000001</v>
          </cell>
          <cell r="CJ55">
            <v>0</v>
          </cell>
          <cell r="CK55">
            <v>0.5</v>
          </cell>
        </row>
        <row r="56">
          <cell r="A56" t="str">
            <v>43Q1</v>
          </cell>
          <cell r="B56" t="str">
            <v>Q1</v>
          </cell>
          <cell r="C56">
            <v>43</v>
          </cell>
          <cell r="D56" t="str">
            <v>Maisutova Almagul</v>
          </cell>
          <cell r="E56" t="str">
            <v>Regional Manager</v>
          </cell>
          <cell r="F56">
            <v>41640</v>
          </cell>
          <cell r="G56" t="str">
            <v/>
          </cell>
          <cell r="H56" t="str">
            <v/>
          </cell>
          <cell r="I56" t="str">
            <v>Regional Manager-1</v>
          </cell>
          <cell r="J56" t="str">
            <v>GASTRO</v>
          </cell>
          <cell r="K56">
            <v>0</v>
          </cell>
          <cell r="L56">
            <v>0</v>
          </cell>
          <cell r="M56">
            <v>0</v>
          </cell>
          <cell r="N56">
            <v>0.5</v>
          </cell>
          <cell r="O56">
            <v>424021.19000000006</v>
          </cell>
          <cell r="P56">
            <v>0</v>
          </cell>
          <cell r="Q56">
            <v>0</v>
          </cell>
          <cell r="R56">
            <v>0</v>
          </cell>
          <cell r="S56">
            <v>391721.22000000003</v>
          </cell>
          <cell r="T56">
            <v>0</v>
          </cell>
          <cell r="U56">
            <v>0</v>
          </cell>
          <cell r="V56">
            <v>0</v>
          </cell>
          <cell r="W56" t="str">
            <v>GYNECOLOGY</v>
          </cell>
          <cell r="X56">
            <v>0</v>
          </cell>
          <cell r="Y56">
            <v>0</v>
          </cell>
          <cell r="Z56">
            <v>0</v>
          </cell>
          <cell r="AA56">
            <v>0.25</v>
          </cell>
          <cell r="AB56">
            <v>182624.3</v>
          </cell>
          <cell r="AC56">
            <v>0</v>
          </cell>
          <cell r="AD56">
            <v>0</v>
          </cell>
          <cell r="AE56">
            <v>0</v>
          </cell>
          <cell r="AF56">
            <v>175705.78999999998</v>
          </cell>
          <cell r="AG56">
            <v>0</v>
          </cell>
          <cell r="AH56">
            <v>0</v>
          </cell>
          <cell r="AI56">
            <v>0</v>
          </cell>
          <cell r="AJ56" t="str">
            <v>CARDIO-NEURO</v>
          </cell>
          <cell r="AK56">
            <v>0</v>
          </cell>
          <cell r="AL56">
            <v>0</v>
          </cell>
          <cell r="AM56">
            <v>0</v>
          </cell>
          <cell r="AN56">
            <v>0.2</v>
          </cell>
          <cell r="AO56">
            <v>146072.79</v>
          </cell>
          <cell r="AP56">
            <v>0</v>
          </cell>
          <cell r="AQ56">
            <v>0</v>
          </cell>
          <cell r="AR56">
            <v>0</v>
          </cell>
          <cell r="AS56">
            <v>134724.59000000003</v>
          </cell>
          <cell r="AT56">
            <v>0</v>
          </cell>
          <cell r="AU56">
            <v>0</v>
          </cell>
          <cell r="AV56">
            <v>0</v>
          </cell>
          <cell r="AW56" t="str">
            <v>IMMUNOLOGY</v>
          </cell>
          <cell r="AX56">
            <v>0</v>
          </cell>
          <cell r="AY56">
            <v>0</v>
          </cell>
          <cell r="AZ56">
            <v>0</v>
          </cell>
          <cell r="BA56">
            <v>4.9999999999999989E-2</v>
          </cell>
          <cell r="BB56">
            <v>40668</v>
          </cell>
          <cell r="BC56">
            <v>0</v>
          </cell>
          <cell r="BD56">
            <v>0</v>
          </cell>
          <cell r="BE56">
            <v>0</v>
          </cell>
          <cell r="BF56">
            <v>35940</v>
          </cell>
          <cell r="BG56">
            <v>0</v>
          </cell>
          <cell r="BH56">
            <v>0</v>
          </cell>
          <cell r="BI56">
            <v>0</v>
          </cell>
          <cell r="BJ56">
            <v>793386.28</v>
          </cell>
          <cell r="BK56">
            <v>738091.60000000009</v>
          </cell>
          <cell r="BL56">
            <v>0.79666666666666675</v>
          </cell>
          <cell r="BM56">
            <v>0.98</v>
          </cell>
          <cell r="BO56" t="str">
            <v>Staff</v>
          </cell>
          <cell r="BP56">
            <v>41730</v>
          </cell>
          <cell r="BQ56">
            <v>3</v>
          </cell>
          <cell r="BR56">
            <v>1</v>
          </cell>
          <cell r="BS56">
            <v>3</v>
          </cell>
          <cell r="BT56">
            <v>605000</v>
          </cell>
          <cell r="BU56">
            <v>1</v>
          </cell>
          <cell r="BW56">
            <v>1.0820000000000001</v>
          </cell>
          <cell r="BX56">
            <v>1.0389999999999999</v>
          </cell>
          <cell r="BY56">
            <v>1.0840000000000001</v>
          </cell>
          <cell r="BZ56">
            <v>1.1319999999999999</v>
          </cell>
          <cell r="CG56">
            <v>1.07</v>
          </cell>
          <cell r="CH56">
            <v>1</v>
          </cell>
          <cell r="CI56">
            <v>1.7</v>
          </cell>
          <cell r="CJ56">
            <v>1</v>
          </cell>
          <cell r="CK56">
            <v>1</v>
          </cell>
        </row>
        <row r="57">
          <cell r="A57" t="str">
            <v>44Q1</v>
          </cell>
          <cell r="B57" t="str">
            <v>Q1</v>
          </cell>
          <cell r="C57">
            <v>44</v>
          </cell>
          <cell r="D57" t="str">
            <v>Mamedova Zarina</v>
          </cell>
          <cell r="E57" t="str">
            <v>Medical Representative</v>
          </cell>
          <cell r="F57">
            <v>41173</v>
          </cell>
          <cell r="G57" t="str">
            <v/>
          </cell>
          <cell r="H57" t="str">
            <v/>
          </cell>
          <cell r="I57" t="str">
            <v>Line 3 (big cities)</v>
          </cell>
          <cell r="J57" t="str">
            <v xml:space="preserve">DUPHASTON </v>
          </cell>
          <cell r="K57">
            <v>0</v>
          </cell>
          <cell r="L57">
            <v>0</v>
          </cell>
          <cell r="M57">
            <v>0</v>
          </cell>
          <cell r="N57">
            <v>0.45</v>
          </cell>
          <cell r="O57">
            <v>124483.5</v>
          </cell>
          <cell r="P57">
            <v>0</v>
          </cell>
          <cell r="Q57">
            <v>0</v>
          </cell>
          <cell r="R57">
            <v>0</v>
          </cell>
          <cell r="S57">
            <v>180900</v>
          </cell>
          <cell r="T57">
            <v>0</v>
          </cell>
          <cell r="U57">
            <v>0</v>
          </cell>
          <cell r="V57">
            <v>0</v>
          </cell>
          <cell r="W57" t="str">
            <v>FEMOSTON</v>
          </cell>
          <cell r="X57">
            <v>0</v>
          </cell>
          <cell r="Y57">
            <v>0</v>
          </cell>
          <cell r="Z57">
            <v>0</v>
          </cell>
          <cell r="AA57">
            <v>0.25</v>
          </cell>
          <cell r="AB57">
            <v>22016.799999999999</v>
          </cell>
          <cell r="AC57">
            <v>0</v>
          </cell>
          <cell r="AD57">
            <v>0</v>
          </cell>
          <cell r="AE57">
            <v>0</v>
          </cell>
          <cell r="AF57">
            <v>25717.199999999997</v>
          </cell>
          <cell r="AG57">
            <v>0</v>
          </cell>
          <cell r="AH57">
            <v>0</v>
          </cell>
          <cell r="AI57">
            <v>0</v>
          </cell>
          <cell r="AJ57" t="str">
            <v xml:space="preserve">DUPHALAC </v>
          </cell>
          <cell r="AK57" t="str">
            <v>OVATEL</v>
          </cell>
          <cell r="AL57">
            <v>0</v>
          </cell>
          <cell r="AM57">
            <v>0</v>
          </cell>
          <cell r="AN57">
            <v>0.25</v>
          </cell>
          <cell r="AO57">
            <v>15488.650000000001</v>
          </cell>
          <cell r="AP57">
            <v>199.98</v>
          </cell>
          <cell r="AQ57">
            <v>0</v>
          </cell>
          <cell r="AR57">
            <v>0</v>
          </cell>
          <cell r="AS57">
            <v>14001.800000000001</v>
          </cell>
          <cell r="AT57">
            <v>2899.71</v>
          </cell>
          <cell r="AU57">
            <v>0</v>
          </cell>
          <cell r="AV57">
            <v>0</v>
          </cell>
          <cell r="AW57" t="str">
            <v>CREON</v>
          </cell>
          <cell r="AX57">
            <v>0</v>
          </cell>
          <cell r="AY57">
            <v>0</v>
          </cell>
          <cell r="AZ57">
            <v>0</v>
          </cell>
          <cell r="BA57">
            <v>5.0000000000000044E-2</v>
          </cell>
          <cell r="BB57">
            <v>15049.333000000002</v>
          </cell>
          <cell r="BC57">
            <v>0</v>
          </cell>
          <cell r="BD57">
            <v>0</v>
          </cell>
          <cell r="BE57">
            <v>0</v>
          </cell>
          <cell r="BF57">
            <v>12113.050000000001</v>
          </cell>
          <cell r="BG57">
            <v>0</v>
          </cell>
          <cell r="BH57">
            <v>0</v>
          </cell>
          <cell r="BI57">
            <v>0</v>
          </cell>
          <cell r="BJ57">
            <v>177238.26300000001</v>
          </cell>
          <cell r="BK57">
            <v>235631.76</v>
          </cell>
          <cell r="BL57" t="str">
            <v/>
          </cell>
          <cell r="BM57">
            <v>0.97</v>
          </cell>
          <cell r="BO57" t="str">
            <v>Staff</v>
          </cell>
          <cell r="BP57">
            <v>41264</v>
          </cell>
          <cell r="BQ57">
            <v>3</v>
          </cell>
          <cell r="BR57">
            <v>1</v>
          </cell>
          <cell r="BS57">
            <v>3</v>
          </cell>
          <cell r="BT57">
            <v>329604</v>
          </cell>
          <cell r="BU57">
            <v>1</v>
          </cell>
          <cell r="BW57">
            <v>0.68799999999999994</v>
          </cell>
          <cell r="BX57">
            <v>0.85599999999999998</v>
          </cell>
          <cell r="BY57">
            <v>0.92800000000000005</v>
          </cell>
          <cell r="BZ57">
            <v>1.242</v>
          </cell>
          <cell r="CG57">
            <v>0.75</v>
          </cell>
          <cell r="CH57">
            <v>0</v>
          </cell>
          <cell r="CI57">
            <v>0</v>
          </cell>
          <cell r="CJ57">
            <v>0</v>
          </cell>
          <cell r="CK57">
            <v>1</v>
          </cell>
        </row>
        <row r="58">
          <cell r="A58" t="str">
            <v>45Q1</v>
          </cell>
          <cell r="B58" t="str">
            <v>Q1</v>
          </cell>
          <cell r="C58">
            <v>45</v>
          </cell>
          <cell r="D58" t="str">
            <v>Mamutova Aliya</v>
          </cell>
          <cell r="E58" t="str">
            <v>Medical Representative</v>
          </cell>
          <cell r="F58">
            <v>40676</v>
          </cell>
          <cell r="G58" t="str">
            <v/>
          </cell>
          <cell r="H58" t="str">
            <v/>
          </cell>
          <cell r="I58" t="str">
            <v>Line 1</v>
          </cell>
          <cell r="J58" t="str">
            <v>CREON</v>
          </cell>
          <cell r="K58" t="str">
            <v xml:space="preserve">DUPHALAC </v>
          </cell>
          <cell r="L58">
            <v>0</v>
          </cell>
          <cell r="M58">
            <v>0</v>
          </cell>
          <cell r="N58">
            <v>0.5</v>
          </cell>
          <cell r="O58">
            <v>40999.050000000003</v>
          </cell>
          <cell r="P58">
            <v>33091</v>
          </cell>
          <cell r="Q58">
            <v>0</v>
          </cell>
          <cell r="R58">
            <v>0</v>
          </cell>
          <cell r="S58">
            <v>31609.480000000003</v>
          </cell>
          <cell r="T58">
            <v>24083.5</v>
          </cell>
          <cell r="U58">
            <v>0</v>
          </cell>
          <cell r="V58">
            <v>0</v>
          </cell>
          <cell r="W58" t="str">
            <v>HEPTRAL</v>
          </cell>
          <cell r="X58" t="str">
            <v xml:space="preserve">DUSPATALIN </v>
          </cell>
          <cell r="Y58">
            <v>0</v>
          </cell>
          <cell r="Z58">
            <v>0</v>
          </cell>
          <cell r="AA58">
            <v>0.25</v>
          </cell>
          <cell r="AB58">
            <v>46789.340000000011</v>
          </cell>
          <cell r="AC58">
            <v>4199</v>
          </cell>
          <cell r="AD58">
            <v>0</v>
          </cell>
          <cell r="AE58">
            <v>0</v>
          </cell>
          <cell r="AF58">
            <v>25128.220000000005</v>
          </cell>
          <cell r="AG58">
            <v>4560</v>
          </cell>
          <cell r="AH58">
            <v>0</v>
          </cell>
          <cell r="AI58">
            <v>0</v>
          </cell>
          <cell r="AJ58" t="str">
            <v>IRS 19</v>
          </cell>
          <cell r="AK58" t="str">
            <v>IMUDON</v>
          </cell>
          <cell r="AL58">
            <v>0</v>
          </cell>
          <cell r="AM58">
            <v>0</v>
          </cell>
          <cell r="AN58">
            <v>0.1</v>
          </cell>
          <cell r="AO58">
            <v>1200</v>
          </cell>
          <cell r="AP58">
            <v>2184</v>
          </cell>
          <cell r="AQ58">
            <v>0</v>
          </cell>
          <cell r="AR58">
            <v>0</v>
          </cell>
          <cell r="AS58">
            <v>1320</v>
          </cell>
          <cell r="AT58">
            <v>2400</v>
          </cell>
          <cell r="AU58">
            <v>0</v>
          </cell>
          <cell r="AV58">
            <v>0</v>
          </cell>
          <cell r="AW58" t="str">
            <v xml:space="preserve">GANATON </v>
          </cell>
          <cell r="AX58">
            <v>0</v>
          </cell>
          <cell r="AY58">
            <v>0</v>
          </cell>
          <cell r="AZ58">
            <v>0</v>
          </cell>
          <cell r="BA58">
            <v>0.15</v>
          </cell>
          <cell r="BB58">
            <v>514.6</v>
          </cell>
          <cell r="BC58">
            <v>0</v>
          </cell>
          <cell r="BD58">
            <v>0</v>
          </cell>
          <cell r="BE58">
            <v>0</v>
          </cell>
          <cell r="BF58">
            <v>1062.4000000000001</v>
          </cell>
          <cell r="BG58">
            <v>0</v>
          </cell>
          <cell r="BH58">
            <v>0</v>
          </cell>
          <cell r="BI58">
            <v>0</v>
          </cell>
          <cell r="BJ58">
            <v>128976.99000000002</v>
          </cell>
          <cell r="BK58">
            <v>90163.6</v>
          </cell>
          <cell r="BL58" t="str">
            <v/>
          </cell>
          <cell r="BM58">
            <v>0.96</v>
          </cell>
          <cell r="BO58" t="str">
            <v>Staff</v>
          </cell>
          <cell r="BP58">
            <v>40768</v>
          </cell>
          <cell r="BQ58">
            <v>3</v>
          </cell>
          <cell r="BR58">
            <v>1</v>
          </cell>
          <cell r="BS58">
            <v>3</v>
          </cell>
          <cell r="BT58">
            <v>329604</v>
          </cell>
          <cell r="BU58">
            <v>1</v>
          </cell>
          <cell r="BW58">
            <v>1.33</v>
          </cell>
          <cell r="BX58">
            <v>1.7170000000000001</v>
          </cell>
          <cell r="BY58">
            <v>0.91</v>
          </cell>
          <cell r="BZ58">
            <v>0.48399999999999999</v>
          </cell>
          <cell r="CG58">
            <v>1.43</v>
          </cell>
          <cell r="CH58">
            <v>1</v>
          </cell>
          <cell r="CI58">
            <v>2.5</v>
          </cell>
          <cell r="CJ58">
            <v>0</v>
          </cell>
          <cell r="CK58">
            <v>1</v>
          </cell>
        </row>
        <row r="59">
          <cell r="A59" t="str">
            <v>46Q1</v>
          </cell>
          <cell r="B59" t="str">
            <v>Q1</v>
          </cell>
          <cell r="C59">
            <v>46</v>
          </cell>
          <cell r="D59" t="str">
            <v>Manapbayeva Assel</v>
          </cell>
          <cell r="E59" t="str">
            <v>Medical Representative</v>
          </cell>
          <cell r="F59">
            <v>42552</v>
          </cell>
          <cell r="G59" t="str">
            <v/>
          </cell>
          <cell r="H59" t="str">
            <v/>
          </cell>
          <cell r="I59" t="str">
            <v>Line 2 (big cities)</v>
          </cell>
          <cell r="J59" t="str">
            <v>CREON</v>
          </cell>
          <cell r="K59" t="str">
            <v xml:space="preserve">DUPHALAC </v>
          </cell>
          <cell r="L59">
            <v>0</v>
          </cell>
          <cell r="M59">
            <v>0</v>
          </cell>
          <cell r="N59">
            <v>0.1</v>
          </cell>
          <cell r="O59">
            <v>21136.1535</v>
          </cell>
          <cell r="P59">
            <v>9970.4000000000015</v>
          </cell>
          <cell r="Q59">
            <v>0</v>
          </cell>
          <cell r="R59">
            <v>0</v>
          </cell>
          <cell r="S59">
            <v>17026.947</v>
          </cell>
          <cell r="T59">
            <v>9257.625</v>
          </cell>
          <cell r="U59">
            <v>0</v>
          </cell>
          <cell r="V59">
            <v>0</v>
          </cell>
          <cell r="W59" t="str">
            <v>PHYSIOTENS</v>
          </cell>
          <cell r="X59" t="str">
            <v>TRICOR /LIPANTHYL</v>
          </cell>
          <cell r="Y59" t="str">
            <v>OMACOR</v>
          </cell>
          <cell r="Z59">
            <v>0</v>
          </cell>
          <cell r="AA59">
            <v>0.3</v>
          </cell>
          <cell r="AB59">
            <v>282509.5</v>
          </cell>
          <cell r="AC59">
            <v>9728.5499999999993</v>
          </cell>
          <cell r="AD59">
            <v>4712</v>
          </cell>
          <cell r="AE59">
            <v>0</v>
          </cell>
          <cell r="AF59">
            <v>148192.5</v>
          </cell>
          <cell r="AG59">
            <v>9678.66</v>
          </cell>
          <cell r="AH59">
            <v>9951</v>
          </cell>
          <cell r="AI59">
            <v>0</v>
          </cell>
          <cell r="AJ59" t="str">
            <v>HEPTRAL</v>
          </cell>
          <cell r="AK59">
            <v>0</v>
          </cell>
          <cell r="AL59">
            <v>0</v>
          </cell>
          <cell r="AM59">
            <v>0</v>
          </cell>
          <cell r="AN59">
            <v>0.3</v>
          </cell>
          <cell r="AO59">
            <v>376824.24</v>
          </cell>
          <cell r="AP59">
            <v>0</v>
          </cell>
          <cell r="AQ59">
            <v>0</v>
          </cell>
          <cell r="AR59">
            <v>0</v>
          </cell>
          <cell r="AS59">
            <v>261353.30000000002</v>
          </cell>
          <cell r="AT59">
            <v>0</v>
          </cell>
          <cell r="AU59">
            <v>0</v>
          </cell>
          <cell r="AV59">
            <v>0</v>
          </cell>
          <cell r="AW59" t="str">
            <v>BETASERC</v>
          </cell>
          <cell r="AX59">
            <v>0</v>
          </cell>
          <cell r="AY59">
            <v>0</v>
          </cell>
          <cell r="AZ59">
            <v>0</v>
          </cell>
          <cell r="BA59">
            <v>0.3000000000000001</v>
          </cell>
          <cell r="BB59">
            <v>90583.560000000012</v>
          </cell>
          <cell r="BC59">
            <v>0</v>
          </cell>
          <cell r="BD59">
            <v>0</v>
          </cell>
          <cell r="BE59">
            <v>0</v>
          </cell>
          <cell r="BF59">
            <v>73247.38</v>
          </cell>
          <cell r="BG59">
            <v>0</v>
          </cell>
          <cell r="BH59">
            <v>0</v>
          </cell>
          <cell r="BI59">
            <v>0</v>
          </cell>
          <cell r="BJ59">
            <v>795464.40350000001</v>
          </cell>
          <cell r="BK59">
            <v>528707.41200000001</v>
          </cell>
          <cell r="BL59" t="str">
            <v/>
          </cell>
          <cell r="BM59">
            <v>0.94</v>
          </cell>
          <cell r="BO59" t="str">
            <v>Staff</v>
          </cell>
          <cell r="BP59">
            <v>42644</v>
          </cell>
          <cell r="BQ59">
            <v>3</v>
          </cell>
          <cell r="BR59">
            <v>1</v>
          </cell>
          <cell r="BS59">
            <v>3</v>
          </cell>
          <cell r="BT59">
            <v>329604</v>
          </cell>
          <cell r="BU59">
            <v>1</v>
          </cell>
          <cell r="BW59">
            <v>1.1830000000000001</v>
          </cell>
          <cell r="BX59">
            <v>1.7689999999999999</v>
          </cell>
          <cell r="BY59">
            <v>1.4419999999999999</v>
          </cell>
          <cell r="BZ59">
            <v>1.2370000000000001</v>
          </cell>
          <cell r="CG59">
            <v>1.5</v>
          </cell>
          <cell r="CH59">
            <v>1</v>
          </cell>
          <cell r="CI59">
            <v>2.5</v>
          </cell>
          <cell r="CJ59">
            <v>0</v>
          </cell>
          <cell r="CK59">
            <v>0.5</v>
          </cell>
        </row>
        <row r="60">
          <cell r="A60" t="str">
            <v>47Q1</v>
          </cell>
          <cell r="B60" t="str">
            <v>Q1</v>
          </cell>
          <cell r="C60">
            <v>47</v>
          </cell>
          <cell r="D60" t="str">
            <v>Maximenko Alexandr</v>
          </cell>
          <cell r="E60" t="str">
            <v>Pharm Representative</v>
          </cell>
          <cell r="F60">
            <v>40861</v>
          </cell>
          <cell r="G60" t="str">
            <v/>
          </cell>
          <cell r="H60" t="str">
            <v/>
          </cell>
          <cell r="I60" t="str">
            <v>Pharma line</v>
          </cell>
          <cell r="J60" t="str">
            <v>CREON</v>
          </cell>
          <cell r="K60">
            <v>0</v>
          </cell>
          <cell r="L60">
            <v>0</v>
          </cell>
          <cell r="M60">
            <v>0</v>
          </cell>
          <cell r="N60">
            <v>0.4</v>
          </cell>
          <cell r="O60">
            <v>92460.68</v>
          </cell>
          <cell r="P60">
            <v>0</v>
          </cell>
          <cell r="Q60">
            <v>0</v>
          </cell>
          <cell r="R60">
            <v>0</v>
          </cell>
          <cell r="S60">
            <v>68787.149999999994</v>
          </cell>
          <cell r="T60">
            <v>0</v>
          </cell>
          <cell r="U60">
            <v>0</v>
          </cell>
          <cell r="V60">
            <v>0</v>
          </cell>
          <cell r="W60" t="str">
            <v xml:space="preserve">DUPHALAC </v>
          </cell>
          <cell r="X60">
            <v>0</v>
          </cell>
          <cell r="Y60">
            <v>0</v>
          </cell>
          <cell r="Z60">
            <v>0</v>
          </cell>
          <cell r="AA60">
            <v>0.35</v>
          </cell>
          <cell r="AB60">
            <v>39523</v>
          </cell>
          <cell r="AC60">
            <v>0</v>
          </cell>
          <cell r="AD60">
            <v>0</v>
          </cell>
          <cell r="AE60">
            <v>0</v>
          </cell>
          <cell r="AF60">
            <v>41617</v>
          </cell>
          <cell r="AG60">
            <v>0</v>
          </cell>
          <cell r="AH60">
            <v>0</v>
          </cell>
          <cell r="AI60">
            <v>0</v>
          </cell>
          <cell r="AJ60" t="str">
            <v>IRS 19</v>
          </cell>
          <cell r="AK60" t="str">
            <v>IMUDON</v>
          </cell>
          <cell r="AL60">
            <v>0</v>
          </cell>
          <cell r="AM60">
            <v>0</v>
          </cell>
          <cell r="AN60">
            <v>0.25</v>
          </cell>
          <cell r="AO60">
            <v>7008</v>
          </cell>
          <cell r="AP60">
            <v>17052</v>
          </cell>
          <cell r="AQ60">
            <v>0</v>
          </cell>
          <cell r="AR60">
            <v>0</v>
          </cell>
          <cell r="AS60">
            <v>5544</v>
          </cell>
          <cell r="AT60">
            <v>14676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156043.68</v>
          </cell>
          <cell r="BK60">
            <v>130624.15</v>
          </cell>
          <cell r="BL60" t="str">
            <v/>
          </cell>
          <cell r="BM60">
            <v>0.91</v>
          </cell>
          <cell r="BO60" t="str">
            <v>Staff</v>
          </cell>
          <cell r="BP60">
            <v>40953</v>
          </cell>
          <cell r="BQ60">
            <v>3</v>
          </cell>
          <cell r="BR60">
            <v>1</v>
          </cell>
          <cell r="BS60">
            <v>3</v>
          </cell>
          <cell r="BT60">
            <v>329604</v>
          </cell>
          <cell r="BU60">
            <v>1</v>
          </cell>
          <cell r="BW60">
            <v>1.3440000000000001</v>
          </cell>
          <cell r="BX60">
            <v>0.95</v>
          </cell>
          <cell r="BY60">
            <v>1.19</v>
          </cell>
          <cell r="BZ60">
            <v>0</v>
          </cell>
          <cell r="CG60">
            <v>1.19</v>
          </cell>
          <cell r="CH60">
            <v>1</v>
          </cell>
          <cell r="CI60">
            <v>2.4500000000000002</v>
          </cell>
          <cell r="CJ60">
            <v>0</v>
          </cell>
          <cell r="CK60">
            <v>0.5</v>
          </cell>
        </row>
        <row r="61">
          <cell r="A61" t="str">
            <v>48Q1</v>
          </cell>
          <cell r="B61" t="str">
            <v>Q1</v>
          </cell>
          <cell r="C61">
            <v>48</v>
          </cell>
          <cell r="D61" t="str">
            <v>Meirbek Ainur</v>
          </cell>
          <cell r="E61" t="str">
            <v>Medical Representative</v>
          </cell>
          <cell r="F61">
            <v>40676</v>
          </cell>
          <cell r="G61" t="str">
            <v/>
          </cell>
          <cell r="H61" t="str">
            <v/>
          </cell>
          <cell r="I61" t="str">
            <v>Line 1</v>
          </cell>
          <cell r="J61" t="str">
            <v>CREON</v>
          </cell>
          <cell r="K61" t="str">
            <v xml:space="preserve">DUPHALAC </v>
          </cell>
          <cell r="L61">
            <v>0</v>
          </cell>
          <cell r="M61">
            <v>0</v>
          </cell>
          <cell r="N61">
            <v>0.5</v>
          </cell>
          <cell r="O61">
            <v>300986.66000000003</v>
          </cell>
          <cell r="P61">
            <v>154886.5</v>
          </cell>
          <cell r="Q61">
            <v>0</v>
          </cell>
          <cell r="R61">
            <v>0</v>
          </cell>
          <cell r="S61">
            <v>242261</v>
          </cell>
          <cell r="T61">
            <v>140018</v>
          </cell>
          <cell r="U61">
            <v>0</v>
          </cell>
          <cell r="V61">
            <v>0</v>
          </cell>
          <cell r="W61" t="str">
            <v>HEPTRAL</v>
          </cell>
          <cell r="X61" t="str">
            <v xml:space="preserve">DUSPATALIN </v>
          </cell>
          <cell r="Y61">
            <v>0</v>
          </cell>
          <cell r="Z61">
            <v>0</v>
          </cell>
          <cell r="AA61">
            <v>0.25</v>
          </cell>
          <cell r="AB61">
            <v>155755.34000000003</v>
          </cell>
          <cell r="AC61">
            <v>30362</v>
          </cell>
          <cell r="AD61">
            <v>0</v>
          </cell>
          <cell r="AE61">
            <v>0</v>
          </cell>
          <cell r="AF61">
            <v>128976.12000000001</v>
          </cell>
          <cell r="AG61">
            <v>28291</v>
          </cell>
          <cell r="AH61">
            <v>0</v>
          </cell>
          <cell r="AI61">
            <v>0</v>
          </cell>
          <cell r="AJ61" t="str">
            <v>IRS 19</v>
          </cell>
          <cell r="AK61" t="str">
            <v>IMUDON</v>
          </cell>
          <cell r="AL61">
            <v>0</v>
          </cell>
          <cell r="AM61">
            <v>0</v>
          </cell>
          <cell r="AN61">
            <v>0.1</v>
          </cell>
          <cell r="AO61">
            <v>10164</v>
          </cell>
          <cell r="AP61">
            <v>11280</v>
          </cell>
          <cell r="AQ61">
            <v>0</v>
          </cell>
          <cell r="AR61">
            <v>0</v>
          </cell>
          <cell r="AS61">
            <v>10692</v>
          </cell>
          <cell r="AT61">
            <v>16344</v>
          </cell>
          <cell r="AU61">
            <v>0</v>
          </cell>
          <cell r="AV61">
            <v>0</v>
          </cell>
          <cell r="AW61" t="str">
            <v xml:space="preserve">GANATON </v>
          </cell>
          <cell r="AX61">
            <v>0</v>
          </cell>
          <cell r="AY61">
            <v>0</v>
          </cell>
          <cell r="AZ61">
            <v>0</v>
          </cell>
          <cell r="BA61">
            <v>0.15</v>
          </cell>
          <cell r="BB61">
            <v>1162</v>
          </cell>
          <cell r="BC61">
            <v>0</v>
          </cell>
          <cell r="BD61">
            <v>0</v>
          </cell>
          <cell r="BE61">
            <v>0</v>
          </cell>
          <cell r="BF61">
            <v>4116.8</v>
          </cell>
          <cell r="BG61">
            <v>0</v>
          </cell>
          <cell r="BH61">
            <v>0</v>
          </cell>
          <cell r="BI61">
            <v>0</v>
          </cell>
          <cell r="BJ61">
            <v>664596.5</v>
          </cell>
          <cell r="BK61">
            <v>570698.92000000004</v>
          </cell>
          <cell r="BL61" t="str">
            <v/>
          </cell>
          <cell r="BM61">
            <v>0.91</v>
          </cell>
          <cell r="BO61" t="str">
            <v>Staff</v>
          </cell>
          <cell r="BP61">
            <v>40768</v>
          </cell>
          <cell r="BQ61">
            <v>3</v>
          </cell>
          <cell r="BR61">
            <v>1</v>
          </cell>
          <cell r="BS61">
            <v>3</v>
          </cell>
          <cell r="BT61">
            <v>329604</v>
          </cell>
          <cell r="BU61">
            <v>1</v>
          </cell>
          <cell r="BW61">
            <v>1.1930000000000001</v>
          </cell>
          <cell r="BX61">
            <v>1.1830000000000001</v>
          </cell>
          <cell r="BY61">
            <v>0.79300000000000004</v>
          </cell>
          <cell r="BZ61">
            <v>0.28199999999999997</v>
          </cell>
          <cell r="CG61">
            <v>1.1599999999999999</v>
          </cell>
          <cell r="CH61">
            <v>1</v>
          </cell>
          <cell r="CI61">
            <v>2.2999999999999998</v>
          </cell>
          <cell r="CJ61">
            <v>0</v>
          </cell>
          <cell r="CK61">
            <v>0.5</v>
          </cell>
        </row>
        <row r="62">
          <cell r="A62" t="str">
            <v>49Q1</v>
          </cell>
          <cell r="B62" t="str">
            <v>Q1</v>
          </cell>
          <cell r="C62">
            <v>49</v>
          </cell>
          <cell r="D62" t="str">
            <v>Morshneva (Burda) Irina</v>
          </cell>
          <cell r="E62" t="str">
            <v>Medical Representative</v>
          </cell>
          <cell r="F62">
            <v>40680</v>
          </cell>
          <cell r="G62">
            <v>42794</v>
          </cell>
          <cell r="H62" t="str">
            <v/>
          </cell>
          <cell r="I62" t="str">
            <v>Line 1</v>
          </cell>
          <cell r="J62" t="str">
            <v>CREON</v>
          </cell>
          <cell r="K62" t="str">
            <v xml:space="preserve">DUPHALAC </v>
          </cell>
          <cell r="L62">
            <v>0</v>
          </cell>
          <cell r="M62">
            <v>0</v>
          </cell>
          <cell r="N62">
            <v>0.5</v>
          </cell>
          <cell r="O62">
            <v>62019.434999999998</v>
          </cell>
          <cell r="P62">
            <v>47860</v>
          </cell>
          <cell r="Q62">
            <v>0</v>
          </cell>
          <cell r="R62">
            <v>0</v>
          </cell>
          <cell r="S62">
            <v>64559.780000000006</v>
          </cell>
          <cell r="T62">
            <v>40271</v>
          </cell>
          <cell r="U62">
            <v>0</v>
          </cell>
          <cell r="V62">
            <v>0</v>
          </cell>
          <cell r="W62" t="str">
            <v>HEPTRAL</v>
          </cell>
          <cell r="X62" t="str">
            <v xml:space="preserve">DUSPATALIN </v>
          </cell>
          <cell r="Y62">
            <v>0</v>
          </cell>
          <cell r="Z62">
            <v>0</v>
          </cell>
          <cell r="AA62">
            <v>0.25</v>
          </cell>
          <cell r="AB62">
            <v>34472.880000000005</v>
          </cell>
          <cell r="AC62">
            <v>12269.25</v>
          </cell>
          <cell r="AD62">
            <v>0</v>
          </cell>
          <cell r="AE62">
            <v>0</v>
          </cell>
          <cell r="AF62">
            <v>44411.9</v>
          </cell>
          <cell r="AG62">
            <v>11903.5</v>
          </cell>
          <cell r="AH62">
            <v>0</v>
          </cell>
          <cell r="AI62">
            <v>0</v>
          </cell>
          <cell r="AJ62" t="str">
            <v>IRS 19</v>
          </cell>
          <cell r="AK62" t="str">
            <v>IMUDON</v>
          </cell>
          <cell r="AL62">
            <v>0</v>
          </cell>
          <cell r="AM62">
            <v>0</v>
          </cell>
          <cell r="AN62">
            <v>0.1</v>
          </cell>
          <cell r="AO62">
            <v>4884</v>
          </cell>
          <cell r="AP62">
            <v>7080</v>
          </cell>
          <cell r="AQ62">
            <v>0</v>
          </cell>
          <cell r="AR62">
            <v>0</v>
          </cell>
          <cell r="AS62">
            <v>4092</v>
          </cell>
          <cell r="AT62">
            <v>6144</v>
          </cell>
          <cell r="AU62">
            <v>0</v>
          </cell>
          <cell r="AV62">
            <v>0</v>
          </cell>
          <cell r="AW62" t="str">
            <v xml:space="preserve">GANATON </v>
          </cell>
          <cell r="AX62">
            <v>0</v>
          </cell>
          <cell r="AY62">
            <v>0</v>
          </cell>
          <cell r="AZ62">
            <v>0</v>
          </cell>
          <cell r="BA62">
            <v>0.15</v>
          </cell>
          <cell r="BB62">
            <v>99.600000000000009</v>
          </cell>
          <cell r="BC62">
            <v>0</v>
          </cell>
          <cell r="BD62">
            <v>0</v>
          </cell>
          <cell r="BE62">
            <v>0</v>
          </cell>
          <cell r="BF62">
            <v>996.00000000000011</v>
          </cell>
          <cell r="BG62">
            <v>0</v>
          </cell>
          <cell r="BH62">
            <v>0</v>
          </cell>
          <cell r="BI62">
            <v>0</v>
          </cell>
          <cell r="BJ62">
            <v>168685.16500000001</v>
          </cell>
          <cell r="BK62">
            <v>172378.18</v>
          </cell>
          <cell r="BL62" t="str">
            <v/>
          </cell>
          <cell r="BM62">
            <v>0.66</v>
          </cell>
          <cell r="BO62" t="str">
            <v>Maternity leave</v>
          </cell>
          <cell r="BP62">
            <v>40772</v>
          </cell>
          <cell r="BQ62">
            <v>2</v>
          </cell>
          <cell r="BR62">
            <v>1</v>
          </cell>
          <cell r="BS62">
            <v>2</v>
          </cell>
          <cell r="BT62">
            <v>329604</v>
          </cell>
          <cell r="BU62">
            <v>0.66666666666666663</v>
          </cell>
          <cell r="BW62">
            <v>1.048</v>
          </cell>
          <cell r="BX62">
            <v>0.83</v>
          </cell>
          <cell r="BY62">
            <v>1.169</v>
          </cell>
          <cell r="BZ62">
            <v>0.1</v>
          </cell>
          <cell r="CG62">
            <v>0.98</v>
          </cell>
          <cell r="CH62">
            <v>1</v>
          </cell>
          <cell r="CI62">
            <v>0.9</v>
          </cell>
          <cell r="CJ62">
            <v>0</v>
          </cell>
          <cell r="CK62">
            <v>0</v>
          </cell>
        </row>
        <row r="63">
          <cell r="A63" t="str">
            <v>50Q1</v>
          </cell>
          <cell r="B63" t="str">
            <v>Q1</v>
          </cell>
          <cell r="C63">
            <v>50</v>
          </cell>
          <cell r="D63" t="str">
            <v>Nakipbekova Gulzhan</v>
          </cell>
          <cell r="E63" t="str">
            <v>Medical Representative</v>
          </cell>
          <cell r="F63">
            <v>40983</v>
          </cell>
          <cell r="G63" t="str">
            <v/>
          </cell>
          <cell r="H63" t="str">
            <v/>
          </cell>
          <cell r="I63" t="str">
            <v>Line 1</v>
          </cell>
          <cell r="J63" t="str">
            <v>CREON</v>
          </cell>
          <cell r="K63" t="str">
            <v xml:space="preserve">DUPHALAC </v>
          </cell>
          <cell r="L63">
            <v>0</v>
          </cell>
          <cell r="M63">
            <v>0</v>
          </cell>
          <cell r="N63">
            <v>0.5</v>
          </cell>
          <cell r="O63">
            <v>300986.66000000003</v>
          </cell>
          <cell r="P63">
            <v>154886.5</v>
          </cell>
          <cell r="Q63">
            <v>0</v>
          </cell>
          <cell r="R63">
            <v>0</v>
          </cell>
          <cell r="S63">
            <v>242261</v>
          </cell>
          <cell r="T63">
            <v>140018</v>
          </cell>
          <cell r="U63">
            <v>0</v>
          </cell>
          <cell r="V63">
            <v>0</v>
          </cell>
          <cell r="W63" t="str">
            <v>HEPTRAL</v>
          </cell>
          <cell r="X63" t="str">
            <v xml:space="preserve">DUSPATALIN </v>
          </cell>
          <cell r="Y63">
            <v>0</v>
          </cell>
          <cell r="Z63">
            <v>0</v>
          </cell>
          <cell r="AA63">
            <v>0.25</v>
          </cell>
          <cell r="AB63">
            <v>155755.34000000003</v>
          </cell>
          <cell r="AC63">
            <v>30362</v>
          </cell>
          <cell r="AD63">
            <v>0</v>
          </cell>
          <cell r="AE63">
            <v>0</v>
          </cell>
          <cell r="AF63">
            <v>128976.12000000001</v>
          </cell>
          <cell r="AG63">
            <v>28291</v>
          </cell>
          <cell r="AH63">
            <v>0</v>
          </cell>
          <cell r="AI63">
            <v>0</v>
          </cell>
          <cell r="AJ63" t="str">
            <v>IRS 19</v>
          </cell>
          <cell r="AK63" t="str">
            <v>IMUDON</v>
          </cell>
          <cell r="AL63">
            <v>0</v>
          </cell>
          <cell r="AM63">
            <v>0</v>
          </cell>
          <cell r="AN63">
            <v>0.1</v>
          </cell>
          <cell r="AO63">
            <v>10164</v>
          </cell>
          <cell r="AP63">
            <v>11280</v>
          </cell>
          <cell r="AQ63">
            <v>0</v>
          </cell>
          <cell r="AR63">
            <v>0</v>
          </cell>
          <cell r="AS63">
            <v>10692</v>
          </cell>
          <cell r="AT63">
            <v>16344</v>
          </cell>
          <cell r="AU63">
            <v>0</v>
          </cell>
          <cell r="AV63">
            <v>0</v>
          </cell>
          <cell r="AW63" t="str">
            <v xml:space="preserve">GANATON </v>
          </cell>
          <cell r="AX63">
            <v>0</v>
          </cell>
          <cell r="AY63">
            <v>0</v>
          </cell>
          <cell r="AZ63">
            <v>0</v>
          </cell>
          <cell r="BA63">
            <v>0.15</v>
          </cell>
          <cell r="BB63">
            <v>1162</v>
          </cell>
          <cell r="BC63">
            <v>0</v>
          </cell>
          <cell r="BD63">
            <v>0</v>
          </cell>
          <cell r="BE63">
            <v>0</v>
          </cell>
          <cell r="BF63">
            <v>4116.8</v>
          </cell>
          <cell r="BG63">
            <v>0</v>
          </cell>
          <cell r="BH63">
            <v>0</v>
          </cell>
          <cell r="BI63">
            <v>0</v>
          </cell>
          <cell r="BJ63">
            <v>664596.5</v>
          </cell>
          <cell r="BK63">
            <v>570698.92000000004</v>
          </cell>
          <cell r="BL63" t="str">
            <v/>
          </cell>
          <cell r="BM63">
            <v>0.95</v>
          </cell>
          <cell r="BO63" t="str">
            <v>Staff</v>
          </cell>
          <cell r="BP63">
            <v>41075</v>
          </cell>
          <cell r="BQ63">
            <v>3</v>
          </cell>
          <cell r="BR63">
            <v>1</v>
          </cell>
          <cell r="BS63">
            <v>3</v>
          </cell>
          <cell r="BT63">
            <v>329604</v>
          </cell>
          <cell r="BU63">
            <v>1</v>
          </cell>
          <cell r="BW63">
            <v>1.1930000000000001</v>
          </cell>
          <cell r="BX63">
            <v>1.1830000000000001</v>
          </cell>
          <cell r="BY63">
            <v>0.79300000000000004</v>
          </cell>
          <cell r="BZ63">
            <v>0.28199999999999997</v>
          </cell>
          <cell r="CG63">
            <v>1.1599999999999999</v>
          </cell>
          <cell r="CH63">
            <v>1</v>
          </cell>
          <cell r="CI63">
            <v>2.2999999999999998</v>
          </cell>
          <cell r="CJ63">
            <v>0</v>
          </cell>
          <cell r="CK63">
            <v>1</v>
          </cell>
        </row>
        <row r="64">
          <cell r="A64" t="str">
            <v>51Q1</v>
          </cell>
          <cell r="B64" t="str">
            <v>Q1</v>
          </cell>
          <cell r="C64">
            <v>51</v>
          </cell>
          <cell r="D64" t="str">
            <v>Nauryzbayeva Shynar</v>
          </cell>
          <cell r="E64" t="str">
            <v>Medical Representative</v>
          </cell>
          <cell r="F64">
            <v>41738</v>
          </cell>
          <cell r="G64" t="str">
            <v/>
          </cell>
          <cell r="H64" t="str">
            <v/>
          </cell>
          <cell r="I64" t="str">
            <v>Line 2 (big cities)</v>
          </cell>
          <cell r="J64" t="str">
            <v>CREON</v>
          </cell>
          <cell r="K64" t="str">
            <v xml:space="preserve">DUPHALAC </v>
          </cell>
          <cell r="L64">
            <v>0</v>
          </cell>
          <cell r="M64">
            <v>0</v>
          </cell>
          <cell r="N64">
            <v>0.1</v>
          </cell>
          <cell r="O64">
            <v>8430.5022499999995</v>
          </cell>
          <cell r="P64">
            <v>3936.7250000000004</v>
          </cell>
          <cell r="Q64">
            <v>0</v>
          </cell>
          <cell r="R64">
            <v>0</v>
          </cell>
          <cell r="S64">
            <v>7945.2600000000011</v>
          </cell>
          <cell r="T64">
            <v>4629.05</v>
          </cell>
          <cell r="U64">
            <v>0</v>
          </cell>
          <cell r="V64">
            <v>0</v>
          </cell>
          <cell r="W64" t="str">
            <v>PHYSIOTENS</v>
          </cell>
          <cell r="X64" t="str">
            <v>TRICOR /LIPANTHYL</v>
          </cell>
          <cell r="Y64" t="str">
            <v>OMACOR</v>
          </cell>
          <cell r="Z64">
            <v>0</v>
          </cell>
          <cell r="AA64">
            <v>0.3</v>
          </cell>
          <cell r="AB64">
            <v>78477</v>
          </cell>
          <cell r="AC64">
            <v>1663</v>
          </cell>
          <cell r="AD64">
            <v>1364</v>
          </cell>
          <cell r="AE64">
            <v>0</v>
          </cell>
          <cell r="AF64">
            <v>78135</v>
          </cell>
          <cell r="AG64">
            <v>3475.6699999999996</v>
          </cell>
          <cell r="AH64">
            <v>6324</v>
          </cell>
          <cell r="AI64">
            <v>0</v>
          </cell>
          <cell r="AJ64" t="str">
            <v>HEPTRAL</v>
          </cell>
          <cell r="AK64">
            <v>0</v>
          </cell>
          <cell r="AL64">
            <v>0</v>
          </cell>
          <cell r="AM64">
            <v>0</v>
          </cell>
          <cell r="AN64">
            <v>0.3</v>
          </cell>
          <cell r="AO64">
            <v>98729.800000000017</v>
          </cell>
          <cell r="AP64">
            <v>0</v>
          </cell>
          <cell r="AQ64">
            <v>0</v>
          </cell>
          <cell r="AR64">
            <v>0</v>
          </cell>
          <cell r="AS64">
            <v>109098.08000000002</v>
          </cell>
          <cell r="AT64">
            <v>0</v>
          </cell>
          <cell r="AU64">
            <v>0</v>
          </cell>
          <cell r="AV64">
            <v>0</v>
          </cell>
          <cell r="AW64" t="str">
            <v>BETASERC</v>
          </cell>
          <cell r="AX64">
            <v>0</v>
          </cell>
          <cell r="AY64">
            <v>0</v>
          </cell>
          <cell r="AZ64">
            <v>0</v>
          </cell>
          <cell r="BA64">
            <v>0.3000000000000001</v>
          </cell>
          <cell r="BB64">
            <v>32374.280000000002</v>
          </cell>
          <cell r="BC64">
            <v>0</v>
          </cell>
          <cell r="BD64">
            <v>0</v>
          </cell>
          <cell r="BE64">
            <v>0</v>
          </cell>
          <cell r="BF64">
            <v>30519.360000000001</v>
          </cell>
          <cell r="BG64">
            <v>0</v>
          </cell>
          <cell r="BH64">
            <v>0</v>
          </cell>
          <cell r="BI64">
            <v>0</v>
          </cell>
          <cell r="BJ64">
            <v>224975.30725000001</v>
          </cell>
          <cell r="BK64">
            <v>240126.41999999998</v>
          </cell>
          <cell r="BL64" t="str">
            <v/>
          </cell>
          <cell r="BM64">
            <v>1</v>
          </cell>
          <cell r="BO64" t="str">
            <v>Staff</v>
          </cell>
          <cell r="BP64">
            <v>41829</v>
          </cell>
          <cell r="BQ64">
            <v>3</v>
          </cell>
          <cell r="BR64">
            <v>1</v>
          </cell>
          <cell r="BS64">
            <v>3</v>
          </cell>
          <cell r="BT64">
            <v>329604</v>
          </cell>
          <cell r="BU64">
            <v>1</v>
          </cell>
          <cell r="BW64">
            <v>0.98399999999999999</v>
          </cell>
          <cell r="BX64">
            <v>0.92700000000000005</v>
          </cell>
          <cell r="BY64">
            <v>0.90500000000000003</v>
          </cell>
          <cell r="BZ64">
            <v>1.0609999999999999</v>
          </cell>
          <cell r="CG64">
            <v>0.94</v>
          </cell>
          <cell r="CH64">
            <v>1</v>
          </cell>
          <cell r="CI64">
            <v>0.7</v>
          </cell>
          <cell r="CJ64">
            <v>0</v>
          </cell>
          <cell r="CK64">
            <v>1</v>
          </cell>
        </row>
        <row r="65">
          <cell r="A65" t="str">
            <v>52Q1</v>
          </cell>
          <cell r="B65" t="str">
            <v>Q1</v>
          </cell>
          <cell r="C65">
            <v>52</v>
          </cell>
          <cell r="D65" t="str">
            <v>Novokhatnyaya Anastasiya</v>
          </cell>
          <cell r="E65" t="str">
            <v>Medical Representative</v>
          </cell>
          <cell r="F65">
            <v>40683</v>
          </cell>
          <cell r="G65" t="str">
            <v/>
          </cell>
          <cell r="H65" t="str">
            <v/>
          </cell>
          <cell r="I65" t="str">
            <v>Line 3 (big cities)</v>
          </cell>
          <cell r="J65" t="str">
            <v xml:space="preserve">DUPHASTON </v>
          </cell>
          <cell r="K65">
            <v>0</v>
          </cell>
          <cell r="L65">
            <v>0</v>
          </cell>
          <cell r="M65">
            <v>0</v>
          </cell>
          <cell r="N65">
            <v>0.45</v>
          </cell>
          <cell r="O65">
            <v>216202.5</v>
          </cell>
          <cell r="P65">
            <v>0</v>
          </cell>
          <cell r="Q65">
            <v>0</v>
          </cell>
          <cell r="R65">
            <v>0</v>
          </cell>
          <cell r="S65">
            <v>240300</v>
          </cell>
          <cell r="T65">
            <v>0</v>
          </cell>
          <cell r="U65">
            <v>0</v>
          </cell>
          <cell r="V65">
            <v>0</v>
          </cell>
          <cell r="W65" t="str">
            <v>FEMOSTON</v>
          </cell>
          <cell r="X65">
            <v>0</v>
          </cell>
          <cell r="Y65">
            <v>0</v>
          </cell>
          <cell r="Z65">
            <v>0</v>
          </cell>
          <cell r="AA65">
            <v>0.25</v>
          </cell>
          <cell r="AB65">
            <v>116371.20000000001</v>
          </cell>
          <cell r="AC65">
            <v>0</v>
          </cell>
          <cell r="AD65">
            <v>0</v>
          </cell>
          <cell r="AE65">
            <v>0</v>
          </cell>
          <cell r="AF65">
            <v>120245.6</v>
          </cell>
          <cell r="AG65">
            <v>0</v>
          </cell>
          <cell r="AH65">
            <v>0</v>
          </cell>
          <cell r="AI65">
            <v>0</v>
          </cell>
          <cell r="AJ65" t="str">
            <v xml:space="preserve">DUPHALAC </v>
          </cell>
          <cell r="AK65" t="str">
            <v>OVATEL</v>
          </cell>
          <cell r="AL65">
            <v>0</v>
          </cell>
          <cell r="AM65">
            <v>0</v>
          </cell>
          <cell r="AN65">
            <v>0.25</v>
          </cell>
          <cell r="AO65">
            <v>19940.800000000003</v>
          </cell>
          <cell r="AP65">
            <v>399.96</v>
          </cell>
          <cell r="AQ65">
            <v>0</v>
          </cell>
          <cell r="AR65">
            <v>0</v>
          </cell>
          <cell r="AS65">
            <v>18515.25</v>
          </cell>
          <cell r="AT65">
            <v>4399.5599999999995</v>
          </cell>
          <cell r="AU65">
            <v>0</v>
          </cell>
          <cell r="AV65">
            <v>0</v>
          </cell>
          <cell r="AW65" t="str">
            <v>CREON</v>
          </cell>
          <cell r="AX65">
            <v>0</v>
          </cell>
          <cell r="AY65">
            <v>0</v>
          </cell>
          <cell r="AZ65">
            <v>0</v>
          </cell>
          <cell r="BA65">
            <v>5.0000000000000044E-2</v>
          </cell>
          <cell r="BB65">
            <v>21136.1535</v>
          </cell>
          <cell r="BC65">
            <v>0</v>
          </cell>
          <cell r="BD65">
            <v>0</v>
          </cell>
          <cell r="BE65">
            <v>0</v>
          </cell>
          <cell r="BF65">
            <v>17026.947</v>
          </cell>
          <cell r="BG65">
            <v>0</v>
          </cell>
          <cell r="BH65">
            <v>0</v>
          </cell>
          <cell r="BI65">
            <v>0</v>
          </cell>
          <cell r="BJ65">
            <v>374050.61350000004</v>
          </cell>
          <cell r="BK65">
            <v>400487.35699999996</v>
          </cell>
          <cell r="BL65" t="str">
            <v/>
          </cell>
          <cell r="BM65">
            <v>0.88</v>
          </cell>
          <cell r="BO65" t="str">
            <v>Staff</v>
          </cell>
          <cell r="BP65">
            <v>40775</v>
          </cell>
          <cell r="BQ65">
            <v>3</v>
          </cell>
          <cell r="BR65">
            <v>1</v>
          </cell>
          <cell r="BS65">
            <v>3</v>
          </cell>
          <cell r="BT65">
            <v>329604</v>
          </cell>
          <cell r="BU65">
            <v>1</v>
          </cell>
          <cell r="BW65">
            <v>0.9</v>
          </cell>
          <cell r="BX65">
            <v>0.96799999999999997</v>
          </cell>
          <cell r="BY65">
            <v>0.88800000000000001</v>
          </cell>
          <cell r="BZ65">
            <v>1.2410000000000001</v>
          </cell>
          <cell r="CG65">
            <v>0.93</v>
          </cell>
          <cell r="CH65">
            <v>1</v>
          </cell>
          <cell r="CI65">
            <v>0.7</v>
          </cell>
          <cell r="CJ65">
            <v>0</v>
          </cell>
          <cell r="CK65">
            <v>0.5</v>
          </cell>
        </row>
        <row r="66">
          <cell r="A66" t="str">
            <v>53Q1</v>
          </cell>
          <cell r="B66" t="str">
            <v>Q1</v>
          </cell>
          <cell r="C66">
            <v>53</v>
          </cell>
          <cell r="D66" t="str">
            <v>Nurikhanova Alissa</v>
          </cell>
          <cell r="E66" t="str">
            <v>Medical Representative</v>
          </cell>
          <cell r="F66">
            <v>40676</v>
          </cell>
          <cell r="G66">
            <v>42829</v>
          </cell>
          <cell r="H66" t="str">
            <v/>
          </cell>
          <cell r="I66" t="str">
            <v>Line 2</v>
          </cell>
          <cell r="J66" t="str">
            <v xml:space="preserve">DUPHASTON </v>
          </cell>
          <cell r="K66" t="str">
            <v>FEMOSTON</v>
          </cell>
          <cell r="L66">
            <v>0</v>
          </cell>
          <cell r="M66">
            <v>0</v>
          </cell>
          <cell r="N66">
            <v>0.3</v>
          </cell>
          <cell r="O66">
            <v>51205.5</v>
          </cell>
          <cell r="P66">
            <v>21773.200000000001</v>
          </cell>
          <cell r="Q66">
            <v>0</v>
          </cell>
          <cell r="R66">
            <v>0</v>
          </cell>
          <cell r="S66">
            <v>44550</v>
          </cell>
          <cell r="T66">
            <v>24510.799999999999</v>
          </cell>
          <cell r="U66">
            <v>0</v>
          </cell>
          <cell r="V66">
            <v>0</v>
          </cell>
          <cell r="W66" t="str">
            <v>PHYSIOTENS</v>
          </cell>
          <cell r="X66" t="str">
            <v>TRICOR /LIPANTHYL</v>
          </cell>
          <cell r="Y66" t="str">
            <v>OMACOR</v>
          </cell>
          <cell r="Z66">
            <v>0</v>
          </cell>
          <cell r="AA66">
            <v>0.25</v>
          </cell>
          <cell r="AB66">
            <v>176007</v>
          </cell>
          <cell r="AC66">
            <v>2494.5</v>
          </cell>
          <cell r="AD66">
            <v>620</v>
          </cell>
          <cell r="AE66">
            <v>0</v>
          </cell>
          <cell r="AF66">
            <v>149141.5</v>
          </cell>
          <cell r="AG66">
            <v>2494.5</v>
          </cell>
          <cell r="AH66">
            <v>930</v>
          </cell>
          <cell r="AI66">
            <v>0</v>
          </cell>
          <cell r="AJ66" t="str">
            <v>HEPTRAL</v>
          </cell>
          <cell r="AK66">
            <v>0</v>
          </cell>
          <cell r="AL66">
            <v>0</v>
          </cell>
          <cell r="AM66">
            <v>0</v>
          </cell>
          <cell r="AN66">
            <v>0.25</v>
          </cell>
          <cell r="AO66">
            <v>14264.640000000001</v>
          </cell>
          <cell r="AP66">
            <v>0</v>
          </cell>
          <cell r="AQ66">
            <v>0</v>
          </cell>
          <cell r="AR66">
            <v>0</v>
          </cell>
          <cell r="AS66">
            <v>19349.72</v>
          </cell>
          <cell r="AT66">
            <v>0</v>
          </cell>
          <cell r="AU66">
            <v>0</v>
          </cell>
          <cell r="AV66">
            <v>0</v>
          </cell>
          <cell r="AW66" t="str">
            <v>BETASERC</v>
          </cell>
          <cell r="AX66" t="str">
            <v xml:space="preserve">DUPHALAC </v>
          </cell>
          <cell r="AY66" t="str">
            <v>CREON</v>
          </cell>
          <cell r="AZ66">
            <v>0</v>
          </cell>
          <cell r="BA66">
            <v>0.19999999999999996</v>
          </cell>
          <cell r="BB66">
            <v>32165.48</v>
          </cell>
          <cell r="BC66">
            <v>3952.3</v>
          </cell>
          <cell r="BD66">
            <v>4623.0339999999997</v>
          </cell>
          <cell r="BE66">
            <v>0</v>
          </cell>
          <cell r="BF66">
            <v>22378.880000000001</v>
          </cell>
          <cell r="BG66">
            <v>4161.7</v>
          </cell>
          <cell r="BH66">
            <v>3439.3575000000001</v>
          </cell>
          <cell r="BI66">
            <v>0</v>
          </cell>
          <cell r="BJ66">
            <v>307105.65400000004</v>
          </cell>
          <cell r="BK66">
            <v>270956.45750000002</v>
          </cell>
          <cell r="BL66">
            <v>0</v>
          </cell>
          <cell r="BM66">
            <v>0.97</v>
          </cell>
          <cell r="BO66" t="str">
            <v>Staff</v>
          </cell>
          <cell r="BP66">
            <v>40768</v>
          </cell>
          <cell r="BQ66">
            <v>3</v>
          </cell>
          <cell r="BR66">
            <v>1</v>
          </cell>
          <cell r="BS66">
            <v>3</v>
          </cell>
          <cell r="BT66">
            <v>329604</v>
          </cell>
          <cell r="BU66">
            <v>1</v>
          </cell>
          <cell r="BW66">
            <v>1.0569999999999999</v>
          </cell>
          <cell r="BX66">
            <v>1.1739999999999999</v>
          </cell>
          <cell r="BY66">
            <v>0.73699999999999999</v>
          </cell>
          <cell r="BZ66">
            <v>1.359</v>
          </cell>
          <cell r="CG66">
            <v>1.1299999999999999</v>
          </cell>
          <cell r="CH66">
            <v>1</v>
          </cell>
          <cell r="CI66">
            <v>2.15</v>
          </cell>
          <cell r="CJ66">
            <v>0</v>
          </cell>
          <cell r="CK66">
            <v>1</v>
          </cell>
        </row>
        <row r="67">
          <cell r="A67" t="str">
            <v>54Q1</v>
          </cell>
          <cell r="B67" t="str">
            <v>Q1</v>
          </cell>
          <cell r="C67">
            <v>54</v>
          </cell>
          <cell r="D67" t="str">
            <v>Omarova Aizhan</v>
          </cell>
          <cell r="E67" t="str">
            <v>Medical Representative</v>
          </cell>
          <cell r="F67">
            <v>42461</v>
          </cell>
          <cell r="G67" t="str">
            <v/>
          </cell>
          <cell r="H67" t="str">
            <v/>
          </cell>
          <cell r="I67" t="str">
            <v>Line 1</v>
          </cell>
          <cell r="J67" t="str">
            <v>CREON</v>
          </cell>
          <cell r="K67" t="str">
            <v xml:space="preserve">DUPHALAC </v>
          </cell>
          <cell r="L67">
            <v>0</v>
          </cell>
          <cell r="M67">
            <v>0</v>
          </cell>
          <cell r="N67">
            <v>0.5</v>
          </cell>
          <cell r="O67">
            <v>51286.16</v>
          </cell>
          <cell r="P67">
            <v>39364</v>
          </cell>
          <cell r="Q67">
            <v>0</v>
          </cell>
          <cell r="R67">
            <v>0</v>
          </cell>
          <cell r="S67">
            <v>39838.04</v>
          </cell>
          <cell r="T67">
            <v>31382.5</v>
          </cell>
          <cell r="U67">
            <v>0</v>
          </cell>
          <cell r="V67">
            <v>0</v>
          </cell>
          <cell r="W67" t="str">
            <v>HEPTRAL</v>
          </cell>
          <cell r="X67" t="str">
            <v xml:space="preserve">DUSPATALIN </v>
          </cell>
          <cell r="Y67">
            <v>0</v>
          </cell>
          <cell r="Z67">
            <v>0</v>
          </cell>
          <cell r="AA67">
            <v>0.25</v>
          </cell>
          <cell r="AB67">
            <v>42430.7</v>
          </cell>
          <cell r="AC67">
            <v>5576.5</v>
          </cell>
          <cell r="AD67">
            <v>0</v>
          </cell>
          <cell r="AE67">
            <v>0</v>
          </cell>
          <cell r="AF67">
            <v>34109.660000000003</v>
          </cell>
          <cell r="AG67">
            <v>5833</v>
          </cell>
          <cell r="AH67">
            <v>0</v>
          </cell>
          <cell r="AI67">
            <v>0</v>
          </cell>
          <cell r="AJ67" t="str">
            <v>IRS 19</v>
          </cell>
          <cell r="AK67" t="str">
            <v>IMUDON</v>
          </cell>
          <cell r="AL67">
            <v>0</v>
          </cell>
          <cell r="AM67">
            <v>0</v>
          </cell>
          <cell r="AN67">
            <v>0.1</v>
          </cell>
          <cell r="AO67">
            <v>1644</v>
          </cell>
          <cell r="AP67">
            <v>2040</v>
          </cell>
          <cell r="AQ67">
            <v>0</v>
          </cell>
          <cell r="AR67">
            <v>0</v>
          </cell>
          <cell r="AS67">
            <v>3768</v>
          </cell>
          <cell r="AT67">
            <v>1956</v>
          </cell>
          <cell r="AU67">
            <v>0</v>
          </cell>
          <cell r="AV67">
            <v>0</v>
          </cell>
          <cell r="AW67" t="str">
            <v xml:space="preserve">GANATON </v>
          </cell>
          <cell r="AX67">
            <v>0</v>
          </cell>
          <cell r="AY67">
            <v>0</v>
          </cell>
          <cell r="AZ67">
            <v>0</v>
          </cell>
          <cell r="BA67">
            <v>0.15</v>
          </cell>
          <cell r="BB67">
            <v>215.8</v>
          </cell>
          <cell r="BC67">
            <v>0</v>
          </cell>
          <cell r="BD67">
            <v>0</v>
          </cell>
          <cell r="BE67">
            <v>0</v>
          </cell>
          <cell r="BF67">
            <v>996.00000000000011</v>
          </cell>
          <cell r="BG67">
            <v>0</v>
          </cell>
          <cell r="BH67">
            <v>0</v>
          </cell>
          <cell r="BI67">
            <v>0</v>
          </cell>
          <cell r="BJ67">
            <v>142557.15999999997</v>
          </cell>
          <cell r="BK67">
            <v>117883.20000000001</v>
          </cell>
          <cell r="BL67" t="str">
            <v/>
          </cell>
          <cell r="BM67">
            <v>0.97</v>
          </cell>
          <cell r="BO67" t="str">
            <v>Staff</v>
          </cell>
          <cell r="BP67">
            <v>42552</v>
          </cell>
          <cell r="BQ67">
            <v>3</v>
          </cell>
          <cell r="BR67">
            <v>1</v>
          </cell>
          <cell r="BS67">
            <v>3</v>
          </cell>
          <cell r="BT67">
            <v>329604</v>
          </cell>
          <cell r="BU67">
            <v>1</v>
          </cell>
          <cell r="BW67">
            <v>1.2729999999999999</v>
          </cell>
          <cell r="BX67">
            <v>1.202</v>
          </cell>
          <cell r="BY67">
            <v>0.64400000000000002</v>
          </cell>
          <cell r="BZ67">
            <v>0.217</v>
          </cell>
          <cell r="CG67">
            <v>1.21</v>
          </cell>
          <cell r="CH67">
            <v>1</v>
          </cell>
          <cell r="CI67">
            <v>2.5</v>
          </cell>
          <cell r="CJ67">
            <v>0</v>
          </cell>
          <cell r="CK67">
            <v>1</v>
          </cell>
        </row>
        <row r="68">
          <cell r="A68" t="str">
            <v>55Q1</v>
          </cell>
          <cell r="B68" t="str">
            <v>Q1</v>
          </cell>
          <cell r="C68">
            <v>55</v>
          </cell>
          <cell r="D68" t="str">
            <v>Ospanova Anar</v>
          </cell>
          <cell r="E68" t="str">
            <v>Medical Representative</v>
          </cell>
          <cell r="F68">
            <v>42681</v>
          </cell>
          <cell r="G68" t="str">
            <v/>
          </cell>
          <cell r="H68" t="str">
            <v/>
          </cell>
          <cell r="I68" t="str">
            <v>Line 2</v>
          </cell>
          <cell r="J68" t="str">
            <v xml:space="preserve">DUPHASTON </v>
          </cell>
          <cell r="K68" t="str">
            <v>FEMOSTON</v>
          </cell>
          <cell r="L68">
            <v>0</v>
          </cell>
          <cell r="M68">
            <v>0</v>
          </cell>
          <cell r="N68">
            <v>0.3</v>
          </cell>
          <cell r="O68">
            <v>13081.5</v>
          </cell>
          <cell r="P68">
            <v>6960</v>
          </cell>
          <cell r="Q68">
            <v>0</v>
          </cell>
          <cell r="R68">
            <v>0</v>
          </cell>
          <cell r="S68">
            <v>14715</v>
          </cell>
          <cell r="T68">
            <v>7424</v>
          </cell>
          <cell r="U68">
            <v>0</v>
          </cell>
          <cell r="V68">
            <v>0</v>
          </cell>
          <cell r="W68" t="str">
            <v>PHYSIOTENS</v>
          </cell>
          <cell r="X68" t="str">
            <v>TRICOR /LIPANTHYL</v>
          </cell>
          <cell r="Y68" t="str">
            <v>OMACOR</v>
          </cell>
          <cell r="Z68">
            <v>0</v>
          </cell>
          <cell r="AA68">
            <v>0.25</v>
          </cell>
          <cell r="AB68">
            <v>43685</v>
          </cell>
          <cell r="AC68">
            <v>798.24</v>
          </cell>
          <cell r="AD68">
            <v>682</v>
          </cell>
          <cell r="AE68">
            <v>0</v>
          </cell>
          <cell r="AF68">
            <v>29618</v>
          </cell>
          <cell r="AG68">
            <v>615.30999999999995</v>
          </cell>
          <cell r="AH68">
            <v>496</v>
          </cell>
          <cell r="AI68">
            <v>0</v>
          </cell>
          <cell r="AJ68" t="str">
            <v>HEPTRAL</v>
          </cell>
          <cell r="AK68">
            <v>0</v>
          </cell>
          <cell r="AL68">
            <v>0</v>
          </cell>
          <cell r="AM68">
            <v>0</v>
          </cell>
          <cell r="AN68">
            <v>0.25</v>
          </cell>
          <cell r="AO68">
            <v>5927.09</v>
          </cell>
          <cell r="AP68">
            <v>0</v>
          </cell>
          <cell r="AQ68">
            <v>0</v>
          </cell>
          <cell r="AR68">
            <v>0</v>
          </cell>
          <cell r="AS68">
            <v>4655.8200000000006</v>
          </cell>
          <cell r="AT68">
            <v>0</v>
          </cell>
          <cell r="AU68">
            <v>0</v>
          </cell>
          <cell r="AV68">
            <v>0</v>
          </cell>
          <cell r="AW68" t="str">
            <v>BETASERC</v>
          </cell>
          <cell r="AX68" t="str">
            <v xml:space="preserve">DUPHALAC </v>
          </cell>
          <cell r="AY68" t="str">
            <v>CREON</v>
          </cell>
          <cell r="AZ68">
            <v>0</v>
          </cell>
          <cell r="BA68">
            <v>0.19999999999999996</v>
          </cell>
          <cell r="BB68">
            <v>7003.66</v>
          </cell>
          <cell r="BC68">
            <v>1258.6500000000001</v>
          </cell>
          <cell r="BD68">
            <v>1192.7235000000001</v>
          </cell>
          <cell r="BE68">
            <v>0</v>
          </cell>
          <cell r="BF68">
            <v>3718.84</v>
          </cell>
          <cell r="BG68">
            <v>1290.3500000000001</v>
          </cell>
          <cell r="BH68">
            <v>1276.0910000000001</v>
          </cell>
          <cell r="BI68">
            <v>0</v>
          </cell>
          <cell r="BJ68">
            <v>80588.863500000007</v>
          </cell>
          <cell r="BK68">
            <v>63809.411</v>
          </cell>
          <cell r="BL68" t="str">
            <v/>
          </cell>
          <cell r="BM68">
            <v>0.98</v>
          </cell>
          <cell r="BO68" t="str">
            <v>Newcomer</v>
          </cell>
          <cell r="BP68">
            <v>42773</v>
          </cell>
          <cell r="BQ68">
            <v>1</v>
          </cell>
          <cell r="BR68">
            <v>3</v>
          </cell>
          <cell r="BS68">
            <v>3</v>
          </cell>
          <cell r="BT68">
            <v>329604</v>
          </cell>
          <cell r="BU68">
            <v>0.33333333333333331</v>
          </cell>
          <cell r="BW68">
            <v>0.90500000000000003</v>
          </cell>
          <cell r="BX68">
            <v>1.47</v>
          </cell>
          <cell r="BY68">
            <v>1.2729999999999999</v>
          </cell>
          <cell r="BZ68">
            <v>1.504</v>
          </cell>
          <cell r="CG68">
            <v>1.26</v>
          </cell>
          <cell r="CH68">
            <v>1</v>
          </cell>
          <cell r="CI68">
            <v>2.5</v>
          </cell>
          <cell r="CJ68">
            <v>0</v>
          </cell>
          <cell r="CK68">
            <v>1</v>
          </cell>
        </row>
        <row r="69">
          <cell r="A69" t="str">
            <v>56Q1</v>
          </cell>
          <cell r="B69" t="str">
            <v>Q1</v>
          </cell>
          <cell r="C69">
            <v>56</v>
          </cell>
          <cell r="D69" t="str">
            <v>Ossipova Anna</v>
          </cell>
          <cell r="E69" t="str">
            <v>Pharm Representative</v>
          </cell>
          <cell r="F69">
            <v>42045</v>
          </cell>
          <cell r="G69" t="str">
            <v/>
          </cell>
          <cell r="H69" t="str">
            <v/>
          </cell>
          <cell r="I69" t="str">
            <v>Pharma line</v>
          </cell>
          <cell r="J69" t="str">
            <v>CREON</v>
          </cell>
          <cell r="K69">
            <v>0</v>
          </cell>
          <cell r="L69">
            <v>0</v>
          </cell>
          <cell r="M69">
            <v>0</v>
          </cell>
          <cell r="N69">
            <v>0.4</v>
          </cell>
          <cell r="O69">
            <v>110484.315</v>
          </cell>
          <cell r="P69">
            <v>0</v>
          </cell>
          <cell r="Q69">
            <v>0</v>
          </cell>
          <cell r="R69">
            <v>0</v>
          </cell>
          <cell r="S69">
            <v>99030.41</v>
          </cell>
          <cell r="T69">
            <v>0</v>
          </cell>
          <cell r="U69">
            <v>0</v>
          </cell>
          <cell r="V69">
            <v>0</v>
          </cell>
          <cell r="W69" t="str">
            <v xml:space="preserve">DUPHALAC </v>
          </cell>
          <cell r="X69">
            <v>0</v>
          </cell>
          <cell r="Y69">
            <v>0</v>
          </cell>
          <cell r="Z69">
            <v>0</v>
          </cell>
          <cell r="AA69">
            <v>0.35</v>
          </cell>
          <cell r="AB69">
            <v>68752</v>
          </cell>
          <cell r="AC69">
            <v>0</v>
          </cell>
          <cell r="AD69">
            <v>0</v>
          </cell>
          <cell r="AE69">
            <v>0</v>
          </cell>
          <cell r="AF69">
            <v>61435</v>
          </cell>
          <cell r="AG69">
            <v>0</v>
          </cell>
          <cell r="AH69">
            <v>0</v>
          </cell>
          <cell r="AI69">
            <v>0</v>
          </cell>
          <cell r="AJ69" t="str">
            <v>IRS 19</v>
          </cell>
          <cell r="AK69" t="str">
            <v>IMUDON</v>
          </cell>
          <cell r="AL69">
            <v>0</v>
          </cell>
          <cell r="AM69">
            <v>0</v>
          </cell>
          <cell r="AN69">
            <v>0.25</v>
          </cell>
          <cell r="AO69">
            <v>6744</v>
          </cell>
          <cell r="AP69">
            <v>9864</v>
          </cell>
          <cell r="AQ69">
            <v>0</v>
          </cell>
          <cell r="AR69">
            <v>0</v>
          </cell>
          <cell r="AS69">
            <v>6372</v>
          </cell>
          <cell r="AT69">
            <v>9312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195844.315</v>
          </cell>
          <cell r="BK69">
            <v>176149.41</v>
          </cell>
          <cell r="BL69" t="str">
            <v/>
          </cell>
          <cell r="BM69">
            <v>0.93</v>
          </cell>
          <cell r="BO69" t="str">
            <v>Staff</v>
          </cell>
          <cell r="BP69">
            <v>42134</v>
          </cell>
          <cell r="BQ69">
            <v>3</v>
          </cell>
          <cell r="BR69">
            <v>1</v>
          </cell>
          <cell r="BS69">
            <v>3</v>
          </cell>
          <cell r="BT69">
            <v>329604</v>
          </cell>
          <cell r="BU69">
            <v>1</v>
          </cell>
          <cell r="BW69">
            <v>1.1160000000000001</v>
          </cell>
          <cell r="BX69">
            <v>1.119</v>
          </cell>
          <cell r="BY69">
            <v>1.0589999999999999</v>
          </cell>
          <cell r="BZ69">
            <v>0</v>
          </cell>
          <cell r="CG69">
            <v>1.1100000000000001</v>
          </cell>
          <cell r="CH69">
            <v>1</v>
          </cell>
          <cell r="CI69">
            <v>2.0499999999999998</v>
          </cell>
          <cell r="CJ69">
            <v>0</v>
          </cell>
          <cell r="CK69">
            <v>0.5</v>
          </cell>
        </row>
        <row r="70">
          <cell r="A70" t="str">
            <v>57Q1</v>
          </cell>
          <cell r="B70" t="str">
            <v>Q1</v>
          </cell>
          <cell r="C70">
            <v>57</v>
          </cell>
          <cell r="D70" t="str">
            <v>Pavlutskikh Yelena</v>
          </cell>
          <cell r="E70" t="str">
            <v>Medical Representative</v>
          </cell>
          <cell r="F70">
            <v>40680</v>
          </cell>
          <cell r="G70" t="str">
            <v/>
          </cell>
          <cell r="H70" t="str">
            <v/>
          </cell>
          <cell r="I70" t="str">
            <v>Line 1</v>
          </cell>
          <cell r="J70" t="str">
            <v>CREON</v>
          </cell>
          <cell r="K70" t="str">
            <v xml:space="preserve">DUPHALAC </v>
          </cell>
          <cell r="L70">
            <v>0</v>
          </cell>
          <cell r="M70">
            <v>0</v>
          </cell>
          <cell r="N70">
            <v>0.5</v>
          </cell>
          <cell r="O70">
            <v>44752.020000000004</v>
          </cell>
          <cell r="P70">
            <v>24156</v>
          </cell>
          <cell r="Q70">
            <v>0</v>
          </cell>
          <cell r="R70">
            <v>0</v>
          </cell>
          <cell r="S70">
            <v>33774.36</v>
          </cell>
          <cell r="T70">
            <v>26678</v>
          </cell>
          <cell r="U70">
            <v>0</v>
          </cell>
          <cell r="V70">
            <v>0</v>
          </cell>
          <cell r="W70" t="str">
            <v>HEPTRAL</v>
          </cell>
          <cell r="X70" t="str">
            <v xml:space="preserve">DUSPATALIN </v>
          </cell>
          <cell r="Y70">
            <v>0</v>
          </cell>
          <cell r="Z70">
            <v>0</v>
          </cell>
          <cell r="AA70">
            <v>0.25</v>
          </cell>
          <cell r="AB70">
            <v>17203.420000000002</v>
          </cell>
          <cell r="AC70">
            <v>12682.5</v>
          </cell>
          <cell r="AD70">
            <v>0</v>
          </cell>
          <cell r="AE70">
            <v>0</v>
          </cell>
          <cell r="AF70">
            <v>24632.92</v>
          </cell>
          <cell r="AG70">
            <v>12122</v>
          </cell>
          <cell r="AH70">
            <v>0</v>
          </cell>
          <cell r="AI70">
            <v>0</v>
          </cell>
          <cell r="AJ70" t="str">
            <v>IRS 19</v>
          </cell>
          <cell r="AK70" t="str">
            <v>IMUDON</v>
          </cell>
          <cell r="AL70">
            <v>0</v>
          </cell>
          <cell r="AM70">
            <v>0</v>
          </cell>
          <cell r="AN70">
            <v>0.1</v>
          </cell>
          <cell r="AO70">
            <v>2820</v>
          </cell>
          <cell r="AP70">
            <v>2820</v>
          </cell>
          <cell r="AQ70">
            <v>0</v>
          </cell>
          <cell r="AR70">
            <v>0</v>
          </cell>
          <cell r="AS70">
            <v>2832</v>
          </cell>
          <cell r="AT70">
            <v>2436</v>
          </cell>
          <cell r="AU70">
            <v>0</v>
          </cell>
          <cell r="AV70">
            <v>0</v>
          </cell>
          <cell r="AW70" t="str">
            <v xml:space="preserve">GANATON </v>
          </cell>
          <cell r="AX70">
            <v>0</v>
          </cell>
          <cell r="AY70">
            <v>0</v>
          </cell>
          <cell r="AZ70">
            <v>0</v>
          </cell>
          <cell r="BA70">
            <v>0.15</v>
          </cell>
          <cell r="BB70">
            <v>979.40000000000009</v>
          </cell>
          <cell r="BC70">
            <v>0</v>
          </cell>
          <cell r="BD70">
            <v>0</v>
          </cell>
          <cell r="BE70">
            <v>0</v>
          </cell>
          <cell r="BF70">
            <v>1029.2</v>
          </cell>
          <cell r="BG70">
            <v>0</v>
          </cell>
          <cell r="BH70">
            <v>0</v>
          </cell>
          <cell r="BI70">
            <v>0</v>
          </cell>
          <cell r="BJ70">
            <v>105413.34</v>
          </cell>
          <cell r="BK70">
            <v>103504.48</v>
          </cell>
          <cell r="BL70" t="str">
            <v/>
          </cell>
          <cell r="BM70">
            <v>0.95</v>
          </cell>
          <cell r="BO70" t="str">
            <v>Staff</v>
          </cell>
          <cell r="BP70">
            <v>40772</v>
          </cell>
          <cell r="BQ70">
            <v>3</v>
          </cell>
          <cell r="BR70">
            <v>1</v>
          </cell>
          <cell r="BS70">
            <v>3</v>
          </cell>
          <cell r="BT70">
            <v>329604</v>
          </cell>
          <cell r="BU70">
            <v>1</v>
          </cell>
          <cell r="BW70">
            <v>1.1399999999999999</v>
          </cell>
          <cell r="BX70">
            <v>0.81299999999999994</v>
          </cell>
          <cell r="BY70">
            <v>1.071</v>
          </cell>
          <cell r="BZ70">
            <v>0.95199999999999996</v>
          </cell>
          <cell r="CG70">
            <v>1.02</v>
          </cell>
          <cell r="CH70">
            <v>1</v>
          </cell>
          <cell r="CI70">
            <v>1.2</v>
          </cell>
          <cell r="CJ70">
            <v>0</v>
          </cell>
          <cell r="CK70">
            <v>1</v>
          </cell>
        </row>
        <row r="71">
          <cell r="A71" t="str">
            <v>58Q1</v>
          </cell>
          <cell r="B71" t="str">
            <v>Q1</v>
          </cell>
          <cell r="C71">
            <v>58</v>
          </cell>
          <cell r="D71" t="str">
            <v>Rakhimzhanova Gulnar</v>
          </cell>
          <cell r="E71" t="str">
            <v>Medical Representative</v>
          </cell>
          <cell r="F71">
            <v>41792</v>
          </cell>
          <cell r="G71" t="str">
            <v/>
          </cell>
          <cell r="H71" t="str">
            <v/>
          </cell>
          <cell r="I71" t="str">
            <v>Line 1</v>
          </cell>
          <cell r="J71" t="str">
            <v>CREON</v>
          </cell>
          <cell r="K71" t="str">
            <v xml:space="preserve">DUPHALAC </v>
          </cell>
          <cell r="L71">
            <v>0</v>
          </cell>
          <cell r="M71">
            <v>0</v>
          </cell>
          <cell r="N71">
            <v>0.5</v>
          </cell>
          <cell r="O71">
            <v>67078.89</v>
          </cell>
          <cell r="P71">
            <v>28336.5</v>
          </cell>
          <cell r="Q71">
            <v>0</v>
          </cell>
          <cell r="R71">
            <v>0</v>
          </cell>
          <cell r="S71">
            <v>55253.959999999992</v>
          </cell>
          <cell r="T71">
            <v>33683</v>
          </cell>
          <cell r="U71">
            <v>0</v>
          </cell>
          <cell r="V71">
            <v>0</v>
          </cell>
          <cell r="W71" t="str">
            <v>HEPTRAL</v>
          </cell>
          <cell r="X71" t="str">
            <v xml:space="preserve">DUSPATALIN </v>
          </cell>
          <cell r="Y71">
            <v>0</v>
          </cell>
          <cell r="Z71">
            <v>0</v>
          </cell>
          <cell r="AA71">
            <v>0.25</v>
          </cell>
          <cell r="AB71">
            <v>31104.840000000004</v>
          </cell>
          <cell r="AC71">
            <v>19104.5</v>
          </cell>
          <cell r="AD71">
            <v>0</v>
          </cell>
          <cell r="AE71">
            <v>0</v>
          </cell>
          <cell r="AF71">
            <v>34770.06</v>
          </cell>
          <cell r="AG71">
            <v>17100</v>
          </cell>
          <cell r="AH71">
            <v>0</v>
          </cell>
          <cell r="AI71">
            <v>0</v>
          </cell>
          <cell r="AJ71" t="str">
            <v>IRS 19</v>
          </cell>
          <cell r="AK71" t="str">
            <v>IMUDON</v>
          </cell>
          <cell r="AL71">
            <v>0</v>
          </cell>
          <cell r="AM71">
            <v>0</v>
          </cell>
          <cell r="AN71">
            <v>0.1</v>
          </cell>
          <cell r="AO71">
            <v>5112</v>
          </cell>
          <cell r="AP71">
            <v>4680</v>
          </cell>
          <cell r="AQ71">
            <v>0</v>
          </cell>
          <cell r="AR71">
            <v>0</v>
          </cell>
          <cell r="AS71">
            <v>4560</v>
          </cell>
          <cell r="AT71">
            <v>6192</v>
          </cell>
          <cell r="AU71">
            <v>0</v>
          </cell>
          <cell r="AV71">
            <v>0</v>
          </cell>
          <cell r="AW71" t="str">
            <v xml:space="preserve">GANATON </v>
          </cell>
          <cell r="AX71">
            <v>0</v>
          </cell>
          <cell r="AY71">
            <v>0</v>
          </cell>
          <cell r="AZ71">
            <v>0</v>
          </cell>
          <cell r="BA71">
            <v>0.15</v>
          </cell>
          <cell r="BB71">
            <v>1079</v>
          </cell>
          <cell r="BC71">
            <v>0</v>
          </cell>
          <cell r="BD71">
            <v>0</v>
          </cell>
          <cell r="BE71">
            <v>0</v>
          </cell>
          <cell r="BF71">
            <v>1494.0000000000002</v>
          </cell>
          <cell r="BG71">
            <v>0</v>
          </cell>
          <cell r="BH71">
            <v>0</v>
          </cell>
          <cell r="BI71">
            <v>0</v>
          </cell>
          <cell r="BJ71">
            <v>156495.73000000001</v>
          </cell>
          <cell r="BK71">
            <v>153053.01999999999</v>
          </cell>
          <cell r="BL71" t="str">
            <v/>
          </cell>
          <cell r="BM71">
            <v>0.99</v>
          </cell>
          <cell r="BO71" t="str">
            <v>Staff</v>
          </cell>
          <cell r="BP71">
            <v>41884</v>
          </cell>
          <cell r="BQ71">
            <v>3</v>
          </cell>
          <cell r="BR71">
            <v>1</v>
          </cell>
          <cell r="BS71">
            <v>3</v>
          </cell>
          <cell r="BT71">
            <v>329604</v>
          </cell>
          <cell r="BU71">
            <v>1</v>
          </cell>
          <cell r="BW71">
            <v>1.073</v>
          </cell>
          <cell r="BX71">
            <v>0.96799999999999997</v>
          </cell>
          <cell r="BY71">
            <v>0.91100000000000003</v>
          </cell>
          <cell r="BZ71">
            <v>0.72199999999999998</v>
          </cell>
          <cell r="CG71">
            <v>1.02</v>
          </cell>
          <cell r="CH71">
            <v>1</v>
          </cell>
          <cell r="CI71">
            <v>1.2</v>
          </cell>
          <cell r="CJ71">
            <v>0</v>
          </cell>
          <cell r="CK71">
            <v>1</v>
          </cell>
        </row>
        <row r="72">
          <cell r="A72" t="str">
            <v>59Q1</v>
          </cell>
          <cell r="B72" t="str">
            <v>Q1</v>
          </cell>
          <cell r="C72">
            <v>59</v>
          </cell>
          <cell r="D72" t="str">
            <v>Sadvakassova Zhanat</v>
          </cell>
          <cell r="E72" t="str">
            <v>Pharm Representative</v>
          </cell>
          <cell r="F72">
            <v>41288</v>
          </cell>
          <cell r="G72" t="str">
            <v/>
          </cell>
          <cell r="H72" t="str">
            <v/>
          </cell>
          <cell r="I72" t="str">
            <v>Pharma line</v>
          </cell>
          <cell r="J72" t="str">
            <v>CREON</v>
          </cell>
          <cell r="K72">
            <v>0</v>
          </cell>
          <cell r="L72">
            <v>0</v>
          </cell>
          <cell r="M72">
            <v>0</v>
          </cell>
          <cell r="N72">
            <v>0.4</v>
          </cell>
          <cell r="O72">
            <v>168610.04499999998</v>
          </cell>
          <cell r="P72">
            <v>0</v>
          </cell>
          <cell r="Q72">
            <v>0</v>
          </cell>
          <cell r="R72">
            <v>0</v>
          </cell>
          <cell r="S72">
            <v>158905.20000000001</v>
          </cell>
          <cell r="T72">
            <v>0</v>
          </cell>
          <cell r="U72">
            <v>0</v>
          </cell>
          <cell r="V72">
            <v>0</v>
          </cell>
          <cell r="W72" t="str">
            <v xml:space="preserve">DUPHALAC </v>
          </cell>
          <cell r="X72">
            <v>0</v>
          </cell>
          <cell r="Y72">
            <v>0</v>
          </cell>
          <cell r="Z72">
            <v>0</v>
          </cell>
          <cell r="AA72">
            <v>0.35</v>
          </cell>
          <cell r="AB72">
            <v>78734.5</v>
          </cell>
          <cell r="AC72">
            <v>0</v>
          </cell>
          <cell r="AD72">
            <v>0</v>
          </cell>
          <cell r="AE72">
            <v>0</v>
          </cell>
          <cell r="AF72">
            <v>92581</v>
          </cell>
          <cell r="AG72">
            <v>0</v>
          </cell>
          <cell r="AH72">
            <v>0</v>
          </cell>
          <cell r="AI72">
            <v>0</v>
          </cell>
          <cell r="AJ72" t="str">
            <v>IRS 19</v>
          </cell>
          <cell r="AK72" t="str">
            <v>IMUDON</v>
          </cell>
          <cell r="AL72">
            <v>0</v>
          </cell>
          <cell r="AM72">
            <v>0</v>
          </cell>
          <cell r="AN72">
            <v>0.25</v>
          </cell>
          <cell r="AO72">
            <v>12972</v>
          </cell>
          <cell r="AP72">
            <v>25797.599999999999</v>
          </cell>
          <cell r="AQ72">
            <v>0</v>
          </cell>
          <cell r="AR72">
            <v>0</v>
          </cell>
          <cell r="AS72">
            <v>15708</v>
          </cell>
          <cell r="AT72">
            <v>26736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286114.14499999996</v>
          </cell>
          <cell r="BK72">
            <v>293930.2</v>
          </cell>
          <cell r="BL72" t="str">
            <v/>
          </cell>
          <cell r="BM72">
            <v>0.99</v>
          </cell>
          <cell r="BO72" t="str">
            <v>Staff</v>
          </cell>
          <cell r="BP72">
            <v>41378</v>
          </cell>
          <cell r="BQ72">
            <v>3</v>
          </cell>
          <cell r="BR72">
            <v>1</v>
          </cell>
          <cell r="BS72">
            <v>3</v>
          </cell>
          <cell r="BT72">
            <v>329604</v>
          </cell>
          <cell r="BU72">
            <v>1</v>
          </cell>
          <cell r="BW72">
            <v>1.0609999999999999</v>
          </cell>
          <cell r="BX72">
            <v>0.85</v>
          </cell>
          <cell r="BY72">
            <v>0.91300000000000003</v>
          </cell>
          <cell r="BZ72">
            <v>0</v>
          </cell>
          <cell r="CG72">
            <v>0.97</v>
          </cell>
          <cell r="CH72">
            <v>1</v>
          </cell>
          <cell r="CI72">
            <v>0.85</v>
          </cell>
          <cell r="CJ72">
            <v>0</v>
          </cell>
          <cell r="CK72">
            <v>1</v>
          </cell>
        </row>
        <row r="73">
          <cell r="A73" t="str">
            <v>60Q1</v>
          </cell>
          <cell r="B73" t="str">
            <v>Q1</v>
          </cell>
          <cell r="C73">
            <v>60</v>
          </cell>
          <cell r="D73" t="str">
            <v>Sagimbayeva Lyazat</v>
          </cell>
          <cell r="E73" t="str">
            <v>Pharm Representative</v>
          </cell>
          <cell r="F73">
            <v>41813</v>
          </cell>
          <cell r="G73" t="str">
            <v/>
          </cell>
          <cell r="H73" t="str">
            <v/>
          </cell>
          <cell r="I73" t="str">
            <v>Pharma line</v>
          </cell>
          <cell r="J73" t="str">
            <v>CREON</v>
          </cell>
          <cell r="K73">
            <v>0</v>
          </cell>
          <cell r="L73">
            <v>0</v>
          </cell>
          <cell r="M73">
            <v>0</v>
          </cell>
          <cell r="N73">
            <v>0.4</v>
          </cell>
          <cell r="O73">
            <v>65555.56</v>
          </cell>
          <cell r="P73">
            <v>0</v>
          </cell>
          <cell r="Q73">
            <v>0</v>
          </cell>
          <cell r="R73">
            <v>0</v>
          </cell>
          <cell r="S73">
            <v>51543.27</v>
          </cell>
          <cell r="T73">
            <v>0</v>
          </cell>
          <cell r="U73">
            <v>0</v>
          </cell>
          <cell r="V73">
            <v>0</v>
          </cell>
          <cell r="W73" t="str">
            <v xml:space="preserve">DUPHALAC </v>
          </cell>
          <cell r="X73">
            <v>0</v>
          </cell>
          <cell r="Y73">
            <v>0</v>
          </cell>
          <cell r="Z73">
            <v>0</v>
          </cell>
          <cell r="AA73">
            <v>0.35</v>
          </cell>
          <cell r="AB73">
            <v>43089.5</v>
          </cell>
          <cell r="AC73">
            <v>0</v>
          </cell>
          <cell r="AD73">
            <v>0</v>
          </cell>
          <cell r="AE73">
            <v>0</v>
          </cell>
          <cell r="AF73">
            <v>40805.5</v>
          </cell>
          <cell r="AG73">
            <v>0</v>
          </cell>
          <cell r="AH73">
            <v>0</v>
          </cell>
          <cell r="AI73">
            <v>0</v>
          </cell>
          <cell r="AJ73" t="str">
            <v>IRS 19</v>
          </cell>
          <cell r="AK73" t="str">
            <v>IMUDON</v>
          </cell>
          <cell r="AL73">
            <v>0</v>
          </cell>
          <cell r="AM73">
            <v>0</v>
          </cell>
          <cell r="AN73">
            <v>0.25</v>
          </cell>
          <cell r="AO73">
            <v>6708</v>
          </cell>
          <cell r="AP73">
            <v>12888</v>
          </cell>
          <cell r="AQ73">
            <v>0</v>
          </cell>
          <cell r="AR73">
            <v>0</v>
          </cell>
          <cell r="AS73">
            <v>5208</v>
          </cell>
          <cell r="AT73">
            <v>12048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128241.06</v>
          </cell>
          <cell r="BK73">
            <v>109604.76999999999</v>
          </cell>
          <cell r="BL73" t="str">
            <v/>
          </cell>
          <cell r="BM73">
            <v>0.99</v>
          </cell>
          <cell r="BO73" t="str">
            <v>Staff</v>
          </cell>
          <cell r="BP73">
            <v>41905</v>
          </cell>
          <cell r="BQ73">
            <v>3</v>
          </cell>
          <cell r="BR73">
            <v>1</v>
          </cell>
          <cell r="BS73">
            <v>3</v>
          </cell>
          <cell r="BT73">
            <v>329604</v>
          </cell>
          <cell r="BU73">
            <v>1</v>
          </cell>
          <cell r="BW73">
            <v>1.272</v>
          </cell>
          <cell r="BX73">
            <v>1.056</v>
          </cell>
          <cell r="BY73">
            <v>1.1359999999999999</v>
          </cell>
          <cell r="BZ73">
            <v>0</v>
          </cell>
          <cell r="CG73">
            <v>1.17</v>
          </cell>
          <cell r="CH73">
            <v>1</v>
          </cell>
          <cell r="CI73">
            <v>2.35</v>
          </cell>
          <cell r="CJ73">
            <v>0</v>
          </cell>
          <cell r="CK73">
            <v>1</v>
          </cell>
        </row>
        <row r="74">
          <cell r="A74" t="str">
            <v>61Q1</v>
          </cell>
          <cell r="B74" t="str">
            <v>Q1</v>
          </cell>
          <cell r="C74">
            <v>61</v>
          </cell>
          <cell r="D74" t="str">
            <v>Sakalbayeva Aliya</v>
          </cell>
          <cell r="E74" t="str">
            <v>Medical Representative</v>
          </cell>
          <cell r="F74">
            <v>41198</v>
          </cell>
          <cell r="G74" t="str">
            <v/>
          </cell>
          <cell r="H74" t="str">
            <v/>
          </cell>
          <cell r="I74" t="str">
            <v>Line 2</v>
          </cell>
          <cell r="J74" t="str">
            <v xml:space="preserve">DUPHASTON </v>
          </cell>
          <cell r="K74" t="str">
            <v>FEMOSTON</v>
          </cell>
          <cell r="L74">
            <v>0</v>
          </cell>
          <cell r="M74">
            <v>0</v>
          </cell>
          <cell r="N74">
            <v>0.3</v>
          </cell>
          <cell r="O74">
            <v>51205.5</v>
          </cell>
          <cell r="P74">
            <v>21773.200000000001</v>
          </cell>
          <cell r="Q74">
            <v>0</v>
          </cell>
          <cell r="R74">
            <v>0</v>
          </cell>
          <cell r="S74">
            <v>44550</v>
          </cell>
          <cell r="T74">
            <v>24510.799999999999</v>
          </cell>
          <cell r="U74">
            <v>0</v>
          </cell>
          <cell r="V74">
            <v>0</v>
          </cell>
          <cell r="W74" t="str">
            <v>PHYSIOTENS</v>
          </cell>
          <cell r="X74" t="str">
            <v>TRICOR /LIPANTHYL</v>
          </cell>
          <cell r="Y74" t="str">
            <v>OMACOR</v>
          </cell>
          <cell r="Z74">
            <v>0</v>
          </cell>
          <cell r="AA74">
            <v>0.25</v>
          </cell>
          <cell r="AB74">
            <v>176007</v>
          </cell>
          <cell r="AC74">
            <v>2494.5</v>
          </cell>
          <cell r="AD74">
            <v>620</v>
          </cell>
          <cell r="AE74">
            <v>0</v>
          </cell>
          <cell r="AF74">
            <v>149141.5</v>
          </cell>
          <cell r="AG74">
            <v>2494.5</v>
          </cell>
          <cell r="AH74">
            <v>930</v>
          </cell>
          <cell r="AI74">
            <v>0</v>
          </cell>
          <cell r="AJ74" t="str">
            <v>HEPTRAL</v>
          </cell>
          <cell r="AK74">
            <v>0</v>
          </cell>
          <cell r="AL74">
            <v>0</v>
          </cell>
          <cell r="AM74">
            <v>0</v>
          </cell>
          <cell r="AN74">
            <v>0.25</v>
          </cell>
          <cell r="AO74">
            <v>14264.640000000001</v>
          </cell>
          <cell r="AP74">
            <v>0</v>
          </cell>
          <cell r="AQ74">
            <v>0</v>
          </cell>
          <cell r="AR74">
            <v>0</v>
          </cell>
          <cell r="AS74">
            <v>19349.72</v>
          </cell>
          <cell r="AT74">
            <v>0</v>
          </cell>
          <cell r="AU74">
            <v>0</v>
          </cell>
          <cell r="AV74">
            <v>0</v>
          </cell>
          <cell r="AW74" t="str">
            <v>BETASERC</v>
          </cell>
          <cell r="AX74" t="str">
            <v xml:space="preserve">DUPHALAC </v>
          </cell>
          <cell r="AY74" t="str">
            <v>CREON</v>
          </cell>
          <cell r="AZ74">
            <v>0</v>
          </cell>
          <cell r="BA74">
            <v>0.19999999999999996</v>
          </cell>
          <cell r="BB74">
            <v>32165.48</v>
          </cell>
          <cell r="BC74">
            <v>3952.3</v>
          </cell>
          <cell r="BD74">
            <v>4623.0339999999997</v>
          </cell>
          <cell r="BE74">
            <v>0</v>
          </cell>
          <cell r="BF74">
            <v>22378.880000000001</v>
          </cell>
          <cell r="BG74">
            <v>4161.7</v>
          </cell>
          <cell r="BH74">
            <v>3439.3575000000001</v>
          </cell>
          <cell r="BI74">
            <v>0</v>
          </cell>
          <cell r="BJ74">
            <v>307105.65400000004</v>
          </cell>
          <cell r="BK74">
            <v>270956.45750000002</v>
          </cell>
          <cell r="BL74" t="str">
            <v/>
          </cell>
          <cell r="BM74">
            <v>0.97</v>
          </cell>
          <cell r="BO74" t="str">
            <v>Staff</v>
          </cell>
          <cell r="BP74">
            <v>41290</v>
          </cell>
          <cell r="BQ74">
            <v>3</v>
          </cell>
          <cell r="BR74">
            <v>1</v>
          </cell>
          <cell r="BS74">
            <v>3</v>
          </cell>
          <cell r="BT74">
            <v>329604</v>
          </cell>
          <cell r="BU74">
            <v>1</v>
          </cell>
          <cell r="BW74">
            <v>1.0569999999999999</v>
          </cell>
          <cell r="BX74">
            <v>1.1739999999999999</v>
          </cell>
          <cell r="BY74">
            <v>0.73699999999999999</v>
          </cell>
          <cell r="BZ74">
            <v>1.359</v>
          </cell>
          <cell r="CG74">
            <v>1.1299999999999999</v>
          </cell>
          <cell r="CH74">
            <v>1</v>
          </cell>
          <cell r="CI74">
            <v>2.15</v>
          </cell>
          <cell r="CJ74">
            <v>0</v>
          </cell>
          <cell r="CK74">
            <v>1</v>
          </cell>
        </row>
        <row r="75">
          <cell r="A75" t="str">
            <v>62Q1</v>
          </cell>
          <cell r="B75" t="str">
            <v>Q1</v>
          </cell>
          <cell r="C75">
            <v>62</v>
          </cell>
          <cell r="D75" t="str">
            <v>Sarbassova Dina (Shymkent)</v>
          </cell>
          <cell r="E75" t="str">
            <v>Pharm Representative</v>
          </cell>
          <cell r="F75">
            <v>42654</v>
          </cell>
          <cell r="G75">
            <v>42887</v>
          </cell>
          <cell r="H75" t="str">
            <v/>
          </cell>
          <cell r="I75" t="str">
            <v>Pharma line</v>
          </cell>
          <cell r="J75" t="str">
            <v>CREON</v>
          </cell>
          <cell r="K75">
            <v>0</v>
          </cell>
          <cell r="L75">
            <v>0</v>
          </cell>
          <cell r="M75">
            <v>0</v>
          </cell>
          <cell r="N75">
            <v>0.4</v>
          </cell>
          <cell r="O75">
            <v>209414.53999999998</v>
          </cell>
          <cell r="P75">
            <v>0</v>
          </cell>
          <cell r="Q75">
            <v>0</v>
          </cell>
          <cell r="R75">
            <v>0</v>
          </cell>
          <cell r="S75">
            <v>164567</v>
          </cell>
          <cell r="T75">
            <v>0</v>
          </cell>
          <cell r="U75">
            <v>0</v>
          </cell>
          <cell r="V75">
            <v>0</v>
          </cell>
          <cell r="W75" t="str">
            <v xml:space="preserve">DUPHALAC </v>
          </cell>
          <cell r="X75">
            <v>0</v>
          </cell>
          <cell r="Y75">
            <v>0</v>
          </cell>
          <cell r="Z75">
            <v>0</v>
          </cell>
          <cell r="AA75">
            <v>0.35</v>
          </cell>
          <cell r="AB75">
            <v>121598</v>
          </cell>
          <cell r="AC75">
            <v>0</v>
          </cell>
          <cell r="AD75">
            <v>0</v>
          </cell>
          <cell r="AE75">
            <v>0</v>
          </cell>
          <cell r="AF75">
            <v>98724</v>
          </cell>
          <cell r="AG75">
            <v>0</v>
          </cell>
          <cell r="AH75">
            <v>0</v>
          </cell>
          <cell r="AI75">
            <v>0</v>
          </cell>
          <cell r="AJ75" t="str">
            <v>IRS 19</v>
          </cell>
          <cell r="AK75" t="str">
            <v>IMUDON</v>
          </cell>
          <cell r="AL75">
            <v>0</v>
          </cell>
          <cell r="AM75">
            <v>0</v>
          </cell>
          <cell r="AN75">
            <v>0.25</v>
          </cell>
          <cell r="AO75">
            <v>5604</v>
          </cell>
          <cell r="AP75">
            <v>6648</v>
          </cell>
          <cell r="AQ75">
            <v>0</v>
          </cell>
          <cell r="AR75">
            <v>0</v>
          </cell>
          <cell r="AS75">
            <v>6840</v>
          </cell>
          <cell r="AT75">
            <v>10800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343264.54</v>
          </cell>
          <cell r="BK75">
            <v>280931</v>
          </cell>
          <cell r="BL75" t="str">
            <v/>
          </cell>
          <cell r="BM75">
            <v>0.83</v>
          </cell>
          <cell r="BO75" t="str">
            <v>Newcomer</v>
          </cell>
          <cell r="BP75">
            <v>42746</v>
          </cell>
          <cell r="BQ75">
            <v>2</v>
          </cell>
          <cell r="BR75">
            <v>2</v>
          </cell>
          <cell r="BS75">
            <v>3</v>
          </cell>
          <cell r="BT75">
            <v>329604</v>
          </cell>
          <cell r="BU75">
            <v>0.66666666666666663</v>
          </cell>
          <cell r="BW75">
            <v>1.2729999999999999</v>
          </cell>
          <cell r="BX75">
            <v>1.232</v>
          </cell>
          <cell r="BY75">
            <v>0.69499999999999995</v>
          </cell>
          <cell r="BZ75">
            <v>0</v>
          </cell>
          <cell r="CG75">
            <v>1.22</v>
          </cell>
          <cell r="CH75">
            <v>1</v>
          </cell>
          <cell r="CI75">
            <v>2.5</v>
          </cell>
          <cell r="CJ75">
            <v>0</v>
          </cell>
          <cell r="CK75">
            <v>0.5</v>
          </cell>
        </row>
        <row r="76">
          <cell r="A76" t="str">
            <v>63Q1</v>
          </cell>
          <cell r="B76" t="str">
            <v>Q1</v>
          </cell>
          <cell r="C76">
            <v>63</v>
          </cell>
          <cell r="D76" t="str">
            <v>Sariyeva Ainur</v>
          </cell>
          <cell r="E76" t="str">
            <v>Pharm Representative</v>
          </cell>
          <cell r="F76">
            <v>41738</v>
          </cell>
          <cell r="G76" t="str">
            <v/>
          </cell>
          <cell r="H76" t="str">
            <v/>
          </cell>
          <cell r="I76" t="str">
            <v>Pharma line</v>
          </cell>
          <cell r="J76" t="str">
            <v>CREON</v>
          </cell>
          <cell r="K76">
            <v>0</v>
          </cell>
          <cell r="L76">
            <v>0</v>
          </cell>
          <cell r="M76">
            <v>0</v>
          </cell>
          <cell r="N76">
            <v>0.4</v>
          </cell>
          <cell r="O76">
            <v>300986.66000000003</v>
          </cell>
          <cell r="P76">
            <v>0</v>
          </cell>
          <cell r="Q76">
            <v>0</v>
          </cell>
          <cell r="R76">
            <v>0</v>
          </cell>
          <cell r="S76">
            <v>242261</v>
          </cell>
          <cell r="T76">
            <v>0</v>
          </cell>
          <cell r="U76">
            <v>0</v>
          </cell>
          <cell r="V76">
            <v>0</v>
          </cell>
          <cell r="W76" t="str">
            <v xml:space="preserve">DUPHALAC </v>
          </cell>
          <cell r="X76">
            <v>0</v>
          </cell>
          <cell r="Y76">
            <v>0</v>
          </cell>
          <cell r="Z76">
            <v>0</v>
          </cell>
          <cell r="AA76">
            <v>0.35</v>
          </cell>
          <cell r="AB76">
            <v>154886.5</v>
          </cell>
          <cell r="AC76">
            <v>0</v>
          </cell>
          <cell r="AD76">
            <v>0</v>
          </cell>
          <cell r="AE76">
            <v>0</v>
          </cell>
          <cell r="AF76">
            <v>140018</v>
          </cell>
          <cell r="AG76">
            <v>0</v>
          </cell>
          <cell r="AH76">
            <v>0</v>
          </cell>
          <cell r="AI76">
            <v>0</v>
          </cell>
          <cell r="AJ76" t="str">
            <v>IRS 19</v>
          </cell>
          <cell r="AK76" t="str">
            <v>IMUDON</v>
          </cell>
          <cell r="AL76">
            <v>0</v>
          </cell>
          <cell r="AM76">
            <v>0</v>
          </cell>
          <cell r="AN76">
            <v>0.25</v>
          </cell>
          <cell r="AO76">
            <v>10164</v>
          </cell>
          <cell r="AP76">
            <v>11280</v>
          </cell>
          <cell r="AQ76">
            <v>0</v>
          </cell>
          <cell r="AR76">
            <v>0</v>
          </cell>
          <cell r="AS76">
            <v>10692</v>
          </cell>
          <cell r="AT76">
            <v>16344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477317.16000000003</v>
          </cell>
          <cell r="BK76">
            <v>409315</v>
          </cell>
          <cell r="BL76" t="str">
            <v/>
          </cell>
          <cell r="BM76">
            <v>0.89</v>
          </cell>
          <cell r="BO76" t="str">
            <v>Staff</v>
          </cell>
          <cell r="BP76">
            <v>41829</v>
          </cell>
          <cell r="BQ76">
            <v>3</v>
          </cell>
          <cell r="BR76">
            <v>1</v>
          </cell>
          <cell r="BS76">
            <v>3</v>
          </cell>
          <cell r="BT76">
            <v>329604</v>
          </cell>
          <cell r="BU76">
            <v>1</v>
          </cell>
          <cell r="BW76">
            <v>1.242</v>
          </cell>
          <cell r="BX76">
            <v>1.1060000000000001</v>
          </cell>
          <cell r="BY76">
            <v>0.79300000000000004</v>
          </cell>
          <cell r="BZ76">
            <v>0</v>
          </cell>
          <cell r="CG76">
            <v>1.17</v>
          </cell>
          <cell r="CH76">
            <v>1</v>
          </cell>
          <cell r="CI76">
            <v>2.35</v>
          </cell>
          <cell r="CJ76">
            <v>0</v>
          </cell>
          <cell r="CK76">
            <v>0.5</v>
          </cell>
        </row>
        <row r="77">
          <cell r="A77" t="str">
            <v>64Q1</v>
          </cell>
          <cell r="B77" t="str">
            <v>Q1</v>
          </cell>
          <cell r="C77">
            <v>64</v>
          </cell>
          <cell r="D77" t="str">
            <v>Sarsenbayeva Saniya</v>
          </cell>
          <cell r="E77" t="str">
            <v>Medical Representative</v>
          </cell>
          <cell r="F77">
            <v>42585</v>
          </cell>
          <cell r="G77" t="str">
            <v/>
          </cell>
          <cell r="H77" t="str">
            <v/>
          </cell>
          <cell r="I77" t="str">
            <v>Line 1</v>
          </cell>
          <cell r="J77" t="str">
            <v>CREON</v>
          </cell>
          <cell r="K77" t="str">
            <v xml:space="preserve">DUPHALAC </v>
          </cell>
          <cell r="L77">
            <v>0</v>
          </cell>
          <cell r="M77">
            <v>0</v>
          </cell>
          <cell r="N77">
            <v>0.5</v>
          </cell>
          <cell r="O77">
            <v>168610.04499999998</v>
          </cell>
          <cell r="P77">
            <v>78734.5</v>
          </cell>
          <cell r="Q77">
            <v>0</v>
          </cell>
          <cell r="R77">
            <v>0</v>
          </cell>
          <cell r="S77">
            <v>158905.20000000001</v>
          </cell>
          <cell r="T77">
            <v>92581</v>
          </cell>
          <cell r="U77">
            <v>0</v>
          </cell>
          <cell r="V77">
            <v>0</v>
          </cell>
          <cell r="W77" t="str">
            <v>HEPTRAL</v>
          </cell>
          <cell r="X77" t="str">
            <v xml:space="preserve">DUSPATALIN </v>
          </cell>
          <cell r="Y77">
            <v>0</v>
          </cell>
          <cell r="Z77">
            <v>0</v>
          </cell>
          <cell r="AA77">
            <v>0.25</v>
          </cell>
          <cell r="AB77">
            <v>98729.800000000017</v>
          </cell>
          <cell r="AC77">
            <v>22847.5</v>
          </cell>
          <cell r="AD77">
            <v>0</v>
          </cell>
          <cell r="AE77">
            <v>0</v>
          </cell>
          <cell r="AF77">
            <v>109098.08000000002</v>
          </cell>
          <cell r="AG77">
            <v>22724</v>
          </cell>
          <cell r="AH77">
            <v>0</v>
          </cell>
          <cell r="AI77">
            <v>0</v>
          </cell>
          <cell r="AJ77" t="str">
            <v>IRS 19</v>
          </cell>
          <cell r="AK77" t="str">
            <v>IMUDON</v>
          </cell>
          <cell r="AL77">
            <v>0</v>
          </cell>
          <cell r="AM77">
            <v>0</v>
          </cell>
          <cell r="AN77">
            <v>0.1</v>
          </cell>
          <cell r="AO77">
            <v>12972</v>
          </cell>
          <cell r="AP77">
            <v>25797.599999999999</v>
          </cell>
          <cell r="AQ77">
            <v>0</v>
          </cell>
          <cell r="AR77">
            <v>0</v>
          </cell>
          <cell r="AS77">
            <v>15708</v>
          </cell>
          <cell r="AT77">
            <v>26736</v>
          </cell>
          <cell r="AU77">
            <v>0</v>
          </cell>
          <cell r="AV77">
            <v>0</v>
          </cell>
          <cell r="AW77" t="str">
            <v xml:space="preserve">GANATON </v>
          </cell>
          <cell r="AX77">
            <v>0</v>
          </cell>
          <cell r="AY77">
            <v>0</v>
          </cell>
          <cell r="AZ77">
            <v>0</v>
          </cell>
          <cell r="BA77">
            <v>0.15</v>
          </cell>
          <cell r="BB77">
            <v>1863.3500000000001</v>
          </cell>
          <cell r="BC77">
            <v>0</v>
          </cell>
          <cell r="BD77">
            <v>0</v>
          </cell>
          <cell r="BE77">
            <v>0</v>
          </cell>
          <cell r="BF77">
            <v>3320.0000000000005</v>
          </cell>
          <cell r="BG77">
            <v>0</v>
          </cell>
          <cell r="BH77">
            <v>0</v>
          </cell>
          <cell r="BI77">
            <v>0</v>
          </cell>
          <cell r="BJ77">
            <v>409554.79499999993</v>
          </cell>
          <cell r="BK77">
            <v>429072.28</v>
          </cell>
          <cell r="BL77" t="str">
            <v/>
          </cell>
          <cell r="BM77">
            <v>0.83</v>
          </cell>
          <cell r="BO77" t="str">
            <v>Staff</v>
          </cell>
          <cell r="BP77">
            <v>42677</v>
          </cell>
          <cell r="BQ77">
            <v>3</v>
          </cell>
          <cell r="BR77">
            <v>1</v>
          </cell>
          <cell r="BS77">
            <v>3</v>
          </cell>
          <cell r="BT77">
            <v>329604</v>
          </cell>
          <cell r="BU77">
            <v>1</v>
          </cell>
          <cell r="BW77">
            <v>0.98399999999999999</v>
          </cell>
          <cell r="BX77">
            <v>0.92200000000000004</v>
          </cell>
          <cell r="BY77">
            <v>0.91300000000000003</v>
          </cell>
          <cell r="BZ77">
            <v>0.56100000000000005</v>
          </cell>
          <cell r="CG77">
            <v>0.95</v>
          </cell>
          <cell r="CH77">
            <v>1</v>
          </cell>
          <cell r="CI77">
            <v>0.8</v>
          </cell>
          <cell r="CJ77">
            <v>0</v>
          </cell>
          <cell r="CK77">
            <v>0.5</v>
          </cell>
        </row>
        <row r="78">
          <cell r="A78" t="str">
            <v>65Q1</v>
          </cell>
          <cell r="B78" t="str">
            <v>Q1</v>
          </cell>
          <cell r="C78">
            <v>65</v>
          </cell>
          <cell r="D78" t="str">
            <v>Sidorenko Yevgeniya</v>
          </cell>
          <cell r="E78" t="str">
            <v>Medical Representative</v>
          </cell>
          <cell r="F78">
            <v>41414</v>
          </cell>
          <cell r="G78">
            <v>42845</v>
          </cell>
          <cell r="H78" t="str">
            <v/>
          </cell>
          <cell r="I78" t="str">
            <v>Line 1</v>
          </cell>
          <cell r="J78" t="str">
            <v>CREON</v>
          </cell>
          <cell r="K78" t="str">
            <v xml:space="preserve">DUPHALAC </v>
          </cell>
          <cell r="L78">
            <v>0</v>
          </cell>
          <cell r="M78">
            <v>0</v>
          </cell>
          <cell r="N78">
            <v>0.5</v>
          </cell>
          <cell r="O78">
            <v>92460.68</v>
          </cell>
          <cell r="P78">
            <v>39523</v>
          </cell>
          <cell r="Q78">
            <v>0</v>
          </cell>
          <cell r="R78">
            <v>0</v>
          </cell>
          <cell r="S78">
            <v>68787.149999999994</v>
          </cell>
          <cell r="T78">
            <v>41617</v>
          </cell>
          <cell r="U78">
            <v>0</v>
          </cell>
          <cell r="V78">
            <v>0</v>
          </cell>
          <cell r="W78" t="str">
            <v>HEPTRAL</v>
          </cell>
          <cell r="X78" t="str">
            <v xml:space="preserve">DUSPATALIN </v>
          </cell>
          <cell r="Y78">
            <v>0</v>
          </cell>
          <cell r="Z78">
            <v>0</v>
          </cell>
          <cell r="AA78">
            <v>0.25</v>
          </cell>
          <cell r="AB78">
            <v>28529.280000000002</v>
          </cell>
          <cell r="AC78">
            <v>18810</v>
          </cell>
          <cell r="AD78">
            <v>0</v>
          </cell>
          <cell r="AE78">
            <v>0</v>
          </cell>
          <cell r="AF78">
            <v>38699.440000000002</v>
          </cell>
          <cell r="AG78">
            <v>17575</v>
          </cell>
          <cell r="AH78">
            <v>0</v>
          </cell>
          <cell r="AI78">
            <v>0</v>
          </cell>
          <cell r="AJ78" t="str">
            <v>IRS 19</v>
          </cell>
          <cell r="AK78" t="str">
            <v>IMUDON</v>
          </cell>
          <cell r="AL78">
            <v>0</v>
          </cell>
          <cell r="AM78">
            <v>0</v>
          </cell>
          <cell r="AN78">
            <v>0.1</v>
          </cell>
          <cell r="AO78">
            <v>7008</v>
          </cell>
          <cell r="AP78">
            <v>17052</v>
          </cell>
          <cell r="AQ78">
            <v>0</v>
          </cell>
          <cell r="AR78">
            <v>0</v>
          </cell>
          <cell r="AS78">
            <v>5544</v>
          </cell>
          <cell r="AT78">
            <v>14676</v>
          </cell>
          <cell r="AU78">
            <v>0</v>
          </cell>
          <cell r="AV78">
            <v>0</v>
          </cell>
          <cell r="AW78" t="str">
            <v xml:space="preserve">GANATON </v>
          </cell>
          <cell r="AX78">
            <v>0</v>
          </cell>
          <cell r="AY78">
            <v>0</v>
          </cell>
          <cell r="AZ78">
            <v>0</v>
          </cell>
          <cell r="BA78">
            <v>0.15</v>
          </cell>
          <cell r="BB78">
            <v>929.60000000000014</v>
          </cell>
          <cell r="BC78">
            <v>0</v>
          </cell>
          <cell r="BD78">
            <v>0</v>
          </cell>
          <cell r="BE78">
            <v>0</v>
          </cell>
          <cell r="BF78">
            <v>1660.0000000000002</v>
          </cell>
          <cell r="BG78">
            <v>0</v>
          </cell>
          <cell r="BH78">
            <v>0</v>
          </cell>
          <cell r="BI78">
            <v>0</v>
          </cell>
          <cell r="BJ78">
            <v>204312.56</v>
          </cell>
          <cell r="BK78">
            <v>188558.59</v>
          </cell>
          <cell r="BL78" t="str">
            <v/>
          </cell>
          <cell r="BM78">
            <v>0.98</v>
          </cell>
          <cell r="BO78" t="str">
            <v>Staff</v>
          </cell>
          <cell r="BP78">
            <v>41506</v>
          </cell>
          <cell r="BQ78">
            <v>3</v>
          </cell>
          <cell r="BR78">
            <v>1</v>
          </cell>
          <cell r="BS78">
            <v>3</v>
          </cell>
          <cell r="BT78">
            <v>329604</v>
          </cell>
          <cell r="BU78">
            <v>1</v>
          </cell>
          <cell r="BW78">
            <v>1.1950000000000001</v>
          </cell>
          <cell r="BX78">
            <v>0.84099999999999997</v>
          </cell>
          <cell r="BY78">
            <v>1.19</v>
          </cell>
          <cell r="BZ78">
            <v>0.56000000000000005</v>
          </cell>
          <cell r="CG78">
            <v>1.08</v>
          </cell>
          <cell r="CH78">
            <v>1</v>
          </cell>
          <cell r="CI78">
            <v>1.8</v>
          </cell>
          <cell r="CJ78">
            <v>0</v>
          </cell>
          <cell r="CK78">
            <v>1</v>
          </cell>
        </row>
        <row r="79">
          <cell r="A79" t="str">
            <v>66Q1</v>
          </cell>
          <cell r="B79" t="str">
            <v>Q1</v>
          </cell>
          <cell r="C79">
            <v>66</v>
          </cell>
          <cell r="D79" t="str">
            <v>Simachkova Yelena</v>
          </cell>
          <cell r="E79" t="str">
            <v>Pharm Representative</v>
          </cell>
          <cell r="F79">
            <v>41445</v>
          </cell>
          <cell r="G79">
            <v>42868</v>
          </cell>
          <cell r="H79" t="str">
            <v/>
          </cell>
          <cell r="I79" t="str">
            <v>Pharma line</v>
          </cell>
          <cell r="J79" t="str">
            <v>CREON</v>
          </cell>
          <cell r="K79">
            <v>0</v>
          </cell>
          <cell r="L79">
            <v>0</v>
          </cell>
          <cell r="M79">
            <v>0</v>
          </cell>
          <cell r="N79">
            <v>0.4</v>
          </cell>
          <cell r="O79">
            <v>67078.89</v>
          </cell>
          <cell r="P79">
            <v>0</v>
          </cell>
          <cell r="Q79">
            <v>0</v>
          </cell>
          <cell r="R79">
            <v>0</v>
          </cell>
          <cell r="S79">
            <v>55253.959999999992</v>
          </cell>
          <cell r="T79">
            <v>0</v>
          </cell>
          <cell r="U79">
            <v>0</v>
          </cell>
          <cell r="V79">
            <v>0</v>
          </cell>
          <cell r="W79" t="str">
            <v xml:space="preserve">DUPHALAC </v>
          </cell>
          <cell r="X79">
            <v>0</v>
          </cell>
          <cell r="Y79">
            <v>0</v>
          </cell>
          <cell r="Z79">
            <v>0</v>
          </cell>
          <cell r="AA79">
            <v>0.35</v>
          </cell>
          <cell r="AB79">
            <v>28336.5</v>
          </cell>
          <cell r="AC79">
            <v>0</v>
          </cell>
          <cell r="AD79">
            <v>0</v>
          </cell>
          <cell r="AE79">
            <v>0</v>
          </cell>
          <cell r="AF79">
            <v>33683</v>
          </cell>
          <cell r="AG79">
            <v>0</v>
          </cell>
          <cell r="AH79">
            <v>0</v>
          </cell>
          <cell r="AI79">
            <v>0</v>
          </cell>
          <cell r="AJ79" t="str">
            <v>IRS 19</v>
          </cell>
          <cell r="AK79" t="str">
            <v>IMUDON</v>
          </cell>
          <cell r="AL79">
            <v>0</v>
          </cell>
          <cell r="AM79">
            <v>0</v>
          </cell>
          <cell r="AN79">
            <v>0.25</v>
          </cell>
          <cell r="AO79">
            <v>5112</v>
          </cell>
          <cell r="AP79">
            <v>4680</v>
          </cell>
          <cell r="AQ79">
            <v>0</v>
          </cell>
          <cell r="AR79">
            <v>0</v>
          </cell>
          <cell r="AS79">
            <v>4560</v>
          </cell>
          <cell r="AT79">
            <v>6192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105207.39</v>
          </cell>
          <cell r="BK79">
            <v>99688.959999999992</v>
          </cell>
          <cell r="BL79" t="str">
            <v/>
          </cell>
          <cell r="BM79">
            <v>0.9</v>
          </cell>
          <cell r="BO79" t="str">
            <v>Staff</v>
          </cell>
          <cell r="BP79">
            <v>41537</v>
          </cell>
          <cell r="BQ79">
            <v>3</v>
          </cell>
          <cell r="BR79">
            <v>1</v>
          </cell>
          <cell r="BS79">
            <v>3</v>
          </cell>
          <cell r="BT79">
            <v>329604</v>
          </cell>
          <cell r="BU79">
            <v>1</v>
          </cell>
          <cell r="BW79">
            <v>1.214</v>
          </cell>
          <cell r="BX79">
            <v>0.84099999999999997</v>
          </cell>
          <cell r="BY79">
            <v>0.91100000000000003</v>
          </cell>
          <cell r="BZ79">
            <v>0</v>
          </cell>
          <cell r="CG79">
            <v>1.06</v>
          </cell>
          <cell r="CH79">
            <v>1</v>
          </cell>
          <cell r="CI79">
            <v>1.6</v>
          </cell>
          <cell r="CJ79">
            <v>0</v>
          </cell>
          <cell r="CK79">
            <v>0.5</v>
          </cell>
        </row>
        <row r="80">
          <cell r="A80" t="str">
            <v>67Q1</v>
          </cell>
          <cell r="B80" t="str">
            <v>Q1</v>
          </cell>
          <cell r="C80">
            <v>67</v>
          </cell>
          <cell r="D80" t="str">
            <v>Soni Laura</v>
          </cell>
          <cell r="E80" t="str">
            <v>Medical Representative</v>
          </cell>
          <cell r="F80">
            <v>42186</v>
          </cell>
          <cell r="G80" t="str">
            <v/>
          </cell>
          <cell r="H80" t="str">
            <v/>
          </cell>
          <cell r="I80" t="str">
            <v>Line 2 (big cities)</v>
          </cell>
          <cell r="J80" t="str">
            <v>CREON</v>
          </cell>
          <cell r="K80" t="str">
            <v xml:space="preserve">DUPHALAC </v>
          </cell>
          <cell r="L80">
            <v>0</v>
          </cell>
          <cell r="M80">
            <v>0</v>
          </cell>
          <cell r="N80">
            <v>0.1</v>
          </cell>
          <cell r="O80">
            <v>21136.1535</v>
          </cell>
          <cell r="P80">
            <v>9970.4000000000015</v>
          </cell>
          <cell r="Q80">
            <v>0</v>
          </cell>
          <cell r="R80">
            <v>0</v>
          </cell>
          <cell r="S80">
            <v>17026.947</v>
          </cell>
          <cell r="T80">
            <v>9257.625</v>
          </cell>
          <cell r="U80">
            <v>0</v>
          </cell>
          <cell r="V80">
            <v>0</v>
          </cell>
          <cell r="W80" t="str">
            <v>PHYSIOTENS</v>
          </cell>
          <cell r="X80" t="str">
            <v>TRICOR /LIPANTHYL</v>
          </cell>
          <cell r="Y80" t="str">
            <v>OMACOR</v>
          </cell>
          <cell r="Z80">
            <v>0</v>
          </cell>
          <cell r="AA80">
            <v>0.3</v>
          </cell>
          <cell r="AB80">
            <v>282509.5</v>
          </cell>
          <cell r="AC80">
            <v>9728.5499999999993</v>
          </cell>
          <cell r="AD80">
            <v>4712</v>
          </cell>
          <cell r="AE80">
            <v>0</v>
          </cell>
          <cell r="AF80">
            <v>148192.5</v>
          </cell>
          <cell r="AG80">
            <v>9678.66</v>
          </cell>
          <cell r="AH80">
            <v>9951</v>
          </cell>
          <cell r="AI80">
            <v>0</v>
          </cell>
          <cell r="AJ80" t="str">
            <v>HEPTRAL</v>
          </cell>
          <cell r="AK80">
            <v>0</v>
          </cell>
          <cell r="AL80">
            <v>0</v>
          </cell>
          <cell r="AM80">
            <v>0</v>
          </cell>
          <cell r="AN80">
            <v>0.3</v>
          </cell>
          <cell r="AO80">
            <v>376824.24</v>
          </cell>
          <cell r="AP80">
            <v>0</v>
          </cell>
          <cell r="AQ80">
            <v>0</v>
          </cell>
          <cell r="AR80">
            <v>0</v>
          </cell>
          <cell r="AS80">
            <v>261353.30000000002</v>
          </cell>
          <cell r="AT80">
            <v>0</v>
          </cell>
          <cell r="AU80">
            <v>0</v>
          </cell>
          <cell r="AV80">
            <v>0</v>
          </cell>
          <cell r="AW80" t="str">
            <v>BETASERC</v>
          </cell>
          <cell r="AX80">
            <v>0</v>
          </cell>
          <cell r="AY80">
            <v>0</v>
          </cell>
          <cell r="AZ80">
            <v>0</v>
          </cell>
          <cell r="BA80">
            <v>0.3000000000000001</v>
          </cell>
          <cell r="BB80">
            <v>90583.560000000012</v>
          </cell>
          <cell r="BC80">
            <v>0</v>
          </cell>
          <cell r="BD80">
            <v>0</v>
          </cell>
          <cell r="BE80">
            <v>0</v>
          </cell>
          <cell r="BF80">
            <v>73247.38</v>
          </cell>
          <cell r="BG80">
            <v>0</v>
          </cell>
          <cell r="BH80">
            <v>0</v>
          </cell>
          <cell r="BI80">
            <v>0</v>
          </cell>
          <cell r="BJ80">
            <v>795464.40350000001</v>
          </cell>
          <cell r="BK80">
            <v>528707.41200000001</v>
          </cell>
          <cell r="BL80" t="str">
            <v/>
          </cell>
          <cell r="BM80">
            <v>0.99</v>
          </cell>
          <cell r="BO80" t="str">
            <v>Staff</v>
          </cell>
          <cell r="BP80">
            <v>42278</v>
          </cell>
          <cell r="BQ80">
            <v>3</v>
          </cell>
          <cell r="BR80">
            <v>1</v>
          </cell>
          <cell r="BS80">
            <v>3</v>
          </cell>
          <cell r="BT80">
            <v>329604</v>
          </cell>
          <cell r="BU80">
            <v>1</v>
          </cell>
          <cell r="BW80">
            <v>1.1830000000000001</v>
          </cell>
          <cell r="BX80">
            <v>1.7689999999999999</v>
          </cell>
          <cell r="BY80">
            <v>1.4419999999999999</v>
          </cell>
          <cell r="BZ80">
            <v>1.2370000000000001</v>
          </cell>
          <cell r="CG80">
            <v>1.5</v>
          </cell>
          <cell r="CH80">
            <v>1</v>
          </cell>
          <cell r="CI80">
            <v>2.5</v>
          </cell>
          <cell r="CJ80">
            <v>0</v>
          </cell>
          <cell r="CK80">
            <v>1</v>
          </cell>
        </row>
        <row r="81">
          <cell r="A81" t="str">
            <v>68Q1</v>
          </cell>
          <cell r="B81" t="str">
            <v>Q1</v>
          </cell>
          <cell r="C81">
            <v>68</v>
          </cell>
          <cell r="D81" t="str">
            <v>Suttubayeva Gulnar</v>
          </cell>
          <cell r="E81" t="str">
            <v>Regional Manager</v>
          </cell>
          <cell r="F81">
            <v>40680</v>
          </cell>
          <cell r="G81" t="str">
            <v/>
          </cell>
          <cell r="H81" t="str">
            <v/>
          </cell>
          <cell r="I81" t="str">
            <v>Regional Manager-1</v>
          </cell>
          <cell r="J81" t="str">
            <v>GASTRO</v>
          </cell>
          <cell r="K81">
            <v>0</v>
          </cell>
          <cell r="L81">
            <v>0</v>
          </cell>
          <cell r="M81">
            <v>0</v>
          </cell>
          <cell r="N81">
            <v>0.5</v>
          </cell>
          <cell r="O81">
            <v>342320.19</v>
          </cell>
          <cell r="P81">
            <v>0</v>
          </cell>
          <cell r="Q81">
            <v>0</v>
          </cell>
          <cell r="R81">
            <v>0</v>
          </cell>
          <cell r="S81">
            <v>319078.65999999997</v>
          </cell>
          <cell r="T81">
            <v>0</v>
          </cell>
          <cell r="U81">
            <v>0</v>
          </cell>
          <cell r="V81">
            <v>0</v>
          </cell>
          <cell r="W81" t="str">
            <v>GYNECOLOGY</v>
          </cell>
          <cell r="X81">
            <v>0</v>
          </cell>
          <cell r="Y81">
            <v>0</v>
          </cell>
          <cell r="Z81">
            <v>0</v>
          </cell>
          <cell r="AA81">
            <v>0.25</v>
          </cell>
          <cell r="AB81">
            <v>129621.75999999999</v>
          </cell>
          <cell r="AC81">
            <v>0</v>
          </cell>
          <cell r="AD81">
            <v>0</v>
          </cell>
          <cell r="AE81">
            <v>0</v>
          </cell>
          <cell r="AF81">
            <v>141191.19999999998</v>
          </cell>
          <cell r="AG81">
            <v>0</v>
          </cell>
          <cell r="AH81">
            <v>0</v>
          </cell>
          <cell r="AI81">
            <v>0</v>
          </cell>
          <cell r="AJ81" t="str">
            <v>CARDIO-NEURO</v>
          </cell>
          <cell r="AK81">
            <v>0</v>
          </cell>
          <cell r="AL81">
            <v>0</v>
          </cell>
          <cell r="AM81">
            <v>0</v>
          </cell>
          <cell r="AN81">
            <v>0.2</v>
          </cell>
          <cell r="AO81">
            <v>172131.04</v>
          </cell>
          <cell r="AP81">
            <v>0</v>
          </cell>
          <cell r="AQ81">
            <v>0</v>
          </cell>
          <cell r="AR81">
            <v>0</v>
          </cell>
          <cell r="AS81">
            <v>141880.51</v>
          </cell>
          <cell r="AT81">
            <v>0</v>
          </cell>
          <cell r="AU81">
            <v>0</v>
          </cell>
          <cell r="AV81">
            <v>0</v>
          </cell>
          <cell r="AW81" t="str">
            <v>IMMUNOLOGY</v>
          </cell>
          <cell r="AX81">
            <v>0</v>
          </cell>
          <cell r="AY81">
            <v>0</v>
          </cell>
          <cell r="AZ81">
            <v>0</v>
          </cell>
          <cell r="BA81">
            <v>4.9999999999999989E-2</v>
          </cell>
          <cell r="BB81">
            <v>25872</v>
          </cell>
          <cell r="BC81">
            <v>0</v>
          </cell>
          <cell r="BD81">
            <v>0</v>
          </cell>
          <cell r="BE81">
            <v>0</v>
          </cell>
          <cell r="BF81">
            <v>23724</v>
          </cell>
          <cell r="BG81">
            <v>0</v>
          </cell>
          <cell r="BH81">
            <v>0</v>
          </cell>
          <cell r="BI81">
            <v>0</v>
          </cell>
          <cell r="BJ81">
            <v>669944.99</v>
          </cell>
          <cell r="BK81">
            <v>625874.37</v>
          </cell>
          <cell r="BL81">
            <v>0.68333333333333324</v>
          </cell>
          <cell r="BM81">
            <v>0.92</v>
          </cell>
          <cell r="BO81" t="str">
            <v>Staff</v>
          </cell>
          <cell r="BP81">
            <v>40772</v>
          </cell>
          <cell r="BQ81">
            <v>3</v>
          </cell>
          <cell r="BR81">
            <v>1</v>
          </cell>
          <cell r="BS81">
            <v>3</v>
          </cell>
          <cell r="BT81">
            <v>605000</v>
          </cell>
          <cell r="BU81">
            <v>1</v>
          </cell>
          <cell r="BW81">
            <v>1.073</v>
          </cell>
          <cell r="BX81">
            <v>0.91800000000000004</v>
          </cell>
          <cell r="BY81">
            <v>1.2130000000000001</v>
          </cell>
          <cell r="BZ81">
            <v>1.091</v>
          </cell>
          <cell r="CG81">
            <v>1.07</v>
          </cell>
          <cell r="CH81">
            <v>1</v>
          </cell>
          <cell r="CI81">
            <v>1.7</v>
          </cell>
          <cell r="CJ81">
            <v>0</v>
          </cell>
          <cell r="CK81">
            <v>0.5</v>
          </cell>
        </row>
        <row r="82">
          <cell r="A82" t="str">
            <v>69Q1</v>
          </cell>
          <cell r="B82" t="str">
            <v>Q1</v>
          </cell>
          <cell r="C82">
            <v>69</v>
          </cell>
          <cell r="D82" t="str">
            <v>Tasbulatova Saule</v>
          </cell>
          <cell r="E82" t="str">
            <v>Medical Representative</v>
          </cell>
          <cell r="F82">
            <v>40680</v>
          </cell>
          <cell r="G82" t="str">
            <v/>
          </cell>
          <cell r="H82" t="str">
            <v/>
          </cell>
          <cell r="I82" t="str">
            <v>Line 2</v>
          </cell>
          <cell r="J82" t="str">
            <v xml:space="preserve">DUPHASTON </v>
          </cell>
          <cell r="K82" t="str">
            <v>FEMOSTON</v>
          </cell>
          <cell r="L82">
            <v>0</v>
          </cell>
          <cell r="M82">
            <v>0</v>
          </cell>
          <cell r="N82">
            <v>0.3</v>
          </cell>
          <cell r="O82">
            <v>23719.5</v>
          </cell>
          <cell r="P82">
            <v>6171.2</v>
          </cell>
          <cell r="Q82">
            <v>0</v>
          </cell>
          <cell r="R82">
            <v>0</v>
          </cell>
          <cell r="S82">
            <v>25542</v>
          </cell>
          <cell r="T82">
            <v>7470.4</v>
          </cell>
          <cell r="U82">
            <v>0</v>
          </cell>
          <cell r="V82">
            <v>0</v>
          </cell>
          <cell r="W82" t="str">
            <v>PHYSIOTENS</v>
          </cell>
          <cell r="X82" t="str">
            <v>TRICOR /LIPANTHYL</v>
          </cell>
          <cell r="Y82" t="str">
            <v>OMACOR</v>
          </cell>
          <cell r="Z82">
            <v>0</v>
          </cell>
          <cell r="AA82">
            <v>0.25</v>
          </cell>
          <cell r="AB82">
            <v>46827</v>
          </cell>
          <cell r="AC82">
            <v>1014.4299999999998</v>
          </cell>
          <cell r="AD82">
            <v>124</v>
          </cell>
          <cell r="AE82">
            <v>0</v>
          </cell>
          <cell r="AF82">
            <v>45856</v>
          </cell>
          <cell r="AG82">
            <v>1829.2999999999997</v>
          </cell>
          <cell r="AH82">
            <v>465</v>
          </cell>
          <cell r="AI82">
            <v>0</v>
          </cell>
          <cell r="AJ82" t="str">
            <v>HEPTRAL</v>
          </cell>
          <cell r="AK82">
            <v>0</v>
          </cell>
          <cell r="AL82">
            <v>0</v>
          </cell>
          <cell r="AM82">
            <v>0</v>
          </cell>
          <cell r="AN82">
            <v>0.25</v>
          </cell>
          <cell r="AO82">
            <v>8601.7100000000009</v>
          </cell>
          <cell r="AP82">
            <v>0</v>
          </cell>
          <cell r="AQ82">
            <v>0</v>
          </cell>
          <cell r="AR82">
            <v>0</v>
          </cell>
          <cell r="AS82">
            <v>12316.46</v>
          </cell>
          <cell r="AT82">
            <v>0</v>
          </cell>
          <cell r="AU82">
            <v>0</v>
          </cell>
          <cell r="AV82">
            <v>0</v>
          </cell>
          <cell r="AW82" t="str">
            <v>BETASERC</v>
          </cell>
          <cell r="AX82" t="str">
            <v xml:space="preserve">DUPHALAC </v>
          </cell>
          <cell r="AY82" t="str">
            <v>CREON</v>
          </cell>
          <cell r="AZ82">
            <v>0</v>
          </cell>
          <cell r="BA82">
            <v>0.19999999999999996</v>
          </cell>
          <cell r="BB82">
            <v>10013.42</v>
          </cell>
          <cell r="BC82">
            <v>2415.6</v>
          </cell>
          <cell r="BD82">
            <v>2237.6010000000001</v>
          </cell>
          <cell r="BE82">
            <v>0</v>
          </cell>
          <cell r="BF82">
            <v>7973.54</v>
          </cell>
          <cell r="BG82">
            <v>2667.8</v>
          </cell>
          <cell r="BH82">
            <v>1688.7180000000001</v>
          </cell>
          <cell r="BI82">
            <v>0</v>
          </cell>
          <cell r="BJ82">
            <v>101124.46100000001</v>
          </cell>
          <cell r="BK82">
            <v>105809.21800000001</v>
          </cell>
          <cell r="BL82" t="str">
            <v/>
          </cell>
          <cell r="BM82">
            <v>1</v>
          </cell>
          <cell r="BO82" t="str">
            <v>Staff</v>
          </cell>
          <cell r="BP82">
            <v>40772</v>
          </cell>
          <cell r="BQ82">
            <v>3</v>
          </cell>
          <cell r="BR82">
            <v>1</v>
          </cell>
          <cell r="BS82">
            <v>3</v>
          </cell>
          <cell r="BT82">
            <v>329604</v>
          </cell>
          <cell r="BU82">
            <v>1</v>
          </cell>
          <cell r="BW82">
            <v>0.90500000000000003</v>
          </cell>
          <cell r="BX82">
            <v>0.996</v>
          </cell>
          <cell r="BY82">
            <v>0.69799999999999995</v>
          </cell>
          <cell r="BZ82">
            <v>1.19</v>
          </cell>
          <cell r="CG82">
            <v>0.96</v>
          </cell>
          <cell r="CH82">
            <v>1</v>
          </cell>
          <cell r="CI82">
            <v>0.82</v>
          </cell>
          <cell r="CJ82">
            <v>0</v>
          </cell>
          <cell r="CK82">
            <v>1</v>
          </cell>
        </row>
        <row r="83">
          <cell r="A83" t="str">
            <v>70Q1</v>
          </cell>
          <cell r="B83" t="str">
            <v>Q1</v>
          </cell>
          <cell r="C83">
            <v>70</v>
          </cell>
          <cell r="D83" t="str">
            <v>Temirbayeva Akzhunis</v>
          </cell>
          <cell r="E83" t="str">
            <v>Medical Representative</v>
          </cell>
          <cell r="F83">
            <v>40983</v>
          </cell>
          <cell r="G83" t="str">
            <v/>
          </cell>
          <cell r="H83" t="str">
            <v/>
          </cell>
          <cell r="I83" t="str">
            <v>Line 1</v>
          </cell>
          <cell r="J83" t="str">
            <v>CREON</v>
          </cell>
          <cell r="K83" t="str">
            <v xml:space="preserve">DUPHALAC </v>
          </cell>
          <cell r="L83">
            <v>0</v>
          </cell>
          <cell r="M83">
            <v>0</v>
          </cell>
          <cell r="N83">
            <v>0.5</v>
          </cell>
          <cell r="O83">
            <v>300986.66000000003</v>
          </cell>
          <cell r="P83">
            <v>154886.5</v>
          </cell>
          <cell r="Q83">
            <v>0</v>
          </cell>
          <cell r="R83">
            <v>0</v>
          </cell>
          <cell r="S83">
            <v>242261</v>
          </cell>
          <cell r="T83">
            <v>140018</v>
          </cell>
          <cell r="U83">
            <v>0</v>
          </cell>
          <cell r="V83">
            <v>0</v>
          </cell>
          <cell r="W83" t="str">
            <v>HEPTRAL</v>
          </cell>
          <cell r="X83" t="str">
            <v xml:space="preserve">DUSPATALIN </v>
          </cell>
          <cell r="Y83">
            <v>0</v>
          </cell>
          <cell r="Z83">
            <v>0</v>
          </cell>
          <cell r="AA83">
            <v>0.25</v>
          </cell>
          <cell r="AB83">
            <v>155755.34000000003</v>
          </cell>
          <cell r="AC83">
            <v>30362</v>
          </cell>
          <cell r="AD83">
            <v>0</v>
          </cell>
          <cell r="AE83">
            <v>0</v>
          </cell>
          <cell r="AF83">
            <v>128976.12000000001</v>
          </cell>
          <cell r="AG83">
            <v>28291</v>
          </cell>
          <cell r="AH83">
            <v>0</v>
          </cell>
          <cell r="AI83">
            <v>0</v>
          </cell>
          <cell r="AJ83" t="str">
            <v>IRS 19</v>
          </cell>
          <cell r="AK83" t="str">
            <v>IMUDON</v>
          </cell>
          <cell r="AL83">
            <v>0</v>
          </cell>
          <cell r="AM83">
            <v>0</v>
          </cell>
          <cell r="AN83">
            <v>0.1</v>
          </cell>
          <cell r="AO83">
            <v>10164</v>
          </cell>
          <cell r="AP83">
            <v>11280</v>
          </cell>
          <cell r="AQ83">
            <v>0</v>
          </cell>
          <cell r="AR83">
            <v>0</v>
          </cell>
          <cell r="AS83">
            <v>10692</v>
          </cell>
          <cell r="AT83">
            <v>16344</v>
          </cell>
          <cell r="AU83">
            <v>0</v>
          </cell>
          <cell r="AV83">
            <v>0</v>
          </cell>
          <cell r="AW83" t="str">
            <v xml:space="preserve">GANATON </v>
          </cell>
          <cell r="AX83">
            <v>0</v>
          </cell>
          <cell r="AY83">
            <v>0</v>
          </cell>
          <cell r="AZ83">
            <v>0</v>
          </cell>
          <cell r="BA83">
            <v>0.15</v>
          </cell>
          <cell r="BB83">
            <v>1162</v>
          </cell>
          <cell r="BC83">
            <v>0</v>
          </cell>
          <cell r="BD83">
            <v>0</v>
          </cell>
          <cell r="BE83">
            <v>0</v>
          </cell>
          <cell r="BF83">
            <v>4116.8</v>
          </cell>
          <cell r="BG83">
            <v>0</v>
          </cell>
          <cell r="BH83">
            <v>0</v>
          </cell>
          <cell r="BI83">
            <v>0</v>
          </cell>
          <cell r="BJ83">
            <v>664596.5</v>
          </cell>
          <cell r="BK83">
            <v>570698.92000000004</v>
          </cell>
          <cell r="BL83" t="str">
            <v/>
          </cell>
          <cell r="BM83">
            <v>0.97</v>
          </cell>
          <cell r="BO83" t="str">
            <v>Staff</v>
          </cell>
          <cell r="BP83">
            <v>41075</v>
          </cell>
          <cell r="BQ83">
            <v>3</v>
          </cell>
          <cell r="BR83">
            <v>1</v>
          </cell>
          <cell r="BS83">
            <v>3</v>
          </cell>
          <cell r="BT83">
            <v>329604</v>
          </cell>
          <cell r="BU83">
            <v>1</v>
          </cell>
          <cell r="BW83">
            <v>1.1930000000000001</v>
          </cell>
          <cell r="BX83">
            <v>1.1830000000000001</v>
          </cell>
          <cell r="BY83">
            <v>0.79300000000000004</v>
          </cell>
          <cell r="BZ83">
            <v>0.28199999999999997</v>
          </cell>
          <cell r="CG83">
            <v>1.1599999999999999</v>
          </cell>
          <cell r="CH83">
            <v>1</v>
          </cell>
          <cell r="CI83">
            <v>2.2999999999999998</v>
          </cell>
          <cell r="CJ83">
            <v>0</v>
          </cell>
          <cell r="CK83">
            <v>1</v>
          </cell>
        </row>
        <row r="84">
          <cell r="A84" t="str">
            <v>71Q1</v>
          </cell>
          <cell r="B84" t="str">
            <v>Q1</v>
          </cell>
          <cell r="C84">
            <v>71</v>
          </cell>
          <cell r="D84" t="str">
            <v>Tilessova Altynay</v>
          </cell>
          <cell r="E84" t="str">
            <v>Medical Representative</v>
          </cell>
          <cell r="F84">
            <v>41080</v>
          </cell>
          <cell r="G84" t="str">
            <v/>
          </cell>
          <cell r="H84" t="str">
            <v/>
          </cell>
          <cell r="I84" t="str">
            <v>Line 1</v>
          </cell>
          <cell r="J84" t="str">
            <v>CREON</v>
          </cell>
          <cell r="K84" t="str">
            <v xml:space="preserve">DUPHALAC </v>
          </cell>
          <cell r="L84">
            <v>0</v>
          </cell>
          <cell r="M84">
            <v>0</v>
          </cell>
          <cell r="N84">
            <v>0.5</v>
          </cell>
          <cell r="O84">
            <v>300986.66000000003</v>
          </cell>
          <cell r="P84">
            <v>154886.5</v>
          </cell>
          <cell r="Q84">
            <v>0</v>
          </cell>
          <cell r="R84">
            <v>0</v>
          </cell>
          <cell r="S84">
            <v>242261</v>
          </cell>
          <cell r="T84">
            <v>140018</v>
          </cell>
          <cell r="U84">
            <v>0</v>
          </cell>
          <cell r="V84">
            <v>0</v>
          </cell>
          <cell r="W84" t="str">
            <v>HEPTRAL</v>
          </cell>
          <cell r="X84" t="str">
            <v xml:space="preserve">DUSPATALIN </v>
          </cell>
          <cell r="Y84">
            <v>0</v>
          </cell>
          <cell r="Z84">
            <v>0</v>
          </cell>
          <cell r="AA84">
            <v>0.25</v>
          </cell>
          <cell r="AB84">
            <v>155755.34000000003</v>
          </cell>
          <cell r="AC84">
            <v>30362</v>
          </cell>
          <cell r="AD84">
            <v>0</v>
          </cell>
          <cell r="AE84">
            <v>0</v>
          </cell>
          <cell r="AF84">
            <v>128976.12000000001</v>
          </cell>
          <cell r="AG84">
            <v>28291</v>
          </cell>
          <cell r="AH84">
            <v>0</v>
          </cell>
          <cell r="AI84">
            <v>0</v>
          </cell>
          <cell r="AJ84" t="str">
            <v>IRS 19</v>
          </cell>
          <cell r="AK84" t="str">
            <v>IMUDON</v>
          </cell>
          <cell r="AL84">
            <v>0</v>
          </cell>
          <cell r="AM84">
            <v>0</v>
          </cell>
          <cell r="AN84">
            <v>0.1</v>
          </cell>
          <cell r="AO84">
            <v>10164</v>
          </cell>
          <cell r="AP84">
            <v>11280</v>
          </cell>
          <cell r="AQ84">
            <v>0</v>
          </cell>
          <cell r="AR84">
            <v>0</v>
          </cell>
          <cell r="AS84">
            <v>10692</v>
          </cell>
          <cell r="AT84">
            <v>16344</v>
          </cell>
          <cell r="AU84">
            <v>0</v>
          </cell>
          <cell r="AV84">
            <v>0</v>
          </cell>
          <cell r="AW84" t="str">
            <v xml:space="preserve">GANATON </v>
          </cell>
          <cell r="AX84">
            <v>0</v>
          </cell>
          <cell r="AY84">
            <v>0</v>
          </cell>
          <cell r="AZ84">
            <v>0</v>
          </cell>
          <cell r="BA84">
            <v>0.15</v>
          </cell>
          <cell r="BB84">
            <v>1162</v>
          </cell>
          <cell r="BC84">
            <v>0</v>
          </cell>
          <cell r="BD84">
            <v>0</v>
          </cell>
          <cell r="BE84">
            <v>0</v>
          </cell>
          <cell r="BF84">
            <v>4116.8</v>
          </cell>
          <cell r="BG84">
            <v>0</v>
          </cell>
          <cell r="BH84">
            <v>0</v>
          </cell>
          <cell r="BI84">
            <v>0</v>
          </cell>
          <cell r="BJ84">
            <v>664596.5</v>
          </cell>
          <cell r="BK84">
            <v>570698.92000000004</v>
          </cell>
          <cell r="BL84" t="str">
            <v/>
          </cell>
          <cell r="BM84">
            <v>0.99</v>
          </cell>
          <cell r="BO84" t="str">
            <v>Staff</v>
          </cell>
          <cell r="BP84">
            <v>41172</v>
          </cell>
          <cell r="BQ84">
            <v>3</v>
          </cell>
          <cell r="BR84">
            <v>1</v>
          </cell>
          <cell r="BS84">
            <v>3</v>
          </cell>
          <cell r="BT84">
            <v>329604</v>
          </cell>
          <cell r="BU84">
            <v>1</v>
          </cell>
          <cell r="BW84">
            <v>1.1930000000000001</v>
          </cell>
          <cell r="BX84">
            <v>1.1830000000000001</v>
          </cell>
          <cell r="BY84">
            <v>0.79300000000000004</v>
          </cell>
          <cell r="BZ84">
            <v>0.28199999999999997</v>
          </cell>
          <cell r="CG84">
            <v>1.1599999999999999</v>
          </cell>
          <cell r="CH84">
            <v>1</v>
          </cell>
          <cell r="CI84">
            <v>2.2999999999999998</v>
          </cell>
          <cell r="CJ84">
            <v>0</v>
          </cell>
          <cell r="CK84">
            <v>1</v>
          </cell>
        </row>
        <row r="85">
          <cell r="A85" t="str">
            <v>72Q1</v>
          </cell>
          <cell r="B85" t="str">
            <v>Q1</v>
          </cell>
          <cell r="C85">
            <v>72</v>
          </cell>
          <cell r="D85" t="str">
            <v>Tipalov Sergey</v>
          </cell>
          <cell r="E85" t="str">
            <v>Medical Representative</v>
          </cell>
          <cell r="F85">
            <v>42625</v>
          </cell>
          <cell r="G85" t="str">
            <v/>
          </cell>
          <cell r="H85" t="str">
            <v/>
          </cell>
          <cell r="I85" t="str">
            <v>Line 2</v>
          </cell>
          <cell r="J85" t="str">
            <v xml:space="preserve">DUPHASTON </v>
          </cell>
          <cell r="K85" t="str">
            <v>FEMOSTON</v>
          </cell>
          <cell r="L85">
            <v>0</v>
          </cell>
          <cell r="M85">
            <v>0</v>
          </cell>
          <cell r="N85">
            <v>0.3</v>
          </cell>
          <cell r="O85">
            <v>38205</v>
          </cell>
          <cell r="P85">
            <v>22167.599999999999</v>
          </cell>
          <cell r="Q85">
            <v>0</v>
          </cell>
          <cell r="R85">
            <v>0</v>
          </cell>
          <cell r="S85">
            <v>41040</v>
          </cell>
          <cell r="T85">
            <v>21436.799999999999</v>
          </cell>
          <cell r="U85">
            <v>0</v>
          </cell>
          <cell r="V85">
            <v>0</v>
          </cell>
          <cell r="W85" t="str">
            <v>PHYSIOTENS</v>
          </cell>
          <cell r="X85" t="str">
            <v>TRICOR /LIPANTHYL</v>
          </cell>
          <cell r="Y85" t="str">
            <v>OMACOR</v>
          </cell>
          <cell r="Z85">
            <v>0</v>
          </cell>
          <cell r="AA85">
            <v>0.25</v>
          </cell>
          <cell r="AB85">
            <v>91115.5</v>
          </cell>
          <cell r="AC85">
            <v>1596.48</v>
          </cell>
          <cell r="AD85">
            <v>1364</v>
          </cell>
          <cell r="AE85">
            <v>0</v>
          </cell>
          <cell r="AF85">
            <v>81561.5</v>
          </cell>
          <cell r="AG85">
            <v>1945.7099999999998</v>
          </cell>
          <cell r="AH85">
            <v>1736</v>
          </cell>
          <cell r="AI85">
            <v>0</v>
          </cell>
          <cell r="AJ85" t="str">
            <v>HEPTRAL</v>
          </cell>
          <cell r="AK85">
            <v>0</v>
          </cell>
          <cell r="AL85">
            <v>0</v>
          </cell>
          <cell r="AM85">
            <v>0</v>
          </cell>
          <cell r="AN85">
            <v>0.25</v>
          </cell>
          <cell r="AO85">
            <v>16972.280000000002</v>
          </cell>
          <cell r="AP85">
            <v>0</v>
          </cell>
          <cell r="AQ85">
            <v>0</v>
          </cell>
          <cell r="AR85">
            <v>0</v>
          </cell>
          <cell r="AS85">
            <v>14941.55</v>
          </cell>
          <cell r="AT85">
            <v>0</v>
          </cell>
          <cell r="AU85">
            <v>0</v>
          </cell>
          <cell r="AV85">
            <v>0</v>
          </cell>
          <cell r="AW85" t="str">
            <v>BETASERC</v>
          </cell>
          <cell r="AX85" t="str">
            <v xml:space="preserve">DUPHALAC </v>
          </cell>
          <cell r="AY85" t="str">
            <v>CREON</v>
          </cell>
          <cell r="AZ85">
            <v>0</v>
          </cell>
          <cell r="BA85">
            <v>0.19999999999999996</v>
          </cell>
          <cell r="BB85">
            <v>15340.66</v>
          </cell>
          <cell r="BC85">
            <v>3575.2000000000003</v>
          </cell>
          <cell r="BD85">
            <v>3738.6765</v>
          </cell>
          <cell r="BE85">
            <v>0</v>
          </cell>
          <cell r="BF85">
            <v>10854.02</v>
          </cell>
          <cell r="BG85">
            <v>3818.1000000000004</v>
          </cell>
          <cell r="BH85">
            <v>3468.9769999999999</v>
          </cell>
          <cell r="BI85">
            <v>0</v>
          </cell>
          <cell r="BJ85">
            <v>194075.39649999997</v>
          </cell>
          <cell r="BK85">
            <v>180802.65700000001</v>
          </cell>
          <cell r="BL85" t="str">
            <v/>
          </cell>
          <cell r="BM85">
            <v>0.98</v>
          </cell>
          <cell r="BO85" t="str">
            <v>Staff</v>
          </cell>
          <cell r="BP85">
            <v>42716</v>
          </cell>
          <cell r="BQ85">
            <v>3</v>
          </cell>
          <cell r="BR85">
            <v>1</v>
          </cell>
          <cell r="BS85">
            <v>3</v>
          </cell>
          <cell r="BT85">
            <v>329604</v>
          </cell>
          <cell r="BU85">
            <v>1</v>
          </cell>
          <cell r="BW85">
            <v>0.96599999999999997</v>
          </cell>
          <cell r="BX85">
            <v>1.1040000000000001</v>
          </cell>
          <cell r="BY85">
            <v>1.1359999999999999</v>
          </cell>
          <cell r="BZ85">
            <v>1.2490000000000001</v>
          </cell>
          <cell r="CG85">
            <v>1.07</v>
          </cell>
          <cell r="CH85">
            <v>1</v>
          </cell>
          <cell r="CI85">
            <v>1.7</v>
          </cell>
          <cell r="CJ85">
            <v>0</v>
          </cell>
          <cell r="CK85">
            <v>1</v>
          </cell>
        </row>
        <row r="86">
          <cell r="A86" t="str">
            <v>73Q1</v>
          </cell>
          <cell r="B86" t="str">
            <v>Q1</v>
          </cell>
          <cell r="C86">
            <v>73</v>
          </cell>
          <cell r="D86" t="str">
            <v>Tulebayeva Karylgash</v>
          </cell>
          <cell r="E86" t="str">
            <v>Medical Representative</v>
          </cell>
          <cell r="F86">
            <v>41330</v>
          </cell>
          <cell r="G86">
            <v>42768</v>
          </cell>
          <cell r="H86" t="str">
            <v/>
          </cell>
          <cell r="I86" t="str">
            <v>Line 2</v>
          </cell>
          <cell r="J86" t="str">
            <v xml:space="preserve">DUPHASTON </v>
          </cell>
          <cell r="K86" t="str">
            <v>FEMOSTON</v>
          </cell>
          <cell r="L86">
            <v>0</v>
          </cell>
          <cell r="M86">
            <v>0</v>
          </cell>
          <cell r="N86">
            <v>0.3</v>
          </cell>
          <cell r="O86">
            <v>10732.5</v>
          </cell>
          <cell r="P86">
            <v>3654</v>
          </cell>
          <cell r="Q86">
            <v>0</v>
          </cell>
          <cell r="R86">
            <v>0</v>
          </cell>
          <cell r="S86">
            <v>13068</v>
          </cell>
          <cell r="T86">
            <v>3375.6</v>
          </cell>
          <cell r="U86">
            <v>0</v>
          </cell>
          <cell r="V86">
            <v>0</v>
          </cell>
          <cell r="W86" t="str">
            <v>PHYSIOTENS</v>
          </cell>
          <cell r="X86" t="str">
            <v>TRICOR /LIPANTHYL</v>
          </cell>
          <cell r="Y86" t="str">
            <v>OMACOR</v>
          </cell>
          <cell r="Z86">
            <v>0</v>
          </cell>
          <cell r="AA86">
            <v>0.25</v>
          </cell>
          <cell r="AB86">
            <v>3589</v>
          </cell>
          <cell r="AC86">
            <v>150</v>
          </cell>
          <cell r="AD86">
            <v>217</v>
          </cell>
          <cell r="AF86">
            <v>10552</v>
          </cell>
          <cell r="AG86">
            <v>166</v>
          </cell>
          <cell r="AH86">
            <v>620</v>
          </cell>
          <cell r="AJ86" t="str">
            <v>HEPTRAL</v>
          </cell>
          <cell r="AK86">
            <v>0</v>
          </cell>
          <cell r="AL86">
            <v>0</v>
          </cell>
          <cell r="AM86">
            <v>0</v>
          </cell>
          <cell r="AN86">
            <v>0.25</v>
          </cell>
          <cell r="AO86">
            <v>7677</v>
          </cell>
          <cell r="AS86">
            <v>4986</v>
          </cell>
          <cell r="AW86" t="str">
            <v>BETASERC</v>
          </cell>
          <cell r="AX86" t="str">
            <v xml:space="preserve">DUPHALAC </v>
          </cell>
          <cell r="AY86" t="str">
            <v>CREON</v>
          </cell>
          <cell r="AZ86">
            <v>0</v>
          </cell>
          <cell r="BA86">
            <v>0.19999999999999996</v>
          </cell>
          <cell r="BB86">
            <v>3899</v>
          </cell>
          <cell r="BC86">
            <v>1244</v>
          </cell>
          <cell r="BD86">
            <v>1310</v>
          </cell>
          <cell r="BF86">
            <v>3840</v>
          </cell>
          <cell r="BG86">
            <v>1190</v>
          </cell>
          <cell r="BH86">
            <v>718</v>
          </cell>
          <cell r="BJ86">
            <v>32472.5</v>
          </cell>
          <cell r="BK86">
            <v>38515.599999999999</v>
          </cell>
          <cell r="BL86" t="str">
            <v/>
          </cell>
          <cell r="BM86">
            <v>0</v>
          </cell>
          <cell r="BO86" t="str">
            <v>Maternity leave</v>
          </cell>
          <cell r="BP86">
            <v>41419</v>
          </cell>
          <cell r="BQ86">
            <v>1</v>
          </cell>
          <cell r="BR86">
            <v>1</v>
          </cell>
          <cell r="BS86">
            <v>1</v>
          </cell>
          <cell r="BT86">
            <v>329604</v>
          </cell>
          <cell r="BU86">
            <v>0.33333333333333331</v>
          </cell>
          <cell r="BW86">
            <v>0.875</v>
          </cell>
          <cell r="BX86">
            <v>0.34899999999999998</v>
          </cell>
          <cell r="BY86">
            <v>1.54</v>
          </cell>
          <cell r="BZ86">
            <v>1.123</v>
          </cell>
          <cell r="CG86">
            <v>0.84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</row>
        <row r="87">
          <cell r="A87" t="str">
            <v>74Q1</v>
          </cell>
          <cell r="B87" t="str">
            <v>Q1</v>
          </cell>
          <cell r="C87">
            <v>74</v>
          </cell>
          <cell r="D87" t="str">
            <v>Ungarbayeva Zhanna</v>
          </cell>
          <cell r="E87" t="str">
            <v>Medical Representative</v>
          </cell>
          <cell r="F87">
            <v>41919</v>
          </cell>
          <cell r="G87" t="str">
            <v/>
          </cell>
          <cell r="H87" t="str">
            <v/>
          </cell>
          <cell r="I87" t="str">
            <v>Line 3 (big cities)</v>
          </cell>
          <cell r="J87" t="str">
            <v xml:space="preserve">DUPHASTON </v>
          </cell>
          <cell r="K87">
            <v>0</v>
          </cell>
          <cell r="L87">
            <v>0</v>
          </cell>
          <cell r="M87">
            <v>0</v>
          </cell>
          <cell r="N87">
            <v>0.45</v>
          </cell>
          <cell r="O87">
            <v>57942</v>
          </cell>
          <cell r="P87">
            <v>0</v>
          </cell>
          <cell r="Q87">
            <v>0</v>
          </cell>
          <cell r="R87">
            <v>0</v>
          </cell>
          <cell r="S87">
            <v>65623.5</v>
          </cell>
          <cell r="T87">
            <v>0</v>
          </cell>
          <cell r="U87">
            <v>0</v>
          </cell>
          <cell r="V87">
            <v>0</v>
          </cell>
          <cell r="W87" t="str">
            <v>FEMOSTON</v>
          </cell>
          <cell r="X87">
            <v>0</v>
          </cell>
          <cell r="Y87">
            <v>0</v>
          </cell>
          <cell r="Z87">
            <v>0</v>
          </cell>
          <cell r="AA87">
            <v>0.25</v>
          </cell>
          <cell r="AB87">
            <v>15694.8</v>
          </cell>
          <cell r="AC87">
            <v>0</v>
          </cell>
          <cell r="AD87">
            <v>0</v>
          </cell>
          <cell r="AE87">
            <v>0</v>
          </cell>
          <cell r="AF87">
            <v>17342</v>
          </cell>
          <cell r="AG87">
            <v>0</v>
          </cell>
          <cell r="AH87">
            <v>0</v>
          </cell>
          <cell r="AI87">
            <v>0</v>
          </cell>
          <cell r="AJ87" t="str">
            <v xml:space="preserve">DUPHALAC </v>
          </cell>
          <cell r="AK87" t="str">
            <v>OVATEL</v>
          </cell>
          <cell r="AL87">
            <v>0</v>
          </cell>
          <cell r="AM87">
            <v>0</v>
          </cell>
          <cell r="AN87">
            <v>0.25</v>
          </cell>
          <cell r="AO87">
            <v>4308.95</v>
          </cell>
          <cell r="AP87">
            <v>0</v>
          </cell>
          <cell r="AQ87">
            <v>0</v>
          </cell>
          <cell r="AR87">
            <v>0</v>
          </cell>
          <cell r="AS87">
            <v>4080.55</v>
          </cell>
          <cell r="AT87">
            <v>1266.54</v>
          </cell>
          <cell r="AU87">
            <v>0</v>
          </cell>
          <cell r="AV87">
            <v>0</v>
          </cell>
          <cell r="AW87" t="str">
            <v>CREON</v>
          </cell>
          <cell r="AX87">
            <v>0</v>
          </cell>
          <cell r="AY87">
            <v>0</v>
          </cell>
          <cell r="AZ87">
            <v>0</v>
          </cell>
          <cell r="BA87">
            <v>5.0000000000000044E-2</v>
          </cell>
          <cell r="BB87">
            <v>3277.7780000000002</v>
          </cell>
          <cell r="BC87">
            <v>0</v>
          </cell>
          <cell r="BD87">
            <v>0</v>
          </cell>
          <cell r="BE87">
            <v>0</v>
          </cell>
          <cell r="BF87">
            <v>2577.1635000000001</v>
          </cell>
          <cell r="BG87">
            <v>0</v>
          </cell>
          <cell r="BH87">
            <v>0</v>
          </cell>
          <cell r="BI87">
            <v>0</v>
          </cell>
          <cell r="BJ87">
            <v>81223.528000000006</v>
          </cell>
          <cell r="BK87">
            <v>90889.753499999992</v>
          </cell>
          <cell r="BL87" t="str">
            <v/>
          </cell>
          <cell r="BM87">
            <v>0.92</v>
          </cell>
          <cell r="BO87" t="str">
            <v>Staff</v>
          </cell>
          <cell r="BP87">
            <v>42011</v>
          </cell>
          <cell r="BQ87">
            <v>3</v>
          </cell>
          <cell r="BR87">
            <v>1</v>
          </cell>
          <cell r="BS87">
            <v>3</v>
          </cell>
          <cell r="BT87">
            <v>329604</v>
          </cell>
          <cell r="BU87">
            <v>1</v>
          </cell>
          <cell r="BW87">
            <v>0.88300000000000001</v>
          </cell>
          <cell r="BX87">
            <v>0.90500000000000003</v>
          </cell>
          <cell r="BY87">
            <v>0.80600000000000005</v>
          </cell>
          <cell r="BZ87">
            <v>1.272</v>
          </cell>
          <cell r="CG87">
            <v>0.89</v>
          </cell>
          <cell r="CH87">
            <v>0</v>
          </cell>
          <cell r="CI87">
            <v>0</v>
          </cell>
          <cell r="CJ87">
            <v>0</v>
          </cell>
          <cell r="CK87">
            <v>0.5</v>
          </cell>
        </row>
        <row r="88">
          <cell r="A88" t="str">
            <v>75Q1</v>
          </cell>
          <cell r="B88" t="str">
            <v>Q1</v>
          </cell>
          <cell r="C88">
            <v>75</v>
          </cell>
          <cell r="D88" t="str">
            <v>Yerkebayeva Gulmira</v>
          </cell>
          <cell r="E88" t="str">
            <v>Medical Representative</v>
          </cell>
          <cell r="F88">
            <v>41529</v>
          </cell>
          <cell r="G88" t="str">
            <v/>
          </cell>
          <cell r="H88" t="str">
            <v/>
          </cell>
          <cell r="I88" t="str">
            <v>Line 2 (big cities)</v>
          </cell>
          <cell r="J88" t="str">
            <v>CREON</v>
          </cell>
          <cell r="K88" t="str">
            <v xml:space="preserve">DUPHALAC </v>
          </cell>
          <cell r="L88">
            <v>0</v>
          </cell>
          <cell r="M88">
            <v>0</v>
          </cell>
          <cell r="N88">
            <v>0.1</v>
          </cell>
          <cell r="O88">
            <v>15049.333000000002</v>
          </cell>
          <cell r="P88">
            <v>7744.3250000000007</v>
          </cell>
          <cell r="Q88">
            <v>0</v>
          </cell>
          <cell r="R88">
            <v>0</v>
          </cell>
          <cell r="S88">
            <v>12113.050000000001</v>
          </cell>
          <cell r="T88">
            <v>7000.9000000000005</v>
          </cell>
          <cell r="U88">
            <v>0</v>
          </cell>
          <cell r="V88">
            <v>0</v>
          </cell>
          <cell r="W88" t="str">
            <v>PHYSIOTENS</v>
          </cell>
          <cell r="X88" t="str">
            <v>TRICOR /LIPANTHYL</v>
          </cell>
          <cell r="Y88" t="str">
            <v>OMACOR</v>
          </cell>
          <cell r="Z88">
            <v>0</v>
          </cell>
          <cell r="AA88">
            <v>0.3</v>
          </cell>
          <cell r="AB88">
            <v>174153.5</v>
          </cell>
          <cell r="AC88">
            <v>15831.759999999998</v>
          </cell>
          <cell r="AD88">
            <v>3813</v>
          </cell>
          <cell r="AE88">
            <v>0</v>
          </cell>
          <cell r="AF88">
            <v>166047</v>
          </cell>
          <cell r="AG88">
            <v>8980.1999999999989</v>
          </cell>
          <cell r="AH88">
            <v>6293</v>
          </cell>
          <cell r="AI88">
            <v>0</v>
          </cell>
          <cell r="AJ88" t="str">
            <v>HEPTRAL</v>
          </cell>
          <cell r="AK88">
            <v>0</v>
          </cell>
          <cell r="AL88">
            <v>0</v>
          </cell>
          <cell r="AM88">
            <v>0</v>
          </cell>
          <cell r="AN88">
            <v>0.3</v>
          </cell>
          <cell r="AO88">
            <v>155755.34000000003</v>
          </cell>
          <cell r="AP88">
            <v>0</v>
          </cell>
          <cell r="AQ88">
            <v>0</v>
          </cell>
          <cell r="AR88">
            <v>0</v>
          </cell>
          <cell r="AS88">
            <v>128976.12000000001</v>
          </cell>
          <cell r="AT88">
            <v>0</v>
          </cell>
          <cell r="AU88">
            <v>0</v>
          </cell>
          <cell r="AV88">
            <v>0</v>
          </cell>
          <cell r="AW88" t="str">
            <v>BETASERC</v>
          </cell>
          <cell r="AX88">
            <v>0</v>
          </cell>
          <cell r="AY88">
            <v>0</v>
          </cell>
          <cell r="AZ88">
            <v>0</v>
          </cell>
          <cell r="BA88">
            <v>0.3000000000000001</v>
          </cell>
          <cell r="BB88">
            <v>33868.94</v>
          </cell>
          <cell r="BC88">
            <v>0</v>
          </cell>
          <cell r="BD88">
            <v>0</v>
          </cell>
          <cell r="BE88">
            <v>0</v>
          </cell>
          <cell r="BF88">
            <v>30353.98</v>
          </cell>
          <cell r="BG88">
            <v>0</v>
          </cell>
          <cell r="BH88">
            <v>0</v>
          </cell>
          <cell r="BI88">
            <v>0</v>
          </cell>
          <cell r="BJ88">
            <v>406216.19800000003</v>
          </cell>
          <cell r="BK88">
            <v>359764.25</v>
          </cell>
          <cell r="BL88" t="str">
            <v/>
          </cell>
          <cell r="BM88">
            <v>0.97</v>
          </cell>
          <cell r="BO88" t="str">
            <v>Staff</v>
          </cell>
          <cell r="BP88">
            <v>41620</v>
          </cell>
          <cell r="BQ88">
            <v>3</v>
          </cell>
          <cell r="BR88">
            <v>1</v>
          </cell>
          <cell r="BS88">
            <v>3</v>
          </cell>
          <cell r="BT88">
            <v>329604</v>
          </cell>
          <cell r="BU88">
            <v>1</v>
          </cell>
          <cell r="BW88">
            <v>1.1930000000000001</v>
          </cell>
          <cell r="BX88">
            <v>1.069</v>
          </cell>
          <cell r="BY88">
            <v>1.208</v>
          </cell>
          <cell r="BZ88">
            <v>1.1160000000000001</v>
          </cell>
          <cell r="CG88">
            <v>1.1299999999999999</v>
          </cell>
          <cell r="CH88">
            <v>1</v>
          </cell>
          <cell r="CI88">
            <v>2.15</v>
          </cell>
          <cell r="CJ88">
            <v>0</v>
          </cell>
          <cell r="CK88">
            <v>1</v>
          </cell>
        </row>
        <row r="89">
          <cell r="A89" t="str">
            <v>76Q1</v>
          </cell>
          <cell r="B89" t="str">
            <v>Q1</v>
          </cell>
          <cell r="C89">
            <v>76</v>
          </cell>
          <cell r="D89" t="str">
            <v>Yerkin Nadiyam</v>
          </cell>
          <cell r="E89" t="str">
            <v>Medical Representative</v>
          </cell>
          <cell r="F89">
            <v>40787</v>
          </cell>
          <cell r="G89" t="str">
            <v/>
          </cell>
          <cell r="H89" t="str">
            <v/>
          </cell>
          <cell r="I89" t="str">
            <v>Line 1</v>
          </cell>
          <cell r="J89" t="str">
            <v>CREON</v>
          </cell>
          <cell r="K89" t="str">
            <v xml:space="preserve">DUPHALAC </v>
          </cell>
          <cell r="L89">
            <v>0</v>
          </cell>
          <cell r="M89">
            <v>0</v>
          </cell>
          <cell r="N89">
            <v>0.5</v>
          </cell>
          <cell r="O89">
            <v>422723.07</v>
          </cell>
          <cell r="P89">
            <v>199408</v>
          </cell>
          <cell r="Q89">
            <v>0</v>
          </cell>
          <cell r="R89">
            <v>0</v>
          </cell>
          <cell r="S89">
            <v>340538.94</v>
          </cell>
          <cell r="T89">
            <v>185152.5</v>
          </cell>
          <cell r="U89">
            <v>0</v>
          </cell>
          <cell r="V89">
            <v>0</v>
          </cell>
          <cell r="W89" t="str">
            <v>HEPTRAL</v>
          </cell>
          <cell r="X89" t="str">
            <v xml:space="preserve">DUSPATALIN </v>
          </cell>
          <cell r="Y89">
            <v>0</v>
          </cell>
          <cell r="Z89">
            <v>0</v>
          </cell>
          <cell r="AA89">
            <v>0.25</v>
          </cell>
          <cell r="AB89">
            <v>376824.24</v>
          </cell>
          <cell r="AC89">
            <v>37848</v>
          </cell>
          <cell r="AD89">
            <v>0</v>
          </cell>
          <cell r="AE89">
            <v>0</v>
          </cell>
          <cell r="AF89">
            <v>261353.30000000002</v>
          </cell>
          <cell r="AG89">
            <v>42873.5</v>
          </cell>
          <cell r="AH89">
            <v>0</v>
          </cell>
          <cell r="AI89">
            <v>0</v>
          </cell>
          <cell r="AJ89" t="str">
            <v>IRS 19</v>
          </cell>
          <cell r="AK89" t="str">
            <v>IMUDON</v>
          </cell>
          <cell r="AL89">
            <v>0</v>
          </cell>
          <cell r="AM89">
            <v>0</v>
          </cell>
          <cell r="AN89">
            <v>0.1</v>
          </cell>
          <cell r="AO89">
            <v>32076</v>
          </cell>
          <cell r="AP89">
            <v>34896</v>
          </cell>
          <cell r="AQ89">
            <v>0</v>
          </cell>
          <cell r="AR89">
            <v>0</v>
          </cell>
          <cell r="AS89">
            <v>39732</v>
          </cell>
          <cell r="AT89">
            <v>37068</v>
          </cell>
          <cell r="AU89">
            <v>0</v>
          </cell>
          <cell r="AV89">
            <v>0</v>
          </cell>
          <cell r="AW89" t="str">
            <v xml:space="preserve">GANATON </v>
          </cell>
          <cell r="AX89">
            <v>0</v>
          </cell>
          <cell r="AY89">
            <v>0</v>
          </cell>
          <cell r="AZ89">
            <v>0</v>
          </cell>
          <cell r="BA89">
            <v>0.15</v>
          </cell>
          <cell r="BB89">
            <v>6225.0000000000009</v>
          </cell>
          <cell r="BC89">
            <v>0</v>
          </cell>
          <cell r="BD89">
            <v>0</v>
          </cell>
          <cell r="BE89">
            <v>0</v>
          </cell>
          <cell r="BF89">
            <v>6640.0000000000009</v>
          </cell>
          <cell r="BG89">
            <v>0</v>
          </cell>
          <cell r="BH89">
            <v>0</v>
          </cell>
          <cell r="BI89">
            <v>0</v>
          </cell>
          <cell r="BJ89">
            <v>1110000.31</v>
          </cell>
          <cell r="BK89">
            <v>913358.24</v>
          </cell>
          <cell r="BL89" t="str">
            <v/>
          </cell>
          <cell r="BM89">
            <v>0.98</v>
          </cell>
          <cell r="BO89" t="str">
            <v>Staff</v>
          </cell>
          <cell r="BP89">
            <v>40878</v>
          </cell>
          <cell r="BQ89">
            <v>3</v>
          </cell>
          <cell r="BR89">
            <v>1</v>
          </cell>
          <cell r="BS89">
            <v>3</v>
          </cell>
          <cell r="BT89">
            <v>329604</v>
          </cell>
          <cell r="BU89">
            <v>1</v>
          </cell>
          <cell r="BW89">
            <v>1.1830000000000001</v>
          </cell>
          <cell r="BX89">
            <v>1.363</v>
          </cell>
          <cell r="BY89">
            <v>0.872</v>
          </cell>
          <cell r="BZ89">
            <v>0.93799999999999994</v>
          </cell>
          <cell r="CG89">
            <v>1.22</v>
          </cell>
          <cell r="CH89">
            <v>1</v>
          </cell>
          <cell r="CI89">
            <v>2.5</v>
          </cell>
          <cell r="CJ89">
            <v>0</v>
          </cell>
          <cell r="CK89">
            <v>1</v>
          </cell>
        </row>
        <row r="90">
          <cell r="A90" t="str">
            <v>77Q1</v>
          </cell>
          <cell r="B90" t="str">
            <v>Q1</v>
          </cell>
          <cell r="C90">
            <v>77</v>
          </cell>
          <cell r="D90" t="str">
            <v>Yesbolova Gulnur</v>
          </cell>
          <cell r="E90" t="str">
            <v>Medical Representative</v>
          </cell>
          <cell r="F90">
            <v>40695</v>
          </cell>
          <cell r="G90" t="str">
            <v/>
          </cell>
          <cell r="H90" t="str">
            <v/>
          </cell>
          <cell r="I90" t="str">
            <v>Line 1</v>
          </cell>
          <cell r="J90" t="str">
            <v>CREON</v>
          </cell>
          <cell r="K90" t="str">
            <v xml:space="preserve">DUPHALAC </v>
          </cell>
          <cell r="L90">
            <v>0</v>
          </cell>
          <cell r="M90">
            <v>0</v>
          </cell>
          <cell r="N90">
            <v>0.5</v>
          </cell>
          <cell r="O90">
            <v>422723.07</v>
          </cell>
          <cell r="P90">
            <v>199408</v>
          </cell>
          <cell r="Q90">
            <v>0</v>
          </cell>
          <cell r="R90">
            <v>0</v>
          </cell>
          <cell r="S90">
            <v>340538.94</v>
          </cell>
          <cell r="T90">
            <v>185152.5</v>
          </cell>
          <cell r="U90">
            <v>0</v>
          </cell>
          <cell r="V90">
            <v>0</v>
          </cell>
          <cell r="W90" t="str">
            <v>HEPTRAL</v>
          </cell>
          <cell r="X90" t="str">
            <v xml:space="preserve">DUSPATALIN </v>
          </cell>
          <cell r="Y90">
            <v>0</v>
          </cell>
          <cell r="Z90">
            <v>0</v>
          </cell>
          <cell r="AA90">
            <v>0.25</v>
          </cell>
          <cell r="AB90">
            <v>376824.24</v>
          </cell>
          <cell r="AC90">
            <v>37848</v>
          </cell>
          <cell r="AD90">
            <v>0</v>
          </cell>
          <cell r="AE90">
            <v>0</v>
          </cell>
          <cell r="AF90">
            <v>261353.30000000002</v>
          </cell>
          <cell r="AG90">
            <v>42873.5</v>
          </cell>
          <cell r="AH90">
            <v>0</v>
          </cell>
          <cell r="AI90">
            <v>0</v>
          </cell>
          <cell r="AJ90" t="str">
            <v>IRS 19</v>
          </cell>
          <cell r="AK90" t="str">
            <v>IMUDON</v>
          </cell>
          <cell r="AL90">
            <v>0</v>
          </cell>
          <cell r="AM90">
            <v>0</v>
          </cell>
          <cell r="AN90">
            <v>0.1</v>
          </cell>
          <cell r="AO90">
            <v>32076</v>
          </cell>
          <cell r="AP90">
            <v>34896</v>
          </cell>
          <cell r="AQ90">
            <v>0</v>
          </cell>
          <cell r="AR90">
            <v>0</v>
          </cell>
          <cell r="AS90">
            <v>39732</v>
          </cell>
          <cell r="AT90">
            <v>37068</v>
          </cell>
          <cell r="AU90">
            <v>0</v>
          </cell>
          <cell r="AV90">
            <v>0</v>
          </cell>
          <cell r="AW90" t="str">
            <v xml:space="preserve">GANATON </v>
          </cell>
          <cell r="AX90">
            <v>0</v>
          </cell>
          <cell r="AY90">
            <v>0</v>
          </cell>
          <cell r="AZ90">
            <v>0</v>
          </cell>
          <cell r="BA90">
            <v>0.15</v>
          </cell>
          <cell r="BB90">
            <v>6225.0000000000009</v>
          </cell>
          <cell r="BC90">
            <v>0</v>
          </cell>
          <cell r="BD90">
            <v>0</v>
          </cell>
          <cell r="BE90">
            <v>0</v>
          </cell>
          <cell r="BF90">
            <v>6640.0000000000009</v>
          </cell>
          <cell r="BG90">
            <v>0</v>
          </cell>
          <cell r="BH90">
            <v>0</v>
          </cell>
          <cell r="BI90">
            <v>0</v>
          </cell>
          <cell r="BJ90">
            <v>1110000.31</v>
          </cell>
          <cell r="BK90">
            <v>913358.24</v>
          </cell>
          <cell r="BL90" t="str">
            <v/>
          </cell>
          <cell r="BM90">
            <v>0.99</v>
          </cell>
          <cell r="BO90" t="str">
            <v>Staff</v>
          </cell>
          <cell r="BP90">
            <v>40787</v>
          </cell>
          <cell r="BQ90">
            <v>3</v>
          </cell>
          <cell r="BR90">
            <v>1</v>
          </cell>
          <cell r="BS90">
            <v>3</v>
          </cell>
          <cell r="BT90">
            <v>329604</v>
          </cell>
          <cell r="BU90">
            <v>1</v>
          </cell>
          <cell r="BW90">
            <v>1.1830000000000001</v>
          </cell>
          <cell r="BX90">
            <v>1.363</v>
          </cell>
          <cell r="BY90">
            <v>0.872</v>
          </cell>
          <cell r="BZ90">
            <v>0.93799999999999994</v>
          </cell>
          <cell r="CG90">
            <v>1.22</v>
          </cell>
          <cell r="CH90">
            <v>1</v>
          </cell>
          <cell r="CI90">
            <v>2.5</v>
          </cell>
          <cell r="CJ90">
            <v>0</v>
          </cell>
          <cell r="CK90">
            <v>1</v>
          </cell>
        </row>
        <row r="91">
          <cell r="A91" t="str">
            <v>78Q1</v>
          </cell>
          <cell r="B91" t="str">
            <v>Q1</v>
          </cell>
          <cell r="C91">
            <v>78</v>
          </cell>
          <cell r="D91" t="str">
            <v>Yevseyenko Larissa</v>
          </cell>
          <cell r="E91" t="str">
            <v>Regional Manager</v>
          </cell>
          <cell r="F91">
            <v>40680</v>
          </cell>
          <cell r="G91" t="str">
            <v/>
          </cell>
          <cell r="H91" t="str">
            <v/>
          </cell>
          <cell r="I91" t="str">
            <v>Regional Manager-1</v>
          </cell>
          <cell r="J91" t="str">
            <v>GASTRO</v>
          </cell>
          <cell r="K91">
            <v>0</v>
          </cell>
          <cell r="L91">
            <v>0</v>
          </cell>
          <cell r="M91">
            <v>0</v>
          </cell>
          <cell r="N91">
            <v>0.5</v>
          </cell>
          <cell r="O91">
            <v>404146.04700000002</v>
          </cell>
          <cell r="P91">
            <v>0</v>
          </cell>
          <cell r="Q91">
            <v>0</v>
          </cell>
          <cell r="R91">
            <v>0</v>
          </cell>
          <cell r="S91">
            <v>356830.49000000011</v>
          </cell>
          <cell r="T91">
            <v>0</v>
          </cell>
          <cell r="U91">
            <v>0</v>
          </cell>
          <cell r="V91">
            <v>0</v>
          </cell>
          <cell r="W91" t="str">
            <v>GYNECOLOGY</v>
          </cell>
          <cell r="X91">
            <v>0</v>
          </cell>
          <cell r="Y91">
            <v>0</v>
          </cell>
          <cell r="Z91">
            <v>0</v>
          </cell>
          <cell r="AA91">
            <v>0.25</v>
          </cell>
          <cell r="AB91">
            <v>120541</v>
          </cell>
          <cell r="AF91">
            <v>117141</v>
          </cell>
          <cell r="AJ91" t="str">
            <v>CARDIO-NEURO</v>
          </cell>
          <cell r="AK91">
            <v>0</v>
          </cell>
          <cell r="AL91">
            <v>0</v>
          </cell>
          <cell r="AM91">
            <v>0</v>
          </cell>
          <cell r="AN91">
            <v>0.2</v>
          </cell>
          <cell r="AO91">
            <v>176969</v>
          </cell>
          <cell r="AS91">
            <v>127657</v>
          </cell>
          <cell r="AW91" t="str">
            <v>IMMUNOLOGY</v>
          </cell>
          <cell r="AX91">
            <v>0</v>
          </cell>
          <cell r="AY91">
            <v>0</v>
          </cell>
          <cell r="AZ91">
            <v>0</v>
          </cell>
          <cell r="BA91">
            <v>4.9999999999999989E-2</v>
          </cell>
          <cell r="BB91">
            <v>21060</v>
          </cell>
          <cell r="BF91">
            <v>21024</v>
          </cell>
          <cell r="BJ91">
            <v>722716.04700000002</v>
          </cell>
          <cell r="BK91">
            <v>622652.49000000011</v>
          </cell>
          <cell r="BL91">
            <v>0.73</v>
          </cell>
          <cell r="BM91">
            <v>0.9</v>
          </cell>
          <cell r="BO91" t="str">
            <v>Staff</v>
          </cell>
          <cell r="BP91">
            <v>40772</v>
          </cell>
          <cell r="BQ91">
            <v>3</v>
          </cell>
          <cell r="BR91">
            <v>1</v>
          </cell>
          <cell r="BS91">
            <v>3</v>
          </cell>
          <cell r="BT91">
            <v>605000</v>
          </cell>
          <cell r="BU91">
            <v>1</v>
          </cell>
          <cell r="BW91">
            <v>1.133</v>
          </cell>
          <cell r="BX91">
            <v>1.0289999999999999</v>
          </cell>
          <cell r="BY91">
            <v>1.3859999999999999</v>
          </cell>
          <cell r="BZ91">
            <v>1.002</v>
          </cell>
          <cell r="CG91">
            <v>1.1599999999999999</v>
          </cell>
          <cell r="CH91">
            <v>1</v>
          </cell>
          <cell r="CI91">
            <v>2.2999999999999998</v>
          </cell>
          <cell r="CJ91">
            <v>1</v>
          </cell>
          <cell r="CK91">
            <v>0.5</v>
          </cell>
        </row>
        <row r="92">
          <cell r="A92" t="str">
            <v>79Q1</v>
          </cell>
          <cell r="B92" t="str">
            <v>Q1</v>
          </cell>
          <cell r="C92">
            <v>79</v>
          </cell>
          <cell r="D92" t="str">
            <v>Yu Vitaliya</v>
          </cell>
          <cell r="E92" t="str">
            <v>Medical Representative</v>
          </cell>
          <cell r="F92">
            <v>42186</v>
          </cell>
          <cell r="G92" t="str">
            <v/>
          </cell>
          <cell r="H92" t="str">
            <v/>
          </cell>
          <cell r="I92" t="str">
            <v>Line 2 (big cities)</v>
          </cell>
          <cell r="J92" t="str">
            <v>CREON</v>
          </cell>
          <cell r="K92" t="str">
            <v xml:space="preserve">DUPHALAC </v>
          </cell>
          <cell r="L92">
            <v>0</v>
          </cell>
          <cell r="M92">
            <v>0</v>
          </cell>
          <cell r="N92">
            <v>0.1</v>
          </cell>
          <cell r="O92">
            <v>21136.1535</v>
          </cell>
          <cell r="P92">
            <v>9970.4000000000015</v>
          </cell>
          <cell r="Q92">
            <v>0</v>
          </cell>
          <cell r="R92">
            <v>0</v>
          </cell>
          <cell r="S92">
            <v>17026.947</v>
          </cell>
          <cell r="T92">
            <v>9257.625</v>
          </cell>
          <cell r="U92">
            <v>0</v>
          </cell>
          <cell r="V92">
            <v>0</v>
          </cell>
          <cell r="W92" t="str">
            <v>PHYSIOTENS</v>
          </cell>
          <cell r="X92" t="str">
            <v>TRICOR /LIPANTHYL</v>
          </cell>
          <cell r="Y92" t="str">
            <v>OMACOR</v>
          </cell>
          <cell r="Z92">
            <v>0</v>
          </cell>
          <cell r="AA92">
            <v>0.3</v>
          </cell>
          <cell r="AB92">
            <v>282509.5</v>
          </cell>
          <cell r="AC92">
            <v>9728.5499999999993</v>
          </cell>
          <cell r="AD92">
            <v>4712</v>
          </cell>
          <cell r="AE92">
            <v>0</v>
          </cell>
          <cell r="AF92">
            <v>148192.5</v>
          </cell>
          <cell r="AG92">
            <v>9678.66</v>
          </cell>
          <cell r="AH92">
            <v>9951</v>
          </cell>
          <cell r="AI92">
            <v>0</v>
          </cell>
          <cell r="AJ92" t="str">
            <v>HEPTRAL</v>
          </cell>
          <cell r="AK92">
            <v>0</v>
          </cell>
          <cell r="AL92">
            <v>0</v>
          </cell>
          <cell r="AM92">
            <v>0</v>
          </cell>
          <cell r="AN92">
            <v>0.3</v>
          </cell>
          <cell r="AO92">
            <v>376824.24</v>
          </cell>
          <cell r="AP92">
            <v>0</v>
          </cell>
          <cell r="AQ92">
            <v>0</v>
          </cell>
          <cell r="AR92">
            <v>0</v>
          </cell>
          <cell r="AS92">
            <v>261353.30000000002</v>
          </cell>
          <cell r="AT92">
            <v>0</v>
          </cell>
          <cell r="AU92">
            <v>0</v>
          </cell>
          <cell r="AV92">
            <v>0</v>
          </cell>
          <cell r="AW92" t="str">
            <v>BETASERC</v>
          </cell>
          <cell r="AX92">
            <v>0</v>
          </cell>
          <cell r="AY92">
            <v>0</v>
          </cell>
          <cell r="AZ92">
            <v>0</v>
          </cell>
          <cell r="BA92">
            <v>0.3000000000000001</v>
          </cell>
          <cell r="BB92">
            <v>90583.560000000012</v>
          </cell>
          <cell r="BC92">
            <v>0</v>
          </cell>
          <cell r="BD92">
            <v>0</v>
          </cell>
          <cell r="BE92">
            <v>0</v>
          </cell>
          <cell r="BF92">
            <v>73247.38</v>
          </cell>
          <cell r="BG92">
            <v>0</v>
          </cell>
          <cell r="BH92">
            <v>0</v>
          </cell>
          <cell r="BI92">
            <v>0</v>
          </cell>
          <cell r="BJ92">
            <v>795464.40350000001</v>
          </cell>
          <cell r="BK92">
            <v>528707.41200000001</v>
          </cell>
          <cell r="BL92" t="str">
            <v/>
          </cell>
          <cell r="BM92">
            <v>0.96</v>
          </cell>
          <cell r="BO92" t="str">
            <v>Staff</v>
          </cell>
          <cell r="BP92">
            <v>42278</v>
          </cell>
          <cell r="BQ92">
            <v>3</v>
          </cell>
          <cell r="BR92">
            <v>1</v>
          </cell>
          <cell r="BS92">
            <v>3</v>
          </cell>
          <cell r="BT92">
            <v>329604</v>
          </cell>
          <cell r="BU92">
            <v>1</v>
          </cell>
          <cell r="BW92">
            <v>1.1830000000000001</v>
          </cell>
          <cell r="BX92">
            <v>1.7689999999999999</v>
          </cell>
          <cell r="BY92">
            <v>1.4419999999999999</v>
          </cell>
          <cell r="BZ92">
            <v>1.2370000000000001</v>
          </cell>
          <cell r="CG92">
            <v>1.5</v>
          </cell>
          <cell r="CH92">
            <v>1</v>
          </cell>
          <cell r="CI92">
            <v>2.5</v>
          </cell>
          <cell r="CJ92">
            <v>0</v>
          </cell>
          <cell r="CK92">
            <v>1</v>
          </cell>
        </row>
        <row r="93">
          <cell r="A93" t="str">
            <v>80Q1</v>
          </cell>
          <cell r="B93" t="str">
            <v>Q1</v>
          </cell>
          <cell r="C93">
            <v>80</v>
          </cell>
          <cell r="D93" t="str">
            <v>Zhanabekova Kamshat</v>
          </cell>
          <cell r="E93" t="str">
            <v>Medical Representative</v>
          </cell>
          <cell r="F93">
            <v>40680</v>
          </cell>
          <cell r="G93" t="str">
            <v/>
          </cell>
          <cell r="H93" t="str">
            <v/>
          </cell>
          <cell r="I93" t="str">
            <v>Line 1</v>
          </cell>
          <cell r="J93" t="str">
            <v>CREON</v>
          </cell>
          <cell r="K93" t="str">
            <v xml:space="preserve">DUPHALAC </v>
          </cell>
          <cell r="L93">
            <v>0</v>
          </cell>
          <cell r="M93">
            <v>0</v>
          </cell>
          <cell r="N93">
            <v>0.5</v>
          </cell>
          <cell r="O93">
            <v>54997.490000000005</v>
          </cell>
          <cell r="P93">
            <v>23801.5</v>
          </cell>
          <cell r="Q93">
            <v>0</v>
          </cell>
          <cell r="R93">
            <v>0</v>
          </cell>
          <cell r="S93">
            <v>50786.47</v>
          </cell>
          <cell r="T93">
            <v>27282</v>
          </cell>
          <cell r="U93">
            <v>0</v>
          </cell>
          <cell r="V93">
            <v>0</v>
          </cell>
          <cell r="W93" t="str">
            <v>HEPTRAL</v>
          </cell>
          <cell r="X93" t="str">
            <v xml:space="preserve">DUSPATALIN </v>
          </cell>
          <cell r="Y93">
            <v>0</v>
          </cell>
          <cell r="Z93">
            <v>0</v>
          </cell>
          <cell r="AA93">
            <v>0.25</v>
          </cell>
          <cell r="AB93">
            <v>22717.760000000002</v>
          </cell>
          <cell r="AC93">
            <v>10678</v>
          </cell>
          <cell r="AD93">
            <v>0</v>
          </cell>
          <cell r="AE93">
            <v>0</v>
          </cell>
          <cell r="AF93">
            <v>22156.420000000002</v>
          </cell>
          <cell r="AG93">
            <v>10431</v>
          </cell>
          <cell r="AH93">
            <v>0</v>
          </cell>
          <cell r="AI93">
            <v>0</v>
          </cell>
          <cell r="AJ93" t="str">
            <v>IRS 19</v>
          </cell>
          <cell r="AK93" t="str">
            <v>IMUDON</v>
          </cell>
          <cell r="AL93">
            <v>0</v>
          </cell>
          <cell r="AM93">
            <v>0</v>
          </cell>
          <cell r="AN93">
            <v>0.1</v>
          </cell>
          <cell r="AO93">
            <v>4668</v>
          </cell>
          <cell r="AP93">
            <v>4776</v>
          </cell>
          <cell r="AQ93">
            <v>0</v>
          </cell>
          <cell r="AR93">
            <v>0</v>
          </cell>
          <cell r="AS93">
            <v>3564</v>
          </cell>
          <cell r="AT93">
            <v>3780</v>
          </cell>
          <cell r="AU93">
            <v>0</v>
          </cell>
          <cell r="AV93">
            <v>0</v>
          </cell>
          <cell r="AW93" t="str">
            <v xml:space="preserve">GANATON </v>
          </cell>
          <cell r="AX93">
            <v>0</v>
          </cell>
          <cell r="AY93">
            <v>0</v>
          </cell>
          <cell r="AZ93">
            <v>0</v>
          </cell>
          <cell r="BA93">
            <v>0.15</v>
          </cell>
          <cell r="BB93">
            <v>1610.2000000000003</v>
          </cell>
          <cell r="BC93">
            <v>0</v>
          </cell>
          <cell r="BD93">
            <v>0</v>
          </cell>
          <cell r="BE93">
            <v>0</v>
          </cell>
          <cell r="BF93">
            <v>1494.0000000000002</v>
          </cell>
          <cell r="BG93">
            <v>0</v>
          </cell>
          <cell r="BH93">
            <v>0</v>
          </cell>
          <cell r="BI93">
            <v>0</v>
          </cell>
          <cell r="BJ93">
            <v>123248.95</v>
          </cell>
          <cell r="BK93">
            <v>119493.89</v>
          </cell>
          <cell r="BL93" t="str">
            <v/>
          </cell>
          <cell r="BM93">
            <v>0.99</v>
          </cell>
          <cell r="BO93" t="str">
            <v>Staff</v>
          </cell>
          <cell r="BP93">
            <v>40772</v>
          </cell>
          <cell r="BQ93">
            <v>3</v>
          </cell>
          <cell r="BR93">
            <v>1</v>
          </cell>
          <cell r="BS93">
            <v>3</v>
          </cell>
          <cell r="BT93">
            <v>329604</v>
          </cell>
          <cell r="BU93">
            <v>1</v>
          </cell>
          <cell r="BW93">
            <v>1.0089999999999999</v>
          </cell>
          <cell r="BX93">
            <v>1.0249999999999999</v>
          </cell>
          <cell r="BY93">
            <v>1.286</v>
          </cell>
          <cell r="BZ93">
            <v>1.0780000000000001</v>
          </cell>
          <cell r="CG93">
            <v>1.03</v>
          </cell>
          <cell r="CH93">
            <v>1</v>
          </cell>
          <cell r="CI93">
            <v>1.3</v>
          </cell>
          <cell r="CJ93">
            <v>0</v>
          </cell>
          <cell r="CK93">
            <v>1</v>
          </cell>
        </row>
        <row r="94">
          <cell r="A94" t="str">
            <v>81Q1</v>
          </cell>
          <cell r="B94" t="str">
            <v>Q1</v>
          </cell>
          <cell r="C94">
            <v>81</v>
          </cell>
          <cell r="D94" t="str">
            <v>Zhazylbekova Aitolkyn</v>
          </cell>
          <cell r="E94" t="str">
            <v>Medical Representative</v>
          </cell>
          <cell r="F94">
            <v>41353</v>
          </cell>
          <cell r="G94" t="str">
            <v/>
          </cell>
          <cell r="H94" t="str">
            <v/>
          </cell>
          <cell r="I94" t="str">
            <v>Line 3 (big cities)</v>
          </cell>
          <cell r="J94" t="str">
            <v xml:space="preserve">DUPHASTON </v>
          </cell>
          <cell r="K94">
            <v>0</v>
          </cell>
          <cell r="L94">
            <v>0</v>
          </cell>
          <cell r="M94">
            <v>0</v>
          </cell>
          <cell r="N94">
            <v>0.45</v>
          </cell>
          <cell r="O94">
            <v>216202.5</v>
          </cell>
          <cell r="P94">
            <v>0</v>
          </cell>
          <cell r="Q94">
            <v>0</v>
          </cell>
          <cell r="R94">
            <v>0</v>
          </cell>
          <cell r="S94">
            <v>240300</v>
          </cell>
          <cell r="T94">
            <v>0</v>
          </cell>
          <cell r="U94">
            <v>0</v>
          </cell>
          <cell r="V94">
            <v>0</v>
          </cell>
          <cell r="W94" t="str">
            <v>FEMOSTON</v>
          </cell>
          <cell r="X94">
            <v>0</v>
          </cell>
          <cell r="Y94">
            <v>0</v>
          </cell>
          <cell r="Z94">
            <v>0</v>
          </cell>
          <cell r="AA94">
            <v>0.25</v>
          </cell>
          <cell r="AB94">
            <v>116371.20000000001</v>
          </cell>
          <cell r="AC94">
            <v>0</v>
          </cell>
          <cell r="AD94">
            <v>0</v>
          </cell>
          <cell r="AE94">
            <v>0</v>
          </cell>
          <cell r="AF94">
            <v>120245.6</v>
          </cell>
          <cell r="AG94">
            <v>0</v>
          </cell>
          <cell r="AH94">
            <v>0</v>
          </cell>
          <cell r="AI94">
            <v>0</v>
          </cell>
          <cell r="AJ94" t="str">
            <v xml:space="preserve">DUPHALAC </v>
          </cell>
          <cell r="AK94" t="str">
            <v>OVATEL</v>
          </cell>
          <cell r="AL94">
            <v>0</v>
          </cell>
          <cell r="AM94">
            <v>0</v>
          </cell>
          <cell r="AN94">
            <v>0.25</v>
          </cell>
          <cell r="AO94">
            <v>19940.800000000003</v>
          </cell>
          <cell r="AP94">
            <v>399.96</v>
          </cell>
          <cell r="AQ94">
            <v>0</v>
          </cell>
          <cell r="AR94">
            <v>0</v>
          </cell>
          <cell r="AS94">
            <v>18515.25</v>
          </cell>
          <cell r="AT94">
            <v>4399.5599999999995</v>
          </cell>
          <cell r="AU94">
            <v>0</v>
          </cell>
          <cell r="AV94">
            <v>0</v>
          </cell>
          <cell r="AW94" t="str">
            <v>CREON</v>
          </cell>
          <cell r="AX94">
            <v>0</v>
          </cell>
          <cell r="AY94">
            <v>0</v>
          </cell>
          <cell r="AZ94">
            <v>0</v>
          </cell>
          <cell r="BA94">
            <v>5.0000000000000044E-2</v>
          </cell>
          <cell r="BB94">
            <v>21136.1535</v>
          </cell>
          <cell r="BC94">
            <v>0</v>
          </cell>
          <cell r="BD94">
            <v>0</v>
          </cell>
          <cell r="BE94">
            <v>0</v>
          </cell>
          <cell r="BF94">
            <v>17026.947</v>
          </cell>
          <cell r="BG94">
            <v>0</v>
          </cell>
          <cell r="BH94">
            <v>0</v>
          </cell>
          <cell r="BI94">
            <v>0</v>
          </cell>
          <cell r="BJ94">
            <v>374050.61350000004</v>
          </cell>
          <cell r="BK94">
            <v>400487.35699999996</v>
          </cell>
          <cell r="BL94" t="str">
            <v/>
          </cell>
          <cell r="BM94">
            <v>0.97</v>
          </cell>
          <cell r="BO94" t="str">
            <v>Staff</v>
          </cell>
          <cell r="BP94">
            <v>41445</v>
          </cell>
          <cell r="BQ94">
            <v>3</v>
          </cell>
          <cell r="BR94">
            <v>1</v>
          </cell>
          <cell r="BS94">
            <v>3</v>
          </cell>
          <cell r="BT94">
            <v>329604</v>
          </cell>
          <cell r="BU94">
            <v>1</v>
          </cell>
          <cell r="BW94">
            <v>0.9</v>
          </cell>
          <cell r="BX94">
            <v>0.96799999999999997</v>
          </cell>
          <cell r="BY94">
            <v>0.88800000000000001</v>
          </cell>
          <cell r="BZ94">
            <v>1.2410000000000001</v>
          </cell>
          <cell r="CG94">
            <v>0.93</v>
          </cell>
          <cell r="CH94">
            <v>1</v>
          </cell>
          <cell r="CI94">
            <v>0.7</v>
          </cell>
          <cell r="CJ94">
            <v>0</v>
          </cell>
          <cell r="CK94">
            <v>1</v>
          </cell>
        </row>
        <row r="95">
          <cell r="A95" t="str">
            <v>82Q1</v>
          </cell>
          <cell r="B95" t="str">
            <v>Q1</v>
          </cell>
          <cell r="C95">
            <v>82</v>
          </cell>
          <cell r="D95" t="str">
            <v>Zhmailova Yelena</v>
          </cell>
          <cell r="E95" t="str">
            <v>Regional Manager</v>
          </cell>
          <cell r="F95">
            <v>40676</v>
          </cell>
          <cell r="G95" t="str">
            <v/>
          </cell>
          <cell r="H95" t="str">
            <v/>
          </cell>
          <cell r="I95" t="str">
            <v>Regional Manager-1</v>
          </cell>
          <cell r="J95" t="str">
            <v>GASTRO</v>
          </cell>
          <cell r="K95">
            <v>0</v>
          </cell>
          <cell r="L95">
            <v>0</v>
          </cell>
          <cell r="M95">
            <v>0</v>
          </cell>
          <cell r="N95">
            <v>0.5</v>
          </cell>
          <cell r="O95">
            <v>294057.51</v>
          </cell>
          <cell r="P95">
            <v>0</v>
          </cell>
          <cell r="Q95">
            <v>0</v>
          </cell>
          <cell r="R95">
            <v>0</v>
          </cell>
          <cell r="S95">
            <v>280488.48</v>
          </cell>
          <cell r="T95">
            <v>0</v>
          </cell>
          <cell r="U95">
            <v>0</v>
          </cell>
          <cell r="V95">
            <v>0</v>
          </cell>
          <cell r="W95" t="str">
            <v>GYNECOLOGY</v>
          </cell>
          <cell r="X95">
            <v>0</v>
          </cell>
          <cell r="Y95">
            <v>0</v>
          </cell>
          <cell r="Z95">
            <v>0</v>
          </cell>
          <cell r="AA95">
            <v>0.25</v>
          </cell>
          <cell r="AB95">
            <v>114995.08</v>
          </cell>
          <cell r="AC95">
            <v>0</v>
          </cell>
          <cell r="AD95">
            <v>0</v>
          </cell>
          <cell r="AE95">
            <v>0</v>
          </cell>
          <cell r="AF95">
            <v>115746.99999999999</v>
          </cell>
          <cell r="AG95">
            <v>0</v>
          </cell>
          <cell r="AH95">
            <v>0</v>
          </cell>
          <cell r="AI95">
            <v>0</v>
          </cell>
          <cell r="AJ95" t="str">
            <v>CARDIO-NEURO</v>
          </cell>
          <cell r="AK95">
            <v>0</v>
          </cell>
          <cell r="AL95">
            <v>0</v>
          </cell>
          <cell r="AM95">
            <v>0</v>
          </cell>
          <cell r="AN95">
            <v>0.2</v>
          </cell>
          <cell r="AO95">
            <v>304464.31</v>
          </cell>
          <cell r="AP95">
            <v>0</v>
          </cell>
          <cell r="AQ95">
            <v>0</v>
          </cell>
          <cell r="AR95">
            <v>0</v>
          </cell>
          <cell r="AS95">
            <v>252801.66</v>
          </cell>
          <cell r="AT95">
            <v>0</v>
          </cell>
          <cell r="AU95">
            <v>0</v>
          </cell>
          <cell r="AV95">
            <v>0</v>
          </cell>
          <cell r="AW95" t="str">
            <v>IMMUNOLOGY</v>
          </cell>
          <cell r="AX95">
            <v>0</v>
          </cell>
          <cell r="AY95">
            <v>0</v>
          </cell>
          <cell r="AZ95">
            <v>0</v>
          </cell>
          <cell r="BA95">
            <v>4.9999999999999989E-2</v>
          </cell>
          <cell r="BB95">
            <v>33504</v>
          </cell>
          <cell r="BC95">
            <v>0</v>
          </cell>
          <cell r="BD95">
            <v>0</v>
          </cell>
          <cell r="BE95">
            <v>0</v>
          </cell>
          <cell r="BF95">
            <v>27564</v>
          </cell>
          <cell r="BG95">
            <v>0</v>
          </cell>
          <cell r="BH95">
            <v>0</v>
          </cell>
          <cell r="BI95">
            <v>0</v>
          </cell>
          <cell r="BJ95">
            <v>747020.9</v>
          </cell>
          <cell r="BK95">
            <v>676601.14</v>
          </cell>
          <cell r="BL95">
            <v>0.57666666666666677</v>
          </cell>
          <cell r="BM95">
            <v>0.97</v>
          </cell>
          <cell r="BO95" t="str">
            <v>Staff</v>
          </cell>
          <cell r="BP95">
            <v>40768</v>
          </cell>
          <cell r="BQ95">
            <v>3</v>
          </cell>
          <cell r="BR95">
            <v>1</v>
          </cell>
          <cell r="BS95">
            <v>3</v>
          </cell>
          <cell r="BT95">
            <v>605000</v>
          </cell>
          <cell r="BU95">
            <v>1</v>
          </cell>
          <cell r="BW95">
            <v>1.048</v>
          </cell>
          <cell r="BX95">
            <v>0.99399999999999999</v>
          </cell>
          <cell r="BY95">
            <v>1.204</v>
          </cell>
          <cell r="BZ95">
            <v>1.2150000000000001</v>
          </cell>
          <cell r="CG95">
            <v>1.1000000000000001</v>
          </cell>
          <cell r="CH95">
            <v>1</v>
          </cell>
          <cell r="CI95">
            <v>2</v>
          </cell>
          <cell r="CJ95">
            <v>0</v>
          </cell>
          <cell r="CK95">
            <v>1</v>
          </cell>
        </row>
        <row r="96">
          <cell r="A96" t="str">
            <v>83Q1</v>
          </cell>
          <cell r="B96" t="str">
            <v>Q1</v>
          </cell>
          <cell r="C96">
            <v>83</v>
          </cell>
          <cell r="D96" t="str">
            <v>Orazbayeva Saya</v>
          </cell>
          <cell r="E96" t="str">
            <v>Regional Manager</v>
          </cell>
          <cell r="F96">
            <v>40676</v>
          </cell>
          <cell r="G96">
            <v>42767</v>
          </cell>
          <cell r="H96" t="str">
            <v/>
          </cell>
          <cell r="I96" t="str">
            <v>Regional Manager-1</v>
          </cell>
          <cell r="J96" t="str">
            <v>GASTRO</v>
          </cell>
          <cell r="K96">
            <v>0</v>
          </cell>
          <cell r="L96">
            <v>0</v>
          </cell>
          <cell r="M96">
            <v>0</v>
          </cell>
          <cell r="N96">
            <v>0.5</v>
          </cell>
          <cell r="O96">
            <v>304828</v>
          </cell>
          <cell r="Q96">
            <v>0</v>
          </cell>
          <cell r="R96">
            <v>0</v>
          </cell>
          <cell r="S96">
            <v>280974</v>
          </cell>
          <cell r="T96">
            <v>0</v>
          </cell>
          <cell r="U96">
            <v>0</v>
          </cell>
          <cell r="V96">
            <v>0</v>
          </cell>
          <cell r="W96" t="str">
            <v>GYNECOLOGY</v>
          </cell>
          <cell r="X96">
            <v>0</v>
          </cell>
          <cell r="Y96">
            <v>0</v>
          </cell>
          <cell r="Z96">
            <v>0</v>
          </cell>
          <cell r="AA96">
            <v>0.25</v>
          </cell>
          <cell r="AB96">
            <v>101767</v>
          </cell>
          <cell r="AF96">
            <v>127995</v>
          </cell>
          <cell r="AJ96" t="str">
            <v>CARDIO-NEURO</v>
          </cell>
          <cell r="AK96">
            <v>0</v>
          </cell>
          <cell r="AL96">
            <v>0</v>
          </cell>
          <cell r="AM96">
            <v>0</v>
          </cell>
          <cell r="AN96">
            <v>0.2</v>
          </cell>
          <cell r="AO96">
            <v>90171</v>
          </cell>
          <cell r="AS96">
            <v>79240</v>
          </cell>
          <cell r="AW96" t="str">
            <v>IMMUNOLOGY</v>
          </cell>
          <cell r="AX96">
            <v>0</v>
          </cell>
          <cell r="AY96">
            <v>0</v>
          </cell>
          <cell r="AZ96">
            <v>0</v>
          </cell>
          <cell r="BA96">
            <v>4.9999999999999989E-2</v>
          </cell>
          <cell r="BB96">
            <v>33852</v>
          </cell>
          <cell r="BF96">
            <v>25704</v>
          </cell>
          <cell r="BJ96">
            <v>530618</v>
          </cell>
          <cell r="BK96">
            <v>513913</v>
          </cell>
          <cell r="BL96">
            <v>0</v>
          </cell>
          <cell r="BM96">
            <v>0.97</v>
          </cell>
          <cell r="BO96" t="str">
            <v>Maternity leave</v>
          </cell>
          <cell r="BP96">
            <v>40768</v>
          </cell>
          <cell r="BQ96">
            <v>1</v>
          </cell>
          <cell r="BR96">
            <v>1</v>
          </cell>
          <cell r="BS96">
            <v>1</v>
          </cell>
          <cell r="BT96">
            <v>605000</v>
          </cell>
          <cell r="BU96">
            <v>0.33333333333333331</v>
          </cell>
          <cell r="BW96">
            <v>1.085</v>
          </cell>
          <cell r="BX96">
            <v>0.79500000000000004</v>
          </cell>
          <cell r="BY96">
            <v>1.1379999999999999</v>
          </cell>
          <cell r="BZ96">
            <v>1.3169999999999999</v>
          </cell>
          <cell r="CG96">
            <v>1.03</v>
          </cell>
          <cell r="CH96">
            <v>1</v>
          </cell>
          <cell r="CI96">
            <v>1.3</v>
          </cell>
          <cell r="CJ96">
            <v>0</v>
          </cell>
          <cell r="CK96">
            <v>1</v>
          </cell>
        </row>
        <row r="97">
          <cell r="A97" t="str">
            <v>84Q1</v>
          </cell>
          <cell r="B97" t="str">
            <v>Q1</v>
          </cell>
          <cell r="C97">
            <v>84</v>
          </cell>
          <cell r="D97" t="str">
            <v>Kaderov Nursultan</v>
          </cell>
          <cell r="E97" t="str">
            <v>Medical Representative</v>
          </cell>
          <cell r="F97">
            <v>42705</v>
          </cell>
          <cell r="G97" t="str">
            <v/>
          </cell>
          <cell r="H97" t="str">
            <v/>
          </cell>
          <cell r="I97" t="str">
            <v>Line 2</v>
          </cell>
          <cell r="J97" t="str">
            <v xml:space="preserve">DUPHASTON </v>
          </cell>
          <cell r="K97" t="str">
            <v>FEMOSTON</v>
          </cell>
          <cell r="L97">
            <v>0</v>
          </cell>
          <cell r="M97">
            <v>0</v>
          </cell>
          <cell r="N97">
            <v>0.3</v>
          </cell>
          <cell r="O97">
            <v>11259</v>
          </cell>
          <cell r="P97">
            <v>3317.6</v>
          </cell>
          <cell r="Q97">
            <v>0</v>
          </cell>
          <cell r="R97">
            <v>0</v>
          </cell>
          <cell r="S97">
            <v>8100</v>
          </cell>
          <cell r="T97">
            <v>2760.7999999999997</v>
          </cell>
          <cell r="U97">
            <v>0</v>
          </cell>
          <cell r="V97">
            <v>0</v>
          </cell>
          <cell r="W97" t="str">
            <v>PHYSIOTENS</v>
          </cell>
          <cell r="X97" t="str">
            <v>TRICOR /LIPANTHYL</v>
          </cell>
          <cell r="Y97" t="str">
            <v>OMACOR</v>
          </cell>
          <cell r="Z97">
            <v>0</v>
          </cell>
          <cell r="AA97">
            <v>0.25</v>
          </cell>
          <cell r="AB97">
            <v>29872</v>
          </cell>
          <cell r="AC97">
            <v>0</v>
          </cell>
          <cell r="AD97">
            <v>31</v>
          </cell>
          <cell r="AE97">
            <v>0</v>
          </cell>
          <cell r="AF97">
            <v>10336</v>
          </cell>
          <cell r="AG97">
            <v>83.149999999999991</v>
          </cell>
          <cell r="AH97">
            <v>279</v>
          </cell>
          <cell r="AI97">
            <v>0</v>
          </cell>
          <cell r="AJ97" t="str">
            <v>HEPTRAL</v>
          </cell>
          <cell r="AK97">
            <v>0</v>
          </cell>
          <cell r="AL97">
            <v>0</v>
          </cell>
          <cell r="AM97">
            <v>0</v>
          </cell>
          <cell r="AN97">
            <v>0.25</v>
          </cell>
          <cell r="AO97">
            <v>5002.5300000000007</v>
          </cell>
          <cell r="AP97">
            <v>0</v>
          </cell>
          <cell r="AQ97">
            <v>0</v>
          </cell>
          <cell r="AR97">
            <v>0</v>
          </cell>
          <cell r="AS97">
            <v>3070.86</v>
          </cell>
          <cell r="AT97">
            <v>0</v>
          </cell>
          <cell r="AU97">
            <v>0</v>
          </cell>
          <cell r="AV97">
            <v>0</v>
          </cell>
          <cell r="AW97" t="str">
            <v>BETASERC</v>
          </cell>
          <cell r="AX97" t="str">
            <v xml:space="preserve">DUPHALAC </v>
          </cell>
          <cell r="AY97" t="str">
            <v>CREON</v>
          </cell>
          <cell r="AZ97">
            <v>0</v>
          </cell>
          <cell r="BA97">
            <v>0.19999999999999996</v>
          </cell>
          <cell r="BB97">
            <v>3243.86</v>
          </cell>
          <cell r="BC97">
            <v>843.2</v>
          </cell>
          <cell r="BD97">
            <v>697.61650000000009</v>
          </cell>
          <cell r="BE97">
            <v>0</v>
          </cell>
          <cell r="BF97">
            <v>2202.36</v>
          </cell>
          <cell r="BG97">
            <v>886.6</v>
          </cell>
          <cell r="BH97">
            <v>500.303</v>
          </cell>
          <cell r="BI97">
            <v>0</v>
          </cell>
          <cell r="BJ97">
            <v>54266.806499999999</v>
          </cell>
          <cell r="BK97">
            <v>28219.072999999997</v>
          </cell>
          <cell r="BL97" t="str">
            <v/>
          </cell>
          <cell r="BM97">
            <v>0.92</v>
          </cell>
          <cell r="BO97" t="str">
            <v>Newcomer</v>
          </cell>
          <cell r="BP97">
            <v>42795</v>
          </cell>
          <cell r="BQ97">
            <v>1</v>
          </cell>
          <cell r="BR97">
            <v>3</v>
          </cell>
          <cell r="BS97">
            <v>3</v>
          </cell>
          <cell r="BT97">
            <v>329604</v>
          </cell>
          <cell r="BU97">
            <v>0.33333333333333331</v>
          </cell>
          <cell r="BW97">
            <v>1.3420000000000001</v>
          </cell>
          <cell r="BX97">
            <v>2.7949999999999999</v>
          </cell>
          <cell r="BY97">
            <v>1.629</v>
          </cell>
          <cell r="BZ97">
            <v>1.333</v>
          </cell>
          <cell r="CG97">
            <v>1.92</v>
          </cell>
          <cell r="CH97">
            <v>1</v>
          </cell>
          <cell r="CI97">
            <v>2.5</v>
          </cell>
          <cell r="CJ97">
            <v>0</v>
          </cell>
          <cell r="CK97">
            <v>0.5</v>
          </cell>
        </row>
        <row r="98">
          <cell r="A98" t="str">
            <v>85Q1</v>
          </cell>
          <cell r="B98" t="str">
            <v>Q1</v>
          </cell>
          <cell r="C98">
            <v>85</v>
          </cell>
          <cell r="D98" t="str">
            <v>Ospanova Zhumagul</v>
          </cell>
          <cell r="E98" t="str">
            <v>Medical Representative</v>
          </cell>
          <cell r="F98">
            <v>42705</v>
          </cell>
          <cell r="G98" t="str">
            <v/>
          </cell>
          <cell r="H98" t="str">
            <v/>
          </cell>
          <cell r="I98" t="str">
            <v>Line 2</v>
          </cell>
          <cell r="J98" t="str">
            <v xml:space="preserve">DUPHASTON </v>
          </cell>
          <cell r="K98" t="str">
            <v>FEMOSTON</v>
          </cell>
          <cell r="L98">
            <v>0</v>
          </cell>
          <cell r="M98">
            <v>0</v>
          </cell>
          <cell r="N98">
            <v>0.3</v>
          </cell>
          <cell r="O98">
            <v>14323.5</v>
          </cell>
          <cell r="P98">
            <v>7922.8</v>
          </cell>
          <cell r="Q98">
            <v>0</v>
          </cell>
          <cell r="R98">
            <v>0</v>
          </cell>
          <cell r="S98">
            <v>16348.5</v>
          </cell>
          <cell r="T98">
            <v>8769.5999999999985</v>
          </cell>
          <cell r="U98">
            <v>0</v>
          </cell>
          <cell r="V98">
            <v>0</v>
          </cell>
          <cell r="W98" t="str">
            <v>PHYSIOTENS</v>
          </cell>
          <cell r="X98" t="str">
            <v>TRICOR /LIPANTHYL</v>
          </cell>
          <cell r="Y98" t="str">
            <v>OMACOR</v>
          </cell>
          <cell r="Z98">
            <v>0</v>
          </cell>
          <cell r="AA98">
            <v>0.25</v>
          </cell>
          <cell r="AB98">
            <v>19990.5</v>
          </cell>
          <cell r="AC98">
            <v>881.39</v>
          </cell>
          <cell r="AD98">
            <v>124</v>
          </cell>
          <cell r="AE98">
            <v>0</v>
          </cell>
          <cell r="AF98">
            <v>11206.5</v>
          </cell>
          <cell r="AG98">
            <v>831.5</v>
          </cell>
          <cell r="AH98">
            <v>620</v>
          </cell>
          <cell r="AI98">
            <v>0</v>
          </cell>
          <cell r="AJ98" t="str">
            <v>HEPTRAL</v>
          </cell>
          <cell r="AK98">
            <v>0</v>
          </cell>
          <cell r="AL98">
            <v>0</v>
          </cell>
          <cell r="AM98">
            <v>0</v>
          </cell>
          <cell r="AN98">
            <v>0.25</v>
          </cell>
          <cell r="AO98">
            <v>5844.5400000000009</v>
          </cell>
          <cell r="AP98">
            <v>0</v>
          </cell>
          <cell r="AQ98">
            <v>0</v>
          </cell>
          <cell r="AR98">
            <v>0</v>
          </cell>
          <cell r="AS98">
            <v>5976.6200000000008</v>
          </cell>
          <cell r="AT98">
            <v>0</v>
          </cell>
          <cell r="AU98">
            <v>0</v>
          </cell>
          <cell r="AV98">
            <v>0</v>
          </cell>
          <cell r="AW98" t="str">
            <v>BETASERC</v>
          </cell>
          <cell r="AX98" t="str">
            <v xml:space="preserve">DUPHALAC </v>
          </cell>
          <cell r="AY98" t="str">
            <v>CREON</v>
          </cell>
          <cell r="AZ98">
            <v>0</v>
          </cell>
          <cell r="BA98">
            <v>0.19999999999999996</v>
          </cell>
          <cell r="BB98">
            <v>9107.880000000001</v>
          </cell>
          <cell r="BC98">
            <v>957.90000000000009</v>
          </cell>
          <cell r="BD98">
            <v>1148.4085</v>
          </cell>
          <cell r="BE98">
            <v>0</v>
          </cell>
          <cell r="BF98">
            <v>5607.9000000000005</v>
          </cell>
          <cell r="BG98">
            <v>1142.4000000000001</v>
          </cell>
          <cell r="BH98">
            <v>1033.2040000000002</v>
          </cell>
          <cell r="BI98">
            <v>0</v>
          </cell>
          <cell r="BJ98">
            <v>60300.9185</v>
          </cell>
          <cell r="BK98">
            <v>51536.224000000002</v>
          </cell>
          <cell r="BL98" t="str">
            <v/>
          </cell>
          <cell r="BM98">
            <v>0.82</v>
          </cell>
          <cell r="BO98" t="str">
            <v>Newcomer</v>
          </cell>
          <cell r="BP98">
            <v>42795</v>
          </cell>
          <cell r="BQ98">
            <v>1</v>
          </cell>
          <cell r="BR98">
            <v>3</v>
          </cell>
          <cell r="BS98">
            <v>3</v>
          </cell>
          <cell r="BT98">
            <v>329604</v>
          </cell>
          <cell r="BU98">
            <v>0.33333333333333331</v>
          </cell>
          <cell r="BW98">
            <v>0.88600000000000001</v>
          </cell>
          <cell r="BX98">
            <v>1.659</v>
          </cell>
          <cell r="BY98">
            <v>0.97799999999999998</v>
          </cell>
          <cell r="BZ98">
            <v>1.4410000000000001</v>
          </cell>
          <cell r="CG98">
            <v>1.17</v>
          </cell>
          <cell r="CH98">
            <v>1</v>
          </cell>
          <cell r="CI98">
            <v>2.35</v>
          </cell>
          <cell r="CJ98">
            <v>0</v>
          </cell>
          <cell r="CK98">
            <v>0.5</v>
          </cell>
        </row>
        <row r="99">
          <cell r="A99" t="str">
            <v>86Q1</v>
          </cell>
          <cell r="B99" t="str">
            <v>Q1</v>
          </cell>
          <cell r="C99">
            <v>86</v>
          </cell>
          <cell r="D99" t="str">
            <v>Yakim Ilya</v>
          </cell>
          <cell r="E99" t="str">
            <v>Pharm Representative</v>
          </cell>
          <cell r="F99">
            <v>41899</v>
          </cell>
          <cell r="G99">
            <v>42767</v>
          </cell>
          <cell r="H99" t="str">
            <v/>
          </cell>
          <cell r="I99" t="str">
            <v>Pharma line</v>
          </cell>
          <cell r="J99" t="str">
            <v>CREON</v>
          </cell>
          <cell r="K99">
            <v>0</v>
          </cell>
          <cell r="L99">
            <v>0</v>
          </cell>
          <cell r="M99">
            <v>0</v>
          </cell>
          <cell r="N99">
            <v>0.4</v>
          </cell>
          <cell r="O99">
            <v>33238</v>
          </cell>
          <cell r="P99">
            <v>0</v>
          </cell>
          <cell r="Q99">
            <v>0</v>
          </cell>
          <cell r="R99">
            <v>0</v>
          </cell>
          <cell r="S99">
            <v>33187</v>
          </cell>
          <cell r="T99">
            <v>0</v>
          </cell>
          <cell r="U99">
            <v>0</v>
          </cell>
          <cell r="V99">
            <v>0</v>
          </cell>
          <cell r="W99" t="str">
            <v xml:space="preserve">DUPHALAC </v>
          </cell>
          <cell r="X99">
            <v>0</v>
          </cell>
          <cell r="Y99">
            <v>0</v>
          </cell>
          <cell r="Z99">
            <v>0</v>
          </cell>
          <cell r="AA99">
            <v>0.35</v>
          </cell>
          <cell r="AB99">
            <v>22165</v>
          </cell>
          <cell r="AF99">
            <v>21673</v>
          </cell>
          <cell r="AJ99" t="str">
            <v>IRS 19</v>
          </cell>
          <cell r="AK99" t="str">
            <v>IMUDON</v>
          </cell>
          <cell r="AL99">
            <v>0</v>
          </cell>
          <cell r="AM99">
            <v>0</v>
          </cell>
          <cell r="AN99">
            <v>0.25</v>
          </cell>
          <cell r="AO99">
            <v>3012</v>
          </cell>
          <cell r="AP99">
            <v>3912</v>
          </cell>
          <cell r="AS99">
            <v>2040</v>
          </cell>
          <cell r="AT99">
            <v>3312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J99">
            <v>62327</v>
          </cell>
          <cell r="BK99">
            <v>60212</v>
          </cell>
          <cell r="BO99" t="str">
            <v>Maternity leave</v>
          </cell>
          <cell r="BP99">
            <v>41990</v>
          </cell>
          <cell r="BQ99">
            <v>1</v>
          </cell>
          <cell r="BR99">
            <v>1</v>
          </cell>
          <cell r="BS99">
            <v>1</v>
          </cell>
          <cell r="BT99">
            <v>329604</v>
          </cell>
          <cell r="BU99">
            <v>0.33333333333333331</v>
          </cell>
          <cell r="BW99">
            <v>1.002</v>
          </cell>
          <cell r="BX99">
            <v>1.0229999999999999</v>
          </cell>
          <cell r="BY99">
            <v>1.294</v>
          </cell>
          <cell r="BZ99">
            <v>0</v>
          </cell>
          <cell r="CG99">
            <v>1.04</v>
          </cell>
          <cell r="CH99">
            <v>1</v>
          </cell>
          <cell r="CI99">
            <v>1.4</v>
          </cell>
          <cell r="CJ99">
            <v>0</v>
          </cell>
          <cell r="CK99">
            <v>0</v>
          </cell>
        </row>
        <row r="100">
          <cell r="A100" t="str">
            <v>87Q1</v>
          </cell>
          <cell r="B100" t="str">
            <v>Q1</v>
          </cell>
          <cell r="C100">
            <v>87</v>
          </cell>
          <cell r="D100" t="str">
            <v>Makenova Yuliya</v>
          </cell>
          <cell r="E100" t="str">
            <v>Medical Representative</v>
          </cell>
          <cell r="F100">
            <v>42781</v>
          </cell>
          <cell r="G100" t="str">
            <v/>
          </cell>
          <cell r="H100" t="str">
            <v/>
          </cell>
          <cell r="I100" t="str">
            <v>Line 3 (big cities)</v>
          </cell>
          <cell r="J100" t="str">
            <v xml:space="preserve">DUPHASTON </v>
          </cell>
          <cell r="K100">
            <v>0</v>
          </cell>
          <cell r="L100">
            <v>0</v>
          </cell>
          <cell r="M100">
            <v>0</v>
          </cell>
          <cell r="N100">
            <v>0.45</v>
          </cell>
          <cell r="O100">
            <v>53662.5</v>
          </cell>
          <cell r="P100">
            <v>0</v>
          </cell>
          <cell r="Q100">
            <v>0</v>
          </cell>
          <cell r="R100">
            <v>0</v>
          </cell>
          <cell r="S100">
            <v>55431</v>
          </cell>
          <cell r="T100">
            <v>0</v>
          </cell>
          <cell r="U100">
            <v>0</v>
          </cell>
          <cell r="V100">
            <v>0</v>
          </cell>
          <cell r="W100" t="str">
            <v>FEMOSTON</v>
          </cell>
          <cell r="X100">
            <v>0</v>
          </cell>
          <cell r="Y100">
            <v>0</v>
          </cell>
          <cell r="Z100">
            <v>0</v>
          </cell>
          <cell r="AA100">
            <v>0.25</v>
          </cell>
          <cell r="AB100">
            <v>24882</v>
          </cell>
          <cell r="AC100">
            <v>0</v>
          </cell>
          <cell r="AD100">
            <v>0</v>
          </cell>
          <cell r="AE100">
            <v>0</v>
          </cell>
          <cell r="AF100">
            <v>23687.199999999997</v>
          </cell>
          <cell r="AG100">
            <v>0</v>
          </cell>
          <cell r="AH100">
            <v>0</v>
          </cell>
          <cell r="AI100">
            <v>0</v>
          </cell>
          <cell r="AJ100" t="str">
            <v xml:space="preserve">DUPHALAC </v>
          </cell>
          <cell r="AK100" t="str">
            <v>OVATEL</v>
          </cell>
          <cell r="AL100">
            <v>0</v>
          </cell>
          <cell r="AM100">
            <v>0</v>
          </cell>
          <cell r="AN100">
            <v>0.25</v>
          </cell>
          <cell r="AO100">
            <v>6875.2000000000007</v>
          </cell>
          <cell r="AP100">
            <v>66.66</v>
          </cell>
          <cell r="AQ100">
            <v>0</v>
          </cell>
          <cell r="AR100">
            <v>0</v>
          </cell>
          <cell r="AS100">
            <v>6143.5</v>
          </cell>
          <cell r="AT100">
            <v>1399.8600000000001</v>
          </cell>
          <cell r="AU100">
            <v>0</v>
          </cell>
          <cell r="AV100">
            <v>0</v>
          </cell>
          <cell r="AW100" t="str">
            <v>CREON</v>
          </cell>
          <cell r="AX100">
            <v>0</v>
          </cell>
          <cell r="AY100">
            <v>0</v>
          </cell>
          <cell r="AZ100">
            <v>0</v>
          </cell>
          <cell r="BA100">
            <v>5.0000000000000044E-2</v>
          </cell>
          <cell r="BB100">
            <v>5524.2157500000003</v>
          </cell>
          <cell r="BC100">
            <v>0</v>
          </cell>
          <cell r="BD100">
            <v>0</v>
          </cell>
          <cell r="BE100">
            <v>0</v>
          </cell>
          <cell r="BF100">
            <v>4951.5205000000005</v>
          </cell>
          <cell r="BG100">
            <v>0</v>
          </cell>
          <cell r="BH100">
            <v>0</v>
          </cell>
          <cell r="BI100">
            <v>0</v>
          </cell>
          <cell r="BJ100">
            <v>91010.575750000004</v>
          </cell>
          <cell r="BK100">
            <v>91613.080499999996</v>
          </cell>
          <cell r="BO100" t="str">
            <v>Newcomer</v>
          </cell>
          <cell r="BP100">
            <v>42870</v>
          </cell>
          <cell r="BQ100">
            <v>0</v>
          </cell>
          <cell r="BR100">
            <v>6</v>
          </cell>
          <cell r="BS100">
            <v>3</v>
          </cell>
          <cell r="BT100">
            <v>329604</v>
          </cell>
          <cell r="BU100">
            <v>0</v>
          </cell>
          <cell r="BW100">
            <v>0.96799999999999997</v>
          </cell>
          <cell r="BX100">
            <v>1.05</v>
          </cell>
          <cell r="BY100">
            <v>0.92</v>
          </cell>
          <cell r="BZ100">
            <v>1.1160000000000001</v>
          </cell>
          <cell r="CG100">
            <v>0.99</v>
          </cell>
          <cell r="CH100">
            <v>1</v>
          </cell>
          <cell r="CI100">
            <v>0.96</v>
          </cell>
          <cell r="CJ100">
            <v>0</v>
          </cell>
          <cell r="CK100">
            <v>0</v>
          </cell>
        </row>
        <row r="101">
          <cell r="A101" t="str">
            <v>88Q1</v>
          </cell>
          <cell r="B101" t="str">
            <v>Q1</v>
          </cell>
          <cell r="C101">
            <v>88</v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1</v>
          </cell>
          <cell r="BJ101">
            <v>0</v>
          </cell>
          <cell r="BK101">
            <v>0</v>
          </cell>
          <cell r="BO101" t="e">
            <v>#VALUE!</v>
          </cell>
          <cell r="BP101" t="e">
            <v>#VALUE!</v>
          </cell>
          <cell r="BQ101" t="e">
            <v>#VALUE!</v>
          </cell>
          <cell r="BR101" t="e">
            <v>#VALUE!</v>
          </cell>
          <cell r="BS101" t="e">
            <v>#VALUE!</v>
          </cell>
          <cell r="BT101">
            <v>0</v>
          </cell>
          <cell r="BU101" t="str">
            <v/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</row>
        <row r="102">
          <cell r="A102" t="str">
            <v>89Q1</v>
          </cell>
          <cell r="B102" t="str">
            <v>Q1</v>
          </cell>
          <cell r="C102">
            <v>89</v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1</v>
          </cell>
          <cell r="BJ102">
            <v>0</v>
          </cell>
          <cell r="BK102">
            <v>0</v>
          </cell>
          <cell r="BO102" t="e">
            <v>#VALUE!</v>
          </cell>
          <cell r="BP102" t="e">
            <v>#VALUE!</v>
          </cell>
          <cell r="BQ102" t="e">
            <v>#VALUE!</v>
          </cell>
          <cell r="BR102" t="e">
            <v>#VALUE!</v>
          </cell>
          <cell r="BS102" t="e">
            <v>#VALUE!</v>
          </cell>
          <cell r="BT102">
            <v>0</v>
          </cell>
          <cell r="BU102" t="str">
            <v/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</row>
        <row r="103">
          <cell r="A103" t="str">
            <v>90Q1</v>
          </cell>
          <cell r="B103" t="str">
            <v>Q1</v>
          </cell>
          <cell r="C103">
            <v>90</v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1</v>
          </cell>
          <cell r="BJ103">
            <v>0</v>
          </cell>
          <cell r="BK103">
            <v>0</v>
          </cell>
          <cell r="BO103" t="e">
            <v>#VALUE!</v>
          </cell>
          <cell r="BP103" t="e">
            <v>#VALUE!</v>
          </cell>
          <cell r="BQ103" t="e">
            <v>#VALUE!</v>
          </cell>
          <cell r="BR103" t="e">
            <v>#VALUE!</v>
          </cell>
          <cell r="BS103" t="e">
            <v>#VALUE!</v>
          </cell>
          <cell r="BT103">
            <v>0</v>
          </cell>
          <cell r="BU103" t="str">
            <v/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</row>
        <row r="104">
          <cell r="A104" t="str">
            <v>91Q1</v>
          </cell>
          <cell r="B104" t="str">
            <v>Q1</v>
          </cell>
          <cell r="C104">
            <v>91</v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1</v>
          </cell>
          <cell r="BJ104">
            <v>0</v>
          </cell>
          <cell r="BK104">
            <v>0</v>
          </cell>
          <cell r="BO104" t="e">
            <v>#VALUE!</v>
          </cell>
          <cell r="BP104" t="e">
            <v>#VALUE!</v>
          </cell>
          <cell r="BQ104" t="e">
            <v>#VALUE!</v>
          </cell>
          <cell r="BR104" t="e">
            <v>#VALUE!</v>
          </cell>
          <cell r="BS104" t="e">
            <v>#VALUE!</v>
          </cell>
          <cell r="BT104">
            <v>0</v>
          </cell>
          <cell r="BU104" t="str">
            <v/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</row>
        <row r="105">
          <cell r="A105" t="str">
            <v>92Q1</v>
          </cell>
          <cell r="B105" t="str">
            <v>Q1</v>
          </cell>
          <cell r="C105">
            <v>92</v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1</v>
          </cell>
          <cell r="BJ105">
            <v>0</v>
          </cell>
          <cell r="BK105">
            <v>0</v>
          </cell>
          <cell r="BO105" t="e">
            <v>#VALUE!</v>
          </cell>
          <cell r="BP105" t="e">
            <v>#VALUE!</v>
          </cell>
          <cell r="BQ105" t="e">
            <v>#VALUE!</v>
          </cell>
          <cell r="BR105" t="e">
            <v>#VALUE!</v>
          </cell>
          <cell r="BS105" t="e">
            <v>#VALUE!</v>
          </cell>
          <cell r="BT105">
            <v>0</v>
          </cell>
          <cell r="BU105" t="str">
            <v/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</row>
        <row r="106">
          <cell r="A106" t="str">
            <v>93Q1</v>
          </cell>
          <cell r="B106" t="str">
            <v>Q1</v>
          </cell>
          <cell r="C106">
            <v>93</v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1</v>
          </cell>
          <cell r="BJ106">
            <v>0</v>
          </cell>
          <cell r="BK106">
            <v>0</v>
          </cell>
          <cell r="BO106" t="e">
            <v>#VALUE!</v>
          </cell>
          <cell r="BP106" t="e">
            <v>#VALUE!</v>
          </cell>
          <cell r="BQ106" t="e">
            <v>#VALUE!</v>
          </cell>
          <cell r="BR106" t="e">
            <v>#VALUE!</v>
          </cell>
          <cell r="BS106" t="e">
            <v>#VALUE!</v>
          </cell>
          <cell r="BT106">
            <v>0</v>
          </cell>
          <cell r="BU106" t="str">
            <v/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</row>
        <row r="107">
          <cell r="A107" t="str">
            <v>94Q1</v>
          </cell>
          <cell r="B107" t="str">
            <v>Q1</v>
          </cell>
          <cell r="C107">
            <v>94</v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1</v>
          </cell>
          <cell r="BJ107">
            <v>0</v>
          </cell>
          <cell r="BK107">
            <v>0</v>
          </cell>
          <cell r="BO107" t="e">
            <v>#VALUE!</v>
          </cell>
          <cell r="BP107" t="e">
            <v>#VALUE!</v>
          </cell>
          <cell r="BQ107" t="e">
            <v>#VALUE!</v>
          </cell>
          <cell r="BR107" t="e">
            <v>#VALUE!</v>
          </cell>
          <cell r="BS107" t="e">
            <v>#VALUE!</v>
          </cell>
          <cell r="BT107">
            <v>0</v>
          </cell>
          <cell r="BU107" t="str">
            <v/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</row>
        <row r="108">
          <cell r="A108" t="str">
            <v>95Q1</v>
          </cell>
          <cell r="B108" t="str">
            <v>Q1</v>
          </cell>
          <cell r="C108">
            <v>95</v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1</v>
          </cell>
          <cell r="BJ108">
            <v>0</v>
          </cell>
          <cell r="BK108">
            <v>0</v>
          </cell>
          <cell r="BO108" t="e">
            <v>#VALUE!</v>
          </cell>
          <cell r="BP108" t="e">
            <v>#VALUE!</v>
          </cell>
          <cell r="BQ108" t="e">
            <v>#VALUE!</v>
          </cell>
          <cell r="BR108" t="e">
            <v>#VALUE!</v>
          </cell>
          <cell r="BS108" t="e">
            <v>#VALUE!</v>
          </cell>
          <cell r="BT108">
            <v>0</v>
          </cell>
          <cell r="BU108" t="str">
            <v/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</row>
        <row r="109">
          <cell r="A109" t="str">
            <v>96Q1</v>
          </cell>
          <cell r="B109" t="str">
            <v>Q1</v>
          </cell>
          <cell r="C109">
            <v>96</v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1</v>
          </cell>
          <cell r="BJ109">
            <v>0</v>
          </cell>
          <cell r="BK109">
            <v>0</v>
          </cell>
          <cell r="BO109" t="e">
            <v>#VALUE!</v>
          </cell>
          <cell r="BP109" t="e">
            <v>#VALUE!</v>
          </cell>
          <cell r="BQ109" t="e">
            <v>#VALUE!</v>
          </cell>
          <cell r="BR109" t="e">
            <v>#VALUE!</v>
          </cell>
          <cell r="BS109" t="e">
            <v>#VALUE!</v>
          </cell>
          <cell r="BT109">
            <v>0</v>
          </cell>
          <cell r="BU109" t="str">
            <v/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</row>
        <row r="110">
          <cell r="A110" t="str">
            <v>97Q1</v>
          </cell>
          <cell r="B110" t="str">
            <v>Q1</v>
          </cell>
          <cell r="C110">
            <v>97</v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1</v>
          </cell>
          <cell r="BJ110">
            <v>0</v>
          </cell>
          <cell r="BK110">
            <v>0</v>
          </cell>
          <cell r="BO110" t="e">
            <v>#VALUE!</v>
          </cell>
          <cell r="BP110" t="e">
            <v>#VALUE!</v>
          </cell>
          <cell r="BQ110" t="e">
            <v>#VALUE!</v>
          </cell>
          <cell r="BR110" t="e">
            <v>#VALUE!</v>
          </cell>
          <cell r="BS110" t="e">
            <v>#VALUE!</v>
          </cell>
          <cell r="BT110">
            <v>0</v>
          </cell>
          <cell r="BU110" t="str">
            <v/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</row>
        <row r="111">
          <cell r="A111" t="str">
            <v>98Q1</v>
          </cell>
          <cell r="B111" t="str">
            <v>Q1</v>
          </cell>
          <cell r="C111">
            <v>98</v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1</v>
          </cell>
          <cell r="BJ111">
            <v>0</v>
          </cell>
          <cell r="BK111">
            <v>0</v>
          </cell>
          <cell r="BO111" t="e">
            <v>#VALUE!</v>
          </cell>
          <cell r="BP111" t="e">
            <v>#VALUE!</v>
          </cell>
          <cell r="BQ111" t="e">
            <v>#VALUE!</v>
          </cell>
          <cell r="BR111" t="e">
            <v>#VALUE!</v>
          </cell>
          <cell r="BS111" t="e">
            <v>#VALUE!</v>
          </cell>
          <cell r="BT111">
            <v>0</v>
          </cell>
          <cell r="BU111" t="str">
            <v/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</row>
        <row r="112">
          <cell r="A112" t="str">
            <v>99Q1</v>
          </cell>
          <cell r="B112" t="str">
            <v>Q1</v>
          </cell>
          <cell r="C112">
            <v>99</v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1</v>
          </cell>
          <cell r="BJ112">
            <v>0</v>
          </cell>
          <cell r="BK112">
            <v>0</v>
          </cell>
          <cell r="BO112" t="e">
            <v>#VALUE!</v>
          </cell>
          <cell r="BP112" t="e">
            <v>#VALUE!</v>
          </cell>
          <cell r="BQ112" t="e">
            <v>#VALUE!</v>
          </cell>
          <cell r="BR112" t="e">
            <v>#VALUE!</v>
          </cell>
          <cell r="BS112" t="e">
            <v>#VALUE!</v>
          </cell>
          <cell r="BT112">
            <v>0</v>
          </cell>
          <cell r="BU112" t="str">
            <v/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</row>
        <row r="113">
          <cell r="A113" t="str">
            <v>100Q1</v>
          </cell>
          <cell r="B113" t="str">
            <v>Q1</v>
          </cell>
          <cell r="C113">
            <v>100</v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1</v>
          </cell>
          <cell r="BJ113">
            <v>0</v>
          </cell>
          <cell r="BK113">
            <v>0</v>
          </cell>
          <cell r="BO113" t="e">
            <v>#VALUE!</v>
          </cell>
          <cell r="BP113" t="e">
            <v>#VALUE!</v>
          </cell>
          <cell r="BQ113" t="e">
            <v>#VALUE!</v>
          </cell>
          <cell r="BR113" t="e">
            <v>#VALUE!</v>
          </cell>
          <cell r="BS113" t="e">
            <v>#VALUE!</v>
          </cell>
          <cell r="BT113">
            <v>0</v>
          </cell>
          <cell r="BU113" t="str">
            <v/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</row>
        <row r="114">
          <cell r="A114" t="str">
            <v>101Q1</v>
          </cell>
          <cell r="B114" t="str">
            <v>Q1</v>
          </cell>
          <cell r="C114">
            <v>101</v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1</v>
          </cell>
          <cell r="BJ114">
            <v>0</v>
          </cell>
          <cell r="BK114">
            <v>0</v>
          </cell>
          <cell r="BO114" t="e">
            <v>#VALUE!</v>
          </cell>
          <cell r="BP114" t="e">
            <v>#VALUE!</v>
          </cell>
          <cell r="BQ114" t="e">
            <v>#VALUE!</v>
          </cell>
          <cell r="BR114" t="e">
            <v>#VALUE!</v>
          </cell>
          <cell r="BS114" t="e">
            <v>#VALUE!</v>
          </cell>
          <cell r="BT114">
            <v>0</v>
          </cell>
          <cell r="BU114" t="str">
            <v/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</row>
        <row r="115">
          <cell r="A115" t="str">
            <v>102Q1</v>
          </cell>
          <cell r="B115" t="str">
            <v>Q1</v>
          </cell>
          <cell r="C115">
            <v>102</v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1</v>
          </cell>
          <cell r="BJ115">
            <v>0</v>
          </cell>
          <cell r="BK115">
            <v>0</v>
          </cell>
          <cell r="BO115" t="e">
            <v>#VALUE!</v>
          </cell>
          <cell r="BP115" t="e">
            <v>#VALUE!</v>
          </cell>
          <cell r="BQ115" t="e">
            <v>#VALUE!</v>
          </cell>
          <cell r="BR115" t="e">
            <v>#VALUE!</v>
          </cell>
          <cell r="BS115" t="e">
            <v>#VALUE!</v>
          </cell>
          <cell r="BT115">
            <v>0</v>
          </cell>
          <cell r="BU115" t="str">
            <v/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</row>
        <row r="116">
          <cell r="A116" t="str">
            <v>103Q1</v>
          </cell>
          <cell r="B116" t="str">
            <v>Q1</v>
          </cell>
          <cell r="C116">
            <v>103</v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1</v>
          </cell>
          <cell r="BJ116">
            <v>0</v>
          </cell>
          <cell r="BK116">
            <v>0</v>
          </cell>
          <cell r="BO116" t="e">
            <v>#VALUE!</v>
          </cell>
          <cell r="BP116" t="e">
            <v>#VALUE!</v>
          </cell>
          <cell r="BQ116" t="e">
            <v>#VALUE!</v>
          </cell>
          <cell r="BR116" t="e">
            <v>#VALUE!</v>
          </cell>
          <cell r="BS116" t="e">
            <v>#VALUE!</v>
          </cell>
          <cell r="BT116">
            <v>0</v>
          </cell>
          <cell r="BU116" t="str">
            <v/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</row>
        <row r="117">
          <cell r="A117" t="str">
            <v>104Q1</v>
          </cell>
          <cell r="B117" t="str">
            <v>Q1</v>
          </cell>
          <cell r="C117">
            <v>104</v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1</v>
          </cell>
          <cell r="BJ117">
            <v>0</v>
          </cell>
          <cell r="BK117">
            <v>0</v>
          </cell>
          <cell r="BO117" t="e">
            <v>#VALUE!</v>
          </cell>
          <cell r="BP117" t="e">
            <v>#VALUE!</v>
          </cell>
          <cell r="BQ117" t="e">
            <v>#VALUE!</v>
          </cell>
          <cell r="BR117" t="e">
            <v>#VALUE!</v>
          </cell>
          <cell r="BS117" t="e">
            <v>#VALUE!</v>
          </cell>
          <cell r="BT117">
            <v>0</v>
          </cell>
          <cell r="BU117" t="str">
            <v/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</row>
        <row r="118">
          <cell r="A118" t="str">
            <v>105Q1</v>
          </cell>
          <cell r="B118" t="str">
            <v>Q1</v>
          </cell>
          <cell r="C118">
            <v>105</v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1</v>
          </cell>
          <cell r="BJ118">
            <v>0</v>
          </cell>
          <cell r="BK118">
            <v>0</v>
          </cell>
          <cell r="BO118" t="e">
            <v>#VALUE!</v>
          </cell>
          <cell r="BP118" t="e">
            <v>#VALUE!</v>
          </cell>
          <cell r="BQ118" t="e">
            <v>#VALUE!</v>
          </cell>
          <cell r="BR118" t="e">
            <v>#VALUE!</v>
          </cell>
          <cell r="BS118" t="e">
            <v>#VALUE!</v>
          </cell>
          <cell r="BT118">
            <v>0</v>
          </cell>
          <cell r="BU118" t="str">
            <v/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</row>
        <row r="119">
          <cell r="A119" t="str">
            <v>106Q1</v>
          </cell>
          <cell r="B119" t="str">
            <v>Q1</v>
          </cell>
          <cell r="C119">
            <v>106</v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1</v>
          </cell>
          <cell r="BJ119">
            <v>0</v>
          </cell>
          <cell r="BK119">
            <v>0</v>
          </cell>
          <cell r="BO119" t="e">
            <v>#VALUE!</v>
          </cell>
          <cell r="BP119" t="e">
            <v>#VALUE!</v>
          </cell>
          <cell r="BQ119" t="e">
            <v>#VALUE!</v>
          </cell>
          <cell r="BR119" t="e">
            <v>#VALUE!</v>
          </cell>
          <cell r="BS119" t="e">
            <v>#VALUE!</v>
          </cell>
          <cell r="BT119">
            <v>0</v>
          </cell>
          <cell r="BU119" t="str">
            <v/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</row>
        <row r="120">
          <cell r="A120" t="str">
            <v>107Q1</v>
          </cell>
          <cell r="B120" t="str">
            <v>Q1</v>
          </cell>
          <cell r="C120">
            <v>107</v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1</v>
          </cell>
          <cell r="BJ120">
            <v>0</v>
          </cell>
          <cell r="BK120">
            <v>0</v>
          </cell>
          <cell r="BO120" t="e">
            <v>#VALUE!</v>
          </cell>
          <cell r="BP120" t="e">
            <v>#VALUE!</v>
          </cell>
          <cell r="BQ120" t="e">
            <v>#VALUE!</v>
          </cell>
          <cell r="BR120" t="e">
            <v>#VALUE!</v>
          </cell>
          <cell r="BS120" t="e">
            <v>#VALUE!</v>
          </cell>
          <cell r="BT120">
            <v>0</v>
          </cell>
          <cell r="BU120" t="str">
            <v/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</row>
        <row r="121">
          <cell r="A121" t="str">
            <v>108Q1</v>
          </cell>
          <cell r="B121" t="str">
            <v>Q1</v>
          </cell>
          <cell r="C121">
            <v>108</v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1</v>
          </cell>
          <cell r="BJ121">
            <v>0</v>
          </cell>
          <cell r="BK121">
            <v>0</v>
          </cell>
          <cell r="BO121" t="e">
            <v>#VALUE!</v>
          </cell>
          <cell r="BP121" t="e">
            <v>#VALUE!</v>
          </cell>
          <cell r="BQ121" t="e">
            <v>#VALUE!</v>
          </cell>
          <cell r="BR121" t="e">
            <v>#VALUE!</v>
          </cell>
          <cell r="BS121" t="e">
            <v>#VALUE!</v>
          </cell>
          <cell r="BT121">
            <v>0</v>
          </cell>
          <cell r="BU121" t="str">
            <v/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</row>
        <row r="122">
          <cell r="A122" t="str">
            <v>109Q1</v>
          </cell>
          <cell r="B122" t="str">
            <v>Q1</v>
          </cell>
          <cell r="C122">
            <v>109</v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1</v>
          </cell>
          <cell r="BJ122">
            <v>0</v>
          </cell>
          <cell r="BK122">
            <v>0</v>
          </cell>
          <cell r="BO122" t="e">
            <v>#VALUE!</v>
          </cell>
          <cell r="BP122" t="e">
            <v>#VALUE!</v>
          </cell>
          <cell r="BQ122" t="e">
            <v>#VALUE!</v>
          </cell>
          <cell r="BR122" t="e">
            <v>#VALUE!</v>
          </cell>
          <cell r="BS122" t="e">
            <v>#VALUE!</v>
          </cell>
          <cell r="BT122">
            <v>0</v>
          </cell>
          <cell r="BU122" t="str">
            <v/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</row>
        <row r="123">
          <cell r="A123" t="str">
            <v>110Q1</v>
          </cell>
          <cell r="B123" t="str">
            <v>Q1</v>
          </cell>
          <cell r="C123">
            <v>110</v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1</v>
          </cell>
          <cell r="BJ123">
            <v>0</v>
          </cell>
          <cell r="BK123">
            <v>0</v>
          </cell>
          <cell r="BO123" t="e">
            <v>#VALUE!</v>
          </cell>
          <cell r="BP123" t="e">
            <v>#VALUE!</v>
          </cell>
          <cell r="BQ123" t="e">
            <v>#VALUE!</v>
          </cell>
          <cell r="BR123" t="e">
            <v>#VALUE!</v>
          </cell>
          <cell r="BS123" t="e">
            <v>#VALUE!</v>
          </cell>
          <cell r="BT123">
            <v>0</v>
          </cell>
          <cell r="BU123" t="str">
            <v/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</row>
        <row r="124">
          <cell r="A124" t="str">
            <v>111Q1</v>
          </cell>
          <cell r="B124" t="str">
            <v>Q1</v>
          </cell>
          <cell r="C124">
            <v>111</v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1</v>
          </cell>
          <cell r="BJ124">
            <v>0</v>
          </cell>
          <cell r="BK124">
            <v>0</v>
          </cell>
          <cell r="BO124" t="e">
            <v>#VALUE!</v>
          </cell>
          <cell r="BP124" t="e">
            <v>#VALUE!</v>
          </cell>
          <cell r="BQ124" t="e">
            <v>#VALUE!</v>
          </cell>
          <cell r="BR124" t="e">
            <v>#VALUE!</v>
          </cell>
          <cell r="BS124" t="e">
            <v>#VALUE!</v>
          </cell>
          <cell r="BT124">
            <v>0</v>
          </cell>
          <cell r="BU124" t="str">
            <v/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</row>
        <row r="125">
          <cell r="A125" t="str">
            <v>112Q1</v>
          </cell>
          <cell r="B125" t="str">
            <v>Q1</v>
          </cell>
          <cell r="C125">
            <v>112</v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1</v>
          </cell>
          <cell r="BJ125">
            <v>0</v>
          </cell>
          <cell r="BK125">
            <v>0</v>
          </cell>
          <cell r="BO125" t="e">
            <v>#VALUE!</v>
          </cell>
          <cell r="BP125" t="e">
            <v>#VALUE!</v>
          </cell>
          <cell r="BQ125" t="e">
            <v>#VALUE!</v>
          </cell>
          <cell r="BR125" t="e">
            <v>#VALUE!</v>
          </cell>
          <cell r="BS125" t="e">
            <v>#VALUE!</v>
          </cell>
          <cell r="BT125">
            <v>0</v>
          </cell>
          <cell r="BU125" t="str">
            <v/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</row>
        <row r="126">
          <cell r="A126" t="str">
            <v>113Q1</v>
          </cell>
          <cell r="B126" t="str">
            <v>Q1</v>
          </cell>
          <cell r="C126">
            <v>113</v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1</v>
          </cell>
          <cell r="BJ126">
            <v>0</v>
          </cell>
          <cell r="BK126">
            <v>0</v>
          </cell>
          <cell r="BO126" t="e">
            <v>#VALUE!</v>
          </cell>
          <cell r="BP126" t="e">
            <v>#VALUE!</v>
          </cell>
          <cell r="BQ126" t="e">
            <v>#VALUE!</v>
          </cell>
          <cell r="BR126" t="e">
            <v>#VALUE!</v>
          </cell>
          <cell r="BS126" t="e">
            <v>#VALUE!</v>
          </cell>
          <cell r="BT126">
            <v>0</v>
          </cell>
          <cell r="BU126" t="str">
            <v/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</row>
        <row r="127">
          <cell r="A127" t="str">
            <v>114Q1</v>
          </cell>
          <cell r="B127" t="str">
            <v>Q1</v>
          </cell>
          <cell r="C127">
            <v>114</v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1</v>
          </cell>
          <cell r="BJ127">
            <v>0</v>
          </cell>
          <cell r="BK127">
            <v>0</v>
          </cell>
          <cell r="BO127" t="e">
            <v>#VALUE!</v>
          </cell>
          <cell r="BP127" t="e">
            <v>#VALUE!</v>
          </cell>
          <cell r="BQ127" t="e">
            <v>#VALUE!</v>
          </cell>
          <cell r="BR127" t="e">
            <v>#VALUE!</v>
          </cell>
          <cell r="BS127" t="e">
            <v>#VALUE!</v>
          </cell>
          <cell r="BT127">
            <v>0</v>
          </cell>
          <cell r="BU127" t="str">
            <v/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</row>
        <row r="128">
          <cell r="A128" t="str">
            <v>115Q1</v>
          </cell>
          <cell r="B128" t="str">
            <v>Q1</v>
          </cell>
          <cell r="C128">
            <v>115</v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1</v>
          </cell>
          <cell r="BJ128">
            <v>0</v>
          </cell>
          <cell r="BK128">
            <v>0</v>
          </cell>
          <cell r="BO128" t="e">
            <v>#VALUE!</v>
          </cell>
          <cell r="BP128" t="e">
            <v>#VALUE!</v>
          </cell>
          <cell r="BQ128" t="e">
            <v>#VALUE!</v>
          </cell>
          <cell r="BR128" t="e">
            <v>#VALUE!</v>
          </cell>
          <cell r="BS128" t="e">
            <v>#VALUE!</v>
          </cell>
          <cell r="BT128">
            <v>0</v>
          </cell>
          <cell r="BU128" t="str">
            <v/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</row>
        <row r="129">
          <cell r="A129" t="str">
            <v>116Q1</v>
          </cell>
          <cell r="B129" t="str">
            <v>Q1</v>
          </cell>
          <cell r="C129">
            <v>116</v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1</v>
          </cell>
          <cell r="BJ129">
            <v>0</v>
          </cell>
          <cell r="BK129">
            <v>0</v>
          </cell>
          <cell r="BO129" t="e">
            <v>#VALUE!</v>
          </cell>
          <cell r="BP129" t="e">
            <v>#VALUE!</v>
          </cell>
          <cell r="BQ129" t="e">
            <v>#VALUE!</v>
          </cell>
          <cell r="BR129" t="e">
            <v>#VALUE!</v>
          </cell>
          <cell r="BS129" t="e">
            <v>#VALUE!</v>
          </cell>
          <cell r="BT129">
            <v>0</v>
          </cell>
          <cell r="BU129" t="str">
            <v/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</row>
        <row r="130">
          <cell r="A130" t="str">
            <v>117Q1</v>
          </cell>
          <cell r="B130" t="str">
            <v>Q1</v>
          </cell>
          <cell r="C130">
            <v>117</v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1</v>
          </cell>
          <cell r="BJ130">
            <v>0</v>
          </cell>
          <cell r="BK130">
            <v>0</v>
          </cell>
          <cell r="BO130" t="e">
            <v>#VALUE!</v>
          </cell>
          <cell r="BP130" t="e">
            <v>#VALUE!</v>
          </cell>
          <cell r="BQ130" t="e">
            <v>#VALUE!</v>
          </cell>
          <cell r="BR130" t="e">
            <v>#VALUE!</v>
          </cell>
          <cell r="BS130" t="e">
            <v>#VALUE!</v>
          </cell>
          <cell r="BT130">
            <v>0</v>
          </cell>
          <cell r="BU130" t="str">
            <v/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</row>
        <row r="131">
          <cell r="A131" t="str">
            <v>118Q1</v>
          </cell>
          <cell r="B131" t="str">
            <v>Q1</v>
          </cell>
          <cell r="C131">
            <v>118</v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1</v>
          </cell>
          <cell r="BJ131">
            <v>0</v>
          </cell>
          <cell r="BK131">
            <v>0</v>
          </cell>
          <cell r="BO131" t="e">
            <v>#VALUE!</v>
          </cell>
          <cell r="BP131" t="e">
            <v>#VALUE!</v>
          </cell>
          <cell r="BQ131" t="e">
            <v>#VALUE!</v>
          </cell>
          <cell r="BR131" t="e">
            <v>#VALUE!</v>
          </cell>
          <cell r="BS131" t="e">
            <v>#VALUE!</v>
          </cell>
          <cell r="BT131">
            <v>0</v>
          </cell>
          <cell r="BU131" t="str">
            <v/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</row>
        <row r="132">
          <cell r="A132" t="str">
            <v>119Q1</v>
          </cell>
          <cell r="B132" t="str">
            <v>Q1</v>
          </cell>
          <cell r="C132">
            <v>119</v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1</v>
          </cell>
          <cell r="BJ132">
            <v>0</v>
          </cell>
          <cell r="BK132">
            <v>0</v>
          </cell>
          <cell r="BO132" t="e">
            <v>#VALUE!</v>
          </cell>
          <cell r="BP132" t="e">
            <v>#VALUE!</v>
          </cell>
          <cell r="BQ132" t="e">
            <v>#VALUE!</v>
          </cell>
          <cell r="BR132" t="e">
            <v>#VALUE!</v>
          </cell>
          <cell r="BS132" t="e">
            <v>#VALUE!</v>
          </cell>
          <cell r="BT132">
            <v>0</v>
          </cell>
          <cell r="BU132" t="str">
            <v/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</row>
        <row r="133">
          <cell r="A133" t="str">
            <v>120Q1</v>
          </cell>
          <cell r="B133" t="str">
            <v>Q1</v>
          </cell>
          <cell r="C133">
            <v>120</v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1</v>
          </cell>
          <cell r="BJ133">
            <v>0</v>
          </cell>
          <cell r="BK133">
            <v>0</v>
          </cell>
          <cell r="BO133" t="e">
            <v>#VALUE!</v>
          </cell>
          <cell r="BP133" t="e">
            <v>#VALUE!</v>
          </cell>
          <cell r="BQ133" t="e">
            <v>#VALUE!</v>
          </cell>
          <cell r="BR133" t="e">
            <v>#VALUE!</v>
          </cell>
          <cell r="BS133" t="e">
            <v>#VALUE!</v>
          </cell>
          <cell r="BT133">
            <v>0</v>
          </cell>
          <cell r="BU133" t="str">
            <v/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</row>
        <row r="134">
          <cell r="A134" t="str">
            <v>121Q1</v>
          </cell>
          <cell r="B134" t="str">
            <v>Q1</v>
          </cell>
          <cell r="C134">
            <v>121</v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1</v>
          </cell>
          <cell r="BJ134">
            <v>0</v>
          </cell>
          <cell r="BK134">
            <v>0</v>
          </cell>
          <cell r="BO134" t="e">
            <v>#VALUE!</v>
          </cell>
          <cell r="BP134" t="e">
            <v>#VALUE!</v>
          </cell>
          <cell r="BQ134" t="e">
            <v>#VALUE!</v>
          </cell>
          <cell r="BR134" t="e">
            <v>#VALUE!</v>
          </cell>
          <cell r="BS134" t="e">
            <v>#VALUE!</v>
          </cell>
          <cell r="BT134">
            <v>0</v>
          </cell>
          <cell r="BU134" t="str">
            <v/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</row>
        <row r="135">
          <cell r="A135" t="str">
            <v>122Q1</v>
          </cell>
          <cell r="B135" t="str">
            <v>Q1</v>
          </cell>
          <cell r="C135">
            <v>122</v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1</v>
          </cell>
          <cell r="BJ135">
            <v>0</v>
          </cell>
          <cell r="BK135">
            <v>0</v>
          </cell>
          <cell r="BO135" t="e">
            <v>#VALUE!</v>
          </cell>
          <cell r="BP135" t="e">
            <v>#VALUE!</v>
          </cell>
          <cell r="BQ135" t="e">
            <v>#VALUE!</v>
          </cell>
          <cell r="BR135" t="e">
            <v>#VALUE!</v>
          </cell>
          <cell r="BS135" t="e">
            <v>#VALUE!</v>
          </cell>
          <cell r="BT135">
            <v>0</v>
          </cell>
          <cell r="BU135" t="str">
            <v/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</row>
        <row r="136">
          <cell r="A136" t="str">
            <v>123Q1</v>
          </cell>
          <cell r="B136" t="str">
            <v>Q1</v>
          </cell>
          <cell r="C136">
            <v>123</v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1</v>
          </cell>
          <cell r="BJ136">
            <v>0</v>
          </cell>
          <cell r="BK136">
            <v>0</v>
          </cell>
          <cell r="BO136" t="e">
            <v>#VALUE!</v>
          </cell>
          <cell r="BP136" t="e">
            <v>#VALUE!</v>
          </cell>
          <cell r="BQ136" t="e">
            <v>#VALUE!</v>
          </cell>
          <cell r="BR136" t="e">
            <v>#VALUE!</v>
          </cell>
          <cell r="BS136" t="e">
            <v>#VALUE!</v>
          </cell>
          <cell r="BT136">
            <v>0</v>
          </cell>
          <cell r="BU136" t="str">
            <v/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</row>
        <row r="137">
          <cell r="A137" t="str">
            <v>124Q1</v>
          </cell>
          <cell r="B137" t="str">
            <v>Q1</v>
          </cell>
          <cell r="C137">
            <v>124</v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1</v>
          </cell>
          <cell r="BJ137">
            <v>0</v>
          </cell>
          <cell r="BK137">
            <v>0</v>
          </cell>
          <cell r="BO137" t="e">
            <v>#VALUE!</v>
          </cell>
          <cell r="BP137" t="e">
            <v>#VALUE!</v>
          </cell>
          <cell r="BQ137" t="e">
            <v>#VALUE!</v>
          </cell>
          <cell r="BR137" t="e">
            <v>#VALUE!</v>
          </cell>
          <cell r="BS137" t="e">
            <v>#VALUE!</v>
          </cell>
          <cell r="BT137">
            <v>0</v>
          </cell>
          <cell r="BU137" t="str">
            <v/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</row>
        <row r="138">
          <cell r="A138" t="str">
            <v>125Q1</v>
          </cell>
          <cell r="B138" t="str">
            <v>Q1</v>
          </cell>
          <cell r="C138">
            <v>125</v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1</v>
          </cell>
          <cell r="BJ138">
            <v>0</v>
          </cell>
          <cell r="BK138">
            <v>0</v>
          </cell>
          <cell r="BO138" t="e">
            <v>#VALUE!</v>
          </cell>
          <cell r="BP138" t="e">
            <v>#VALUE!</v>
          </cell>
          <cell r="BQ138" t="e">
            <v>#VALUE!</v>
          </cell>
          <cell r="BR138" t="e">
            <v>#VALUE!</v>
          </cell>
          <cell r="BS138" t="e">
            <v>#VALUE!</v>
          </cell>
          <cell r="BT138">
            <v>0</v>
          </cell>
          <cell r="BU138" t="str">
            <v/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</row>
        <row r="139">
          <cell r="A139" t="str">
            <v>126Q1</v>
          </cell>
          <cell r="B139" t="str">
            <v>Q1</v>
          </cell>
          <cell r="C139">
            <v>126</v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1</v>
          </cell>
          <cell r="BJ139">
            <v>0</v>
          </cell>
          <cell r="BK139">
            <v>0</v>
          </cell>
          <cell r="BO139" t="e">
            <v>#VALUE!</v>
          </cell>
          <cell r="BP139" t="e">
            <v>#VALUE!</v>
          </cell>
          <cell r="BQ139" t="e">
            <v>#VALUE!</v>
          </cell>
          <cell r="BR139" t="e">
            <v>#VALUE!</v>
          </cell>
          <cell r="BS139" t="e">
            <v>#VALUE!</v>
          </cell>
          <cell r="BT139">
            <v>0</v>
          </cell>
          <cell r="BU139" t="str">
            <v/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</row>
        <row r="140">
          <cell r="A140" t="str">
            <v>127Q1</v>
          </cell>
          <cell r="B140" t="str">
            <v>Q1</v>
          </cell>
          <cell r="C140">
            <v>127</v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</v>
          </cell>
          <cell r="BJ140">
            <v>0</v>
          </cell>
          <cell r="BK140">
            <v>0</v>
          </cell>
          <cell r="BO140" t="e">
            <v>#VALUE!</v>
          </cell>
          <cell r="BP140" t="e">
            <v>#VALUE!</v>
          </cell>
          <cell r="BQ140" t="e">
            <v>#VALUE!</v>
          </cell>
          <cell r="BR140" t="e">
            <v>#VALUE!</v>
          </cell>
          <cell r="BS140" t="e">
            <v>#VALUE!</v>
          </cell>
          <cell r="BT140">
            <v>0</v>
          </cell>
          <cell r="BU140" t="str">
            <v/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</row>
        <row r="141">
          <cell r="A141" t="str">
            <v>128Q1</v>
          </cell>
          <cell r="B141" t="str">
            <v>Q1</v>
          </cell>
          <cell r="C141">
            <v>128</v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1</v>
          </cell>
          <cell r="BJ141">
            <v>0</v>
          </cell>
          <cell r="BK141">
            <v>0</v>
          </cell>
          <cell r="BO141" t="e">
            <v>#VALUE!</v>
          </cell>
          <cell r="BP141" t="e">
            <v>#VALUE!</v>
          </cell>
          <cell r="BQ141" t="e">
            <v>#VALUE!</v>
          </cell>
          <cell r="BR141" t="e">
            <v>#VALUE!</v>
          </cell>
          <cell r="BS141" t="e">
            <v>#VALUE!</v>
          </cell>
          <cell r="BT141">
            <v>0</v>
          </cell>
          <cell r="BU141" t="str">
            <v/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</row>
        <row r="142">
          <cell r="A142" t="str">
            <v>129Q1</v>
          </cell>
          <cell r="B142" t="str">
            <v>Q1</v>
          </cell>
          <cell r="C142">
            <v>129</v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1</v>
          </cell>
          <cell r="BJ142">
            <v>0</v>
          </cell>
          <cell r="BK142">
            <v>0</v>
          </cell>
          <cell r="BO142" t="e">
            <v>#VALUE!</v>
          </cell>
          <cell r="BP142" t="e">
            <v>#VALUE!</v>
          </cell>
          <cell r="BQ142" t="e">
            <v>#VALUE!</v>
          </cell>
          <cell r="BR142" t="e">
            <v>#VALUE!</v>
          </cell>
          <cell r="BS142" t="e">
            <v>#VALUE!</v>
          </cell>
          <cell r="BT142">
            <v>0</v>
          </cell>
          <cell r="BU142" t="str">
            <v/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</row>
        <row r="143">
          <cell r="A143" t="str">
            <v>130Q1</v>
          </cell>
          <cell r="B143" t="str">
            <v>Q1</v>
          </cell>
          <cell r="C143">
            <v>130</v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1</v>
          </cell>
          <cell r="BJ143">
            <v>0</v>
          </cell>
          <cell r="BK143">
            <v>0</v>
          </cell>
          <cell r="BO143" t="e">
            <v>#VALUE!</v>
          </cell>
          <cell r="BP143" t="e">
            <v>#VALUE!</v>
          </cell>
          <cell r="BQ143" t="e">
            <v>#VALUE!</v>
          </cell>
          <cell r="BR143" t="e">
            <v>#VALUE!</v>
          </cell>
          <cell r="BS143" t="e">
            <v>#VALUE!</v>
          </cell>
          <cell r="BT143">
            <v>0</v>
          </cell>
          <cell r="BU143" t="str">
            <v/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</row>
        <row r="144">
          <cell r="A144" t="str">
            <v>131Q1</v>
          </cell>
          <cell r="B144" t="str">
            <v>Q1</v>
          </cell>
          <cell r="C144">
            <v>131</v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1</v>
          </cell>
          <cell r="BJ144">
            <v>0</v>
          </cell>
          <cell r="BK144">
            <v>0</v>
          </cell>
          <cell r="BO144" t="e">
            <v>#VALUE!</v>
          </cell>
          <cell r="BP144" t="e">
            <v>#VALUE!</v>
          </cell>
          <cell r="BQ144" t="e">
            <v>#VALUE!</v>
          </cell>
          <cell r="BR144" t="e">
            <v>#VALUE!</v>
          </cell>
          <cell r="BS144" t="e">
            <v>#VALUE!</v>
          </cell>
          <cell r="BT144">
            <v>0</v>
          </cell>
          <cell r="BU144" t="str">
            <v/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</row>
        <row r="145">
          <cell r="A145" t="str">
            <v>132Q1</v>
          </cell>
          <cell r="B145" t="str">
            <v>Q1</v>
          </cell>
          <cell r="C145">
            <v>132</v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1</v>
          </cell>
          <cell r="BJ145">
            <v>0</v>
          </cell>
          <cell r="BK145">
            <v>0</v>
          </cell>
          <cell r="BO145" t="e">
            <v>#VALUE!</v>
          </cell>
          <cell r="BP145" t="e">
            <v>#VALUE!</v>
          </cell>
          <cell r="BQ145" t="e">
            <v>#VALUE!</v>
          </cell>
          <cell r="BR145" t="e">
            <v>#VALUE!</v>
          </cell>
          <cell r="BS145" t="e">
            <v>#VALUE!</v>
          </cell>
          <cell r="BT145">
            <v>0</v>
          </cell>
          <cell r="BU145" t="str">
            <v/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</row>
        <row r="146">
          <cell r="A146" t="str">
            <v>133Q1</v>
          </cell>
          <cell r="B146" t="str">
            <v>Q1</v>
          </cell>
          <cell r="C146">
            <v>133</v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1</v>
          </cell>
          <cell r="BJ146">
            <v>0</v>
          </cell>
          <cell r="BK146">
            <v>0</v>
          </cell>
          <cell r="BO146" t="e">
            <v>#VALUE!</v>
          </cell>
          <cell r="BP146" t="e">
            <v>#VALUE!</v>
          </cell>
          <cell r="BQ146" t="e">
            <v>#VALUE!</v>
          </cell>
          <cell r="BR146" t="e">
            <v>#VALUE!</v>
          </cell>
          <cell r="BS146" t="e">
            <v>#VALUE!</v>
          </cell>
          <cell r="BT146">
            <v>0</v>
          </cell>
          <cell r="BU146" t="str">
            <v/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</row>
        <row r="147">
          <cell r="A147" t="str">
            <v>134Q1</v>
          </cell>
          <cell r="B147" t="str">
            <v>Q1</v>
          </cell>
          <cell r="C147">
            <v>134</v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1</v>
          </cell>
          <cell r="BJ147">
            <v>0</v>
          </cell>
          <cell r="BK147">
            <v>0</v>
          </cell>
          <cell r="BO147" t="e">
            <v>#VALUE!</v>
          </cell>
          <cell r="BP147" t="e">
            <v>#VALUE!</v>
          </cell>
          <cell r="BQ147" t="e">
            <v>#VALUE!</v>
          </cell>
          <cell r="BR147" t="e">
            <v>#VALUE!</v>
          </cell>
          <cell r="BS147" t="e">
            <v>#VALUE!</v>
          </cell>
          <cell r="BT147">
            <v>0</v>
          </cell>
          <cell r="BU147" t="str">
            <v/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</row>
        <row r="148">
          <cell r="A148" t="str">
            <v>135Q1</v>
          </cell>
          <cell r="B148" t="str">
            <v>Q1</v>
          </cell>
          <cell r="C148">
            <v>135</v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1</v>
          </cell>
          <cell r="BJ148">
            <v>0</v>
          </cell>
          <cell r="BK148">
            <v>0</v>
          </cell>
          <cell r="BO148" t="e">
            <v>#VALUE!</v>
          </cell>
          <cell r="BP148" t="e">
            <v>#VALUE!</v>
          </cell>
          <cell r="BQ148" t="e">
            <v>#VALUE!</v>
          </cell>
          <cell r="BR148" t="e">
            <v>#VALUE!</v>
          </cell>
          <cell r="BS148" t="e">
            <v>#VALUE!</v>
          </cell>
          <cell r="BT148">
            <v>0</v>
          </cell>
          <cell r="BU148" t="str">
            <v/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</row>
        <row r="149">
          <cell r="A149" t="str">
            <v>136Q1</v>
          </cell>
          <cell r="B149" t="str">
            <v>Q1</v>
          </cell>
          <cell r="C149">
            <v>136</v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1</v>
          </cell>
          <cell r="BJ149">
            <v>0</v>
          </cell>
          <cell r="BK149">
            <v>0</v>
          </cell>
          <cell r="BO149" t="e">
            <v>#VALUE!</v>
          </cell>
          <cell r="BP149" t="e">
            <v>#VALUE!</v>
          </cell>
          <cell r="BQ149" t="e">
            <v>#VALUE!</v>
          </cell>
          <cell r="BR149" t="e">
            <v>#VALUE!</v>
          </cell>
          <cell r="BS149" t="e">
            <v>#VALUE!</v>
          </cell>
          <cell r="BT149">
            <v>0</v>
          </cell>
          <cell r="BU149" t="str">
            <v/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</row>
        <row r="150">
          <cell r="A150" t="str">
            <v>137Q1</v>
          </cell>
          <cell r="B150" t="str">
            <v>Q1</v>
          </cell>
          <cell r="C150">
            <v>137</v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1</v>
          </cell>
          <cell r="BJ150">
            <v>0</v>
          </cell>
          <cell r="BK150">
            <v>0</v>
          </cell>
          <cell r="BO150" t="e">
            <v>#VALUE!</v>
          </cell>
          <cell r="BP150" t="e">
            <v>#VALUE!</v>
          </cell>
          <cell r="BQ150" t="e">
            <v>#VALUE!</v>
          </cell>
          <cell r="BR150" t="e">
            <v>#VALUE!</v>
          </cell>
          <cell r="BS150" t="e">
            <v>#VALUE!</v>
          </cell>
          <cell r="BT150">
            <v>0</v>
          </cell>
          <cell r="BU150" t="str">
            <v/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</row>
        <row r="151">
          <cell r="A151" t="str">
            <v>138Q1</v>
          </cell>
          <cell r="B151" t="str">
            <v>Q1</v>
          </cell>
          <cell r="C151">
            <v>138</v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1</v>
          </cell>
          <cell r="BJ151">
            <v>0</v>
          </cell>
          <cell r="BK151">
            <v>0</v>
          </cell>
          <cell r="BO151" t="e">
            <v>#VALUE!</v>
          </cell>
          <cell r="BP151" t="e">
            <v>#VALUE!</v>
          </cell>
          <cell r="BQ151" t="e">
            <v>#VALUE!</v>
          </cell>
          <cell r="BR151" t="e">
            <v>#VALUE!</v>
          </cell>
          <cell r="BS151" t="e">
            <v>#VALUE!</v>
          </cell>
          <cell r="BT151">
            <v>0</v>
          </cell>
          <cell r="BU151" t="str">
            <v/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</row>
        <row r="152">
          <cell r="A152" t="str">
            <v>139Q1</v>
          </cell>
          <cell r="B152" t="str">
            <v>Q1</v>
          </cell>
          <cell r="C152">
            <v>139</v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1</v>
          </cell>
          <cell r="BJ152">
            <v>0</v>
          </cell>
          <cell r="BK152">
            <v>0</v>
          </cell>
          <cell r="BO152" t="e">
            <v>#VALUE!</v>
          </cell>
          <cell r="BP152" t="e">
            <v>#VALUE!</v>
          </cell>
          <cell r="BQ152" t="e">
            <v>#VALUE!</v>
          </cell>
          <cell r="BR152" t="e">
            <v>#VALUE!</v>
          </cell>
          <cell r="BS152" t="e">
            <v>#VALUE!</v>
          </cell>
          <cell r="BT152">
            <v>0</v>
          </cell>
          <cell r="BU152" t="str">
            <v/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</row>
        <row r="153">
          <cell r="A153" t="str">
            <v>140Q1</v>
          </cell>
          <cell r="B153" t="str">
            <v>Q1</v>
          </cell>
          <cell r="C153">
            <v>140</v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1</v>
          </cell>
          <cell r="BJ153">
            <v>0</v>
          </cell>
          <cell r="BK153">
            <v>0</v>
          </cell>
          <cell r="BO153" t="e">
            <v>#VALUE!</v>
          </cell>
          <cell r="BP153" t="e">
            <v>#VALUE!</v>
          </cell>
          <cell r="BQ153" t="e">
            <v>#VALUE!</v>
          </cell>
          <cell r="BR153" t="e">
            <v>#VALUE!</v>
          </cell>
          <cell r="BS153" t="e">
            <v>#VALUE!</v>
          </cell>
          <cell r="BT153">
            <v>0</v>
          </cell>
          <cell r="BU153" t="str">
            <v/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</row>
        <row r="154">
          <cell r="A154" t="str">
            <v>141Q1</v>
          </cell>
          <cell r="B154" t="str">
            <v>Q1</v>
          </cell>
          <cell r="C154">
            <v>141</v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1</v>
          </cell>
          <cell r="BJ154">
            <v>0</v>
          </cell>
          <cell r="BK154">
            <v>0</v>
          </cell>
          <cell r="BO154" t="e">
            <v>#VALUE!</v>
          </cell>
          <cell r="BP154" t="e">
            <v>#VALUE!</v>
          </cell>
          <cell r="BQ154" t="e">
            <v>#VALUE!</v>
          </cell>
          <cell r="BR154" t="e">
            <v>#VALUE!</v>
          </cell>
          <cell r="BS154" t="e">
            <v>#VALUE!</v>
          </cell>
          <cell r="BT154">
            <v>0</v>
          </cell>
          <cell r="BU154" t="str">
            <v/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</row>
        <row r="155">
          <cell r="A155" t="str">
            <v>142Q1</v>
          </cell>
          <cell r="B155" t="str">
            <v>Q1</v>
          </cell>
          <cell r="C155">
            <v>142</v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1</v>
          </cell>
          <cell r="BJ155">
            <v>0</v>
          </cell>
          <cell r="BK155">
            <v>0</v>
          </cell>
          <cell r="BO155" t="e">
            <v>#VALUE!</v>
          </cell>
          <cell r="BP155" t="e">
            <v>#VALUE!</v>
          </cell>
          <cell r="BQ155" t="e">
            <v>#VALUE!</v>
          </cell>
          <cell r="BR155" t="e">
            <v>#VALUE!</v>
          </cell>
          <cell r="BS155" t="e">
            <v>#VALUE!</v>
          </cell>
          <cell r="BT155">
            <v>0</v>
          </cell>
          <cell r="BU155" t="str">
            <v/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</row>
        <row r="156">
          <cell r="A156" t="str">
            <v>143Q1</v>
          </cell>
          <cell r="B156" t="str">
            <v>Q1</v>
          </cell>
          <cell r="C156">
            <v>143</v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1</v>
          </cell>
          <cell r="BJ156">
            <v>0</v>
          </cell>
          <cell r="BK156">
            <v>0</v>
          </cell>
          <cell r="BO156" t="e">
            <v>#VALUE!</v>
          </cell>
          <cell r="BP156" t="e">
            <v>#VALUE!</v>
          </cell>
          <cell r="BQ156" t="e">
            <v>#VALUE!</v>
          </cell>
          <cell r="BR156" t="e">
            <v>#VALUE!</v>
          </cell>
          <cell r="BS156" t="e">
            <v>#VALUE!</v>
          </cell>
          <cell r="BT156">
            <v>0</v>
          </cell>
          <cell r="BU156" t="str">
            <v/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</row>
        <row r="157">
          <cell r="A157" t="str">
            <v>144Q1</v>
          </cell>
          <cell r="B157" t="str">
            <v>Q1</v>
          </cell>
          <cell r="C157">
            <v>144</v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1</v>
          </cell>
          <cell r="BJ157">
            <v>0</v>
          </cell>
          <cell r="BK157">
            <v>0</v>
          </cell>
          <cell r="BO157" t="e">
            <v>#VALUE!</v>
          </cell>
          <cell r="BP157" t="e">
            <v>#VALUE!</v>
          </cell>
          <cell r="BQ157" t="e">
            <v>#VALUE!</v>
          </cell>
          <cell r="BR157" t="e">
            <v>#VALUE!</v>
          </cell>
          <cell r="BS157" t="e">
            <v>#VALUE!</v>
          </cell>
          <cell r="BT157">
            <v>0</v>
          </cell>
          <cell r="BU157" t="str">
            <v/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</row>
        <row r="158">
          <cell r="A158" t="str">
            <v>145Q1</v>
          </cell>
          <cell r="B158" t="str">
            <v>Q1</v>
          </cell>
          <cell r="C158">
            <v>145</v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1</v>
          </cell>
          <cell r="BJ158">
            <v>0</v>
          </cell>
          <cell r="BK158">
            <v>0</v>
          </cell>
          <cell r="BO158" t="e">
            <v>#VALUE!</v>
          </cell>
          <cell r="BP158" t="e">
            <v>#VALUE!</v>
          </cell>
          <cell r="BQ158" t="e">
            <v>#VALUE!</v>
          </cell>
          <cell r="BR158" t="e">
            <v>#VALUE!</v>
          </cell>
          <cell r="BS158" t="e">
            <v>#VALUE!</v>
          </cell>
          <cell r="BT158">
            <v>0</v>
          </cell>
          <cell r="BU158" t="str">
            <v/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</row>
        <row r="159">
          <cell r="A159" t="str">
            <v>146Q1</v>
          </cell>
          <cell r="B159" t="str">
            <v>Q1</v>
          </cell>
          <cell r="C159">
            <v>146</v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1</v>
          </cell>
          <cell r="BJ159">
            <v>0</v>
          </cell>
          <cell r="BK159">
            <v>0</v>
          </cell>
          <cell r="BO159" t="e">
            <v>#VALUE!</v>
          </cell>
          <cell r="BP159" t="e">
            <v>#VALUE!</v>
          </cell>
          <cell r="BQ159" t="e">
            <v>#VALUE!</v>
          </cell>
          <cell r="BR159" t="e">
            <v>#VALUE!</v>
          </cell>
          <cell r="BS159" t="e">
            <v>#VALUE!</v>
          </cell>
          <cell r="BT159">
            <v>0</v>
          </cell>
          <cell r="BU159" t="str">
            <v/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</row>
        <row r="160">
          <cell r="A160" t="str">
            <v>147Q1</v>
          </cell>
          <cell r="B160" t="str">
            <v>Q1</v>
          </cell>
          <cell r="C160">
            <v>147</v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1</v>
          </cell>
          <cell r="BJ160">
            <v>0</v>
          </cell>
          <cell r="BK160">
            <v>0</v>
          </cell>
          <cell r="BO160" t="e">
            <v>#VALUE!</v>
          </cell>
          <cell r="BP160" t="e">
            <v>#VALUE!</v>
          </cell>
          <cell r="BQ160" t="e">
            <v>#VALUE!</v>
          </cell>
          <cell r="BR160" t="e">
            <v>#VALUE!</v>
          </cell>
          <cell r="BS160" t="e">
            <v>#VALUE!</v>
          </cell>
          <cell r="BT160">
            <v>0</v>
          </cell>
          <cell r="BU160" t="str">
            <v/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</row>
        <row r="161">
          <cell r="A161" t="str">
            <v>148Q1</v>
          </cell>
          <cell r="B161" t="str">
            <v>Q1</v>
          </cell>
          <cell r="C161">
            <v>148</v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1</v>
          </cell>
          <cell r="BJ161">
            <v>0</v>
          </cell>
          <cell r="BK161">
            <v>0</v>
          </cell>
          <cell r="BO161" t="e">
            <v>#VALUE!</v>
          </cell>
          <cell r="BP161" t="e">
            <v>#VALUE!</v>
          </cell>
          <cell r="BQ161" t="e">
            <v>#VALUE!</v>
          </cell>
          <cell r="BR161" t="e">
            <v>#VALUE!</v>
          </cell>
          <cell r="BS161" t="e">
            <v>#VALUE!</v>
          </cell>
          <cell r="BT161">
            <v>0</v>
          </cell>
          <cell r="BU161" t="str">
            <v/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</row>
        <row r="162">
          <cell r="A162" t="str">
            <v>149Q1</v>
          </cell>
          <cell r="B162" t="str">
            <v>Q1</v>
          </cell>
          <cell r="C162">
            <v>149</v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1</v>
          </cell>
          <cell r="BJ162">
            <v>0</v>
          </cell>
          <cell r="BK162">
            <v>0</v>
          </cell>
          <cell r="BO162" t="e">
            <v>#VALUE!</v>
          </cell>
          <cell r="BP162" t="e">
            <v>#VALUE!</v>
          </cell>
          <cell r="BQ162" t="e">
            <v>#VALUE!</v>
          </cell>
          <cell r="BR162" t="e">
            <v>#VALUE!</v>
          </cell>
          <cell r="BS162" t="e">
            <v>#VALUE!</v>
          </cell>
          <cell r="BT162">
            <v>0</v>
          </cell>
          <cell r="BU162" t="str">
            <v/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</row>
        <row r="163">
          <cell r="A163" t="str">
            <v>150Q1</v>
          </cell>
          <cell r="B163" t="str">
            <v>Q1</v>
          </cell>
          <cell r="C163">
            <v>150</v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1</v>
          </cell>
          <cell r="BJ163">
            <v>0</v>
          </cell>
          <cell r="BK163">
            <v>0</v>
          </cell>
          <cell r="BO163" t="e">
            <v>#VALUE!</v>
          </cell>
          <cell r="BP163" t="e">
            <v>#VALUE!</v>
          </cell>
          <cell r="BQ163" t="e">
            <v>#VALUE!</v>
          </cell>
          <cell r="BR163" t="e">
            <v>#VALUE!</v>
          </cell>
          <cell r="BS163" t="e">
            <v>#VALUE!</v>
          </cell>
          <cell r="BT163">
            <v>0</v>
          </cell>
          <cell r="BU163" t="str">
            <v/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</row>
        <row r="164">
          <cell r="A164" t="str">
            <v>151Q1</v>
          </cell>
          <cell r="B164" t="str">
            <v>Q1</v>
          </cell>
          <cell r="C164">
            <v>151</v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1</v>
          </cell>
          <cell r="BJ164">
            <v>0</v>
          </cell>
          <cell r="BK164">
            <v>0</v>
          </cell>
          <cell r="BO164" t="e">
            <v>#VALUE!</v>
          </cell>
          <cell r="BP164" t="e">
            <v>#VALUE!</v>
          </cell>
          <cell r="BQ164" t="e">
            <v>#VALUE!</v>
          </cell>
          <cell r="BR164" t="e">
            <v>#VALUE!</v>
          </cell>
          <cell r="BS164" t="e">
            <v>#VALUE!</v>
          </cell>
          <cell r="BT164">
            <v>0</v>
          </cell>
          <cell r="BU164" t="str">
            <v/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</row>
        <row r="165">
          <cell r="A165" t="str">
            <v>152Q1</v>
          </cell>
          <cell r="B165" t="str">
            <v>Q1</v>
          </cell>
          <cell r="C165">
            <v>152</v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1</v>
          </cell>
          <cell r="BJ165">
            <v>0</v>
          </cell>
          <cell r="BK165">
            <v>0</v>
          </cell>
          <cell r="BO165" t="e">
            <v>#VALUE!</v>
          </cell>
          <cell r="BP165" t="e">
            <v>#VALUE!</v>
          </cell>
          <cell r="BQ165" t="e">
            <v>#VALUE!</v>
          </cell>
          <cell r="BR165" t="e">
            <v>#VALUE!</v>
          </cell>
          <cell r="BS165" t="e">
            <v>#VALUE!</v>
          </cell>
          <cell r="BT165">
            <v>0</v>
          </cell>
          <cell r="BU165" t="str">
            <v/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</row>
        <row r="166">
          <cell r="A166" t="str">
            <v>153Q1</v>
          </cell>
          <cell r="B166" t="str">
            <v>Q1</v>
          </cell>
          <cell r="C166">
            <v>153</v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1</v>
          </cell>
          <cell r="BJ166">
            <v>0</v>
          </cell>
          <cell r="BK166">
            <v>0</v>
          </cell>
          <cell r="BO166" t="e">
            <v>#VALUE!</v>
          </cell>
          <cell r="BP166" t="e">
            <v>#VALUE!</v>
          </cell>
          <cell r="BQ166" t="e">
            <v>#VALUE!</v>
          </cell>
          <cell r="BR166" t="e">
            <v>#VALUE!</v>
          </cell>
          <cell r="BS166" t="e">
            <v>#VALUE!</v>
          </cell>
          <cell r="BT166">
            <v>0</v>
          </cell>
          <cell r="BU166" t="str">
            <v/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</row>
        <row r="167">
          <cell r="A167" t="str">
            <v>154Q1</v>
          </cell>
          <cell r="B167" t="str">
            <v>Q1</v>
          </cell>
          <cell r="C167">
            <v>154</v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1</v>
          </cell>
          <cell r="BJ167">
            <v>0</v>
          </cell>
          <cell r="BK167">
            <v>0</v>
          </cell>
          <cell r="BO167" t="e">
            <v>#VALUE!</v>
          </cell>
          <cell r="BP167" t="e">
            <v>#VALUE!</v>
          </cell>
          <cell r="BQ167" t="e">
            <v>#VALUE!</v>
          </cell>
          <cell r="BR167" t="e">
            <v>#VALUE!</v>
          </cell>
          <cell r="BS167" t="e">
            <v>#VALUE!</v>
          </cell>
          <cell r="BT167">
            <v>0</v>
          </cell>
          <cell r="BU167" t="str">
            <v/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</row>
        <row r="168">
          <cell r="A168" t="str">
            <v>155Q1</v>
          </cell>
          <cell r="B168" t="str">
            <v>Q1</v>
          </cell>
          <cell r="C168">
            <v>155</v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1</v>
          </cell>
          <cell r="BJ168">
            <v>0</v>
          </cell>
          <cell r="BK168">
            <v>0</v>
          </cell>
          <cell r="BO168" t="e">
            <v>#VALUE!</v>
          </cell>
          <cell r="BP168" t="e">
            <v>#VALUE!</v>
          </cell>
          <cell r="BQ168" t="e">
            <v>#VALUE!</v>
          </cell>
          <cell r="BR168" t="e">
            <v>#VALUE!</v>
          </cell>
          <cell r="BS168" t="e">
            <v>#VALUE!</v>
          </cell>
          <cell r="BT168">
            <v>0</v>
          </cell>
          <cell r="BU168" t="str">
            <v/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</row>
        <row r="169">
          <cell r="A169" t="str">
            <v>156Q1</v>
          </cell>
          <cell r="B169" t="str">
            <v>Q1</v>
          </cell>
          <cell r="C169">
            <v>156</v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1</v>
          </cell>
          <cell r="BJ169">
            <v>0</v>
          </cell>
          <cell r="BK169">
            <v>0</v>
          </cell>
          <cell r="BO169" t="e">
            <v>#VALUE!</v>
          </cell>
          <cell r="BP169" t="e">
            <v>#VALUE!</v>
          </cell>
          <cell r="BQ169" t="e">
            <v>#VALUE!</v>
          </cell>
          <cell r="BR169" t="e">
            <v>#VALUE!</v>
          </cell>
          <cell r="BS169" t="e">
            <v>#VALUE!</v>
          </cell>
          <cell r="BT169">
            <v>0</v>
          </cell>
          <cell r="BU169" t="str">
            <v/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</row>
        <row r="170">
          <cell r="A170" t="str">
            <v>157Q1</v>
          </cell>
          <cell r="B170" t="str">
            <v>Q1</v>
          </cell>
          <cell r="C170">
            <v>157</v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1</v>
          </cell>
          <cell r="BJ170">
            <v>0</v>
          </cell>
          <cell r="BK170">
            <v>0</v>
          </cell>
          <cell r="BO170" t="e">
            <v>#VALUE!</v>
          </cell>
          <cell r="BP170" t="e">
            <v>#VALUE!</v>
          </cell>
          <cell r="BQ170" t="e">
            <v>#VALUE!</v>
          </cell>
          <cell r="BR170" t="e">
            <v>#VALUE!</v>
          </cell>
          <cell r="BS170" t="e">
            <v>#VALUE!</v>
          </cell>
          <cell r="BT170">
            <v>0</v>
          </cell>
          <cell r="BU170" t="str">
            <v/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</row>
        <row r="171">
          <cell r="A171" t="str">
            <v>158Q1</v>
          </cell>
          <cell r="B171" t="str">
            <v>Q1</v>
          </cell>
          <cell r="C171">
            <v>158</v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1</v>
          </cell>
          <cell r="BJ171">
            <v>0</v>
          </cell>
          <cell r="BK171">
            <v>0</v>
          </cell>
          <cell r="BO171" t="e">
            <v>#VALUE!</v>
          </cell>
          <cell r="BP171" t="e">
            <v>#VALUE!</v>
          </cell>
          <cell r="BQ171" t="e">
            <v>#VALUE!</v>
          </cell>
          <cell r="BR171" t="e">
            <v>#VALUE!</v>
          </cell>
          <cell r="BS171" t="e">
            <v>#VALUE!</v>
          </cell>
          <cell r="BT171">
            <v>0</v>
          </cell>
          <cell r="BU171" t="str">
            <v/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</row>
        <row r="172">
          <cell r="A172" t="str">
            <v>159Q1</v>
          </cell>
          <cell r="B172" t="str">
            <v>Q1</v>
          </cell>
          <cell r="C172">
            <v>159</v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1</v>
          </cell>
          <cell r="BJ172">
            <v>0</v>
          </cell>
          <cell r="BK172">
            <v>0</v>
          </cell>
          <cell r="BO172" t="e">
            <v>#VALUE!</v>
          </cell>
          <cell r="BP172" t="e">
            <v>#VALUE!</v>
          </cell>
          <cell r="BQ172" t="e">
            <v>#VALUE!</v>
          </cell>
          <cell r="BR172" t="e">
            <v>#VALUE!</v>
          </cell>
          <cell r="BS172" t="e">
            <v>#VALUE!</v>
          </cell>
          <cell r="BT172">
            <v>0</v>
          </cell>
          <cell r="BU172" t="str">
            <v/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</row>
        <row r="173">
          <cell r="A173" t="str">
            <v>160Q1</v>
          </cell>
          <cell r="B173" t="str">
            <v>Q1</v>
          </cell>
          <cell r="C173">
            <v>160</v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1</v>
          </cell>
          <cell r="BJ173">
            <v>0</v>
          </cell>
          <cell r="BK173">
            <v>0</v>
          </cell>
          <cell r="BO173" t="e">
            <v>#VALUE!</v>
          </cell>
          <cell r="BP173" t="e">
            <v>#VALUE!</v>
          </cell>
          <cell r="BQ173" t="e">
            <v>#VALUE!</v>
          </cell>
          <cell r="BR173" t="e">
            <v>#VALUE!</v>
          </cell>
          <cell r="BS173" t="e">
            <v>#VALUE!</v>
          </cell>
          <cell r="BT173">
            <v>0</v>
          </cell>
          <cell r="BU173" t="str">
            <v/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</row>
        <row r="174">
          <cell r="A174" t="str">
            <v>161Q1</v>
          </cell>
          <cell r="B174" t="str">
            <v>Q1</v>
          </cell>
          <cell r="C174">
            <v>161</v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1</v>
          </cell>
          <cell r="BJ174">
            <v>0</v>
          </cell>
          <cell r="BK174">
            <v>0</v>
          </cell>
          <cell r="BO174" t="e">
            <v>#VALUE!</v>
          </cell>
          <cell r="BP174" t="e">
            <v>#VALUE!</v>
          </cell>
          <cell r="BQ174" t="e">
            <v>#VALUE!</v>
          </cell>
          <cell r="BR174" t="e">
            <v>#VALUE!</v>
          </cell>
          <cell r="BS174" t="e">
            <v>#VALUE!</v>
          </cell>
          <cell r="BT174">
            <v>0</v>
          </cell>
          <cell r="BU174" t="str">
            <v/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</row>
        <row r="175">
          <cell r="A175" t="str">
            <v>162Q1</v>
          </cell>
          <cell r="B175" t="str">
            <v>Q1</v>
          </cell>
          <cell r="C175">
            <v>162</v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1</v>
          </cell>
          <cell r="BJ175">
            <v>0</v>
          </cell>
          <cell r="BK175">
            <v>0</v>
          </cell>
          <cell r="BO175" t="e">
            <v>#VALUE!</v>
          </cell>
          <cell r="BP175" t="e">
            <v>#VALUE!</v>
          </cell>
          <cell r="BQ175" t="e">
            <v>#VALUE!</v>
          </cell>
          <cell r="BR175" t="e">
            <v>#VALUE!</v>
          </cell>
          <cell r="BS175" t="e">
            <v>#VALUE!</v>
          </cell>
          <cell r="BT175">
            <v>0</v>
          </cell>
          <cell r="BU175" t="str">
            <v/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</row>
        <row r="176">
          <cell r="A176" t="str">
            <v>163Q1</v>
          </cell>
          <cell r="B176" t="str">
            <v>Q1</v>
          </cell>
          <cell r="C176">
            <v>163</v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1</v>
          </cell>
          <cell r="BJ176">
            <v>0</v>
          </cell>
          <cell r="BK176">
            <v>0</v>
          </cell>
          <cell r="BO176" t="e">
            <v>#VALUE!</v>
          </cell>
          <cell r="BP176" t="e">
            <v>#VALUE!</v>
          </cell>
          <cell r="BQ176" t="e">
            <v>#VALUE!</v>
          </cell>
          <cell r="BR176" t="e">
            <v>#VALUE!</v>
          </cell>
          <cell r="BS176" t="e">
            <v>#VALUE!</v>
          </cell>
          <cell r="BT176">
            <v>0</v>
          </cell>
          <cell r="BU176" t="str">
            <v/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</row>
        <row r="177">
          <cell r="A177" t="str">
            <v>164Q1</v>
          </cell>
          <cell r="B177" t="str">
            <v>Q1</v>
          </cell>
          <cell r="C177">
            <v>164</v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1</v>
          </cell>
          <cell r="BJ177">
            <v>0</v>
          </cell>
          <cell r="BK177">
            <v>0</v>
          </cell>
          <cell r="BO177" t="e">
            <v>#VALUE!</v>
          </cell>
          <cell r="BP177" t="e">
            <v>#VALUE!</v>
          </cell>
          <cell r="BQ177" t="e">
            <v>#VALUE!</v>
          </cell>
          <cell r="BR177" t="e">
            <v>#VALUE!</v>
          </cell>
          <cell r="BS177" t="e">
            <v>#VALUE!</v>
          </cell>
          <cell r="BT177">
            <v>0</v>
          </cell>
          <cell r="BU177" t="str">
            <v/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</row>
        <row r="178">
          <cell r="A178" t="str">
            <v>165Q1</v>
          </cell>
          <cell r="B178" t="str">
            <v>Q1</v>
          </cell>
          <cell r="C178">
            <v>165</v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1</v>
          </cell>
          <cell r="BJ178">
            <v>0</v>
          </cell>
          <cell r="BK178">
            <v>0</v>
          </cell>
          <cell r="BO178" t="e">
            <v>#VALUE!</v>
          </cell>
          <cell r="BP178" t="e">
            <v>#VALUE!</v>
          </cell>
          <cell r="BQ178" t="e">
            <v>#VALUE!</v>
          </cell>
          <cell r="BR178" t="e">
            <v>#VALUE!</v>
          </cell>
          <cell r="BS178" t="e">
            <v>#VALUE!</v>
          </cell>
          <cell r="BT178">
            <v>0</v>
          </cell>
          <cell r="BU178" t="str">
            <v/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</row>
        <row r="179">
          <cell r="A179" t="str">
            <v>166Q1</v>
          </cell>
          <cell r="B179" t="str">
            <v>Q1</v>
          </cell>
          <cell r="C179">
            <v>166</v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1</v>
          </cell>
          <cell r="BJ179">
            <v>0</v>
          </cell>
          <cell r="BK179">
            <v>0</v>
          </cell>
          <cell r="BO179" t="e">
            <v>#VALUE!</v>
          </cell>
          <cell r="BP179" t="e">
            <v>#VALUE!</v>
          </cell>
          <cell r="BQ179" t="e">
            <v>#VALUE!</v>
          </cell>
          <cell r="BR179" t="e">
            <v>#VALUE!</v>
          </cell>
          <cell r="BS179" t="e">
            <v>#VALUE!</v>
          </cell>
          <cell r="BT179">
            <v>0</v>
          </cell>
          <cell r="BU179" t="str">
            <v/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</row>
        <row r="180">
          <cell r="A180" t="str">
            <v>167Q1</v>
          </cell>
          <cell r="B180" t="str">
            <v>Q1</v>
          </cell>
          <cell r="C180">
            <v>167</v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1</v>
          </cell>
          <cell r="BJ180">
            <v>0</v>
          </cell>
          <cell r="BK180">
            <v>0</v>
          </cell>
          <cell r="BO180" t="e">
            <v>#VALUE!</v>
          </cell>
          <cell r="BP180" t="e">
            <v>#VALUE!</v>
          </cell>
          <cell r="BQ180" t="e">
            <v>#VALUE!</v>
          </cell>
          <cell r="BR180" t="e">
            <v>#VALUE!</v>
          </cell>
          <cell r="BS180" t="e">
            <v>#VALUE!</v>
          </cell>
          <cell r="BT180">
            <v>0</v>
          </cell>
          <cell r="BU180" t="str">
            <v/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</row>
        <row r="181">
          <cell r="A181" t="str">
            <v>168Q1</v>
          </cell>
          <cell r="B181" t="str">
            <v>Q1</v>
          </cell>
          <cell r="C181">
            <v>168</v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1</v>
          </cell>
          <cell r="BJ181">
            <v>0</v>
          </cell>
          <cell r="BK181">
            <v>0</v>
          </cell>
          <cell r="BO181" t="e">
            <v>#VALUE!</v>
          </cell>
          <cell r="BP181" t="e">
            <v>#VALUE!</v>
          </cell>
          <cell r="BQ181" t="e">
            <v>#VALUE!</v>
          </cell>
          <cell r="BR181" t="e">
            <v>#VALUE!</v>
          </cell>
          <cell r="BS181" t="e">
            <v>#VALUE!</v>
          </cell>
          <cell r="BT181">
            <v>0</v>
          </cell>
          <cell r="BU181" t="str">
            <v/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</row>
        <row r="182">
          <cell r="A182" t="str">
            <v>169Q1</v>
          </cell>
          <cell r="B182" t="str">
            <v>Q1</v>
          </cell>
          <cell r="C182">
            <v>169</v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1</v>
          </cell>
          <cell r="BJ182">
            <v>0</v>
          </cell>
          <cell r="BK182">
            <v>0</v>
          </cell>
          <cell r="BO182" t="e">
            <v>#VALUE!</v>
          </cell>
          <cell r="BP182" t="e">
            <v>#VALUE!</v>
          </cell>
          <cell r="BQ182" t="e">
            <v>#VALUE!</v>
          </cell>
          <cell r="BR182" t="e">
            <v>#VALUE!</v>
          </cell>
          <cell r="BS182" t="e">
            <v>#VALUE!</v>
          </cell>
          <cell r="BT182">
            <v>0</v>
          </cell>
          <cell r="BU182" t="str">
            <v/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</row>
        <row r="183">
          <cell r="A183" t="str">
            <v>170Q1</v>
          </cell>
          <cell r="B183" t="str">
            <v>Q1</v>
          </cell>
          <cell r="C183">
            <v>170</v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1</v>
          </cell>
          <cell r="BJ183">
            <v>0</v>
          </cell>
          <cell r="BK183">
            <v>0</v>
          </cell>
          <cell r="BO183" t="e">
            <v>#VALUE!</v>
          </cell>
          <cell r="BP183" t="e">
            <v>#VALUE!</v>
          </cell>
          <cell r="BQ183" t="e">
            <v>#VALUE!</v>
          </cell>
          <cell r="BR183" t="e">
            <v>#VALUE!</v>
          </cell>
          <cell r="BS183" t="e">
            <v>#VALUE!</v>
          </cell>
          <cell r="BT183">
            <v>0</v>
          </cell>
          <cell r="BU183" t="str">
            <v/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</row>
        <row r="184">
          <cell r="A184" t="str">
            <v>171Q1</v>
          </cell>
          <cell r="B184" t="str">
            <v>Q1</v>
          </cell>
          <cell r="C184">
            <v>171</v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1</v>
          </cell>
          <cell r="BJ184">
            <v>0</v>
          </cell>
          <cell r="BK184">
            <v>0</v>
          </cell>
          <cell r="BO184" t="e">
            <v>#VALUE!</v>
          </cell>
          <cell r="BP184" t="e">
            <v>#VALUE!</v>
          </cell>
          <cell r="BQ184" t="e">
            <v>#VALUE!</v>
          </cell>
          <cell r="BR184" t="e">
            <v>#VALUE!</v>
          </cell>
          <cell r="BS184" t="e">
            <v>#VALUE!</v>
          </cell>
          <cell r="BT184">
            <v>0</v>
          </cell>
          <cell r="BU184" t="str">
            <v/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</row>
        <row r="185">
          <cell r="A185" t="str">
            <v>172Q1</v>
          </cell>
          <cell r="B185" t="str">
            <v>Q1</v>
          </cell>
          <cell r="C185">
            <v>172</v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1</v>
          </cell>
          <cell r="BJ185">
            <v>0</v>
          </cell>
          <cell r="BK185">
            <v>0</v>
          </cell>
          <cell r="BO185" t="e">
            <v>#VALUE!</v>
          </cell>
          <cell r="BP185" t="e">
            <v>#VALUE!</v>
          </cell>
          <cell r="BQ185" t="e">
            <v>#VALUE!</v>
          </cell>
          <cell r="BR185" t="e">
            <v>#VALUE!</v>
          </cell>
          <cell r="BS185" t="e">
            <v>#VALUE!</v>
          </cell>
          <cell r="BT185">
            <v>0</v>
          </cell>
          <cell r="BU185" t="str">
            <v/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</row>
        <row r="186">
          <cell r="A186" t="str">
            <v>173Q1</v>
          </cell>
          <cell r="B186" t="str">
            <v>Q1</v>
          </cell>
          <cell r="C186">
            <v>173</v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1</v>
          </cell>
          <cell r="BJ186">
            <v>0</v>
          </cell>
          <cell r="BK186">
            <v>0</v>
          </cell>
          <cell r="BO186" t="e">
            <v>#VALUE!</v>
          </cell>
          <cell r="BP186" t="e">
            <v>#VALUE!</v>
          </cell>
          <cell r="BQ186" t="e">
            <v>#VALUE!</v>
          </cell>
          <cell r="BR186" t="e">
            <v>#VALUE!</v>
          </cell>
          <cell r="BS186" t="e">
            <v>#VALUE!</v>
          </cell>
          <cell r="BT186">
            <v>0</v>
          </cell>
          <cell r="BU186" t="str">
            <v/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</row>
        <row r="187">
          <cell r="A187" t="str">
            <v>174Q1</v>
          </cell>
          <cell r="B187" t="str">
            <v>Q1</v>
          </cell>
          <cell r="C187">
            <v>174</v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1</v>
          </cell>
          <cell r="BJ187">
            <v>0</v>
          </cell>
          <cell r="BK187">
            <v>0</v>
          </cell>
          <cell r="BO187" t="e">
            <v>#VALUE!</v>
          </cell>
          <cell r="BP187" t="e">
            <v>#VALUE!</v>
          </cell>
          <cell r="BQ187" t="e">
            <v>#VALUE!</v>
          </cell>
          <cell r="BR187" t="e">
            <v>#VALUE!</v>
          </cell>
          <cell r="BS187" t="e">
            <v>#VALUE!</v>
          </cell>
          <cell r="BT187">
            <v>0</v>
          </cell>
          <cell r="BU187" t="str">
            <v/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</row>
        <row r="188">
          <cell r="A188" t="str">
            <v>175Q1</v>
          </cell>
          <cell r="B188" t="str">
            <v>Q1</v>
          </cell>
          <cell r="C188">
            <v>175</v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1</v>
          </cell>
          <cell r="BJ188">
            <v>0</v>
          </cell>
          <cell r="BK188">
            <v>0</v>
          </cell>
          <cell r="BO188" t="e">
            <v>#VALUE!</v>
          </cell>
          <cell r="BP188" t="e">
            <v>#VALUE!</v>
          </cell>
          <cell r="BQ188" t="e">
            <v>#VALUE!</v>
          </cell>
          <cell r="BR188" t="e">
            <v>#VALUE!</v>
          </cell>
          <cell r="BS188" t="e">
            <v>#VALUE!</v>
          </cell>
          <cell r="BT188">
            <v>0</v>
          </cell>
          <cell r="BU188" t="str">
            <v/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</row>
        <row r="189">
          <cell r="A189" t="str">
            <v>176Q1</v>
          </cell>
          <cell r="B189" t="str">
            <v>Q1</v>
          </cell>
          <cell r="C189">
            <v>176</v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1</v>
          </cell>
          <cell r="BJ189">
            <v>0</v>
          </cell>
          <cell r="BK189">
            <v>0</v>
          </cell>
          <cell r="BO189" t="e">
            <v>#VALUE!</v>
          </cell>
          <cell r="BP189" t="e">
            <v>#VALUE!</v>
          </cell>
          <cell r="BQ189" t="e">
            <v>#VALUE!</v>
          </cell>
          <cell r="BR189" t="e">
            <v>#VALUE!</v>
          </cell>
          <cell r="BS189" t="e">
            <v>#VALUE!</v>
          </cell>
          <cell r="BT189">
            <v>0</v>
          </cell>
          <cell r="BU189" t="str">
            <v/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</row>
        <row r="190">
          <cell r="A190" t="str">
            <v>177Q1</v>
          </cell>
          <cell r="B190" t="str">
            <v>Q1</v>
          </cell>
          <cell r="C190">
            <v>177</v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1</v>
          </cell>
          <cell r="BJ190">
            <v>0</v>
          </cell>
          <cell r="BK190">
            <v>0</v>
          </cell>
          <cell r="BO190" t="e">
            <v>#VALUE!</v>
          </cell>
          <cell r="BP190" t="e">
            <v>#VALUE!</v>
          </cell>
          <cell r="BQ190" t="e">
            <v>#VALUE!</v>
          </cell>
          <cell r="BR190" t="e">
            <v>#VALUE!</v>
          </cell>
          <cell r="BS190" t="e">
            <v>#VALUE!</v>
          </cell>
          <cell r="BT190">
            <v>0</v>
          </cell>
          <cell r="BU190" t="str">
            <v/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</row>
        <row r="191">
          <cell r="A191" t="str">
            <v>178Q1</v>
          </cell>
          <cell r="B191" t="str">
            <v>Q1</v>
          </cell>
          <cell r="C191">
            <v>178</v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1</v>
          </cell>
          <cell r="BJ191">
            <v>0</v>
          </cell>
          <cell r="BK191">
            <v>0</v>
          </cell>
          <cell r="BO191" t="e">
            <v>#VALUE!</v>
          </cell>
          <cell r="BP191" t="e">
            <v>#VALUE!</v>
          </cell>
          <cell r="BQ191" t="e">
            <v>#VALUE!</v>
          </cell>
          <cell r="BR191" t="e">
            <v>#VALUE!</v>
          </cell>
          <cell r="BS191" t="e">
            <v>#VALUE!</v>
          </cell>
          <cell r="BT191">
            <v>0</v>
          </cell>
          <cell r="BU191" t="str">
            <v/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</row>
        <row r="192">
          <cell r="A192" t="str">
            <v>179Q1</v>
          </cell>
          <cell r="B192" t="str">
            <v>Q1</v>
          </cell>
          <cell r="C192">
            <v>179</v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1</v>
          </cell>
          <cell r="BJ192">
            <v>0</v>
          </cell>
          <cell r="BK192">
            <v>0</v>
          </cell>
          <cell r="BO192" t="e">
            <v>#VALUE!</v>
          </cell>
          <cell r="BP192" t="e">
            <v>#VALUE!</v>
          </cell>
          <cell r="BQ192" t="e">
            <v>#VALUE!</v>
          </cell>
          <cell r="BR192" t="e">
            <v>#VALUE!</v>
          </cell>
          <cell r="BS192" t="e">
            <v>#VALUE!</v>
          </cell>
          <cell r="BT192">
            <v>0</v>
          </cell>
          <cell r="BU192" t="str">
            <v/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</row>
        <row r="193">
          <cell r="A193" t="str">
            <v>180Q1</v>
          </cell>
          <cell r="B193" t="str">
            <v>Q1</v>
          </cell>
          <cell r="C193">
            <v>180</v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1</v>
          </cell>
          <cell r="BJ193">
            <v>0</v>
          </cell>
          <cell r="BK193">
            <v>0</v>
          </cell>
          <cell r="BO193" t="e">
            <v>#VALUE!</v>
          </cell>
          <cell r="BP193" t="e">
            <v>#VALUE!</v>
          </cell>
          <cell r="BQ193" t="e">
            <v>#VALUE!</v>
          </cell>
          <cell r="BR193" t="e">
            <v>#VALUE!</v>
          </cell>
          <cell r="BS193" t="e">
            <v>#VALUE!</v>
          </cell>
          <cell r="BT193">
            <v>0</v>
          </cell>
          <cell r="BU193" t="str">
            <v/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</row>
        <row r="194">
          <cell r="A194" t="str">
            <v>181Q1</v>
          </cell>
          <cell r="B194" t="str">
            <v>Q1</v>
          </cell>
          <cell r="C194">
            <v>181</v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1</v>
          </cell>
          <cell r="BJ194">
            <v>0</v>
          </cell>
          <cell r="BK194">
            <v>0</v>
          </cell>
          <cell r="BO194" t="e">
            <v>#VALUE!</v>
          </cell>
          <cell r="BP194" t="e">
            <v>#VALUE!</v>
          </cell>
          <cell r="BQ194" t="e">
            <v>#VALUE!</v>
          </cell>
          <cell r="BR194" t="e">
            <v>#VALUE!</v>
          </cell>
          <cell r="BS194" t="e">
            <v>#VALUE!</v>
          </cell>
          <cell r="BT194">
            <v>0</v>
          </cell>
          <cell r="BU194" t="str">
            <v/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</row>
        <row r="195">
          <cell r="A195" t="str">
            <v>182Q1</v>
          </cell>
          <cell r="B195" t="str">
            <v>Q1</v>
          </cell>
          <cell r="C195">
            <v>182</v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1</v>
          </cell>
          <cell r="BJ195">
            <v>0</v>
          </cell>
          <cell r="BK195">
            <v>0</v>
          </cell>
          <cell r="BO195" t="e">
            <v>#VALUE!</v>
          </cell>
          <cell r="BP195" t="e">
            <v>#VALUE!</v>
          </cell>
          <cell r="BQ195" t="e">
            <v>#VALUE!</v>
          </cell>
          <cell r="BR195" t="e">
            <v>#VALUE!</v>
          </cell>
          <cell r="BS195" t="e">
            <v>#VALUE!</v>
          </cell>
          <cell r="BT195">
            <v>0</v>
          </cell>
          <cell r="BU195" t="str">
            <v/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</row>
        <row r="196">
          <cell r="A196" t="str">
            <v>183Q1</v>
          </cell>
          <cell r="B196" t="str">
            <v>Q1</v>
          </cell>
          <cell r="C196">
            <v>183</v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1</v>
          </cell>
          <cell r="BJ196">
            <v>0</v>
          </cell>
          <cell r="BK196">
            <v>0</v>
          </cell>
          <cell r="BO196" t="e">
            <v>#VALUE!</v>
          </cell>
          <cell r="BP196" t="e">
            <v>#VALUE!</v>
          </cell>
          <cell r="BQ196" t="e">
            <v>#VALUE!</v>
          </cell>
          <cell r="BR196" t="e">
            <v>#VALUE!</v>
          </cell>
          <cell r="BS196" t="e">
            <v>#VALUE!</v>
          </cell>
          <cell r="BT196">
            <v>0</v>
          </cell>
          <cell r="BU196" t="str">
            <v/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</row>
        <row r="197">
          <cell r="A197" t="str">
            <v>184Q1</v>
          </cell>
          <cell r="B197" t="str">
            <v>Q1</v>
          </cell>
          <cell r="C197">
            <v>184</v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1</v>
          </cell>
          <cell r="BJ197">
            <v>0</v>
          </cell>
          <cell r="BK197">
            <v>0</v>
          </cell>
          <cell r="BO197" t="e">
            <v>#VALUE!</v>
          </cell>
          <cell r="BP197" t="e">
            <v>#VALUE!</v>
          </cell>
          <cell r="BQ197" t="e">
            <v>#VALUE!</v>
          </cell>
          <cell r="BR197" t="e">
            <v>#VALUE!</v>
          </cell>
          <cell r="BS197" t="e">
            <v>#VALUE!</v>
          </cell>
          <cell r="BT197">
            <v>0</v>
          </cell>
          <cell r="BU197" t="str">
            <v/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</row>
        <row r="198">
          <cell r="A198" t="str">
            <v>185Q1</v>
          </cell>
          <cell r="B198" t="str">
            <v>Q1</v>
          </cell>
          <cell r="C198">
            <v>185</v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1</v>
          </cell>
          <cell r="BJ198">
            <v>0</v>
          </cell>
          <cell r="BK198">
            <v>0</v>
          </cell>
          <cell r="BO198" t="e">
            <v>#VALUE!</v>
          </cell>
          <cell r="BP198" t="e">
            <v>#VALUE!</v>
          </cell>
          <cell r="BQ198" t="e">
            <v>#VALUE!</v>
          </cell>
          <cell r="BR198" t="e">
            <v>#VALUE!</v>
          </cell>
          <cell r="BS198" t="e">
            <v>#VALUE!</v>
          </cell>
          <cell r="BT198">
            <v>0</v>
          </cell>
          <cell r="BU198" t="str">
            <v/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</row>
        <row r="199">
          <cell r="A199" t="str">
            <v>186Q1</v>
          </cell>
          <cell r="B199" t="str">
            <v>Q1</v>
          </cell>
          <cell r="C199">
            <v>186</v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1</v>
          </cell>
          <cell r="BJ199">
            <v>0</v>
          </cell>
          <cell r="BK199">
            <v>0</v>
          </cell>
          <cell r="BO199" t="e">
            <v>#VALUE!</v>
          </cell>
          <cell r="BP199" t="e">
            <v>#VALUE!</v>
          </cell>
          <cell r="BQ199" t="e">
            <v>#VALUE!</v>
          </cell>
          <cell r="BR199" t="e">
            <v>#VALUE!</v>
          </cell>
          <cell r="BS199" t="e">
            <v>#VALUE!</v>
          </cell>
          <cell r="BT199">
            <v>0</v>
          </cell>
          <cell r="BU199" t="str">
            <v/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</row>
        <row r="200">
          <cell r="A200" t="str">
            <v>187Q1</v>
          </cell>
          <cell r="B200" t="str">
            <v>Q1</v>
          </cell>
          <cell r="C200">
            <v>187</v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1</v>
          </cell>
          <cell r="BJ200">
            <v>0</v>
          </cell>
          <cell r="BK200">
            <v>0</v>
          </cell>
          <cell r="BO200" t="e">
            <v>#VALUE!</v>
          </cell>
          <cell r="BP200" t="e">
            <v>#VALUE!</v>
          </cell>
          <cell r="BQ200" t="e">
            <v>#VALUE!</v>
          </cell>
          <cell r="BR200" t="e">
            <v>#VALUE!</v>
          </cell>
          <cell r="BS200" t="e">
            <v>#VALUE!</v>
          </cell>
          <cell r="BT200">
            <v>0</v>
          </cell>
          <cell r="BU200" t="str">
            <v/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</row>
        <row r="201">
          <cell r="A201" t="str">
            <v>188Q1</v>
          </cell>
          <cell r="B201" t="str">
            <v>Q1</v>
          </cell>
          <cell r="C201">
            <v>188</v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1</v>
          </cell>
          <cell r="BJ201">
            <v>0</v>
          </cell>
          <cell r="BK201">
            <v>0</v>
          </cell>
          <cell r="BO201" t="e">
            <v>#VALUE!</v>
          </cell>
          <cell r="BP201" t="e">
            <v>#VALUE!</v>
          </cell>
          <cell r="BQ201" t="e">
            <v>#VALUE!</v>
          </cell>
          <cell r="BR201" t="e">
            <v>#VALUE!</v>
          </cell>
          <cell r="BS201" t="e">
            <v>#VALUE!</v>
          </cell>
          <cell r="BT201">
            <v>0</v>
          </cell>
          <cell r="BU201" t="str">
            <v/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</row>
        <row r="202">
          <cell r="A202" t="str">
            <v>189Q1</v>
          </cell>
          <cell r="B202" t="str">
            <v>Q1</v>
          </cell>
          <cell r="C202">
            <v>189</v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1</v>
          </cell>
          <cell r="BJ202">
            <v>0</v>
          </cell>
          <cell r="BK202">
            <v>0</v>
          </cell>
          <cell r="BO202" t="e">
            <v>#VALUE!</v>
          </cell>
          <cell r="BP202" t="e">
            <v>#VALUE!</v>
          </cell>
          <cell r="BQ202" t="e">
            <v>#VALUE!</v>
          </cell>
          <cell r="BR202" t="e">
            <v>#VALUE!</v>
          </cell>
          <cell r="BS202" t="e">
            <v>#VALUE!</v>
          </cell>
          <cell r="BT202">
            <v>0</v>
          </cell>
          <cell r="BU202" t="str">
            <v/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</row>
        <row r="203">
          <cell r="A203" t="str">
            <v>190Q1</v>
          </cell>
          <cell r="B203" t="str">
            <v>Q1</v>
          </cell>
          <cell r="C203">
            <v>190</v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1</v>
          </cell>
          <cell r="BJ203">
            <v>0</v>
          </cell>
          <cell r="BK203">
            <v>0</v>
          </cell>
          <cell r="BO203" t="e">
            <v>#VALUE!</v>
          </cell>
          <cell r="BP203" t="e">
            <v>#VALUE!</v>
          </cell>
          <cell r="BQ203" t="e">
            <v>#VALUE!</v>
          </cell>
          <cell r="BR203" t="e">
            <v>#VALUE!</v>
          </cell>
          <cell r="BS203" t="e">
            <v>#VALUE!</v>
          </cell>
          <cell r="BT203">
            <v>0</v>
          </cell>
          <cell r="BU203" t="str">
            <v/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</row>
        <row r="204">
          <cell r="A204" t="str">
            <v>191Q1</v>
          </cell>
          <cell r="B204" t="str">
            <v>Q1</v>
          </cell>
          <cell r="C204">
            <v>191</v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1</v>
          </cell>
          <cell r="BJ204">
            <v>0</v>
          </cell>
          <cell r="BK204">
            <v>0</v>
          </cell>
          <cell r="BO204" t="e">
            <v>#VALUE!</v>
          </cell>
          <cell r="BP204" t="e">
            <v>#VALUE!</v>
          </cell>
          <cell r="BQ204" t="e">
            <v>#VALUE!</v>
          </cell>
          <cell r="BR204" t="e">
            <v>#VALUE!</v>
          </cell>
          <cell r="BS204" t="e">
            <v>#VALUE!</v>
          </cell>
          <cell r="BT204">
            <v>0</v>
          </cell>
          <cell r="BU204" t="str">
            <v/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</row>
        <row r="205">
          <cell r="A205" t="str">
            <v>192Q1</v>
          </cell>
          <cell r="B205" t="str">
            <v>Q1</v>
          </cell>
          <cell r="C205">
            <v>192</v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1</v>
          </cell>
          <cell r="BJ205">
            <v>0</v>
          </cell>
          <cell r="BK205">
            <v>0</v>
          </cell>
          <cell r="BO205" t="e">
            <v>#VALUE!</v>
          </cell>
          <cell r="BP205" t="e">
            <v>#VALUE!</v>
          </cell>
          <cell r="BQ205" t="e">
            <v>#VALUE!</v>
          </cell>
          <cell r="BR205" t="e">
            <v>#VALUE!</v>
          </cell>
          <cell r="BS205" t="e">
            <v>#VALUE!</v>
          </cell>
          <cell r="BT205">
            <v>0</v>
          </cell>
          <cell r="BU205" t="str">
            <v/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</row>
        <row r="206">
          <cell r="A206" t="str">
            <v>193Q1</v>
          </cell>
          <cell r="B206" t="str">
            <v>Q1</v>
          </cell>
          <cell r="C206">
            <v>193</v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1</v>
          </cell>
          <cell r="BJ206">
            <v>0</v>
          </cell>
          <cell r="BK206">
            <v>0</v>
          </cell>
          <cell r="BO206" t="e">
            <v>#VALUE!</v>
          </cell>
          <cell r="BP206" t="e">
            <v>#VALUE!</v>
          </cell>
          <cell r="BQ206" t="e">
            <v>#VALUE!</v>
          </cell>
          <cell r="BR206" t="e">
            <v>#VALUE!</v>
          </cell>
          <cell r="BS206" t="e">
            <v>#VALUE!</v>
          </cell>
          <cell r="BT206">
            <v>0</v>
          </cell>
          <cell r="BU206" t="str">
            <v/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</row>
        <row r="207">
          <cell r="A207" t="str">
            <v>194Q1</v>
          </cell>
          <cell r="B207" t="str">
            <v>Q1</v>
          </cell>
          <cell r="C207">
            <v>194</v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1</v>
          </cell>
          <cell r="BJ207">
            <v>0</v>
          </cell>
          <cell r="BK207">
            <v>0</v>
          </cell>
          <cell r="BO207" t="e">
            <v>#VALUE!</v>
          </cell>
          <cell r="BP207" t="e">
            <v>#VALUE!</v>
          </cell>
          <cell r="BQ207" t="e">
            <v>#VALUE!</v>
          </cell>
          <cell r="BR207" t="e">
            <v>#VALUE!</v>
          </cell>
          <cell r="BS207" t="e">
            <v>#VALUE!</v>
          </cell>
          <cell r="BT207">
            <v>0</v>
          </cell>
          <cell r="BU207" t="str">
            <v/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</row>
        <row r="208">
          <cell r="A208" t="str">
            <v>195Q1</v>
          </cell>
          <cell r="B208" t="str">
            <v>Q1</v>
          </cell>
          <cell r="C208">
            <v>195</v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1</v>
          </cell>
          <cell r="BJ208">
            <v>0</v>
          </cell>
          <cell r="BK208">
            <v>0</v>
          </cell>
          <cell r="BO208" t="e">
            <v>#VALUE!</v>
          </cell>
          <cell r="BP208" t="e">
            <v>#VALUE!</v>
          </cell>
          <cell r="BQ208" t="e">
            <v>#VALUE!</v>
          </cell>
          <cell r="BR208" t="e">
            <v>#VALUE!</v>
          </cell>
          <cell r="BS208" t="e">
            <v>#VALUE!</v>
          </cell>
          <cell r="BT208">
            <v>0</v>
          </cell>
          <cell r="BU208" t="str">
            <v/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</row>
        <row r="209">
          <cell r="A209" t="str">
            <v>196Q1</v>
          </cell>
          <cell r="B209" t="str">
            <v>Q1</v>
          </cell>
          <cell r="C209">
            <v>196</v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1</v>
          </cell>
          <cell r="BJ209">
            <v>0</v>
          </cell>
          <cell r="BK209">
            <v>0</v>
          </cell>
          <cell r="BO209" t="e">
            <v>#VALUE!</v>
          </cell>
          <cell r="BP209" t="e">
            <v>#VALUE!</v>
          </cell>
          <cell r="BQ209" t="e">
            <v>#VALUE!</v>
          </cell>
          <cell r="BR209" t="e">
            <v>#VALUE!</v>
          </cell>
          <cell r="BS209" t="e">
            <v>#VALUE!</v>
          </cell>
          <cell r="BT209">
            <v>0</v>
          </cell>
          <cell r="BU209" t="str">
            <v/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</row>
        <row r="210">
          <cell r="A210" t="str">
            <v>197Q1</v>
          </cell>
          <cell r="B210" t="str">
            <v>Q1</v>
          </cell>
          <cell r="C210">
            <v>197</v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1</v>
          </cell>
          <cell r="BJ210">
            <v>0</v>
          </cell>
          <cell r="BK210">
            <v>0</v>
          </cell>
          <cell r="BO210" t="e">
            <v>#VALUE!</v>
          </cell>
          <cell r="BP210" t="e">
            <v>#VALUE!</v>
          </cell>
          <cell r="BQ210" t="e">
            <v>#VALUE!</v>
          </cell>
          <cell r="BR210" t="e">
            <v>#VALUE!</v>
          </cell>
          <cell r="BS210" t="e">
            <v>#VALUE!</v>
          </cell>
          <cell r="BT210">
            <v>0</v>
          </cell>
          <cell r="BU210" t="str">
            <v/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</row>
        <row r="211">
          <cell r="A211" t="str">
            <v>198Q1</v>
          </cell>
          <cell r="B211" t="str">
            <v>Q1</v>
          </cell>
          <cell r="C211">
            <v>198</v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1</v>
          </cell>
          <cell r="BJ211">
            <v>0</v>
          </cell>
          <cell r="BK211">
            <v>0</v>
          </cell>
          <cell r="BO211" t="e">
            <v>#VALUE!</v>
          </cell>
          <cell r="BP211" t="e">
            <v>#VALUE!</v>
          </cell>
          <cell r="BQ211" t="e">
            <v>#VALUE!</v>
          </cell>
          <cell r="BR211" t="e">
            <v>#VALUE!</v>
          </cell>
          <cell r="BS211" t="e">
            <v>#VALUE!</v>
          </cell>
          <cell r="BT211">
            <v>0</v>
          </cell>
          <cell r="BU211" t="str">
            <v/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</row>
        <row r="212">
          <cell r="A212" t="str">
            <v>199Q1</v>
          </cell>
          <cell r="B212" t="str">
            <v>Q1</v>
          </cell>
          <cell r="C212">
            <v>199</v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1</v>
          </cell>
          <cell r="BJ212">
            <v>0</v>
          </cell>
          <cell r="BK212">
            <v>0</v>
          </cell>
          <cell r="BO212" t="e">
            <v>#VALUE!</v>
          </cell>
          <cell r="BP212" t="e">
            <v>#VALUE!</v>
          </cell>
          <cell r="BQ212" t="e">
            <v>#VALUE!</v>
          </cell>
          <cell r="BR212" t="e">
            <v>#VALUE!</v>
          </cell>
          <cell r="BS212" t="e">
            <v>#VALUE!</v>
          </cell>
          <cell r="BT212">
            <v>0</v>
          </cell>
          <cell r="BU212" t="str">
            <v/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</row>
        <row r="213">
          <cell r="A213" t="str">
            <v>200Q1</v>
          </cell>
          <cell r="B213" t="str">
            <v>Q1</v>
          </cell>
          <cell r="C213">
            <v>200</v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1</v>
          </cell>
          <cell r="BJ213">
            <v>0</v>
          </cell>
          <cell r="BK213">
            <v>0</v>
          </cell>
          <cell r="BO213" t="e">
            <v>#VALUE!</v>
          </cell>
          <cell r="BP213" t="e">
            <v>#VALUE!</v>
          </cell>
          <cell r="BQ213" t="e">
            <v>#VALUE!</v>
          </cell>
          <cell r="BR213" t="e">
            <v>#VALUE!</v>
          </cell>
          <cell r="BS213" t="e">
            <v>#VALUE!</v>
          </cell>
          <cell r="BT213">
            <v>0</v>
          </cell>
          <cell r="BU213" t="str">
            <v/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</row>
        <row r="214">
          <cell r="BO214">
            <v>42826</v>
          </cell>
          <cell r="BP214">
            <v>42916</v>
          </cell>
          <cell r="BQ214">
            <v>91</v>
          </cell>
        </row>
        <row r="215">
          <cell r="A215" t="str">
            <v>1Q2</v>
          </cell>
          <cell r="B215" t="str">
            <v>Q2</v>
          </cell>
          <cell r="C215">
            <v>1</v>
          </cell>
          <cell r="D215" t="str">
            <v>Abasheva Anna</v>
          </cell>
          <cell r="E215" t="str">
            <v>Medical Representative</v>
          </cell>
          <cell r="F215">
            <v>41017</v>
          </cell>
          <cell r="G215" t="str">
            <v/>
          </cell>
          <cell r="H215" t="str">
            <v/>
          </cell>
          <cell r="I215" t="str">
            <v>Line 2</v>
          </cell>
          <cell r="J215" t="str">
            <v xml:space="preserve">DUPHASTON </v>
          </cell>
          <cell r="K215" t="str">
            <v>FEMOSTON</v>
          </cell>
          <cell r="L215">
            <v>0</v>
          </cell>
          <cell r="M215">
            <v>0</v>
          </cell>
          <cell r="N215">
            <v>0.3</v>
          </cell>
          <cell r="O215">
            <v>52515</v>
          </cell>
          <cell r="P215">
            <v>23362.399999999998</v>
          </cell>
          <cell r="Q215">
            <v>0</v>
          </cell>
          <cell r="R215">
            <v>0</v>
          </cell>
          <cell r="S215">
            <v>49808.403589181544</v>
          </cell>
          <cell r="T215">
            <v>25888.448969850211</v>
          </cell>
          <cell r="U215">
            <v>0</v>
          </cell>
          <cell r="V215">
            <v>0</v>
          </cell>
          <cell r="W215" t="str">
            <v>PHYSIOTENS</v>
          </cell>
          <cell r="X215" t="str">
            <v>TRICOR /LIPANTHYL</v>
          </cell>
          <cell r="Y215" t="str">
            <v>OMACOR</v>
          </cell>
          <cell r="Z215">
            <v>0</v>
          </cell>
          <cell r="AA215">
            <v>0.25</v>
          </cell>
          <cell r="AB215">
            <v>64881.5</v>
          </cell>
          <cell r="AC215">
            <v>2777.21</v>
          </cell>
          <cell r="AD215">
            <v>465</v>
          </cell>
          <cell r="AE215">
            <v>0</v>
          </cell>
          <cell r="AF215">
            <v>50265</v>
          </cell>
          <cell r="AG215">
            <v>1746.1499999999999</v>
          </cell>
          <cell r="AH215">
            <v>1395</v>
          </cell>
          <cell r="AI215">
            <v>0</v>
          </cell>
          <cell r="AJ215" t="str">
            <v>HEPTRAL</v>
          </cell>
          <cell r="AK215">
            <v>0</v>
          </cell>
          <cell r="AL215">
            <v>0</v>
          </cell>
          <cell r="AM215">
            <v>0</v>
          </cell>
          <cell r="AN215">
            <v>0.25</v>
          </cell>
          <cell r="AO215">
            <v>37543.740000000005</v>
          </cell>
          <cell r="AP215">
            <v>0</v>
          </cell>
          <cell r="AQ215">
            <v>0</v>
          </cell>
          <cell r="AR215">
            <v>0</v>
          </cell>
          <cell r="AS215">
            <v>36513.449450367698</v>
          </cell>
          <cell r="AT215">
            <v>0</v>
          </cell>
          <cell r="AU215">
            <v>0</v>
          </cell>
          <cell r="AV215">
            <v>0</v>
          </cell>
          <cell r="AW215" t="str">
            <v>BETASERC</v>
          </cell>
          <cell r="AX215" t="str">
            <v xml:space="preserve">DUPHALAC </v>
          </cell>
          <cell r="AY215" t="str">
            <v>CREON</v>
          </cell>
          <cell r="AZ215">
            <v>0</v>
          </cell>
          <cell r="BA215">
            <v>0.19999999999999996</v>
          </cell>
          <cell r="BB215">
            <v>23717.520000000004</v>
          </cell>
          <cell r="BC215">
            <v>2875.4</v>
          </cell>
          <cell r="BD215">
            <v>3333.8145000000004</v>
          </cell>
          <cell r="BE215">
            <v>0</v>
          </cell>
          <cell r="BF215">
            <v>17647.698963674105</v>
          </cell>
          <cell r="BG215">
            <v>2503.5</v>
          </cell>
          <cell r="BH215">
            <v>3127.1583365335728</v>
          </cell>
          <cell r="BI215">
            <v>0</v>
          </cell>
          <cell r="BJ215">
            <v>211471.5845</v>
          </cell>
          <cell r="BK215">
            <v>188894.80930960717</v>
          </cell>
          <cell r="BL215" t="str">
            <v/>
          </cell>
          <cell r="BM215">
            <v>0.93</v>
          </cell>
          <cell r="BO215" t="str">
            <v>Staff</v>
          </cell>
          <cell r="BP215">
            <v>41108</v>
          </cell>
          <cell r="BQ215">
            <v>3</v>
          </cell>
          <cell r="BR215">
            <v>4</v>
          </cell>
          <cell r="BS215">
            <v>6</v>
          </cell>
          <cell r="BT215">
            <v>395525</v>
          </cell>
          <cell r="BU215">
            <v>1</v>
          </cell>
          <cell r="BW215">
            <v>1.002</v>
          </cell>
          <cell r="BX215">
            <v>1.276</v>
          </cell>
          <cell r="BY215">
            <v>1.028</v>
          </cell>
          <cell r="BZ215">
            <v>1.286</v>
          </cell>
          <cell r="CG215">
            <v>1.1200000000000001</v>
          </cell>
          <cell r="CH215">
            <v>1</v>
          </cell>
          <cell r="CI215">
            <v>2.1</v>
          </cell>
          <cell r="CJ215">
            <v>0</v>
          </cell>
          <cell r="CK215">
            <v>0.5</v>
          </cell>
        </row>
        <row r="216">
          <cell r="A216" t="str">
            <v>2Q2</v>
          </cell>
          <cell r="B216" t="str">
            <v>Q2</v>
          </cell>
          <cell r="C216">
            <v>2</v>
          </cell>
          <cell r="D216" t="str">
            <v>Aitbenbetova Dinara</v>
          </cell>
          <cell r="E216" t="str">
            <v>Medical Representative</v>
          </cell>
          <cell r="F216">
            <v>41745</v>
          </cell>
          <cell r="G216" t="str">
            <v/>
          </cell>
          <cell r="H216" t="str">
            <v/>
          </cell>
          <cell r="I216" t="str">
            <v>Line 1</v>
          </cell>
          <cell r="J216" t="str">
            <v>CREON</v>
          </cell>
          <cell r="K216" t="str">
            <v xml:space="preserve">DUPHALAC </v>
          </cell>
          <cell r="L216">
            <v>0</v>
          </cell>
          <cell r="M216">
            <v>0</v>
          </cell>
          <cell r="N216">
            <v>0.5</v>
          </cell>
          <cell r="O216">
            <v>399217.53</v>
          </cell>
          <cell r="P216">
            <v>153333</v>
          </cell>
          <cell r="Q216">
            <v>0</v>
          </cell>
          <cell r="R216">
            <v>0</v>
          </cell>
          <cell r="S216">
            <v>335734.28</v>
          </cell>
          <cell r="T216">
            <v>186923.4594124007</v>
          </cell>
          <cell r="U216">
            <v>0</v>
          </cell>
          <cell r="V216">
            <v>0</v>
          </cell>
          <cell r="W216" t="str">
            <v>HEPTRAL</v>
          </cell>
          <cell r="X216" t="str">
            <v xml:space="preserve">DUSPATALIN </v>
          </cell>
          <cell r="Y216">
            <v>0</v>
          </cell>
          <cell r="Z216">
            <v>0</v>
          </cell>
          <cell r="AA216">
            <v>0.35</v>
          </cell>
          <cell r="AB216">
            <v>331058.52</v>
          </cell>
          <cell r="AC216">
            <v>36404</v>
          </cell>
          <cell r="AD216">
            <v>0</v>
          </cell>
          <cell r="AE216">
            <v>0</v>
          </cell>
          <cell r="AF216">
            <v>356616</v>
          </cell>
          <cell r="AG216">
            <v>42750</v>
          </cell>
          <cell r="AH216">
            <v>0</v>
          </cell>
          <cell r="AI216">
            <v>0</v>
          </cell>
          <cell r="AJ216" t="str">
            <v>IRS 19</v>
          </cell>
          <cell r="AK216" t="str">
            <v>IMUDON</v>
          </cell>
          <cell r="AL216">
            <v>0</v>
          </cell>
          <cell r="AM216">
            <v>0</v>
          </cell>
          <cell r="AN216">
            <v>0.1</v>
          </cell>
          <cell r="AO216">
            <v>23592</v>
          </cell>
          <cell r="AP216">
            <v>34668</v>
          </cell>
          <cell r="AQ216">
            <v>0</v>
          </cell>
          <cell r="AR216">
            <v>0</v>
          </cell>
          <cell r="AS216">
            <v>21600</v>
          </cell>
          <cell r="AT216">
            <v>28248</v>
          </cell>
          <cell r="AU216">
            <v>0</v>
          </cell>
          <cell r="AV216">
            <v>0</v>
          </cell>
          <cell r="AW216" t="str">
            <v xml:space="preserve">GANATON </v>
          </cell>
          <cell r="AX216" t="str">
            <v>DUPHABEARS</v>
          </cell>
          <cell r="AY216">
            <v>0</v>
          </cell>
          <cell r="AZ216">
            <v>0</v>
          </cell>
          <cell r="BA216">
            <v>5.0000000000000017E-2</v>
          </cell>
          <cell r="BB216">
            <v>4266.2000000000007</v>
          </cell>
          <cell r="BC216">
            <v>1861.3999999999999</v>
          </cell>
          <cell r="BD216">
            <v>0</v>
          </cell>
          <cell r="BE216">
            <v>0</v>
          </cell>
          <cell r="BF216">
            <v>7470</v>
          </cell>
          <cell r="BG216">
            <v>3279.9999999999995</v>
          </cell>
          <cell r="BH216">
            <v>0</v>
          </cell>
          <cell r="BI216">
            <v>0</v>
          </cell>
          <cell r="BJ216">
            <v>984400.65</v>
          </cell>
          <cell r="BK216">
            <v>982621.73941240076</v>
          </cell>
          <cell r="BL216" t="str">
            <v/>
          </cell>
          <cell r="BM216">
            <v>0.98</v>
          </cell>
          <cell r="BO216" t="str">
            <v>Staff</v>
          </cell>
          <cell r="BP216">
            <v>41836</v>
          </cell>
          <cell r="BQ216">
            <v>3</v>
          </cell>
          <cell r="BR216">
            <v>4</v>
          </cell>
          <cell r="BS216">
            <v>6</v>
          </cell>
          <cell r="BT216">
            <v>395525</v>
          </cell>
          <cell r="BU216">
            <v>1</v>
          </cell>
          <cell r="BW216">
            <v>1.0569999999999999</v>
          </cell>
          <cell r="BX216">
            <v>0.92</v>
          </cell>
          <cell r="BY216">
            <v>1.169</v>
          </cell>
          <cell r="BZ216">
            <v>0.56999999999999995</v>
          </cell>
          <cell r="CG216">
            <v>1</v>
          </cell>
          <cell r="CH216">
            <v>1</v>
          </cell>
          <cell r="CI216">
            <v>1</v>
          </cell>
          <cell r="CJ216">
            <v>0</v>
          </cell>
          <cell r="CK216">
            <v>1</v>
          </cell>
        </row>
        <row r="217">
          <cell r="A217" t="str">
            <v>3Q2</v>
          </cell>
          <cell r="B217" t="str">
            <v>Q2</v>
          </cell>
          <cell r="C217">
            <v>3</v>
          </cell>
          <cell r="D217" t="str">
            <v>Akhmadiyeva Gulzhan</v>
          </cell>
          <cell r="E217" t="str">
            <v>Medical Representative</v>
          </cell>
          <cell r="F217">
            <v>40686</v>
          </cell>
          <cell r="G217" t="str">
            <v/>
          </cell>
          <cell r="H217" t="str">
            <v/>
          </cell>
          <cell r="I217" t="str">
            <v>Line 1</v>
          </cell>
          <cell r="J217" t="str">
            <v>CREON</v>
          </cell>
          <cell r="K217" t="str">
            <v xml:space="preserve">DUPHALAC </v>
          </cell>
          <cell r="L217">
            <v>0</v>
          </cell>
          <cell r="M217">
            <v>0</v>
          </cell>
          <cell r="N217">
            <v>0.5</v>
          </cell>
          <cell r="O217">
            <v>81552.67</v>
          </cell>
          <cell r="P217">
            <v>33796</v>
          </cell>
          <cell r="Q217">
            <v>0</v>
          </cell>
          <cell r="R217">
            <v>0</v>
          </cell>
          <cell r="S217">
            <v>78053</v>
          </cell>
          <cell r="T217">
            <v>33080.313830039435</v>
          </cell>
          <cell r="U217">
            <v>0</v>
          </cell>
          <cell r="V217">
            <v>0</v>
          </cell>
          <cell r="W217" t="str">
            <v>HEPTRAL</v>
          </cell>
          <cell r="X217" t="str">
            <v xml:space="preserve">DUSPATALIN </v>
          </cell>
          <cell r="Y217">
            <v>0</v>
          </cell>
          <cell r="Z217">
            <v>0</v>
          </cell>
          <cell r="AA217">
            <v>0.35</v>
          </cell>
          <cell r="AB217">
            <v>37444.68</v>
          </cell>
          <cell r="AC217">
            <v>14706</v>
          </cell>
          <cell r="AD217">
            <v>0</v>
          </cell>
          <cell r="AE217">
            <v>0</v>
          </cell>
          <cell r="AF217">
            <v>42871.975013682189</v>
          </cell>
          <cell r="AG217">
            <v>17169.600943512403</v>
          </cell>
          <cell r="AH217">
            <v>0</v>
          </cell>
          <cell r="AI217">
            <v>0</v>
          </cell>
          <cell r="AJ217" t="str">
            <v>IRS 19</v>
          </cell>
          <cell r="AK217" t="str">
            <v>IMUDON</v>
          </cell>
          <cell r="AL217">
            <v>0</v>
          </cell>
          <cell r="AM217">
            <v>0</v>
          </cell>
          <cell r="AN217">
            <v>0.1</v>
          </cell>
          <cell r="AO217">
            <v>3144</v>
          </cell>
          <cell r="AP217">
            <v>11880</v>
          </cell>
          <cell r="AQ217">
            <v>0</v>
          </cell>
          <cell r="AR217">
            <v>0</v>
          </cell>
          <cell r="AS217">
            <v>3120</v>
          </cell>
          <cell r="AT217">
            <v>10800</v>
          </cell>
          <cell r="AU217">
            <v>0</v>
          </cell>
          <cell r="AV217">
            <v>0</v>
          </cell>
          <cell r="AW217" t="str">
            <v xml:space="preserve">GANATON </v>
          </cell>
          <cell r="AX217" t="str">
            <v>DUPHABEARS</v>
          </cell>
          <cell r="AY217">
            <v>0</v>
          </cell>
          <cell r="AZ217">
            <v>0</v>
          </cell>
          <cell r="BA217">
            <v>5.0000000000000017E-2</v>
          </cell>
          <cell r="BB217">
            <v>846.6</v>
          </cell>
          <cell r="BC217">
            <v>647.79999999999995</v>
          </cell>
          <cell r="BD217">
            <v>0</v>
          </cell>
          <cell r="BE217">
            <v>0</v>
          </cell>
          <cell r="BF217">
            <v>1577</v>
          </cell>
          <cell r="BG217">
            <v>729.8</v>
          </cell>
          <cell r="BH217">
            <v>0</v>
          </cell>
          <cell r="BI217">
            <v>0</v>
          </cell>
          <cell r="BJ217">
            <v>184017.75</v>
          </cell>
          <cell r="BK217">
            <v>187401.68978723401</v>
          </cell>
          <cell r="BL217" t="str">
            <v/>
          </cell>
          <cell r="BM217">
            <v>0.95</v>
          </cell>
          <cell r="BO217" t="str">
            <v>Staff</v>
          </cell>
          <cell r="BP217">
            <v>40778</v>
          </cell>
          <cell r="BQ217">
            <v>3</v>
          </cell>
          <cell r="BR217">
            <v>4</v>
          </cell>
          <cell r="BS217">
            <v>6</v>
          </cell>
          <cell r="BT217">
            <v>395525</v>
          </cell>
          <cell r="BU217">
            <v>1</v>
          </cell>
          <cell r="BW217">
            <v>1.038</v>
          </cell>
          <cell r="BX217">
            <v>0.86899999999999999</v>
          </cell>
          <cell r="BY217">
            <v>1.079</v>
          </cell>
          <cell r="BZ217">
            <v>0.64800000000000002</v>
          </cell>
          <cell r="CG217">
            <v>0.98</v>
          </cell>
          <cell r="CH217">
            <v>1</v>
          </cell>
          <cell r="CI217">
            <v>0.9</v>
          </cell>
          <cell r="CJ217">
            <v>0</v>
          </cell>
          <cell r="CK217">
            <v>1</v>
          </cell>
        </row>
        <row r="218">
          <cell r="A218" t="str">
            <v>4Q2</v>
          </cell>
          <cell r="B218" t="str">
            <v>Q2</v>
          </cell>
          <cell r="C218">
            <v>4</v>
          </cell>
          <cell r="D218" t="str">
            <v>Akhmetova (Imanzhanova) Sholpan</v>
          </cell>
          <cell r="E218" t="str">
            <v>Medical Representative</v>
          </cell>
          <cell r="F218">
            <v>40680</v>
          </cell>
          <cell r="G218" t="str">
            <v/>
          </cell>
          <cell r="H218" t="str">
            <v/>
          </cell>
          <cell r="I218" t="str">
            <v>Line 3 (big cities)</v>
          </cell>
          <cell r="J218" t="str">
            <v xml:space="preserve">DUPHASTON </v>
          </cell>
          <cell r="K218">
            <v>0</v>
          </cell>
          <cell r="L218">
            <v>0</v>
          </cell>
          <cell r="M218">
            <v>0</v>
          </cell>
          <cell r="N218">
            <v>0.45</v>
          </cell>
          <cell r="O218">
            <v>124726.5</v>
          </cell>
          <cell r="P218">
            <v>0</v>
          </cell>
          <cell r="Q218">
            <v>0</v>
          </cell>
          <cell r="R218">
            <v>0</v>
          </cell>
          <cell r="S218">
            <v>133744.5</v>
          </cell>
          <cell r="T218">
            <v>0</v>
          </cell>
          <cell r="U218">
            <v>0</v>
          </cell>
          <cell r="V218">
            <v>0</v>
          </cell>
          <cell r="W218" t="str">
            <v>FEMOSTON</v>
          </cell>
          <cell r="X218">
            <v>0</v>
          </cell>
          <cell r="Y218">
            <v>0</v>
          </cell>
          <cell r="Z218">
            <v>0</v>
          </cell>
          <cell r="AA218">
            <v>0.25</v>
          </cell>
          <cell r="AB218">
            <v>72326</v>
          </cell>
          <cell r="AC218">
            <v>0</v>
          </cell>
          <cell r="AD218">
            <v>0</v>
          </cell>
          <cell r="AE218">
            <v>0</v>
          </cell>
          <cell r="AF218">
            <v>70955.755312316614</v>
          </cell>
          <cell r="AG218">
            <v>0</v>
          </cell>
          <cell r="AH218">
            <v>0</v>
          </cell>
          <cell r="AI218">
            <v>0</v>
          </cell>
          <cell r="AJ218" t="str">
            <v xml:space="preserve">DUPHALAC </v>
          </cell>
          <cell r="AK218" t="str">
            <v>OVATEL</v>
          </cell>
          <cell r="AL218">
            <v>0</v>
          </cell>
          <cell r="AM218">
            <v>0</v>
          </cell>
          <cell r="AN218">
            <v>0.25</v>
          </cell>
          <cell r="AO218">
            <v>8190</v>
          </cell>
          <cell r="AP218">
            <v>366.63</v>
          </cell>
          <cell r="AQ218">
            <v>0</v>
          </cell>
          <cell r="AR218">
            <v>0</v>
          </cell>
          <cell r="AS218">
            <v>8862.0410756574474</v>
          </cell>
          <cell r="AT218">
            <v>1299.8699999999999</v>
          </cell>
          <cell r="AU218">
            <v>0</v>
          </cell>
          <cell r="AV218">
            <v>0</v>
          </cell>
          <cell r="AW218" t="str">
            <v>CREON</v>
          </cell>
          <cell r="AX218">
            <v>0</v>
          </cell>
          <cell r="AY218">
            <v>0</v>
          </cell>
          <cell r="AZ218">
            <v>0</v>
          </cell>
          <cell r="BA218">
            <v>5.0000000000000044E-2</v>
          </cell>
          <cell r="BB218">
            <v>8024.7907500000001</v>
          </cell>
          <cell r="BC218">
            <v>0</v>
          </cell>
          <cell r="BD218">
            <v>0</v>
          </cell>
          <cell r="BE218">
            <v>0</v>
          </cell>
          <cell r="BF218">
            <v>7254.6</v>
          </cell>
          <cell r="BG218">
            <v>0</v>
          </cell>
          <cell r="BH218">
            <v>0</v>
          </cell>
          <cell r="BI218">
            <v>0</v>
          </cell>
          <cell r="BJ218">
            <v>213633.92074999999</v>
          </cell>
          <cell r="BK218">
            <v>222116.76638797406</v>
          </cell>
          <cell r="BL218" t="str">
            <v/>
          </cell>
          <cell r="BM218">
            <v>0.97</v>
          </cell>
          <cell r="BO218" t="str">
            <v>Staff</v>
          </cell>
          <cell r="BP218">
            <v>40772</v>
          </cell>
          <cell r="BQ218">
            <v>3</v>
          </cell>
          <cell r="BR218">
            <v>4</v>
          </cell>
          <cell r="BS218">
            <v>6</v>
          </cell>
          <cell r="BT218">
            <v>395525</v>
          </cell>
          <cell r="BU218">
            <v>1</v>
          </cell>
          <cell r="BW218">
            <v>0.93300000000000005</v>
          </cell>
          <cell r="BX218">
            <v>1.0189999999999999</v>
          </cell>
          <cell r="BY218">
            <v>0.84199999999999997</v>
          </cell>
          <cell r="BZ218">
            <v>1.1060000000000001</v>
          </cell>
          <cell r="CG218">
            <v>0.96</v>
          </cell>
          <cell r="CH218">
            <v>1</v>
          </cell>
          <cell r="CI218">
            <v>0.82</v>
          </cell>
          <cell r="CJ218">
            <v>0</v>
          </cell>
          <cell r="CK218">
            <v>1</v>
          </cell>
        </row>
        <row r="219">
          <cell r="A219" t="str">
            <v>5Q2</v>
          </cell>
          <cell r="B219" t="str">
            <v>Q2</v>
          </cell>
          <cell r="C219">
            <v>5</v>
          </cell>
          <cell r="D219" t="str">
            <v>Aliyev Askar</v>
          </cell>
          <cell r="E219" t="str">
            <v>Medical Representative</v>
          </cell>
          <cell r="F219">
            <v>41564</v>
          </cell>
          <cell r="G219" t="str">
            <v/>
          </cell>
          <cell r="H219" t="str">
            <v/>
          </cell>
          <cell r="I219" t="str">
            <v>Line 1</v>
          </cell>
          <cell r="J219" t="str">
            <v>CREON</v>
          </cell>
          <cell r="K219" t="str">
            <v xml:space="preserve">DUPHALAC </v>
          </cell>
          <cell r="L219">
            <v>0</v>
          </cell>
          <cell r="M219">
            <v>0</v>
          </cell>
          <cell r="N219">
            <v>0.5</v>
          </cell>
          <cell r="O219">
            <v>77912.59</v>
          </cell>
          <cell r="P219">
            <v>32770</v>
          </cell>
          <cell r="Q219">
            <v>0</v>
          </cell>
          <cell r="R219">
            <v>0</v>
          </cell>
          <cell r="S219">
            <v>54182.191038924968</v>
          </cell>
          <cell r="T219">
            <v>28627.107333503631</v>
          </cell>
          <cell r="U219">
            <v>0</v>
          </cell>
          <cell r="V219">
            <v>0</v>
          </cell>
          <cell r="W219" t="str">
            <v>HEPTRAL</v>
          </cell>
          <cell r="X219" t="str">
            <v xml:space="preserve">DUSPATALIN </v>
          </cell>
          <cell r="Y219">
            <v>0</v>
          </cell>
          <cell r="Z219">
            <v>0</v>
          </cell>
          <cell r="AA219">
            <v>0.35</v>
          </cell>
          <cell r="AB219">
            <v>53030.12000000001</v>
          </cell>
          <cell r="AC219">
            <v>10896.5</v>
          </cell>
          <cell r="AD219">
            <v>0</v>
          </cell>
          <cell r="AE219">
            <v>0</v>
          </cell>
          <cell r="AF219">
            <v>48539.400000000009</v>
          </cell>
          <cell r="AG219">
            <v>10596.611483161425</v>
          </cell>
          <cell r="AH219">
            <v>0</v>
          </cell>
          <cell r="AI219">
            <v>0</v>
          </cell>
          <cell r="AJ219" t="str">
            <v>IRS 19</v>
          </cell>
          <cell r="AK219" t="str">
            <v>IMUDON</v>
          </cell>
          <cell r="AL219">
            <v>0</v>
          </cell>
          <cell r="AM219">
            <v>0</v>
          </cell>
          <cell r="AN219">
            <v>0.1</v>
          </cell>
          <cell r="AO219">
            <v>2556</v>
          </cell>
          <cell r="AP219">
            <v>4104</v>
          </cell>
          <cell r="AQ219">
            <v>0</v>
          </cell>
          <cell r="AR219">
            <v>0</v>
          </cell>
          <cell r="AS219">
            <v>1822.544226492415</v>
          </cell>
          <cell r="AT219">
            <v>2880</v>
          </cell>
          <cell r="AU219">
            <v>0</v>
          </cell>
          <cell r="AV219">
            <v>0</v>
          </cell>
          <cell r="AW219" t="str">
            <v xml:space="preserve">GANATON </v>
          </cell>
          <cell r="AX219" t="str">
            <v>DUPHABEARS</v>
          </cell>
          <cell r="AY219">
            <v>0</v>
          </cell>
          <cell r="AZ219">
            <v>0</v>
          </cell>
          <cell r="BA219">
            <v>5.0000000000000017E-2</v>
          </cell>
          <cell r="BB219">
            <v>597.6</v>
          </cell>
          <cell r="BC219">
            <v>192.7</v>
          </cell>
          <cell r="BD219">
            <v>0</v>
          </cell>
          <cell r="BE219">
            <v>0</v>
          </cell>
          <cell r="BF219">
            <v>1494.0000000000002</v>
          </cell>
          <cell r="BG219">
            <v>364.9</v>
          </cell>
          <cell r="BH219">
            <v>0</v>
          </cell>
          <cell r="BI219">
            <v>0</v>
          </cell>
          <cell r="BJ219">
            <v>182059.51</v>
          </cell>
          <cell r="BK219">
            <v>148506.75408208245</v>
          </cell>
          <cell r="BL219" t="str">
            <v/>
          </cell>
          <cell r="BM219">
            <v>0.99</v>
          </cell>
          <cell r="BO219" t="str">
            <v>Staff</v>
          </cell>
          <cell r="BP219">
            <v>41656</v>
          </cell>
          <cell r="BQ219">
            <v>3</v>
          </cell>
          <cell r="BR219">
            <v>4</v>
          </cell>
          <cell r="BS219">
            <v>6</v>
          </cell>
          <cell r="BT219">
            <v>395525</v>
          </cell>
          <cell r="BU219">
            <v>1</v>
          </cell>
          <cell r="BW219">
            <v>1.337</v>
          </cell>
          <cell r="BX219">
            <v>1.081</v>
          </cell>
          <cell r="BY219">
            <v>1.4159999999999999</v>
          </cell>
          <cell r="BZ219">
            <v>0.42499999999999999</v>
          </cell>
          <cell r="CG219">
            <v>1.23</v>
          </cell>
          <cell r="CH219">
            <v>1</v>
          </cell>
          <cell r="CI219">
            <v>2.5</v>
          </cell>
          <cell r="CJ219">
            <v>0</v>
          </cell>
          <cell r="CK219">
            <v>1</v>
          </cell>
        </row>
        <row r="220">
          <cell r="A220" t="str">
            <v>6Q2</v>
          </cell>
          <cell r="B220" t="str">
            <v>Q2</v>
          </cell>
          <cell r="C220">
            <v>6</v>
          </cell>
          <cell r="D220" t="str">
            <v>Altynbassova Shynar</v>
          </cell>
          <cell r="E220" t="str">
            <v>Medical Representative</v>
          </cell>
          <cell r="F220">
            <v>42681</v>
          </cell>
          <cell r="G220" t="str">
            <v/>
          </cell>
          <cell r="H220" t="str">
            <v/>
          </cell>
          <cell r="I220" t="str">
            <v>Line 2</v>
          </cell>
          <cell r="J220" t="str">
            <v xml:space="preserve">DUPHASTON </v>
          </cell>
          <cell r="K220" t="str">
            <v>FEMOSTON</v>
          </cell>
          <cell r="L220">
            <v>0</v>
          </cell>
          <cell r="M220">
            <v>0</v>
          </cell>
          <cell r="N220">
            <v>0.3</v>
          </cell>
          <cell r="O220">
            <v>42417</v>
          </cell>
          <cell r="P220">
            <v>4431.2</v>
          </cell>
          <cell r="Q220">
            <v>0</v>
          </cell>
          <cell r="R220">
            <v>0</v>
          </cell>
          <cell r="S220">
            <v>22410</v>
          </cell>
          <cell r="T220">
            <v>3700.9308448426068</v>
          </cell>
          <cell r="U220">
            <v>0</v>
          </cell>
          <cell r="V220">
            <v>0</v>
          </cell>
          <cell r="W220" t="str">
            <v>PHYSIOTENS</v>
          </cell>
          <cell r="X220" t="str">
            <v>TRICOR /LIPANTHYL</v>
          </cell>
          <cell r="Y220" t="str">
            <v>OMACOR</v>
          </cell>
          <cell r="Z220">
            <v>0</v>
          </cell>
          <cell r="AA220">
            <v>0.25</v>
          </cell>
          <cell r="AB220">
            <v>22380.5</v>
          </cell>
          <cell r="AC220">
            <v>1430.1799999999998</v>
          </cell>
          <cell r="AD220">
            <v>1209</v>
          </cell>
          <cell r="AE220">
            <v>0</v>
          </cell>
          <cell r="AF220">
            <v>22657.5</v>
          </cell>
          <cell r="AG220">
            <v>997.8</v>
          </cell>
          <cell r="AH220">
            <v>651</v>
          </cell>
          <cell r="AI220">
            <v>0</v>
          </cell>
          <cell r="AJ220" t="str">
            <v>HEPTRAL</v>
          </cell>
          <cell r="AK220">
            <v>0</v>
          </cell>
          <cell r="AL220">
            <v>0</v>
          </cell>
          <cell r="AM220">
            <v>0</v>
          </cell>
          <cell r="AN220">
            <v>0.25</v>
          </cell>
          <cell r="AO220">
            <v>45798.740000000005</v>
          </cell>
          <cell r="AP220">
            <v>0</v>
          </cell>
          <cell r="AQ220">
            <v>0</v>
          </cell>
          <cell r="AR220">
            <v>0</v>
          </cell>
          <cell r="AS220">
            <v>34704.020000000004</v>
          </cell>
          <cell r="AT220">
            <v>0</v>
          </cell>
          <cell r="AU220">
            <v>0</v>
          </cell>
          <cell r="AV220">
            <v>0</v>
          </cell>
          <cell r="AW220" t="str">
            <v>BETASERC</v>
          </cell>
          <cell r="AX220" t="str">
            <v xml:space="preserve">DUPHALAC </v>
          </cell>
          <cell r="AY220" t="str">
            <v>CREON</v>
          </cell>
          <cell r="AZ220">
            <v>0</v>
          </cell>
          <cell r="BA220">
            <v>0.19999999999999996</v>
          </cell>
          <cell r="BB220">
            <v>8397.2800000000007</v>
          </cell>
          <cell r="BC220">
            <v>2323.9500000000003</v>
          </cell>
          <cell r="BD220">
            <v>2223.3340000000003</v>
          </cell>
          <cell r="BE220">
            <v>0</v>
          </cell>
          <cell r="BF220">
            <v>7389.2285570256827</v>
          </cell>
          <cell r="BG220">
            <v>3020.1739831368227</v>
          </cell>
          <cell r="BH220">
            <v>1563.1219817827869</v>
          </cell>
          <cell r="BI220">
            <v>0</v>
          </cell>
          <cell r="BJ220">
            <v>130611.18400000001</v>
          </cell>
          <cell r="BK220">
            <v>97093.775366787901</v>
          </cell>
          <cell r="BL220" t="str">
            <v/>
          </cell>
          <cell r="BM220">
            <v>0.96</v>
          </cell>
          <cell r="BO220" t="str">
            <v>Staff</v>
          </cell>
          <cell r="BP220">
            <v>42773</v>
          </cell>
          <cell r="BQ220">
            <v>3</v>
          </cell>
          <cell r="BR220">
            <v>4</v>
          </cell>
          <cell r="BS220">
            <v>6</v>
          </cell>
          <cell r="BT220">
            <v>395525</v>
          </cell>
          <cell r="BU220">
            <v>1</v>
          </cell>
          <cell r="BW220">
            <v>1.794</v>
          </cell>
          <cell r="BX220">
            <v>1.0289999999999999</v>
          </cell>
          <cell r="BY220">
            <v>1.32</v>
          </cell>
          <cell r="BZ220">
            <v>1.081</v>
          </cell>
          <cell r="CG220">
            <v>1.35</v>
          </cell>
          <cell r="CH220">
            <v>1</v>
          </cell>
          <cell r="CI220">
            <v>2.5</v>
          </cell>
          <cell r="CJ220">
            <v>0</v>
          </cell>
          <cell r="CK220">
            <v>1</v>
          </cell>
        </row>
        <row r="221">
          <cell r="A221" t="str">
            <v>7Q2</v>
          </cell>
          <cell r="B221" t="str">
            <v>Q2</v>
          </cell>
          <cell r="C221">
            <v>7</v>
          </cell>
          <cell r="D221" t="str">
            <v>Alzhanova Zhuldyz</v>
          </cell>
          <cell r="E221" t="str">
            <v>Pharm Representative</v>
          </cell>
          <cell r="F221">
            <v>42226</v>
          </cell>
          <cell r="G221" t="str">
            <v/>
          </cell>
          <cell r="H221" t="str">
            <v/>
          </cell>
          <cell r="I221" t="str">
            <v>Pharma line</v>
          </cell>
          <cell r="J221" t="str">
            <v>CREON</v>
          </cell>
          <cell r="K221">
            <v>0</v>
          </cell>
          <cell r="L221">
            <v>0</v>
          </cell>
          <cell r="M221">
            <v>0</v>
          </cell>
          <cell r="N221">
            <v>0.45</v>
          </cell>
          <cell r="O221">
            <v>160495.815</v>
          </cell>
          <cell r="P221">
            <v>0</v>
          </cell>
          <cell r="Q221">
            <v>0</v>
          </cell>
          <cell r="R221">
            <v>0</v>
          </cell>
          <cell r="S221">
            <v>145092</v>
          </cell>
          <cell r="T221">
            <v>0</v>
          </cell>
          <cell r="U221">
            <v>0</v>
          </cell>
          <cell r="V221">
            <v>0</v>
          </cell>
          <cell r="W221" t="str">
            <v xml:space="preserve">DUPHALAC </v>
          </cell>
          <cell r="X221">
            <v>0</v>
          </cell>
          <cell r="Y221">
            <v>0</v>
          </cell>
          <cell r="Z221">
            <v>0</v>
          </cell>
          <cell r="AA221">
            <v>0.3</v>
          </cell>
          <cell r="AB221">
            <v>81900</v>
          </cell>
          <cell r="AC221">
            <v>0</v>
          </cell>
          <cell r="AD221">
            <v>0</v>
          </cell>
          <cell r="AE221">
            <v>0</v>
          </cell>
          <cell r="AF221">
            <v>88620.410756574478</v>
          </cell>
          <cell r="AG221">
            <v>0</v>
          </cell>
          <cell r="AH221">
            <v>0</v>
          </cell>
          <cell r="AI221">
            <v>0</v>
          </cell>
          <cell r="AJ221" t="str">
            <v>IRS 19</v>
          </cell>
          <cell r="AK221" t="str">
            <v>IMUDON</v>
          </cell>
          <cell r="AL221">
            <v>0</v>
          </cell>
          <cell r="AM221">
            <v>0</v>
          </cell>
          <cell r="AN221">
            <v>0.15</v>
          </cell>
          <cell r="AO221">
            <v>9684</v>
          </cell>
          <cell r="AP221">
            <v>20923.199999999997</v>
          </cell>
          <cell r="AQ221">
            <v>0</v>
          </cell>
          <cell r="AR221">
            <v>0</v>
          </cell>
          <cell r="AS221">
            <v>7447.559412087332</v>
          </cell>
          <cell r="AT221">
            <v>16560</v>
          </cell>
          <cell r="AU221">
            <v>0</v>
          </cell>
          <cell r="AV221">
            <v>0</v>
          </cell>
          <cell r="AW221" t="str">
            <v>DUPHABEARS</v>
          </cell>
          <cell r="AX221">
            <v>0</v>
          </cell>
          <cell r="AY221">
            <v>0</v>
          </cell>
          <cell r="AZ221">
            <v>0</v>
          </cell>
          <cell r="BA221">
            <v>0.10000000000000006</v>
          </cell>
          <cell r="BB221">
            <v>2156.6</v>
          </cell>
          <cell r="BC221">
            <v>0</v>
          </cell>
          <cell r="BD221">
            <v>0</v>
          </cell>
          <cell r="BE221">
            <v>0</v>
          </cell>
          <cell r="BF221">
            <v>1824.4999999999998</v>
          </cell>
          <cell r="BG221">
            <v>0</v>
          </cell>
          <cell r="BH221">
            <v>0</v>
          </cell>
          <cell r="BI221">
            <v>0</v>
          </cell>
          <cell r="BJ221">
            <v>275159.61499999999</v>
          </cell>
          <cell r="BK221">
            <v>259544.47016866182</v>
          </cell>
          <cell r="BL221" t="str">
            <v/>
          </cell>
          <cell r="BM221">
            <v>1</v>
          </cell>
          <cell r="BO221" t="str">
            <v>Staff</v>
          </cell>
          <cell r="BP221">
            <v>42318</v>
          </cell>
          <cell r="BQ221">
            <v>3</v>
          </cell>
          <cell r="BR221">
            <v>4</v>
          </cell>
          <cell r="BS221">
            <v>6</v>
          </cell>
          <cell r="BT221">
            <v>395525</v>
          </cell>
          <cell r="BU221">
            <v>1</v>
          </cell>
          <cell r="BW221">
            <v>1.1060000000000001</v>
          </cell>
          <cell r="BX221">
            <v>0.92400000000000004</v>
          </cell>
          <cell r="BY221">
            <v>1.2749999999999999</v>
          </cell>
          <cell r="BZ221">
            <v>1.1819999999999999</v>
          </cell>
          <cell r="CG221">
            <v>1.06</v>
          </cell>
          <cell r="CH221">
            <v>1</v>
          </cell>
          <cell r="CI221">
            <v>1.6</v>
          </cell>
          <cell r="CJ221">
            <v>0</v>
          </cell>
          <cell r="CK221">
            <v>1</v>
          </cell>
        </row>
        <row r="222">
          <cell r="A222" t="str">
            <v>8Q2</v>
          </cell>
          <cell r="B222" t="str">
            <v>Q2</v>
          </cell>
          <cell r="C222">
            <v>8</v>
          </cell>
          <cell r="D222" t="str">
            <v>Arestova Yelena</v>
          </cell>
          <cell r="E222" t="str">
            <v>Medical Representative</v>
          </cell>
          <cell r="F222">
            <v>42051</v>
          </cell>
          <cell r="G222" t="str">
            <v/>
          </cell>
          <cell r="H222" t="str">
            <v/>
          </cell>
          <cell r="I222" t="str">
            <v>Line 2 (big cities)</v>
          </cell>
          <cell r="J222" t="str">
            <v>CREON</v>
          </cell>
          <cell r="K222" t="str">
            <v xml:space="preserve">DUPHALAC </v>
          </cell>
          <cell r="L222">
            <v>0</v>
          </cell>
          <cell r="M222">
            <v>0</v>
          </cell>
          <cell r="N222">
            <v>0.1</v>
          </cell>
          <cell r="O222">
            <v>19960.876500000002</v>
          </cell>
          <cell r="P222">
            <v>7666.6500000000005</v>
          </cell>
          <cell r="Q222">
            <v>0</v>
          </cell>
          <cell r="R222">
            <v>0</v>
          </cell>
          <cell r="S222">
            <v>16786.714000000004</v>
          </cell>
          <cell r="T222">
            <v>9346.1729706200349</v>
          </cell>
          <cell r="U222">
            <v>0</v>
          </cell>
          <cell r="V222">
            <v>0</v>
          </cell>
          <cell r="W222" t="str">
            <v>PHYSIOTENS</v>
          </cell>
          <cell r="X222" t="str">
            <v>TRICOR /LIPANTHYL</v>
          </cell>
          <cell r="Y222" t="str">
            <v>OMACOR</v>
          </cell>
          <cell r="Z222">
            <v>0</v>
          </cell>
          <cell r="AA222">
            <v>0.3</v>
          </cell>
          <cell r="AB222">
            <v>290233</v>
          </cell>
          <cell r="AC222">
            <v>10360.49</v>
          </cell>
          <cell r="AD222">
            <v>6665</v>
          </cell>
          <cell r="AE222">
            <v>0</v>
          </cell>
          <cell r="AF222">
            <v>265895</v>
          </cell>
          <cell r="AG222">
            <v>9711.92</v>
          </cell>
          <cell r="AH222">
            <v>7440</v>
          </cell>
          <cell r="AI222">
            <v>0</v>
          </cell>
          <cell r="AJ222" t="str">
            <v>HEPTRAL</v>
          </cell>
          <cell r="AK222">
            <v>0</v>
          </cell>
          <cell r="AL222">
            <v>0</v>
          </cell>
          <cell r="AM222">
            <v>0</v>
          </cell>
          <cell r="AN222">
            <v>0.3</v>
          </cell>
          <cell r="AO222">
            <v>331058.52</v>
          </cell>
          <cell r="AP222">
            <v>0</v>
          </cell>
          <cell r="AQ222">
            <v>0</v>
          </cell>
          <cell r="AR222">
            <v>0</v>
          </cell>
          <cell r="AS222">
            <v>356616</v>
          </cell>
          <cell r="AT222">
            <v>0</v>
          </cell>
          <cell r="AU222">
            <v>0</v>
          </cell>
          <cell r="AV222">
            <v>0</v>
          </cell>
          <cell r="AW222" t="str">
            <v>BETASERC</v>
          </cell>
          <cell r="AX222">
            <v>0</v>
          </cell>
          <cell r="AY222">
            <v>0</v>
          </cell>
          <cell r="AZ222">
            <v>0</v>
          </cell>
          <cell r="BA222">
            <v>0.3000000000000001</v>
          </cell>
          <cell r="BB222">
            <v>95677.040000000008</v>
          </cell>
          <cell r="BC222">
            <v>0</v>
          </cell>
          <cell r="BD222">
            <v>0</v>
          </cell>
          <cell r="BE222">
            <v>0</v>
          </cell>
          <cell r="BF222">
            <v>98361.423413493438</v>
          </cell>
          <cell r="BG222">
            <v>0</v>
          </cell>
          <cell r="BH222">
            <v>0</v>
          </cell>
          <cell r="BI222">
            <v>0</v>
          </cell>
          <cell r="BJ222">
            <v>761621.57649999997</v>
          </cell>
          <cell r="BK222">
            <v>764157.2303841135</v>
          </cell>
          <cell r="BL222" t="str">
            <v/>
          </cell>
          <cell r="BM222">
            <v>0.96</v>
          </cell>
          <cell r="BO222" t="str">
            <v>Staff</v>
          </cell>
          <cell r="BP222">
            <v>42140</v>
          </cell>
          <cell r="BQ222">
            <v>3</v>
          </cell>
          <cell r="BR222">
            <v>4</v>
          </cell>
          <cell r="BS222">
            <v>6</v>
          </cell>
          <cell r="BT222">
            <v>395525</v>
          </cell>
          <cell r="BU222">
            <v>1</v>
          </cell>
          <cell r="BW222">
            <v>1.0569999999999999</v>
          </cell>
          <cell r="BX222">
            <v>1.0860000000000001</v>
          </cell>
          <cell r="BY222">
            <v>0.92800000000000005</v>
          </cell>
          <cell r="BZ222">
            <v>0.97299999999999998</v>
          </cell>
          <cell r="CG222">
            <v>1</v>
          </cell>
          <cell r="CH222">
            <v>1</v>
          </cell>
          <cell r="CI222">
            <v>1</v>
          </cell>
          <cell r="CJ222">
            <v>0</v>
          </cell>
          <cell r="CK222">
            <v>1</v>
          </cell>
        </row>
        <row r="223">
          <cell r="A223" t="str">
            <v>9Q2</v>
          </cell>
          <cell r="B223" t="str">
            <v>Q2</v>
          </cell>
          <cell r="C223">
            <v>9</v>
          </cell>
          <cell r="D223" t="str">
            <v>Auyelbekova Syndykul</v>
          </cell>
          <cell r="E223" t="str">
            <v>Medical Representative</v>
          </cell>
          <cell r="F223">
            <v>41345</v>
          </cell>
          <cell r="G223" t="str">
            <v/>
          </cell>
          <cell r="H223" t="str">
            <v/>
          </cell>
          <cell r="I223" t="str">
            <v>Line 2</v>
          </cell>
          <cell r="J223" t="str">
            <v xml:space="preserve">DUPHASTON </v>
          </cell>
          <cell r="K223" t="str">
            <v>FEMOSTON</v>
          </cell>
          <cell r="L223">
            <v>0</v>
          </cell>
          <cell r="M223">
            <v>0</v>
          </cell>
          <cell r="N223">
            <v>0.3</v>
          </cell>
          <cell r="O223">
            <v>24705</v>
          </cell>
          <cell r="P223">
            <v>13699.599999999999</v>
          </cell>
          <cell r="Q223">
            <v>0</v>
          </cell>
          <cell r="R223">
            <v>0</v>
          </cell>
          <cell r="S223">
            <v>36450</v>
          </cell>
          <cell r="T223">
            <v>9419.2466705295428</v>
          </cell>
          <cell r="U223">
            <v>0</v>
          </cell>
          <cell r="V223">
            <v>0</v>
          </cell>
          <cell r="W223" t="str">
            <v>PHYSIOTENS</v>
          </cell>
          <cell r="X223" t="str">
            <v>TRICOR /LIPANTHYL</v>
          </cell>
          <cell r="Y223" t="str">
            <v>OMACOR</v>
          </cell>
          <cell r="Z223">
            <v>0</v>
          </cell>
          <cell r="AA223">
            <v>0.25</v>
          </cell>
          <cell r="AB223">
            <v>122399.5</v>
          </cell>
          <cell r="AC223">
            <v>814.86999999999989</v>
          </cell>
          <cell r="AD223">
            <v>186</v>
          </cell>
          <cell r="AE223">
            <v>0</v>
          </cell>
          <cell r="AF223">
            <v>76461.799754547013</v>
          </cell>
          <cell r="AG223">
            <v>1247.25</v>
          </cell>
          <cell r="AH223">
            <v>651</v>
          </cell>
          <cell r="AI223">
            <v>0</v>
          </cell>
          <cell r="AJ223" t="str">
            <v>HEPTRAL</v>
          </cell>
          <cell r="AK223">
            <v>0</v>
          </cell>
          <cell r="AL223">
            <v>0</v>
          </cell>
          <cell r="AM223">
            <v>0</v>
          </cell>
          <cell r="AN223">
            <v>0.25</v>
          </cell>
          <cell r="AO223">
            <v>51247.040000000008</v>
          </cell>
          <cell r="AP223">
            <v>0</v>
          </cell>
          <cell r="AQ223">
            <v>0</v>
          </cell>
          <cell r="AR223">
            <v>0</v>
          </cell>
          <cell r="AS223">
            <v>31448.069263445475</v>
          </cell>
          <cell r="AT223">
            <v>0</v>
          </cell>
          <cell r="AU223">
            <v>0</v>
          </cell>
          <cell r="AV223">
            <v>0</v>
          </cell>
          <cell r="AW223" t="str">
            <v>BETASERC</v>
          </cell>
          <cell r="AX223" t="str">
            <v xml:space="preserve">DUPHALAC </v>
          </cell>
          <cell r="AY223" t="str">
            <v>CREON</v>
          </cell>
          <cell r="AZ223">
            <v>0</v>
          </cell>
          <cell r="BA223">
            <v>0.19999999999999996</v>
          </cell>
          <cell r="BB223">
            <v>16825</v>
          </cell>
          <cell r="BC223">
            <v>2991.2000000000003</v>
          </cell>
          <cell r="BD223">
            <v>2842.7035000000001</v>
          </cell>
          <cell r="BE223">
            <v>0</v>
          </cell>
          <cell r="BF223">
            <v>12010.130070820582</v>
          </cell>
          <cell r="BG223">
            <v>2409</v>
          </cell>
          <cell r="BH223">
            <v>1880.1000000000001</v>
          </cell>
          <cell r="BI223">
            <v>0</v>
          </cell>
          <cell r="BJ223">
            <v>235710.91350000002</v>
          </cell>
          <cell r="BK223">
            <v>171976.5957593426</v>
          </cell>
          <cell r="BL223" t="str">
            <v/>
          </cell>
          <cell r="BM223">
            <v>0.93</v>
          </cell>
          <cell r="BO223" t="str">
            <v>Staff</v>
          </cell>
          <cell r="BP223">
            <v>41437</v>
          </cell>
          <cell r="BQ223">
            <v>3</v>
          </cell>
          <cell r="BR223">
            <v>4</v>
          </cell>
          <cell r="BS223">
            <v>6</v>
          </cell>
          <cell r="BT223">
            <v>395525</v>
          </cell>
          <cell r="BU223">
            <v>1</v>
          </cell>
          <cell r="BW223">
            <v>0.83699999999999997</v>
          </cell>
          <cell r="BX223">
            <v>1.575</v>
          </cell>
          <cell r="BY223">
            <v>1.63</v>
          </cell>
          <cell r="BZ223">
            <v>1.39</v>
          </cell>
          <cell r="CG223">
            <v>1.37</v>
          </cell>
          <cell r="CH223">
            <v>1</v>
          </cell>
          <cell r="CI223">
            <v>2.5</v>
          </cell>
          <cell r="CJ223">
            <v>0</v>
          </cell>
          <cell r="CK223">
            <v>0.5</v>
          </cell>
        </row>
        <row r="224">
          <cell r="A224" t="str">
            <v>10Q2</v>
          </cell>
          <cell r="B224" t="str">
            <v>Q2</v>
          </cell>
          <cell r="C224">
            <v>10</v>
          </cell>
          <cell r="D224" t="str">
            <v>Aybolova Zhazira</v>
          </cell>
          <cell r="E224" t="str">
            <v>Medical Representative</v>
          </cell>
          <cell r="F224">
            <v>41897</v>
          </cell>
          <cell r="G224" t="str">
            <v/>
          </cell>
          <cell r="H224" t="str">
            <v/>
          </cell>
          <cell r="I224" t="str">
            <v>Line 2 (big cities)</v>
          </cell>
          <cell r="J224" t="str">
            <v>CREON</v>
          </cell>
          <cell r="K224" t="str">
            <v xml:space="preserve">DUPHALAC </v>
          </cell>
          <cell r="L224">
            <v>0</v>
          </cell>
          <cell r="M224">
            <v>0</v>
          </cell>
          <cell r="N224">
            <v>0.1</v>
          </cell>
          <cell r="O224">
            <v>11956.169000000002</v>
          </cell>
          <cell r="P224">
            <v>5546</v>
          </cell>
          <cell r="Q224">
            <v>0</v>
          </cell>
          <cell r="R224">
            <v>0</v>
          </cell>
          <cell r="S224">
            <v>12410.550000000001</v>
          </cell>
          <cell r="T224">
            <v>7080</v>
          </cell>
          <cell r="U224">
            <v>0</v>
          </cell>
          <cell r="V224">
            <v>0</v>
          </cell>
          <cell r="W224" t="str">
            <v>PHYSIOTENS</v>
          </cell>
          <cell r="X224" t="str">
            <v>TRICOR /LIPANTHYL</v>
          </cell>
          <cell r="Y224" t="str">
            <v>OMACOR</v>
          </cell>
          <cell r="Z224">
            <v>0</v>
          </cell>
          <cell r="AA224">
            <v>0.3</v>
          </cell>
          <cell r="AB224">
            <v>193542</v>
          </cell>
          <cell r="AC224">
            <v>12223.05</v>
          </cell>
          <cell r="AD224">
            <v>5425</v>
          </cell>
          <cell r="AE224">
            <v>0</v>
          </cell>
          <cell r="AF224">
            <v>215247.5</v>
          </cell>
          <cell r="AG224">
            <v>9811.7000000000007</v>
          </cell>
          <cell r="AH224">
            <v>3782</v>
          </cell>
          <cell r="AI224">
            <v>0</v>
          </cell>
          <cell r="AJ224" t="str">
            <v>HEPTRAL</v>
          </cell>
          <cell r="AK224">
            <v>0</v>
          </cell>
          <cell r="AL224">
            <v>0</v>
          </cell>
          <cell r="AM224">
            <v>0</v>
          </cell>
          <cell r="AN224">
            <v>0.3</v>
          </cell>
          <cell r="AO224">
            <v>180454.30000000005</v>
          </cell>
          <cell r="AP224">
            <v>0</v>
          </cell>
          <cell r="AQ224">
            <v>0</v>
          </cell>
          <cell r="AR224">
            <v>0</v>
          </cell>
          <cell r="AS224">
            <v>153091.20420726546</v>
          </cell>
          <cell r="AT224">
            <v>0</v>
          </cell>
          <cell r="AU224">
            <v>0</v>
          </cell>
          <cell r="AV224">
            <v>0</v>
          </cell>
          <cell r="AW224" t="str">
            <v>BETASERC</v>
          </cell>
          <cell r="AX224">
            <v>0</v>
          </cell>
          <cell r="AY224">
            <v>0</v>
          </cell>
          <cell r="AZ224">
            <v>0</v>
          </cell>
          <cell r="BA224">
            <v>0.3000000000000001</v>
          </cell>
          <cell r="BB224">
            <v>38727.919999999998</v>
          </cell>
          <cell r="BC224">
            <v>0</v>
          </cell>
          <cell r="BD224">
            <v>0</v>
          </cell>
          <cell r="BE224">
            <v>0</v>
          </cell>
          <cell r="BF224">
            <v>39145.964403923368</v>
          </cell>
          <cell r="BG224">
            <v>0</v>
          </cell>
          <cell r="BH224">
            <v>0</v>
          </cell>
          <cell r="BI224">
            <v>0</v>
          </cell>
          <cell r="BJ224">
            <v>447874.43900000001</v>
          </cell>
          <cell r="BK224">
            <v>440568.91861118883</v>
          </cell>
          <cell r="BL224" t="str">
            <v/>
          </cell>
          <cell r="BM224">
            <v>0.95</v>
          </cell>
          <cell r="BO224" t="str">
            <v>Staff</v>
          </cell>
          <cell r="BP224">
            <v>41988</v>
          </cell>
          <cell r="BQ224">
            <v>3</v>
          </cell>
          <cell r="BR224">
            <v>4</v>
          </cell>
          <cell r="BS224">
            <v>6</v>
          </cell>
          <cell r="BT224">
            <v>395525</v>
          </cell>
          <cell r="BU224">
            <v>1</v>
          </cell>
          <cell r="BW224">
            <v>0.89800000000000002</v>
          </cell>
          <cell r="BX224">
            <v>0.92300000000000004</v>
          </cell>
          <cell r="BY224">
            <v>1.179</v>
          </cell>
          <cell r="BZ224">
            <v>0.98899999999999999</v>
          </cell>
          <cell r="CG224">
            <v>1.02</v>
          </cell>
          <cell r="CH224">
            <v>1</v>
          </cell>
          <cell r="CI224">
            <v>1.2</v>
          </cell>
          <cell r="CJ224">
            <v>0</v>
          </cell>
          <cell r="CK224">
            <v>1</v>
          </cell>
        </row>
        <row r="225">
          <cell r="A225" t="str">
            <v>11Q2</v>
          </cell>
          <cell r="B225" t="str">
            <v>Q2</v>
          </cell>
          <cell r="C225">
            <v>11</v>
          </cell>
          <cell r="D225" t="str">
            <v>Baimysheva Mariya</v>
          </cell>
          <cell r="E225" t="str">
            <v>Medical Representative</v>
          </cell>
          <cell r="F225">
            <v>42675</v>
          </cell>
          <cell r="G225" t="str">
            <v/>
          </cell>
          <cell r="H225" t="str">
            <v/>
          </cell>
          <cell r="I225" t="str">
            <v>Line 2</v>
          </cell>
          <cell r="J225" t="str">
            <v xml:space="preserve">DUPHASTON </v>
          </cell>
          <cell r="K225" t="str">
            <v>FEMOSTON</v>
          </cell>
          <cell r="L225">
            <v>0</v>
          </cell>
          <cell r="M225">
            <v>0</v>
          </cell>
          <cell r="N225">
            <v>0.3</v>
          </cell>
          <cell r="O225">
            <v>23274</v>
          </cell>
          <cell r="P225">
            <v>8143.2</v>
          </cell>
          <cell r="Q225">
            <v>0</v>
          </cell>
          <cell r="R225">
            <v>0</v>
          </cell>
          <cell r="S225">
            <v>24966.041988598641</v>
          </cell>
          <cell r="T225">
            <v>7610.4137594560507</v>
          </cell>
          <cell r="U225">
            <v>0</v>
          </cell>
          <cell r="V225">
            <v>0</v>
          </cell>
          <cell r="W225" t="str">
            <v>PHYSIOTENS</v>
          </cell>
          <cell r="X225" t="str">
            <v>TRICOR /LIPANTHYL</v>
          </cell>
          <cell r="Y225" t="str">
            <v>OMACOR</v>
          </cell>
          <cell r="Z225">
            <v>0</v>
          </cell>
          <cell r="AA225">
            <v>0.25</v>
          </cell>
          <cell r="AB225">
            <v>93554</v>
          </cell>
          <cell r="AC225">
            <v>1513.33</v>
          </cell>
          <cell r="AD225">
            <v>248</v>
          </cell>
          <cell r="AE225">
            <v>0</v>
          </cell>
          <cell r="AF225">
            <v>55420</v>
          </cell>
          <cell r="AG225">
            <v>748.34999999999991</v>
          </cell>
          <cell r="AH225">
            <v>465</v>
          </cell>
          <cell r="AI225">
            <v>0</v>
          </cell>
          <cell r="AJ225" t="str">
            <v>HEPTRAL</v>
          </cell>
          <cell r="AK225">
            <v>0</v>
          </cell>
          <cell r="AL225">
            <v>0</v>
          </cell>
          <cell r="AM225">
            <v>0</v>
          </cell>
          <cell r="AN225">
            <v>0.25</v>
          </cell>
          <cell r="AO225">
            <v>24864.060000000005</v>
          </cell>
          <cell r="AP225">
            <v>0</v>
          </cell>
          <cell r="AQ225">
            <v>0</v>
          </cell>
          <cell r="AR225">
            <v>0</v>
          </cell>
          <cell r="AS225">
            <v>24824.706547836358</v>
          </cell>
          <cell r="AT225">
            <v>0</v>
          </cell>
          <cell r="AU225">
            <v>0</v>
          </cell>
          <cell r="AV225">
            <v>0</v>
          </cell>
          <cell r="AW225" t="str">
            <v>BETASERC</v>
          </cell>
          <cell r="AX225" t="str">
            <v xml:space="preserve">DUPHALAC </v>
          </cell>
          <cell r="AY225" t="str">
            <v>CREON</v>
          </cell>
          <cell r="AZ225">
            <v>0</v>
          </cell>
          <cell r="BA225">
            <v>0.19999999999999996</v>
          </cell>
          <cell r="BB225">
            <v>12902.54</v>
          </cell>
          <cell r="BC225">
            <v>2309.4</v>
          </cell>
          <cell r="BD225">
            <v>1954.6315000000004</v>
          </cell>
          <cell r="BE225">
            <v>0</v>
          </cell>
          <cell r="BF225">
            <v>8026.4699198742073</v>
          </cell>
          <cell r="BG225">
            <v>2402.8122709770373</v>
          </cell>
          <cell r="BH225">
            <v>1626.9</v>
          </cell>
          <cell r="BI225">
            <v>0</v>
          </cell>
          <cell r="BJ225">
            <v>168763.16149999999</v>
          </cell>
          <cell r="BK225">
            <v>126090.69448674232</v>
          </cell>
          <cell r="BL225" t="str">
            <v/>
          </cell>
          <cell r="BM225">
            <v>0.98</v>
          </cell>
          <cell r="BO225" t="str">
            <v>Staff</v>
          </cell>
          <cell r="BP225">
            <v>42767</v>
          </cell>
          <cell r="BQ225">
            <v>3</v>
          </cell>
          <cell r="BR225">
            <v>4</v>
          </cell>
          <cell r="BS225">
            <v>6</v>
          </cell>
          <cell r="BT225">
            <v>395525</v>
          </cell>
          <cell r="BU225">
            <v>1</v>
          </cell>
          <cell r="BW225">
            <v>0.96399999999999997</v>
          </cell>
          <cell r="BX225">
            <v>1.6830000000000001</v>
          </cell>
          <cell r="BY225">
            <v>1.002</v>
          </cell>
          <cell r="BZ225">
            <v>1.4239999999999999</v>
          </cell>
          <cell r="CG225">
            <v>1.34</v>
          </cell>
          <cell r="CH225">
            <v>1</v>
          </cell>
          <cell r="CI225">
            <v>2.5</v>
          </cell>
          <cell r="CJ225">
            <v>0</v>
          </cell>
          <cell r="CK225">
            <v>1</v>
          </cell>
        </row>
        <row r="226">
          <cell r="A226" t="str">
            <v>12Q2</v>
          </cell>
          <cell r="B226" t="str">
            <v>Q2</v>
          </cell>
          <cell r="C226">
            <v>12</v>
          </cell>
          <cell r="D226" t="str">
            <v>Bakisheva Aliya</v>
          </cell>
          <cell r="E226" t="str">
            <v>Medical Representative</v>
          </cell>
          <cell r="F226">
            <v>40683</v>
          </cell>
          <cell r="G226" t="str">
            <v/>
          </cell>
          <cell r="H226" t="str">
            <v/>
          </cell>
          <cell r="I226" t="str">
            <v>Line 3 (big cities)</v>
          </cell>
          <cell r="J226" t="str">
            <v xml:space="preserve">DUPHASTON </v>
          </cell>
          <cell r="K226">
            <v>0</v>
          </cell>
          <cell r="L226">
            <v>0</v>
          </cell>
          <cell r="M226">
            <v>0</v>
          </cell>
          <cell r="N226">
            <v>0.45</v>
          </cell>
          <cell r="O226">
            <v>298269</v>
          </cell>
          <cell r="P226">
            <v>0</v>
          </cell>
          <cell r="Q226">
            <v>0</v>
          </cell>
          <cell r="R226">
            <v>0</v>
          </cell>
          <cell r="S226">
            <v>243000</v>
          </cell>
          <cell r="T226">
            <v>0</v>
          </cell>
          <cell r="U226">
            <v>0</v>
          </cell>
          <cell r="V226">
            <v>0</v>
          </cell>
          <cell r="W226" t="str">
            <v>FEMOSTON</v>
          </cell>
          <cell r="X226">
            <v>0</v>
          </cell>
          <cell r="Y226">
            <v>0</v>
          </cell>
          <cell r="Z226">
            <v>0</v>
          </cell>
          <cell r="AA226">
            <v>0.25</v>
          </cell>
          <cell r="AB226">
            <v>122728</v>
          </cell>
          <cell r="AC226">
            <v>0</v>
          </cell>
          <cell r="AD226">
            <v>0</v>
          </cell>
          <cell r="AE226">
            <v>0</v>
          </cell>
          <cell r="AF226">
            <v>129794.19232176128</v>
          </cell>
          <cell r="AG226">
            <v>0</v>
          </cell>
          <cell r="AH226">
            <v>0</v>
          </cell>
          <cell r="AI226">
            <v>0</v>
          </cell>
          <cell r="AJ226" t="str">
            <v xml:space="preserve">DUPHALAC </v>
          </cell>
          <cell r="AK226" t="str">
            <v>OVATEL</v>
          </cell>
          <cell r="AL226">
            <v>0</v>
          </cell>
          <cell r="AM226">
            <v>0</v>
          </cell>
          <cell r="AN226">
            <v>0.25</v>
          </cell>
          <cell r="AO226">
            <v>15333.300000000001</v>
          </cell>
          <cell r="AP226">
            <v>266.64</v>
          </cell>
          <cell r="AQ226">
            <v>0</v>
          </cell>
          <cell r="AR226">
            <v>0</v>
          </cell>
          <cell r="AS226">
            <v>18692.34594124007</v>
          </cell>
          <cell r="AT226">
            <v>1499.85</v>
          </cell>
          <cell r="AU226">
            <v>0</v>
          </cell>
          <cell r="AV226">
            <v>0</v>
          </cell>
          <cell r="AW226" t="str">
            <v>CREON</v>
          </cell>
          <cell r="AX226">
            <v>0</v>
          </cell>
          <cell r="AY226">
            <v>0</v>
          </cell>
          <cell r="AZ226">
            <v>0</v>
          </cell>
          <cell r="BA226">
            <v>5.0000000000000044E-2</v>
          </cell>
          <cell r="BB226">
            <v>19960.876500000002</v>
          </cell>
          <cell r="BC226">
            <v>0</v>
          </cell>
          <cell r="BD226">
            <v>0</v>
          </cell>
          <cell r="BE226">
            <v>0</v>
          </cell>
          <cell r="BF226">
            <v>16786.714000000004</v>
          </cell>
          <cell r="BG226">
            <v>0</v>
          </cell>
          <cell r="BH226">
            <v>0</v>
          </cell>
          <cell r="BI226">
            <v>0</v>
          </cell>
          <cell r="BJ226">
            <v>456557.81650000002</v>
          </cell>
          <cell r="BK226">
            <v>409773.10226300132</v>
          </cell>
          <cell r="BL226" t="str">
            <v/>
          </cell>
          <cell r="BM226">
            <v>1</v>
          </cell>
          <cell r="BO226" t="str">
            <v>Staff</v>
          </cell>
          <cell r="BP226">
            <v>40775</v>
          </cell>
          <cell r="BQ226">
            <v>3</v>
          </cell>
          <cell r="BR226">
            <v>4</v>
          </cell>
          <cell r="BS226">
            <v>6</v>
          </cell>
          <cell r="BT226">
            <v>395525</v>
          </cell>
          <cell r="BU226">
            <v>1</v>
          </cell>
          <cell r="BW226">
            <v>1.2270000000000001</v>
          </cell>
          <cell r="BX226">
            <v>0.94599999999999995</v>
          </cell>
          <cell r="BY226">
            <v>0.77300000000000002</v>
          </cell>
          <cell r="BZ226">
            <v>1.1890000000000001</v>
          </cell>
          <cell r="CG226">
            <v>1.1100000000000001</v>
          </cell>
          <cell r="CH226">
            <v>1</v>
          </cell>
          <cell r="CI226">
            <v>2.0499999999999998</v>
          </cell>
          <cell r="CJ226">
            <v>0</v>
          </cell>
          <cell r="CK226">
            <v>1</v>
          </cell>
        </row>
        <row r="227">
          <cell r="A227" t="str">
            <v>13Q2</v>
          </cell>
          <cell r="B227" t="str">
            <v>Q2</v>
          </cell>
          <cell r="C227">
            <v>13</v>
          </cell>
          <cell r="D227" t="str">
            <v>Balanesku Irina</v>
          </cell>
          <cell r="E227" t="str">
            <v>Medical Representative</v>
          </cell>
          <cell r="F227">
            <v>40819</v>
          </cell>
          <cell r="G227" t="str">
            <v/>
          </cell>
          <cell r="H227" t="str">
            <v/>
          </cell>
          <cell r="I227" t="str">
            <v>Line 2 (big cities)</v>
          </cell>
          <cell r="J227" t="str">
            <v>CREON</v>
          </cell>
          <cell r="K227" t="str">
            <v xml:space="preserve">DUPHALAC </v>
          </cell>
          <cell r="L227">
            <v>0</v>
          </cell>
          <cell r="M227">
            <v>0</v>
          </cell>
          <cell r="N227">
            <v>0.1</v>
          </cell>
          <cell r="O227">
            <v>6491.6085000000003</v>
          </cell>
          <cell r="P227">
            <v>2620.7250000000004</v>
          </cell>
          <cell r="Q227">
            <v>0</v>
          </cell>
          <cell r="R227">
            <v>0</v>
          </cell>
          <cell r="S227">
            <v>4904.6884805670006</v>
          </cell>
          <cell r="T227">
            <v>2861.5750000000003</v>
          </cell>
          <cell r="U227">
            <v>0</v>
          </cell>
          <cell r="V227">
            <v>0</v>
          </cell>
          <cell r="W227" t="str">
            <v>PHYSIOTENS</v>
          </cell>
          <cell r="X227" t="str">
            <v>TRICOR /LIPANTHYL</v>
          </cell>
          <cell r="Y227" t="str">
            <v>OMACOR</v>
          </cell>
          <cell r="Z227">
            <v>0</v>
          </cell>
          <cell r="AA227">
            <v>0.3</v>
          </cell>
          <cell r="AB227">
            <v>103495</v>
          </cell>
          <cell r="AC227">
            <v>1579.85</v>
          </cell>
          <cell r="AD227">
            <v>310</v>
          </cell>
          <cell r="AE227">
            <v>0</v>
          </cell>
          <cell r="AF227">
            <v>93458</v>
          </cell>
          <cell r="AG227">
            <v>2660.8</v>
          </cell>
          <cell r="AH227">
            <v>1860</v>
          </cell>
          <cell r="AI227">
            <v>0</v>
          </cell>
          <cell r="AJ227" t="str">
            <v>HEPTRAL</v>
          </cell>
          <cell r="AK227">
            <v>0</v>
          </cell>
          <cell r="AL227">
            <v>0</v>
          </cell>
          <cell r="AM227">
            <v>0</v>
          </cell>
          <cell r="AN227">
            <v>0.3</v>
          </cell>
          <cell r="AO227">
            <v>53495.702000000005</v>
          </cell>
          <cell r="AP227">
            <v>0</v>
          </cell>
          <cell r="AQ227">
            <v>0</v>
          </cell>
          <cell r="AR227">
            <v>0</v>
          </cell>
          <cell r="AS227">
            <v>73553.020687511817</v>
          </cell>
          <cell r="AT227">
            <v>0</v>
          </cell>
          <cell r="AU227">
            <v>0</v>
          </cell>
          <cell r="AV227">
            <v>0</v>
          </cell>
          <cell r="AW227" t="str">
            <v>BETASERC</v>
          </cell>
          <cell r="AX227">
            <v>0</v>
          </cell>
          <cell r="AY227">
            <v>0</v>
          </cell>
          <cell r="AZ227">
            <v>0</v>
          </cell>
          <cell r="BA227">
            <v>0.3000000000000001</v>
          </cell>
          <cell r="BB227">
            <v>44013.70708</v>
          </cell>
          <cell r="BC227">
            <v>0</v>
          </cell>
          <cell r="BD227">
            <v>0</v>
          </cell>
          <cell r="BE227">
            <v>0</v>
          </cell>
          <cell r="BF227">
            <v>34298.648136519434</v>
          </cell>
          <cell r="BG227">
            <v>0</v>
          </cell>
          <cell r="BH227">
            <v>0</v>
          </cell>
          <cell r="BI227">
            <v>0</v>
          </cell>
          <cell r="BJ227">
            <v>212006.59258000003</v>
          </cell>
          <cell r="BK227">
            <v>213596.73230459826</v>
          </cell>
          <cell r="BL227" t="str">
            <v/>
          </cell>
          <cell r="BM227">
            <v>0.98</v>
          </cell>
          <cell r="BO227" t="str">
            <v>Staff</v>
          </cell>
          <cell r="BP227">
            <v>40911</v>
          </cell>
          <cell r="BQ227">
            <v>3</v>
          </cell>
          <cell r="BR227">
            <v>4</v>
          </cell>
          <cell r="BS227">
            <v>6</v>
          </cell>
          <cell r="BT227">
            <v>395525</v>
          </cell>
          <cell r="BU227">
            <v>1</v>
          </cell>
          <cell r="BW227">
            <v>1.173</v>
          </cell>
          <cell r="BX227">
            <v>1.0760000000000001</v>
          </cell>
          <cell r="BY227">
            <v>0.72699999999999998</v>
          </cell>
          <cell r="BZ227">
            <v>1.2829999999999999</v>
          </cell>
          <cell r="CG227">
            <v>0.99</v>
          </cell>
          <cell r="CH227">
            <v>1</v>
          </cell>
          <cell r="CI227">
            <v>0.96</v>
          </cell>
          <cell r="CJ227">
            <v>0</v>
          </cell>
          <cell r="CK227">
            <v>1</v>
          </cell>
        </row>
        <row r="228">
          <cell r="A228" t="str">
            <v>14Q2</v>
          </cell>
          <cell r="B228" t="str">
            <v>Q2</v>
          </cell>
          <cell r="C228">
            <v>14</v>
          </cell>
          <cell r="D228" t="str">
            <v>Balmagambetova Zamza</v>
          </cell>
          <cell r="E228" t="str">
            <v>Medical Representative</v>
          </cell>
          <cell r="F228">
            <v>41414</v>
          </cell>
          <cell r="G228" t="str">
            <v/>
          </cell>
          <cell r="H228" t="str">
            <v/>
          </cell>
          <cell r="I228" t="str">
            <v>Line 3 (big cities)</v>
          </cell>
          <cell r="J228" t="str">
            <v xml:space="preserve">DUPHASTON </v>
          </cell>
          <cell r="K228">
            <v>0</v>
          </cell>
          <cell r="L228">
            <v>0</v>
          </cell>
          <cell r="M228">
            <v>0</v>
          </cell>
          <cell r="N228">
            <v>0.45</v>
          </cell>
          <cell r="O228">
            <v>124726.5</v>
          </cell>
          <cell r="P228">
            <v>0</v>
          </cell>
          <cell r="Q228">
            <v>0</v>
          </cell>
          <cell r="R228">
            <v>0</v>
          </cell>
          <cell r="S228">
            <v>133744.5</v>
          </cell>
          <cell r="T228">
            <v>0</v>
          </cell>
          <cell r="U228">
            <v>0</v>
          </cell>
          <cell r="V228">
            <v>0</v>
          </cell>
          <cell r="W228" t="str">
            <v>FEMOSTON</v>
          </cell>
          <cell r="X228">
            <v>0</v>
          </cell>
          <cell r="Y228">
            <v>0</v>
          </cell>
          <cell r="Z228">
            <v>0</v>
          </cell>
          <cell r="AA228">
            <v>0.25</v>
          </cell>
          <cell r="AB228">
            <v>72326</v>
          </cell>
          <cell r="AC228">
            <v>0</v>
          </cell>
          <cell r="AD228">
            <v>0</v>
          </cell>
          <cell r="AE228">
            <v>0</v>
          </cell>
          <cell r="AF228">
            <v>70955.755312316614</v>
          </cell>
          <cell r="AG228">
            <v>0</v>
          </cell>
          <cell r="AH228">
            <v>0</v>
          </cell>
          <cell r="AI228">
            <v>0</v>
          </cell>
          <cell r="AJ228" t="str">
            <v xml:space="preserve">DUPHALAC </v>
          </cell>
          <cell r="AK228" t="str">
            <v>OVATEL</v>
          </cell>
          <cell r="AL228">
            <v>0</v>
          </cell>
          <cell r="AM228">
            <v>0</v>
          </cell>
          <cell r="AN228">
            <v>0.25</v>
          </cell>
          <cell r="AO228">
            <v>8190</v>
          </cell>
          <cell r="AP228">
            <v>366.63</v>
          </cell>
          <cell r="AQ228">
            <v>0</v>
          </cell>
          <cell r="AR228">
            <v>0</v>
          </cell>
          <cell r="AS228">
            <v>8862.0410756574474</v>
          </cell>
          <cell r="AT228">
            <v>1299.8699999999999</v>
          </cell>
          <cell r="AU228">
            <v>0</v>
          </cell>
          <cell r="AV228">
            <v>0</v>
          </cell>
          <cell r="AW228" t="str">
            <v>CREON</v>
          </cell>
          <cell r="AX228">
            <v>0</v>
          </cell>
          <cell r="AY228">
            <v>0</v>
          </cell>
          <cell r="AZ228">
            <v>0</v>
          </cell>
          <cell r="BA228">
            <v>5.0000000000000044E-2</v>
          </cell>
          <cell r="BB228">
            <v>8024.7907500000001</v>
          </cell>
          <cell r="BC228">
            <v>0</v>
          </cell>
          <cell r="BD228">
            <v>0</v>
          </cell>
          <cell r="BE228">
            <v>0</v>
          </cell>
          <cell r="BF228">
            <v>7254.6</v>
          </cell>
          <cell r="BG228">
            <v>0</v>
          </cell>
          <cell r="BH228">
            <v>0</v>
          </cell>
          <cell r="BI228">
            <v>0</v>
          </cell>
          <cell r="BJ228">
            <v>213633.92074999999</v>
          </cell>
          <cell r="BK228">
            <v>222116.76638797406</v>
          </cell>
          <cell r="BL228" t="str">
            <v/>
          </cell>
          <cell r="BM228">
            <v>0.96</v>
          </cell>
          <cell r="BO228" t="str">
            <v>Staff</v>
          </cell>
          <cell r="BP228">
            <v>41506</v>
          </cell>
          <cell r="BQ228">
            <v>3</v>
          </cell>
          <cell r="BR228">
            <v>4</v>
          </cell>
          <cell r="BS228">
            <v>6</v>
          </cell>
          <cell r="BT228">
            <v>395525</v>
          </cell>
          <cell r="BU228">
            <v>1</v>
          </cell>
          <cell r="BW228">
            <v>0.93300000000000005</v>
          </cell>
          <cell r="BX228">
            <v>1.0189999999999999</v>
          </cell>
          <cell r="BY228">
            <v>0.84199999999999997</v>
          </cell>
          <cell r="BZ228">
            <v>1.1060000000000001</v>
          </cell>
          <cell r="CG228">
            <v>0.96</v>
          </cell>
          <cell r="CH228">
            <v>1</v>
          </cell>
          <cell r="CI228">
            <v>0.82</v>
          </cell>
          <cell r="CJ228">
            <v>0</v>
          </cell>
          <cell r="CK228">
            <v>1</v>
          </cell>
        </row>
        <row r="229">
          <cell r="A229" t="str">
            <v>15Q2</v>
          </cell>
          <cell r="B229" t="str">
            <v>Q2</v>
          </cell>
          <cell r="C229">
            <v>15</v>
          </cell>
          <cell r="D229" t="str">
            <v>Bayzakova Gulzhan</v>
          </cell>
          <cell r="E229" t="str">
            <v>Medical Representative</v>
          </cell>
          <cell r="F229">
            <v>42370</v>
          </cell>
          <cell r="G229" t="str">
            <v/>
          </cell>
          <cell r="H229" t="str">
            <v/>
          </cell>
          <cell r="I229" t="str">
            <v>Line 1</v>
          </cell>
          <cell r="J229" t="str">
            <v>CREON</v>
          </cell>
          <cell r="K229" t="str">
            <v xml:space="preserve">DUPHALAC </v>
          </cell>
          <cell r="L229">
            <v>0</v>
          </cell>
          <cell r="M229">
            <v>0</v>
          </cell>
          <cell r="N229">
            <v>0.5</v>
          </cell>
          <cell r="O229">
            <v>160495.815</v>
          </cell>
          <cell r="P229">
            <v>81900</v>
          </cell>
          <cell r="Q229">
            <v>0</v>
          </cell>
          <cell r="R229">
            <v>0</v>
          </cell>
          <cell r="S229">
            <v>145092</v>
          </cell>
          <cell r="T229">
            <v>88620.410756574478</v>
          </cell>
          <cell r="U229">
            <v>0</v>
          </cell>
          <cell r="V229">
            <v>0</v>
          </cell>
          <cell r="W229" t="str">
            <v>HEPTRAL</v>
          </cell>
          <cell r="X229" t="str">
            <v xml:space="preserve">DUSPATALIN </v>
          </cell>
          <cell r="Y229">
            <v>0</v>
          </cell>
          <cell r="Z229">
            <v>0</v>
          </cell>
          <cell r="AA229">
            <v>0.35</v>
          </cell>
          <cell r="AB229">
            <v>121596.15000000001</v>
          </cell>
          <cell r="AC229">
            <v>23446</v>
          </cell>
          <cell r="AD229">
            <v>0</v>
          </cell>
          <cell r="AE229">
            <v>0</v>
          </cell>
          <cell r="AF229">
            <v>116725.70000000001</v>
          </cell>
          <cell r="AG229">
            <v>22052.712384430451</v>
          </cell>
          <cell r="AH229">
            <v>0</v>
          </cell>
          <cell r="AI229">
            <v>0</v>
          </cell>
          <cell r="AJ229" t="str">
            <v>IRS 19</v>
          </cell>
          <cell r="AK229" t="str">
            <v>IMUDON</v>
          </cell>
          <cell r="AL229">
            <v>0</v>
          </cell>
          <cell r="AM229">
            <v>0</v>
          </cell>
          <cell r="AN229">
            <v>0.1</v>
          </cell>
          <cell r="AO229">
            <v>9684</v>
          </cell>
          <cell r="AP229">
            <v>20923.199999999997</v>
          </cell>
          <cell r="AQ229">
            <v>0</v>
          </cell>
          <cell r="AR229">
            <v>0</v>
          </cell>
          <cell r="AS229">
            <v>7447.559412087332</v>
          </cell>
          <cell r="AT229">
            <v>16560</v>
          </cell>
          <cell r="AU229">
            <v>0</v>
          </cell>
          <cell r="AV229">
            <v>0</v>
          </cell>
          <cell r="AW229" t="str">
            <v xml:space="preserve">GANATON </v>
          </cell>
          <cell r="AX229" t="str">
            <v>DUPHABEARS</v>
          </cell>
          <cell r="AY229">
            <v>0</v>
          </cell>
          <cell r="AZ229">
            <v>0</v>
          </cell>
          <cell r="BA229">
            <v>5.0000000000000017E-2</v>
          </cell>
          <cell r="BB229">
            <v>3071</v>
          </cell>
          <cell r="BC229">
            <v>2156.6</v>
          </cell>
          <cell r="BD229">
            <v>0</v>
          </cell>
          <cell r="BE229">
            <v>0</v>
          </cell>
          <cell r="BF229">
            <v>3984</v>
          </cell>
          <cell r="BG229">
            <v>1824.4999999999998</v>
          </cell>
          <cell r="BH229">
            <v>0</v>
          </cell>
          <cell r="BI229">
            <v>0</v>
          </cell>
          <cell r="BJ229">
            <v>423272.76500000001</v>
          </cell>
          <cell r="BK229">
            <v>402306.88255309226</v>
          </cell>
          <cell r="BL229" t="str">
            <v/>
          </cell>
          <cell r="BM229">
            <v>0.86</v>
          </cell>
          <cell r="BO229" t="str">
            <v>Staff</v>
          </cell>
          <cell r="BP229">
            <v>42461</v>
          </cell>
          <cell r="BQ229">
            <v>3</v>
          </cell>
          <cell r="BR229">
            <v>4</v>
          </cell>
          <cell r="BS229">
            <v>6</v>
          </cell>
          <cell r="BT229">
            <v>395525</v>
          </cell>
          <cell r="BU229">
            <v>1</v>
          </cell>
          <cell r="BW229">
            <v>1.0369999999999999</v>
          </cell>
          <cell r="BX229">
            <v>1.0449999999999999</v>
          </cell>
          <cell r="BY229">
            <v>1.2749999999999999</v>
          </cell>
          <cell r="BZ229">
            <v>0.9</v>
          </cell>
          <cell r="CG229">
            <v>1.05</v>
          </cell>
          <cell r="CH229">
            <v>1</v>
          </cell>
          <cell r="CI229">
            <v>1.5</v>
          </cell>
          <cell r="CJ229">
            <v>0</v>
          </cell>
          <cell r="CK229">
            <v>0.5</v>
          </cell>
        </row>
        <row r="230">
          <cell r="A230" t="str">
            <v>16Q2</v>
          </cell>
          <cell r="B230" t="str">
            <v>Q2</v>
          </cell>
          <cell r="C230">
            <v>16</v>
          </cell>
          <cell r="D230" t="str">
            <v>Bekbauova Saltanat</v>
          </cell>
          <cell r="E230" t="str">
            <v>Medical Representative</v>
          </cell>
          <cell r="F230">
            <v>41353</v>
          </cell>
          <cell r="G230" t="str">
            <v/>
          </cell>
          <cell r="H230" t="str">
            <v/>
          </cell>
          <cell r="I230" t="str">
            <v>Line 1</v>
          </cell>
          <cell r="J230" t="str">
            <v>CREON</v>
          </cell>
          <cell r="K230" t="str">
            <v xml:space="preserve">DUPHALAC </v>
          </cell>
          <cell r="L230">
            <v>0</v>
          </cell>
          <cell r="M230">
            <v>0</v>
          </cell>
          <cell r="N230">
            <v>0.5</v>
          </cell>
          <cell r="O230">
            <v>79246.080000000002</v>
          </cell>
          <cell r="P230">
            <v>24704.5</v>
          </cell>
          <cell r="Q230">
            <v>0</v>
          </cell>
          <cell r="R230">
            <v>0</v>
          </cell>
          <cell r="S230">
            <v>65202</v>
          </cell>
          <cell r="T230">
            <v>28052.101912409886</v>
          </cell>
          <cell r="U230">
            <v>0</v>
          </cell>
          <cell r="V230">
            <v>0</v>
          </cell>
          <cell r="W230" t="str">
            <v>HEPTRAL</v>
          </cell>
          <cell r="X230" t="str">
            <v xml:space="preserve">DUSPATALIN </v>
          </cell>
          <cell r="Y230">
            <v>0</v>
          </cell>
          <cell r="Z230">
            <v>0</v>
          </cell>
          <cell r="AA230">
            <v>0.35</v>
          </cell>
          <cell r="AB230">
            <v>36024.820000000007</v>
          </cell>
          <cell r="AC230">
            <v>12654</v>
          </cell>
          <cell r="AD230">
            <v>0</v>
          </cell>
          <cell r="AE230">
            <v>0</v>
          </cell>
          <cell r="AF230">
            <v>32495.957277667152</v>
          </cell>
          <cell r="AG230">
            <v>12338.382449688765</v>
          </cell>
          <cell r="AH230">
            <v>0</v>
          </cell>
          <cell r="AI230">
            <v>0</v>
          </cell>
          <cell r="AJ230" t="str">
            <v>IRS 19</v>
          </cell>
          <cell r="AK230" t="str">
            <v>IMUDON</v>
          </cell>
          <cell r="AL230">
            <v>0</v>
          </cell>
          <cell r="AM230">
            <v>0</v>
          </cell>
          <cell r="AN230">
            <v>0.1</v>
          </cell>
          <cell r="AO230">
            <v>3156</v>
          </cell>
          <cell r="AP230">
            <v>5232</v>
          </cell>
          <cell r="AQ230">
            <v>0</v>
          </cell>
          <cell r="AR230">
            <v>0</v>
          </cell>
          <cell r="AS230">
            <v>4355.2781782145994</v>
          </cell>
          <cell r="AT230">
            <v>6625.9450038751165</v>
          </cell>
          <cell r="AU230">
            <v>0</v>
          </cell>
          <cell r="AV230">
            <v>0</v>
          </cell>
          <cell r="AW230" t="str">
            <v xml:space="preserve">GANATON </v>
          </cell>
          <cell r="AX230" t="str">
            <v>DUPHABEARS</v>
          </cell>
          <cell r="AY230">
            <v>0</v>
          </cell>
          <cell r="AZ230">
            <v>0</v>
          </cell>
          <cell r="BA230">
            <v>5.0000000000000017E-2</v>
          </cell>
          <cell r="BB230">
            <v>979.40000000000009</v>
          </cell>
          <cell r="BC230">
            <v>598.59999999999991</v>
          </cell>
          <cell r="BD230">
            <v>0</v>
          </cell>
          <cell r="BE230">
            <v>0</v>
          </cell>
          <cell r="BF230">
            <v>1543.8000000000002</v>
          </cell>
          <cell r="BG230">
            <v>1094.6999999999998</v>
          </cell>
          <cell r="BH230">
            <v>0</v>
          </cell>
          <cell r="BI230">
            <v>0</v>
          </cell>
          <cell r="BJ230">
            <v>162595.40000000002</v>
          </cell>
          <cell r="BK230">
            <v>151708.16482185552</v>
          </cell>
          <cell r="BL230" t="str">
            <v/>
          </cell>
          <cell r="BM230">
            <v>0.97</v>
          </cell>
          <cell r="BO230" t="str">
            <v>Staff</v>
          </cell>
          <cell r="BP230">
            <v>41445</v>
          </cell>
          <cell r="BQ230">
            <v>3</v>
          </cell>
          <cell r="BR230">
            <v>4</v>
          </cell>
          <cell r="BS230">
            <v>6</v>
          </cell>
          <cell r="BT230">
            <v>395525</v>
          </cell>
          <cell r="BU230">
            <v>1</v>
          </cell>
          <cell r="BW230">
            <v>1.115</v>
          </cell>
          <cell r="BX230">
            <v>1.0860000000000001</v>
          </cell>
          <cell r="BY230">
            <v>0.76400000000000001</v>
          </cell>
          <cell r="BZ230">
            <v>0.59799999999999998</v>
          </cell>
          <cell r="CG230">
            <v>1.07</v>
          </cell>
          <cell r="CH230">
            <v>1</v>
          </cell>
          <cell r="CI230">
            <v>1.7</v>
          </cell>
          <cell r="CJ230">
            <v>0</v>
          </cell>
          <cell r="CK230">
            <v>1</v>
          </cell>
        </row>
        <row r="231">
          <cell r="A231" t="str">
            <v>17Q2</v>
          </cell>
          <cell r="B231" t="str">
            <v>Q2</v>
          </cell>
          <cell r="C231">
            <v>17</v>
          </cell>
          <cell r="D231" t="str">
            <v>Boyarova Alfiya</v>
          </cell>
          <cell r="E231" t="str">
            <v>Medical Representative</v>
          </cell>
          <cell r="F231">
            <v>40591</v>
          </cell>
          <cell r="G231" t="str">
            <v/>
          </cell>
          <cell r="H231" t="str">
            <v/>
          </cell>
          <cell r="I231" t="str">
            <v>Line 2</v>
          </cell>
          <cell r="J231" t="str">
            <v xml:space="preserve">DUPHASTON </v>
          </cell>
          <cell r="K231" t="str">
            <v>FEMOSTON</v>
          </cell>
          <cell r="L231">
            <v>0</v>
          </cell>
          <cell r="M231">
            <v>0</v>
          </cell>
          <cell r="N231">
            <v>0.3</v>
          </cell>
          <cell r="O231">
            <v>23881.5</v>
          </cell>
          <cell r="P231">
            <v>6948.4</v>
          </cell>
          <cell r="Q231">
            <v>0</v>
          </cell>
          <cell r="R231">
            <v>0</v>
          </cell>
          <cell r="S231">
            <v>27931.635358385909</v>
          </cell>
          <cell r="T231">
            <v>10908.006631401131</v>
          </cell>
          <cell r="U231">
            <v>0</v>
          </cell>
          <cell r="V231">
            <v>0</v>
          </cell>
          <cell r="W231" t="str">
            <v>PHYSIOTENS</v>
          </cell>
          <cell r="X231" t="str">
            <v>TRICOR /LIPANTHYL</v>
          </cell>
          <cell r="Y231" t="str">
            <v>OMACOR</v>
          </cell>
          <cell r="Z231">
            <v>0</v>
          </cell>
          <cell r="AA231">
            <v>0.25</v>
          </cell>
          <cell r="AB231">
            <v>32455.5</v>
          </cell>
          <cell r="AC231">
            <v>1596.4799999999998</v>
          </cell>
          <cell r="AD231">
            <v>186</v>
          </cell>
          <cell r="AE231">
            <v>0</v>
          </cell>
          <cell r="AF231">
            <v>68491.224184436389</v>
          </cell>
          <cell r="AG231">
            <v>3658.6</v>
          </cell>
          <cell r="AH231">
            <v>651</v>
          </cell>
          <cell r="AI231">
            <v>0</v>
          </cell>
          <cell r="AJ231" t="str">
            <v>HEPTRAL</v>
          </cell>
          <cell r="AK231">
            <v>0</v>
          </cell>
          <cell r="AL231">
            <v>0</v>
          </cell>
          <cell r="AM231">
            <v>0</v>
          </cell>
          <cell r="AN231">
            <v>0.25</v>
          </cell>
          <cell r="AO231">
            <v>23080.980000000003</v>
          </cell>
          <cell r="AP231">
            <v>0</v>
          </cell>
          <cell r="AQ231">
            <v>0</v>
          </cell>
          <cell r="AR231">
            <v>0</v>
          </cell>
          <cell r="AS231">
            <v>29211.950232160732</v>
          </cell>
          <cell r="AT231">
            <v>0</v>
          </cell>
          <cell r="AU231">
            <v>0</v>
          </cell>
          <cell r="AV231">
            <v>0</v>
          </cell>
          <cell r="AW231" t="str">
            <v>BETASERC</v>
          </cell>
          <cell r="AX231" t="str">
            <v xml:space="preserve">DUPHALAC </v>
          </cell>
          <cell r="AY231" t="str">
            <v>CREON</v>
          </cell>
          <cell r="AZ231">
            <v>0</v>
          </cell>
          <cell r="BA231">
            <v>0.19999999999999996</v>
          </cell>
          <cell r="BB231">
            <v>11205.36</v>
          </cell>
          <cell r="BC231">
            <v>1796.5500000000002</v>
          </cell>
          <cell r="BD231">
            <v>2285.3705000000004</v>
          </cell>
          <cell r="BE231">
            <v>0</v>
          </cell>
          <cell r="BF231">
            <v>9842.4182043753171</v>
          </cell>
          <cell r="BG231">
            <v>2312.4063139560835</v>
          </cell>
          <cell r="BH231">
            <v>1763.0870787457488</v>
          </cell>
          <cell r="BI231">
            <v>0</v>
          </cell>
          <cell r="BJ231">
            <v>103436.14050000001</v>
          </cell>
          <cell r="BK231">
            <v>154770.32800346133</v>
          </cell>
          <cell r="BL231" t="str">
            <v/>
          </cell>
          <cell r="BM231">
            <v>0.85</v>
          </cell>
          <cell r="BO231" t="str">
            <v>Staff</v>
          </cell>
          <cell r="BP231">
            <v>40680</v>
          </cell>
          <cell r="BQ231">
            <v>3</v>
          </cell>
          <cell r="BR231">
            <v>4</v>
          </cell>
          <cell r="BS231">
            <v>6</v>
          </cell>
          <cell r="BT231">
            <v>395525</v>
          </cell>
          <cell r="BU231">
            <v>1</v>
          </cell>
          <cell r="BW231">
            <v>0.79400000000000004</v>
          </cell>
          <cell r="BX231">
            <v>0.47</v>
          </cell>
          <cell r="BY231">
            <v>0.79</v>
          </cell>
          <cell r="BZ231">
            <v>1.0980000000000001</v>
          </cell>
          <cell r="CG231">
            <v>0.67</v>
          </cell>
          <cell r="CH231">
            <v>0</v>
          </cell>
          <cell r="CI231">
            <v>0</v>
          </cell>
          <cell r="CJ231">
            <v>0</v>
          </cell>
          <cell r="CK231">
            <v>0.5</v>
          </cell>
        </row>
        <row r="232">
          <cell r="A232" t="str">
            <v>18Q2</v>
          </cell>
          <cell r="B232" t="str">
            <v>Q2</v>
          </cell>
          <cell r="C232">
            <v>18</v>
          </cell>
          <cell r="D232" t="str">
            <v>Brialinova Inkar</v>
          </cell>
          <cell r="E232" t="str">
            <v>Medical Representative</v>
          </cell>
          <cell r="F232">
            <v>41715</v>
          </cell>
          <cell r="G232" t="str">
            <v/>
          </cell>
          <cell r="H232" t="str">
            <v/>
          </cell>
          <cell r="I232" t="str">
            <v>Line 1</v>
          </cell>
          <cell r="J232" t="str">
            <v>CREON</v>
          </cell>
          <cell r="K232" t="str">
            <v xml:space="preserve">DUPHALAC </v>
          </cell>
          <cell r="L232">
            <v>0</v>
          </cell>
          <cell r="M232">
            <v>0</v>
          </cell>
          <cell r="N232">
            <v>0.5</v>
          </cell>
          <cell r="O232">
            <v>55183.75</v>
          </cell>
          <cell r="P232">
            <v>30949.5</v>
          </cell>
          <cell r="Q232">
            <v>0</v>
          </cell>
          <cell r="R232">
            <v>0</v>
          </cell>
          <cell r="S232">
            <v>63605.1</v>
          </cell>
          <cell r="T232">
            <v>32225</v>
          </cell>
          <cell r="U232">
            <v>0</v>
          </cell>
          <cell r="V232">
            <v>0</v>
          </cell>
          <cell r="W232" t="str">
            <v>HEPTRAL</v>
          </cell>
          <cell r="X232" t="str">
            <v xml:space="preserve">DUSPATALIN </v>
          </cell>
          <cell r="Y232">
            <v>0</v>
          </cell>
          <cell r="Z232">
            <v>0</v>
          </cell>
          <cell r="AA232">
            <v>0.35</v>
          </cell>
          <cell r="AB232">
            <v>33647.380000000005</v>
          </cell>
          <cell r="AC232">
            <v>11191</v>
          </cell>
          <cell r="AD232">
            <v>0</v>
          </cell>
          <cell r="AE232">
            <v>0</v>
          </cell>
          <cell r="AF232">
            <v>49530.000000000015</v>
          </cell>
          <cell r="AG232">
            <v>12825</v>
          </cell>
          <cell r="AH232">
            <v>0</v>
          </cell>
          <cell r="AI232">
            <v>0</v>
          </cell>
          <cell r="AJ232" t="str">
            <v>IRS 19</v>
          </cell>
          <cell r="AK232" t="str">
            <v>IMUDON</v>
          </cell>
          <cell r="AL232">
            <v>0</v>
          </cell>
          <cell r="AM232">
            <v>0</v>
          </cell>
          <cell r="AN232">
            <v>0.1</v>
          </cell>
          <cell r="AO232">
            <v>4212</v>
          </cell>
          <cell r="AP232">
            <v>3996</v>
          </cell>
          <cell r="AQ232">
            <v>0</v>
          </cell>
          <cell r="AR232">
            <v>0</v>
          </cell>
          <cell r="AS232">
            <v>4320</v>
          </cell>
          <cell r="AT232">
            <v>7200</v>
          </cell>
          <cell r="AU232">
            <v>0</v>
          </cell>
          <cell r="AV232">
            <v>0</v>
          </cell>
          <cell r="AW232" t="str">
            <v xml:space="preserve">GANATON </v>
          </cell>
          <cell r="AX232" t="str">
            <v>DUPHABEARS</v>
          </cell>
          <cell r="AY232">
            <v>0</v>
          </cell>
          <cell r="AZ232">
            <v>0</v>
          </cell>
          <cell r="BA232">
            <v>5.0000000000000017E-2</v>
          </cell>
          <cell r="BB232">
            <v>1411</v>
          </cell>
          <cell r="BC232">
            <v>114.79999999999998</v>
          </cell>
          <cell r="BD232">
            <v>0</v>
          </cell>
          <cell r="BE232">
            <v>0</v>
          </cell>
          <cell r="BF232">
            <v>1494.0000000000002</v>
          </cell>
          <cell r="BG232">
            <v>1094.6999999999998</v>
          </cell>
          <cell r="BH232">
            <v>0</v>
          </cell>
          <cell r="BI232">
            <v>0</v>
          </cell>
          <cell r="BJ232">
            <v>140705.43</v>
          </cell>
          <cell r="BK232">
            <v>172293.80000000005</v>
          </cell>
          <cell r="BL232" t="str">
            <v/>
          </cell>
          <cell r="BM232">
            <v>0.98</v>
          </cell>
          <cell r="BO232" t="str">
            <v>Staff</v>
          </cell>
          <cell r="BP232">
            <v>41807</v>
          </cell>
          <cell r="BQ232">
            <v>3</v>
          </cell>
          <cell r="BR232">
            <v>4</v>
          </cell>
          <cell r="BS232">
            <v>6</v>
          </cell>
          <cell r="BT232">
            <v>395525</v>
          </cell>
          <cell r="BU232">
            <v>1</v>
          </cell>
          <cell r="BW232">
            <v>0.89900000000000002</v>
          </cell>
          <cell r="BX232">
            <v>0.71899999999999997</v>
          </cell>
          <cell r="BY232">
            <v>0.71299999999999997</v>
          </cell>
          <cell r="BZ232">
            <v>0.58899999999999997</v>
          </cell>
          <cell r="CG232">
            <v>0.82</v>
          </cell>
          <cell r="CH232">
            <v>0</v>
          </cell>
          <cell r="CI232">
            <v>0</v>
          </cell>
          <cell r="CJ232">
            <v>0</v>
          </cell>
          <cell r="CK232">
            <v>1</v>
          </cell>
        </row>
        <row r="233">
          <cell r="A233" t="str">
            <v>19Q2</v>
          </cell>
          <cell r="B233" t="str">
            <v>Q2</v>
          </cell>
          <cell r="C233">
            <v>19</v>
          </cell>
          <cell r="D233" t="str">
            <v>Donayeva Nazira</v>
          </cell>
          <cell r="E233" t="str">
            <v>Medical Representative</v>
          </cell>
          <cell r="F233">
            <v>42583</v>
          </cell>
          <cell r="G233" t="str">
            <v/>
          </cell>
          <cell r="H233" t="str">
            <v/>
          </cell>
          <cell r="I233" t="str">
            <v>Line 1</v>
          </cell>
          <cell r="J233" t="str">
            <v>CREON</v>
          </cell>
          <cell r="K233" t="str">
            <v xml:space="preserve">DUPHALAC </v>
          </cell>
          <cell r="L233">
            <v>0</v>
          </cell>
          <cell r="M233">
            <v>0</v>
          </cell>
          <cell r="N233">
            <v>0.5</v>
          </cell>
          <cell r="O233">
            <v>399217.53</v>
          </cell>
          <cell r="P233">
            <v>153333</v>
          </cell>
          <cell r="Q233">
            <v>0</v>
          </cell>
          <cell r="R233">
            <v>0</v>
          </cell>
          <cell r="S233">
            <v>335734.28</v>
          </cell>
          <cell r="T233">
            <v>186923.4594124007</v>
          </cell>
          <cell r="U233">
            <v>0</v>
          </cell>
          <cell r="V233">
            <v>0</v>
          </cell>
          <cell r="W233" t="str">
            <v>HEPTRAL</v>
          </cell>
          <cell r="X233" t="str">
            <v xml:space="preserve">DUSPATALIN </v>
          </cell>
          <cell r="Y233">
            <v>0</v>
          </cell>
          <cell r="Z233">
            <v>0</v>
          </cell>
          <cell r="AA233">
            <v>0.35</v>
          </cell>
          <cell r="AB233">
            <v>331058.52</v>
          </cell>
          <cell r="AC233">
            <v>36404</v>
          </cell>
          <cell r="AD233">
            <v>0</v>
          </cell>
          <cell r="AE233">
            <v>0</v>
          </cell>
          <cell r="AF233">
            <v>356616</v>
          </cell>
          <cell r="AG233">
            <v>42750</v>
          </cell>
          <cell r="AH233">
            <v>0</v>
          </cell>
          <cell r="AI233">
            <v>0</v>
          </cell>
          <cell r="AJ233" t="str">
            <v>IRS 19</v>
          </cell>
          <cell r="AK233" t="str">
            <v>IMUDON</v>
          </cell>
          <cell r="AL233">
            <v>0</v>
          </cell>
          <cell r="AM233">
            <v>0</v>
          </cell>
          <cell r="AN233">
            <v>0.1</v>
          </cell>
          <cell r="AO233">
            <v>23592</v>
          </cell>
          <cell r="AP233">
            <v>34668</v>
          </cell>
          <cell r="AQ233">
            <v>0</v>
          </cell>
          <cell r="AR233">
            <v>0</v>
          </cell>
          <cell r="AS233">
            <v>21600</v>
          </cell>
          <cell r="AT233">
            <v>28248</v>
          </cell>
          <cell r="AU233">
            <v>0</v>
          </cell>
          <cell r="AV233">
            <v>0</v>
          </cell>
          <cell r="AW233" t="str">
            <v xml:space="preserve">GANATON </v>
          </cell>
          <cell r="AX233" t="str">
            <v>DUPHABEARS</v>
          </cell>
          <cell r="AY233">
            <v>0</v>
          </cell>
          <cell r="AZ233">
            <v>0</v>
          </cell>
          <cell r="BA233">
            <v>5.0000000000000017E-2</v>
          </cell>
          <cell r="BB233">
            <v>4266.2000000000007</v>
          </cell>
          <cell r="BC233">
            <v>1861.3999999999999</v>
          </cell>
          <cell r="BD233">
            <v>0</v>
          </cell>
          <cell r="BE233">
            <v>0</v>
          </cell>
          <cell r="BF233">
            <v>7470</v>
          </cell>
          <cell r="BG233">
            <v>3279.9999999999995</v>
          </cell>
          <cell r="BH233">
            <v>0</v>
          </cell>
          <cell r="BI233">
            <v>0</v>
          </cell>
          <cell r="BJ233">
            <v>984400.65</v>
          </cell>
          <cell r="BK233">
            <v>982621.73941240076</v>
          </cell>
          <cell r="BL233" t="str">
            <v/>
          </cell>
          <cell r="BM233">
            <v>0.95</v>
          </cell>
          <cell r="BO233" t="str">
            <v>Staff</v>
          </cell>
          <cell r="BP233">
            <v>42675</v>
          </cell>
          <cell r="BQ233">
            <v>3</v>
          </cell>
          <cell r="BR233">
            <v>4</v>
          </cell>
          <cell r="BS233">
            <v>6</v>
          </cell>
          <cell r="BT233">
            <v>395525</v>
          </cell>
          <cell r="BU233">
            <v>1</v>
          </cell>
          <cell r="BW233">
            <v>1.0569999999999999</v>
          </cell>
          <cell r="BX233">
            <v>0.92</v>
          </cell>
          <cell r="BY233">
            <v>1.169</v>
          </cell>
          <cell r="BZ233">
            <v>0.56999999999999995</v>
          </cell>
          <cell r="CG233">
            <v>1</v>
          </cell>
          <cell r="CH233">
            <v>1</v>
          </cell>
          <cell r="CI233">
            <v>1</v>
          </cell>
          <cell r="CJ233">
            <v>0</v>
          </cell>
          <cell r="CK233">
            <v>1</v>
          </cell>
        </row>
        <row r="234">
          <cell r="A234" t="str">
            <v>20Q2</v>
          </cell>
          <cell r="B234" t="str">
            <v>Q2</v>
          </cell>
          <cell r="C234">
            <v>20</v>
          </cell>
          <cell r="D234" t="str">
            <v>Dratkov Grigoriy</v>
          </cell>
          <cell r="E234" t="str">
            <v>Pharm Representative</v>
          </cell>
          <cell r="F234">
            <v>42522</v>
          </cell>
          <cell r="G234" t="str">
            <v/>
          </cell>
          <cell r="H234" t="str">
            <v/>
          </cell>
          <cell r="I234" t="str">
            <v>Pharma line</v>
          </cell>
          <cell r="J234" t="str">
            <v>CREON</v>
          </cell>
          <cell r="K234">
            <v>0</v>
          </cell>
          <cell r="L234">
            <v>0</v>
          </cell>
          <cell r="M234">
            <v>0</v>
          </cell>
          <cell r="N234">
            <v>0.45</v>
          </cell>
          <cell r="O234">
            <v>399217.53</v>
          </cell>
          <cell r="P234">
            <v>0</v>
          </cell>
          <cell r="Q234">
            <v>0</v>
          </cell>
          <cell r="R234">
            <v>0</v>
          </cell>
          <cell r="S234">
            <v>335734.28</v>
          </cell>
          <cell r="T234">
            <v>0</v>
          </cell>
          <cell r="U234">
            <v>0</v>
          </cell>
          <cell r="V234">
            <v>0</v>
          </cell>
          <cell r="W234" t="str">
            <v xml:space="preserve">DUPHALAC </v>
          </cell>
          <cell r="X234">
            <v>0</v>
          </cell>
          <cell r="Y234">
            <v>0</v>
          </cell>
          <cell r="Z234">
            <v>0</v>
          </cell>
          <cell r="AA234">
            <v>0.3</v>
          </cell>
          <cell r="AB234">
            <v>153333</v>
          </cell>
          <cell r="AC234">
            <v>0</v>
          </cell>
          <cell r="AD234">
            <v>0</v>
          </cell>
          <cell r="AE234">
            <v>0</v>
          </cell>
          <cell r="AF234">
            <v>186923.4594124007</v>
          </cell>
          <cell r="AG234">
            <v>0</v>
          </cell>
          <cell r="AH234">
            <v>0</v>
          </cell>
          <cell r="AI234">
            <v>0</v>
          </cell>
          <cell r="AJ234" t="str">
            <v>IRS 19</v>
          </cell>
          <cell r="AK234" t="str">
            <v>IMUDON</v>
          </cell>
          <cell r="AL234">
            <v>0</v>
          </cell>
          <cell r="AM234">
            <v>0</v>
          </cell>
          <cell r="AN234">
            <v>0.15</v>
          </cell>
          <cell r="AO234">
            <v>23592</v>
          </cell>
          <cell r="AP234">
            <v>34668</v>
          </cell>
          <cell r="AQ234">
            <v>0</v>
          </cell>
          <cell r="AR234">
            <v>0</v>
          </cell>
          <cell r="AS234">
            <v>21600</v>
          </cell>
          <cell r="AT234">
            <v>28248</v>
          </cell>
          <cell r="AU234">
            <v>0</v>
          </cell>
          <cell r="AV234">
            <v>0</v>
          </cell>
          <cell r="AW234" t="str">
            <v>DUPHABEARS</v>
          </cell>
          <cell r="AX234">
            <v>0</v>
          </cell>
          <cell r="AY234">
            <v>0</v>
          </cell>
          <cell r="AZ234">
            <v>0</v>
          </cell>
          <cell r="BA234">
            <v>0.10000000000000006</v>
          </cell>
          <cell r="BB234">
            <v>1861.3999999999999</v>
          </cell>
          <cell r="BC234">
            <v>0</v>
          </cell>
          <cell r="BD234">
            <v>0</v>
          </cell>
          <cell r="BE234">
            <v>0</v>
          </cell>
          <cell r="BF234">
            <v>3279.9999999999995</v>
          </cell>
          <cell r="BG234">
            <v>0</v>
          </cell>
          <cell r="BH234">
            <v>0</v>
          </cell>
          <cell r="BI234">
            <v>0</v>
          </cell>
          <cell r="BJ234">
            <v>612671.93000000005</v>
          </cell>
          <cell r="BK234">
            <v>575785.73941240076</v>
          </cell>
          <cell r="BL234" t="str">
            <v/>
          </cell>
          <cell r="BM234">
            <v>1</v>
          </cell>
          <cell r="BO234" t="str">
            <v>Staff</v>
          </cell>
          <cell r="BP234">
            <v>42614</v>
          </cell>
          <cell r="BQ234">
            <v>3</v>
          </cell>
          <cell r="BR234">
            <v>4</v>
          </cell>
          <cell r="BS234">
            <v>6</v>
          </cell>
          <cell r="BT234">
            <v>395525</v>
          </cell>
          <cell r="BU234">
            <v>1</v>
          </cell>
          <cell r="BW234">
            <v>1.1890000000000001</v>
          </cell>
          <cell r="BX234">
            <v>0.82</v>
          </cell>
          <cell r="BY234">
            <v>1.169</v>
          </cell>
          <cell r="BZ234">
            <v>0.56799999999999995</v>
          </cell>
          <cell r="CG234">
            <v>1.06</v>
          </cell>
          <cell r="CH234">
            <v>1</v>
          </cell>
          <cell r="CI234">
            <v>1.6</v>
          </cell>
          <cell r="CJ234">
            <v>0</v>
          </cell>
          <cell r="CK234">
            <v>1</v>
          </cell>
        </row>
        <row r="235">
          <cell r="A235" t="str">
            <v>21Q2</v>
          </cell>
          <cell r="B235" t="str">
            <v>Q2</v>
          </cell>
          <cell r="C235">
            <v>21</v>
          </cell>
          <cell r="D235" t="str">
            <v>Feist Yekaterina</v>
          </cell>
          <cell r="E235" t="str">
            <v>Medical Representative</v>
          </cell>
          <cell r="F235">
            <v>41891</v>
          </cell>
          <cell r="G235" t="str">
            <v/>
          </cell>
          <cell r="H235" t="str">
            <v/>
          </cell>
          <cell r="I235" t="str">
            <v>Line 1</v>
          </cell>
          <cell r="J235" t="str">
            <v>CREON</v>
          </cell>
          <cell r="K235" t="str">
            <v xml:space="preserve">DUPHALAC </v>
          </cell>
          <cell r="L235">
            <v>0</v>
          </cell>
          <cell r="M235">
            <v>0</v>
          </cell>
          <cell r="N235">
            <v>0.5</v>
          </cell>
          <cell r="O235">
            <v>66676.290000000008</v>
          </cell>
          <cell r="P235">
            <v>28754</v>
          </cell>
          <cell r="Q235">
            <v>0</v>
          </cell>
          <cell r="R235">
            <v>0</v>
          </cell>
          <cell r="S235">
            <v>62543.166730671452</v>
          </cell>
          <cell r="T235">
            <v>25035</v>
          </cell>
          <cell r="U235">
            <v>0</v>
          </cell>
          <cell r="V235">
            <v>0</v>
          </cell>
          <cell r="W235" t="str">
            <v>HEPTRAL</v>
          </cell>
          <cell r="X235" t="str">
            <v xml:space="preserve">DUSPATALIN </v>
          </cell>
          <cell r="Y235">
            <v>0</v>
          </cell>
          <cell r="Z235">
            <v>0</v>
          </cell>
          <cell r="AA235">
            <v>0.35</v>
          </cell>
          <cell r="AB235">
            <v>37543.740000000005</v>
          </cell>
          <cell r="AC235">
            <v>17195</v>
          </cell>
          <cell r="AD235">
            <v>0</v>
          </cell>
          <cell r="AE235">
            <v>0</v>
          </cell>
          <cell r="AF235">
            <v>36513.449450367698</v>
          </cell>
          <cell r="AG235">
            <v>17298.954781979974</v>
          </cell>
          <cell r="AH235">
            <v>0</v>
          </cell>
          <cell r="AI235">
            <v>0</v>
          </cell>
          <cell r="AJ235" t="str">
            <v>IRS 19</v>
          </cell>
          <cell r="AK235" t="str">
            <v>IMUDON</v>
          </cell>
          <cell r="AL235">
            <v>0</v>
          </cell>
          <cell r="AM235">
            <v>0</v>
          </cell>
          <cell r="AN235">
            <v>0.1</v>
          </cell>
          <cell r="AO235">
            <v>1752</v>
          </cell>
          <cell r="AP235">
            <v>4116</v>
          </cell>
          <cell r="AQ235">
            <v>0</v>
          </cell>
          <cell r="AR235">
            <v>0</v>
          </cell>
          <cell r="AS235">
            <v>3120</v>
          </cell>
          <cell r="AT235">
            <v>3600</v>
          </cell>
          <cell r="AU235">
            <v>0</v>
          </cell>
          <cell r="AV235">
            <v>0</v>
          </cell>
          <cell r="AW235" t="str">
            <v xml:space="preserve">GANATON </v>
          </cell>
          <cell r="AX235" t="str">
            <v>DUPHABEARS</v>
          </cell>
          <cell r="AY235">
            <v>0</v>
          </cell>
          <cell r="AZ235">
            <v>0</v>
          </cell>
          <cell r="BA235">
            <v>5.0000000000000017E-2</v>
          </cell>
          <cell r="BB235">
            <v>1543.8000000000002</v>
          </cell>
          <cell r="BC235">
            <v>610.9</v>
          </cell>
          <cell r="BD235">
            <v>0</v>
          </cell>
          <cell r="BE235">
            <v>0</v>
          </cell>
          <cell r="BF235">
            <v>1494.0000000000002</v>
          </cell>
          <cell r="BG235">
            <v>1094.6999999999998</v>
          </cell>
          <cell r="BH235">
            <v>0</v>
          </cell>
          <cell r="BI235">
            <v>0</v>
          </cell>
          <cell r="BJ235">
            <v>158191.73000000004</v>
          </cell>
          <cell r="BK235">
            <v>150699.27096301914</v>
          </cell>
          <cell r="BL235" t="str">
            <v/>
          </cell>
          <cell r="BM235">
            <v>0.99</v>
          </cell>
          <cell r="BO235" t="str">
            <v>Staff</v>
          </cell>
          <cell r="BP235">
            <v>41982</v>
          </cell>
          <cell r="BQ235">
            <v>3</v>
          </cell>
          <cell r="BR235">
            <v>4</v>
          </cell>
          <cell r="BS235">
            <v>6</v>
          </cell>
          <cell r="BT235">
            <v>395525</v>
          </cell>
          <cell r="BU235">
            <v>1</v>
          </cell>
          <cell r="BW235">
            <v>1.0900000000000001</v>
          </cell>
          <cell r="BX235">
            <v>1.0169999999999999</v>
          </cell>
          <cell r="BY235">
            <v>0.873</v>
          </cell>
          <cell r="BZ235">
            <v>0.83199999999999996</v>
          </cell>
          <cell r="CG235">
            <v>1.05</v>
          </cell>
          <cell r="CH235">
            <v>1</v>
          </cell>
          <cell r="CI235">
            <v>1.5</v>
          </cell>
          <cell r="CJ235">
            <v>0</v>
          </cell>
          <cell r="CK235">
            <v>1</v>
          </cell>
        </row>
        <row r="236">
          <cell r="A236" t="str">
            <v>22Q2</v>
          </cell>
          <cell r="B236" t="str">
            <v>Q2</v>
          </cell>
          <cell r="C236">
            <v>22</v>
          </cell>
          <cell r="D236" t="str">
            <v>Galiyeva Saule</v>
          </cell>
          <cell r="E236" t="str">
            <v>Regional Manager</v>
          </cell>
          <cell r="F236">
            <v>40680</v>
          </cell>
          <cell r="G236" t="str">
            <v/>
          </cell>
          <cell r="H236" t="str">
            <v/>
          </cell>
          <cell r="I236" t="str">
            <v>Regional Manager-1</v>
          </cell>
          <cell r="J236" t="str">
            <v>GASTRO</v>
          </cell>
          <cell r="K236">
            <v>0</v>
          </cell>
          <cell r="L236">
            <v>0</v>
          </cell>
          <cell r="M236">
            <v>0</v>
          </cell>
          <cell r="N236">
            <v>0.5</v>
          </cell>
          <cell r="O236">
            <v>457757.74500000005</v>
          </cell>
          <cell r="P236">
            <v>0</v>
          </cell>
          <cell r="Q236">
            <v>0</v>
          </cell>
          <cell r="R236">
            <v>0</v>
          </cell>
          <cell r="S236">
            <v>438897.5316754668</v>
          </cell>
          <cell r="T236">
            <v>0</v>
          </cell>
          <cell r="U236">
            <v>0</v>
          </cell>
          <cell r="V236">
            <v>0</v>
          </cell>
          <cell r="W236" t="str">
            <v>GYNECOLOGY</v>
          </cell>
          <cell r="X236">
            <v>0</v>
          </cell>
          <cell r="Y236">
            <v>0</v>
          </cell>
          <cell r="Z236">
            <v>0</v>
          </cell>
          <cell r="AA236">
            <v>0.25</v>
          </cell>
          <cell r="AB236">
            <v>223650.83000000005</v>
          </cell>
          <cell r="AC236">
            <v>0</v>
          </cell>
          <cell r="AD236">
            <v>0</v>
          </cell>
          <cell r="AE236">
            <v>0</v>
          </cell>
          <cell r="AF236">
            <v>234249.48492044554</v>
          </cell>
          <cell r="AG236">
            <v>0</v>
          </cell>
          <cell r="AH236">
            <v>0</v>
          </cell>
          <cell r="AI236">
            <v>0</v>
          </cell>
          <cell r="AJ236" t="str">
            <v>CARDIO-NEURO</v>
          </cell>
          <cell r="AK236">
            <v>0</v>
          </cell>
          <cell r="AL236">
            <v>0</v>
          </cell>
          <cell r="AM236">
            <v>0</v>
          </cell>
          <cell r="AN236">
            <v>0.2</v>
          </cell>
          <cell r="AO236">
            <v>249843.46000000002</v>
          </cell>
          <cell r="AP236">
            <v>0</v>
          </cell>
          <cell r="AQ236">
            <v>0</v>
          </cell>
          <cell r="AR236">
            <v>0</v>
          </cell>
          <cell r="AS236">
            <v>215228.73152454969</v>
          </cell>
          <cell r="AT236">
            <v>0</v>
          </cell>
          <cell r="AU236">
            <v>0</v>
          </cell>
          <cell r="AV236">
            <v>0</v>
          </cell>
          <cell r="AW236" t="str">
            <v>IMMUNOLOGY</v>
          </cell>
          <cell r="AX236">
            <v>0</v>
          </cell>
          <cell r="AY236">
            <v>0</v>
          </cell>
          <cell r="AZ236">
            <v>0</v>
          </cell>
          <cell r="BA236">
            <v>4.9999999999999989E-2</v>
          </cell>
          <cell r="BB236">
            <v>33643.199999999997</v>
          </cell>
          <cell r="BC236">
            <v>0</v>
          </cell>
          <cell r="BD236">
            <v>0</v>
          </cell>
          <cell r="BE236">
            <v>0</v>
          </cell>
          <cell r="BF236">
            <v>27427.559412087332</v>
          </cell>
          <cell r="BG236">
            <v>0</v>
          </cell>
          <cell r="BH236">
            <v>0</v>
          </cell>
          <cell r="BI236">
            <v>0</v>
          </cell>
          <cell r="BJ236">
            <v>964895.2350000001</v>
          </cell>
          <cell r="BK236">
            <v>915803.30753254937</v>
          </cell>
          <cell r="BL236">
            <v>0.77777777777777779</v>
          </cell>
          <cell r="BM236">
            <v>0.96875</v>
          </cell>
          <cell r="BO236" t="str">
            <v>Staff</v>
          </cell>
          <cell r="BP236">
            <v>40772</v>
          </cell>
          <cell r="BQ236">
            <v>3</v>
          </cell>
          <cell r="BR236">
            <v>4</v>
          </cell>
          <cell r="BS236">
            <v>6</v>
          </cell>
          <cell r="BT236">
            <v>726000</v>
          </cell>
          <cell r="BU236">
            <v>1</v>
          </cell>
          <cell r="BW236">
            <v>1.0429999999999999</v>
          </cell>
          <cell r="BX236">
            <v>0.95499999999999996</v>
          </cell>
          <cell r="BY236">
            <v>1.161</v>
          </cell>
          <cell r="BZ236">
            <v>1.2270000000000001</v>
          </cell>
          <cell r="CG236">
            <v>1.05</v>
          </cell>
          <cell r="CH236">
            <v>1</v>
          </cell>
          <cell r="CI236">
            <v>1.5</v>
          </cell>
          <cell r="CJ236">
            <v>1</v>
          </cell>
          <cell r="CK236">
            <v>1</v>
          </cell>
        </row>
        <row r="237">
          <cell r="A237" t="str">
            <v>23Q2</v>
          </cell>
          <cell r="B237" t="str">
            <v>Q2</v>
          </cell>
          <cell r="C237">
            <v>23</v>
          </cell>
          <cell r="D237" t="str">
            <v>Gulyakova Olga</v>
          </cell>
          <cell r="E237" t="str">
            <v>Medical Representative</v>
          </cell>
          <cell r="F237">
            <v>41918</v>
          </cell>
          <cell r="G237" t="str">
            <v/>
          </cell>
          <cell r="H237" t="str">
            <v/>
          </cell>
          <cell r="I237" t="str">
            <v>Line 1</v>
          </cell>
          <cell r="J237" t="str">
            <v>CREON</v>
          </cell>
          <cell r="K237" t="str">
            <v xml:space="preserve">DUPHALAC </v>
          </cell>
          <cell r="L237">
            <v>0</v>
          </cell>
          <cell r="M237">
            <v>0</v>
          </cell>
          <cell r="N237">
            <v>0.5</v>
          </cell>
          <cell r="O237">
            <v>129832.17</v>
          </cell>
          <cell r="P237">
            <v>52414.5</v>
          </cell>
          <cell r="Q237">
            <v>0</v>
          </cell>
          <cell r="R237">
            <v>0</v>
          </cell>
          <cell r="S237">
            <v>98093.769611340016</v>
          </cell>
          <cell r="T237">
            <v>57231.5</v>
          </cell>
          <cell r="U237">
            <v>0</v>
          </cell>
          <cell r="V237">
            <v>0</v>
          </cell>
          <cell r="W237" t="str">
            <v>HEPTRAL</v>
          </cell>
          <cell r="X237" t="str">
            <v xml:space="preserve">DUSPATALIN </v>
          </cell>
          <cell r="Y237">
            <v>0</v>
          </cell>
          <cell r="Z237">
            <v>0</v>
          </cell>
          <cell r="AA237">
            <v>0.35</v>
          </cell>
          <cell r="AB237">
            <v>53495.702000000005</v>
          </cell>
          <cell r="AC237">
            <v>14834.25</v>
          </cell>
          <cell r="AD237">
            <v>0</v>
          </cell>
          <cell r="AE237">
            <v>0</v>
          </cell>
          <cell r="AF237">
            <v>73553.020687511817</v>
          </cell>
          <cell r="AG237">
            <v>18525</v>
          </cell>
          <cell r="AH237">
            <v>0</v>
          </cell>
          <cell r="AI237">
            <v>0</v>
          </cell>
          <cell r="AJ237" t="str">
            <v>IRS 19</v>
          </cell>
          <cell r="AK237" t="str">
            <v>IMUDON</v>
          </cell>
          <cell r="AL237">
            <v>0</v>
          </cell>
          <cell r="AM237">
            <v>0</v>
          </cell>
          <cell r="AN237">
            <v>0.1</v>
          </cell>
          <cell r="AO237">
            <v>6744</v>
          </cell>
          <cell r="AP237">
            <v>8604</v>
          </cell>
          <cell r="AQ237">
            <v>0</v>
          </cell>
          <cell r="AR237">
            <v>0</v>
          </cell>
          <cell r="AS237">
            <v>5400</v>
          </cell>
          <cell r="AT237">
            <v>7920</v>
          </cell>
          <cell r="AU237">
            <v>0</v>
          </cell>
          <cell r="AV237">
            <v>0</v>
          </cell>
          <cell r="AW237" t="str">
            <v xml:space="preserve">GANATON </v>
          </cell>
          <cell r="AX237" t="str">
            <v>DUPHABEARS</v>
          </cell>
          <cell r="AY237">
            <v>0</v>
          </cell>
          <cell r="AZ237">
            <v>0</v>
          </cell>
          <cell r="BA237">
            <v>5.0000000000000017E-2</v>
          </cell>
          <cell r="BB237">
            <v>365.20000000000005</v>
          </cell>
          <cell r="BC237">
            <v>754.4</v>
          </cell>
          <cell r="BD237">
            <v>0</v>
          </cell>
          <cell r="BE237">
            <v>0</v>
          </cell>
          <cell r="BF237">
            <v>2490.0000000000005</v>
          </cell>
          <cell r="BG237">
            <v>1459.6</v>
          </cell>
          <cell r="BH237">
            <v>0</v>
          </cell>
          <cell r="BI237">
            <v>0</v>
          </cell>
          <cell r="BJ237">
            <v>267044.22199999995</v>
          </cell>
          <cell r="BK237">
            <v>264672.89029885182</v>
          </cell>
          <cell r="BL237" t="str">
            <v/>
          </cell>
          <cell r="BM237">
            <v>0.87</v>
          </cell>
          <cell r="BO237" t="str">
            <v>Staff</v>
          </cell>
          <cell r="BP237">
            <v>42010</v>
          </cell>
          <cell r="BQ237">
            <v>3</v>
          </cell>
          <cell r="BR237">
            <v>4</v>
          </cell>
          <cell r="BS237">
            <v>6</v>
          </cell>
          <cell r="BT237">
            <v>395525</v>
          </cell>
          <cell r="BU237">
            <v>1</v>
          </cell>
          <cell r="BW237">
            <v>1.173</v>
          </cell>
          <cell r="BX237">
            <v>0.74199999999999999</v>
          </cell>
          <cell r="BY237">
            <v>1.1519999999999999</v>
          </cell>
          <cell r="BZ237">
            <v>0.28299999999999997</v>
          </cell>
          <cell r="CG237">
            <v>1.01</v>
          </cell>
          <cell r="CH237">
            <v>1</v>
          </cell>
          <cell r="CI237">
            <v>1.1000000000000001</v>
          </cell>
          <cell r="CJ237">
            <v>0</v>
          </cell>
          <cell r="CK237">
            <v>0.5</v>
          </cell>
        </row>
        <row r="238">
          <cell r="A238" t="str">
            <v>24Q2</v>
          </cell>
          <cell r="B238" t="str">
            <v>Q2</v>
          </cell>
          <cell r="C238">
            <v>24</v>
          </cell>
          <cell r="D238" t="str">
            <v>Inkarbekova Nurbibi</v>
          </cell>
          <cell r="E238" t="str">
            <v>Medical Representative</v>
          </cell>
          <cell r="F238">
            <v>42513</v>
          </cell>
          <cell r="G238" t="str">
            <v/>
          </cell>
          <cell r="H238" t="str">
            <v/>
          </cell>
          <cell r="I238" t="str">
            <v>Line 1</v>
          </cell>
          <cell r="J238" t="str">
            <v>CREON</v>
          </cell>
          <cell r="K238" t="str">
            <v xml:space="preserve">DUPHALAC </v>
          </cell>
          <cell r="L238">
            <v>0</v>
          </cell>
          <cell r="M238">
            <v>0</v>
          </cell>
          <cell r="N238">
            <v>0.5</v>
          </cell>
          <cell r="O238">
            <v>399217.53</v>
          </cell>
          <cell r="P238">
            <v>153333</v>
          </cell>
          <cell r="Q238">
            <v>0</v>
          </cell>
          <cell r="R238">
            <v>0</v>
          </cell>
          <cell r="S238">
            <v>335734.28</v>
          </cell>
          <cell r="T238">
            <v>186923.4594124007</v>
          </cell>
          <cell r="U238">
            <v>0</v>
          </cell>
          <cell r="V238">
            <v>0</v>
          </cell>
          <cell r="W238" t="str">
            <v>HEPTRAL</v>
          </cell>
          <cell r="X238" t="str">
            <v xml:space="preserve">DUSPATALIN </v>
          </cell>
          <cell r="Y238">
            <v>0</v>
          </cell>
          <cell r="Z238">
            <v>0</v>
          </cell>
          <cell r="AA238">
            <v>0.35</v>
          </cell>
          <cell r="AB238">
            <v>331058.52</v>
          </cell>
          <cell r="AC238">
            <v>36404</v>
          </cell>
          <cell r="AD238">
            <v>0</v>
          </cell>
          <cell r="AE238">
            <v>0</v>
          </cell>
          <cell r="AF238">
            <v>356616</v>
          </cell>
          <cell r="AG238">
            <v>42750</v>
          </cell>
          <cell r="AH238">
            <v>0</v>
          </cell>
          <cell r="AI238">
            <v>0</v>
          </cell>
          <cell r="AJ238" t="str">
            <v>IRS 19</v>
          </cell>
          <cell r="AK238" t="str">
            <v>IMUDON</v>
          </cell>
          <cell r="AL238">
            <v>0</v>
          </cell>
          <cell r="AM238">
            <v>0</v>
          </cell>
          <cell r="AN238">
            <v>0.1</v>
          </cell>
          <cell r="AO238">
            <v>23592</v>
          </cell>
          <cell r="AP238">
            <v>34668</v>
          </cell>
          <cell r="AQ238">
            <v>0</v>
          </cell>
          <cell r="AR238">
            <v>0</v>
          </cell>
          <cell r="AS238">
            <v>21600</v>
          </cell>
          <cell r="AT238">
            <v>28248</v>
          </cell>
          <cell r="AU238">
            <v>0</v>
          </cell>
          <cell r="AV238">
            <v>0</v>
          </cell>
          <cell r="AW238" t="str">
            <v xml:space="preserve">GANATON </v>
          </cell>
          <cell r="AX238" t="str">
            <v>DUPHABEARS</v>
          </cell>
          <cell r="AY238">
            <v>0</v>
          </cell>
          <cell r="AZ238">
            <v>0</v>
          </cell>
          <cell r="BA238">
            <v>5.0000000000000017E-2</v>
          </cell>
          <cell r="BB238">
            <v>4266.2000000000007</v>
          </cell>
          <cell r="BC238">
            <v>1861.3999999999999</v>
          </cell>
          <cell r="BD238">
            <v>0</v>
          </cell>
          <cell r="BE238">
            <v>0</v>
          </cell>
          <cell r="BF238">
            <v>7470</v>
          </cell>
          <cell r="BG238">
            <v>3279.9999999999995</v>
          </cell>
          <cell r="BH238">
            <v>0</v>
          </cell>
          <cell r="BI238">
            <v>0</v>
          </cell>
          <cell r="BJ238">
            <v>984400.65</v>
          </cell>
          <cell r="BK238">
            <v>982621.73941240076</v>
          </cell>
          <cell r="BL238" t="str">
            <v/>
          </cell>
          <cell r="BM238">
            <v>0.98</v>
          </cell>
          <cell r="BO238" t="str">
            <v>Staff</v>
          </cell>
          <cell r="BP238">
            <v>42605</v>
          </cell>
          <cell r="BQ238">
            <v>3</v>
          </cell>
          <cell r="BR238">
            <v>4</v>
          </cell>
          <cell r="BS238">
            <v>6</v>
          </cell>
          <cell r="BT238">
            <v>395525</v>
          </cell>
          <cell r="BU238">
            <v>1</v>
          </cell>
          <cell r="BW238">
            <v>1.0569999999999999</v>
          </cell>
          <cell r="BX238">
            <v>0.92</v>
          </cell>
          <cell r="BY238">
            <v>1.169</v>
          </cell>
          <cell r="BZ238">
            <v>0.56999999999999995</v>
          </cell>
          <cell r="CG238">
            <v>1</v>
          </cell>
          <cell r="CH238">
            <v>1</v>
          </cell>
          <cell r="CI238">
            <v>1</v>
          </cell>
          <cell r="CJ238">
            <v>0</v>
          </cell>
          <cell r="CK238">
            <v>1</v>
          </cell>
        </row>
        <row r="239">
          <cell r="A239" t="str">
            <v>25Q2</v>
          </cell>
          <cell r="B239" t="str">
            <v>Q2</v>
          </cell>
          <cell r="C239">
            <v>25</v>
          </cell>
          <cell r="D239" t="str">
            <v>Issakhanova Assem</v>
          </cell>
          <cell r="E239" t="str">
            <v>Medical Representative</v>
          </cell>
          <cell r="F239">
            <v>40686</v>
          </cell>
          <cell r="G239" t="str">
            <v/>
          </cell>
          <cell r="H239" t="str">
            <v/>
          </cell>
          <cell r="I239" t="str">
            <v>Line 2</v>
          </cell>
          <cell r="J239" t="str">
            <v xml:space="preserve">DUPHASTON </v>
          </cell>
          <cell r="K239" t="str">
            <v>FEMOSTON</v>
          </cell>
          <cell r="L239">
            <v>0</v>
          </cell>
          <cell r="M239">
            <v>0</v>
          </cell>
          <cell r="N239">
            <v>0.3</v>
          </cell>
          <cell r="O239">
            <v>30577.5</v>
          </cell>
          <cell r="P239">
            <v>13444.400000000001</v>
          </cell>
          <cell r="Q239">
            <v>0</v>
          </cell>
          <cell r="R239">
            <v>0</v>
          </cell>
          <cell r="S239">
            <v>35111.250290316333</v>
          </cell>
          <cell r="T239">
            <v>12956.450118730678</v>
          </cell>
          <cell r="U239">
            <v>0</v>
          </cell>
          <cell r="V239">
            <v>0</v>
          </cell>
          <cell r="W239" t="str">
            <v>PHYSIOTENS</v>
          </cell>
          <cell r="X239" t="str">
            <v>TRICOR /LIPANTHYL</v>
          </cell>
          <cell r="Y239" t="str">
            <v>OMACOR</v>
          </cell>
          <cell r="Z239">
            <v>0</v>
          </cell>
          <cell r="AA239">
            <v>0.25</v>
          </cell>
          <cell r="AB239">
            <v>71681</v>
          </cell>
          <cell r="AC239">
            <v>2145.27</v>
          </cell>
          <cell r="AD239">
            <v>62</v>
          </cell>
          <cell r="AE239">
            <v>0</v>
          </cell>
          <cell r="AF239">
            <v>67640.022116541368</v>
          </cell>
          <cell r="AG239">
            <v>1496.6999999999998</v>
          </cell>
          <cell r="AH239">
            <v>651</v>
          </cell>
          <cell r="AI239">
            <v>0</v>
          </cell>
          <cell r="AJ239" t="str">
            <v>HEPTRAL</v>
          </cell>
          <cell r="AK239">
            <v>0</v>
          </cell>
          <cell r="AL239">
            <v>0</v>
          </cell>
          <cell r="AM239">
            <v>0</v>
          </cell>
          <cell r="AN239">
            <v>0.25</v>
          </cell>
          <cell r="AO239">
            <v>23279.100000000002</v>
          </cell>
          <cell r="AP239">
            <v>0</v>
          </cell>
          <cell r="AQ239">
            <v>0</v>
          </cell>
          <cell r="AR239">
            <v>0</v>
          </cell>
          <cell r="AS239">
            <v>22783.800000000003</v>
          </cell>
          <cell r="AT239">
            <v>0</v>
          </cell>
          <cell r="AU239">
            <v>0</v>
          </cell>
          <cell r="AV239">
            <v>0</v>
          </cell>
          <cell r="AW239" t="str">
            <v>BETASERC</v>
          </cell>
          <cell r="AX239" t="str">
            <v xml:space="preserve">DUPHALAC </v>
          </cell>
          <cell r="AY239" t="str">
            <v>CREON</v>
          </cell>
          <cell r="AZ239">
            <v>0</v>
          </cell>
          <cell r="BA239">
            <v>0.19999999999999996</v>
          </cell>
          <cell r="BB239">
            <v>13259.18</v>
          </cell>
          <cell r="BC239">
            <v>2342.4500000000003</v>
          </cell>
          <cell r="BD239">
            <v>2672.7784999999999</v>
          </cell>
          <cell r="BE239">
            <v>0</v>
          </cell>
          <cell r="BF239">
            <v>12483.256963131993</v>
          </cell>
          <cell r="BG239">
            <v>2313.4628955485132</v>
          </cell>
          <cell r="BH239">
            <v>2421.5148581135777</v>
          </cell>
          <cell r="BI239">
            <v>0</v>
          </cell>
          <cell r="BJ239">
            <v>159463.67850000001</v>
          </cell>
          <cell r="BK239">
            <v>157857.45724238246</v>
          </cell>
          <cell r="BL239" t="str">
            <v/>
          </cell>
          <cell r="BM239">
            <v>0.93</v>
          </cell>
          <cell r="BO239" t="str">
            <v>Staff</v>
          </cell>
          <cell r="BP239">
            <v>40778</v>
          </cell>
          <cell r="BQ239">
            <v>3</v>
          </cell>
          <cell r="BR239">
            <v>4</v>
          </cell>
          <cell r="BS239">
            <v>6</v>
          </cell>
          <cell r="BT239">
            <v>395525</v>
          </cell>
          <cell r="BU239">
            <v>1</v>
          </cell>
          <cell r="BW239">
            <v>0.91600000000000004</v>
          </cell>
          <cell r="BX239">
            <v>1.0589999999999999</v>
          </cell>
          <cell r="BY239">
            <v>1.022</v>
          </cell>
          <cell r="BZ239">
            <v>1.0609999999999999</v>
          </cell>
          <cell r="CG239">
            <v>1.01</v>
          </cell>
          <cell r="CH239">
            <v>1</v>
          </cell>
          <cell r="CI239">
            <v>1.1000000000000001</v>
          </cell>
          <cell r="CJ239">
            <v>0</v>
          </cell>
          <cell r="CK239">
            <v>0.5</v>
          </cell>
        </row>
        <row r="240">
          <cell r="A240" t="str">
            <v>26Q2</v>
          </cell>
          <cell r="B240" t="str">
            <v>Q2</v>
          </cell>
          <cell r="C240">
            <v>26</v>
          </cell>
          <cell r="D240" t="str">
            <v>Issakova Dina</v>
          </cell>
          <cell r="E240" t="str">
            <v>Medical Representative</v>
          </cell>
          <cell r="F240">
            <v>40676</v>
          </cell>
          <cell r="G240" t="str">
            <v/>
          </cell>
          <cell r="H240">
            <v>42826</v>
          </cell>
          <cell r="I240" t="str">
            <v>Line 1</v>
          </cell>
          <cell r="J240" t="str">
            <v>CREON</v>
          </cell>
          <cell r="K240" t="str">
            <v xml:space="preserve">DUPHALAC </v>
          </cell>
          <cell r="L240">
            <v>0</v>
          </cell>
          <cell r="M240">
            <v>0</v>
          </cell>
          <cell r="N240">
            <v>0.5</v>
          </cell>
          <cell r="O240">
            <v>399217.53</v>
          </cell>
          <cell r="P240">
            <v>153333</v>
          </cell>
          <cell r="Q240">
            <v>0</v>
          </cell>
          <cell r="R240">
            <v>0</v>
          </cell>
          <cell r="S240">
            <v>335734.28</v>
          </cell>
          <cell r="T240">
            <v>186923.4594124007</v>
          </cell>
          <cell r="U240">
            <v>0</v>
          </cell>
          <cell r="V240">
            <v>0</v>
          </cell>
          <cell r="W240" t="str">
            <v>HEPTRAL</v>
          </cell>
          <cell r="X240" t="str">
            <v xml:space="preserve">DUSPATALIN </v>
          </cell>
          <cell r="Y240">
            <v>0</v>
          </cell>
          <cell r="Z240">
            <v>0</v>
          </cell>
          <cell r="AA240">
            <v>0.35</v>
          </cell>
          <cell r="AB240">
            <v>331058.52</v>
          </cell>
          <cell r="AC240">
            <v>36404</v>
          </cell>
          <cell r="AD240">
            <v>0</v>
          </cell>
          <cell r="AE240">
            <v>0</v>
          </cell>
          <cell r="AF240">
            <v>356616</v>
          </cell>
          <cell r="AG240">
            <v>42750</v>
          </cell>
          <cell r="AH240">
            <v>0</v>
          </cell>
          <cell r="AI240">
            <v>0</v>
          </cell>
          <cell r="AJ240" t="str">
            <v>IRS 19</v>
          </cell>
          <cell r="AK240" t="str">
            <v>IMUDON</v>
          </cell>
          <cell r="AL240">
            <v>0</v>
          </cell>
          <cell r="AM240">
            <v>0</v>
          </cell>
          <cell r="AN240">
            <v>0.1</v>
          </cell>
          <cell r="AO240">
            <v>23592</v>
          </cell>
          <cell r="AP240">
            <v>34668</v>
          </cell>
          <cell r="AQ240">
            <v>0</v>
          </cell>
          <cell r="AR240">
            <v>0</v>
          </cell>
          <cell r="AS240">
            <v>21600</v>
          </cell>
          <cell r="AT240">
            <v>28248</v>
          </cell>
          <cell r="AU240">
            <v>0</v>
          </cell>
          <cell r="AV240">
            <v>0</v>
          </cell>
          <cell r="AW240" t="str">
            <v xml:space="preserve">GANATON </v>
          </cell>
          <cell r="AX240" t="str">
            <v>DUPHABEARS</v>
          </cell>
          <cell r="AY240">
            <v>0</v>
          </cell>
          <cell r="AZ240">
            <v>0</v>
          </cell>
          <cell r="BA240">
            <v>5.0000000000000017E-2</v>
          </cell>
          <cell r="BB240">
            <v>4266.2000000000007</v>
          </cell>
          <cell r="BC240">
            <v>1861.3999999999999</v>
          </cell>
          <cell r="BD240">
            <v>0</v>
          </cell>
          <cell r="BE240">
            <v>0</v>
          </cell>
          <cell r="BF240">
            <v>7470</v>
          </cell>
          <cell r="BG240">
            <v>3279.9999999999995</v>
          </cell>
          <cell r="BH240">
            <v>0</v>
          </cell>
          <cell r="BI240">
            <v>0</v>
          </cell>
          <cell r="BJ240">
            <v>984400.65</v>
          </cell>
          <cell r="BK240">
            <v>982621.73941240076</v>
          </cell>
          <cell r="BL240" t="str">
            <v/>
          </cell>
          <cell r="BM240">
            <v>0.96</v>
          </cell>
          <cell r="BO240" t="str">
            <v>Staff</v>
          </cell>
          <cell r="BP240">
            <v>40768</v>
          </cell>
          <cell r="BQ240">
            <v>3</v>
          </cell>
          <cell r="BR240">
            <v>4</v>
          </cell>
          <cell r="BS240">
            <v>6</v>
          </cell>
          <cell r="BT240">
            <v>395525</v>
          </cell>
          <cell r="BU240">
            <v>1</v>
          </cell>
          <cell r="BW240">
            <v>1.0569999999999999</v>
          </cell>
          <cell r="BX240">
            <v>0.92</v>
          </cell>
          <cell r="BY240">
            <v>1.169</v>
          </cell>
          <cell r="BZ240">
            <v>0.56999999999999995</v>
          </cell>
          <cell r="CG240">
            <v>1</v>
          </cell>
          <cell r="CH240">
            <v>1</v>
          </cell>
          <cell r="CI240">
            <v>1</v>
          </cell>
          <cell r="CJ240">
            <v>0</v>
          </cell>
          <cell r="CK240">
            <v>1</v>
          </cell>
        </row>
        <row r="241">
          <cell r="A241" t="str">
            <v>27Q2</v>
          </cell>
          <cell r="B241" t="str">
            <v>Q2</v>
          </cell>
          <cell r="C241">
            <v>27</v>
          </cell>
          <cell r="D241" t="str">
            <v>Itakhunov Rassul</v>
          </cell>
          <cell r="E241" t="str">
            <v>Pharm Representative</v>
          </cell>
          <cell r="F241">
            <v>42417</v>
          </cell>
          <cell r="G241" t="str">
            <v/>
          </cell>
          <cell r="H241" t="str">
            <v/>
          </cell>
          <cell r="I241" t="str">
            <v>Pharma line</v>
          </cell>
          <cell r="J241" t="str">
            <v>CREON</v>
          </cell>
          <cell r="K241">
            <v>0</v>
          </cell>
          <cell r="L241">
            <v>0</v>
          </cell>
          <cell r="M241">
            <v>0</v>
          </cell>
          <cell r="N241">
            <v>0.45</v>
          </cell>
          <cell r="O241">
            <v>399217.53</v>
          </cell>
          <cell r="P241">
            <v>0</v>
          </cell>
          <cell r="Q241">
            <v>0</v>
          </cell>
          <cell r="R241">
            <v>0</v>
          </cell>
          <cell r="S241">
            <v>335734.28</v>
          </cell>
          <cell r="T241">
            <v>0</v>
          </cell>
          <cell r="U241">
            <v>0</v>
          </cell>
          <cell r="V241">
            <v>0</v>
          </cell>
          <cell r="W241" t="str">
            <v xml:space="preserve">DUPHALAC </v>
          </cell>
          <cell r="X241">
            <v>0</v>
          </cell>
          <cell r="Y241">
            <v>0</v>
          </cell>
          <cell r="Z241">
            <v>0</v>
          </cell>
          <cell r="AA241">
            <v>0.3</v>
          </cell>
          <cell r="AB241">
            <v>153333</v>
          </cell>
          <cell r="AC241">
            <v>0</v>
          </cell>
          <cell r="AD241">
            <v>0</v>
          </cell>
          <cell r="AE241">
            <v>0</v>
          </cell>
          <cell r="AF241">
            <v>186923.4594124007</v>
          </cell>
          <cell r="AG241">
            <v>0</v>
          </cell>
          <cell r="AH241">
            <v>0</v>
          </cell>
          <cell r="AI241">
            <v>0</v>
          </cell>
          <cell r="AJ241" t="str">
            <v>IRS 19</v>
          </cell>
          <cell r="AK241" t="str">
            <v>IMUDON</v>
          </cell>
          <cell r="AL241">
            <v>0</v>
          </cell>
          <cell r="AM241">
            <v>0</v>
          </cell>
          <cell r="AN241">
            <v>0.15</v>
          </cell>
          <cell r="AO241">
            <v>23592</v>
          </cell>
          <cell r="AP241">
            <v>34668</v>
          </cell>
          <cell r="AQ241">
            <v>0</v>
          </cell>
          <cell r="AR241">
            <v>0</v>
          </cell>
          <cell r="AS241">
            <v>21600</v>
          </cell>
          <cell r="AT241">
            <v>28248</v>
          </cell>
          <cell r="AU241">
            <v>0</v>
          </cell>
          <cell r="AV241">
            <v>0</v>
          </cell>
          <cell r="AW241" t="str">
            <v>DUPHABEARS</v>
          </cell>
          <cell r="AX241">
            <v>0</v>
          </cell>
          <cell r="AY241">
            <v>0</v>
          </cell>
          <cell r="AZ241">
            <v>0</v>
          </cell>
          <cell r="BA241">
            <v>0.10000000000000006</v>
          </cell>
          <cell r="BB241">
            <v>1861.3999999999999</v>
          </cell>
          <cell r="BC241">
            <v>0</v>
          </cell>
          <cell r="BD241">
            <v>0</v>
          </cell>
          <cell r="BE241">
            <v>0</v>
          </cell>
          <cell r="BF241">
            <v>3279.9999999999995</v>
          </cell>
          <cell r="BG241">
            <v>0</v>
          </cell>
          <cell r="BH241">
            <v>0</v>
          </cell>
          <cell r="BI241">
            <v>0</v>
          </cell>
          <cell r="BJ241">
            <v>612671.93000000005</v>
          </cell>
          <cell r="BK241">
            <v>575785.73941240076</v>
          </cell>
          <cell r="BL241" t="str">
            <v/>
          </cell>
          <cell r="BM241">
            <v>0.97</v>
          </cell>
          <cell r="BO241" t="str">
            <v>Staff</v>
          </cell>
          <cell r="BP241">
            <v>42507</v>
          </cell>
          <cell r="BQ241">
            <v>3</v>
          </cell>
          <cell r="BR241">
            <v>4</v>
          </cell>
          <cell r="BS241">
            <v>6</v>
          </cell>
          <cell r="BT241">
            <v>395525</v>
          </cell>
          <cell r="BU241">
            <v>1</v>
          </cell>
          <cell r="BW241">
            <v>1.1890000000000001</v>
          </cell>
          <cell r="BX241">
            <v>0.82</v>
          </cell>
          <cell r="BY241">
            <v>1.169</v>
          </cell>
          <cell r="BZ241">
            <v>0.56799999999999995</v>
          </cell>
          <cell r="CG241">
            <v>1.06</v>
          </cell>
          <cell r="CH241">
            <v>1</v>
          </cell>
          <cell r="CI241">
            <v>1.6</v>
          </cell>
          <cell r="CJ241">
            <v>0</v>
          </cell>
          <cell r="CK241">
            <v>1</v>
          </cell>
        </row>
        <row r="242">
          <cell r="A242" t="str">
            <v>28Q2</v>
          </cell>
          <cell r="B242" t="str">
            <v>Q2</v>
          </cell>
          <cell r="C242">
            <v>28</v>
          </cell>
          <cell r="D242" t="str">
            <v>Kadyrova Azaliya</v>
          </cell>
          <cell r="E242" t="str">
            <v>Medical Representative</v>
          </cell>
          <cell r="F242">
            <v>41919</v>
          </cell>
          <cell r="G242" t="str">
            <v/>
          </cell>
          <cell r="H242" t="str">
            <v/>
          </cell>
          <cell r="I242" t="str">
            <v>Line 2 (big cities)</v>
          </cell>
          <cell r="J242" t="str">
            <v>CREON</v>
          </cell>
          <cell r="K242" t="str">
            <v xml:space="preserve">DUPHALAC </v>
          </cell>
          <cell r="L242">
            <v>0</v>
          </cell>
          <cell r="M242">
            <v>0</v>
          </cell>
          <cell r="N242">
            <v>0.1</v>
          </cell>
          <cell r="O242">
            <v>11956.169000000002</v>
          </cell>
          <cell r="P242">
            <v>5546</v>
          </cell>
          <cell r="Q242">
            <v>0</v>
          </cell>
          <cell r="R242">
            <v>0</v>
          </cell>
          <cell r="S242">
            <v>12410.550000000001</v>
          </cell>
          <cell r="T242">
            <v>7080</v>
          </cell>
          <cell r="U242">
            <v>0</v>
          </cell>
          <cell r="V242">
            <v>0</v>
          </cell>
          <cell r="W242" t="str">
            <v>PHYSIOTENS</v>
          </cell>
          <cell r="X242" t="str">
            <v>TRICOR /LIPANTHYL</v>
          </cell>
          <cell r="Y242" t="str">
            <v>OMACOR</v>
          </cell>
          <cell r="Z242">
            <v>0</v>
          </cell>
          <cell r="AA242">
            <v>0.3</v>
          </cell>
          <cell r="AB242">
            <v>193542</v>
          </cell>
          <cell r="AC242">
            <v>12223.05</v>
          </cell>
          <cell r="AD242">
            <v>5425</v>
          </cell>
          <cell r="AE242">
            <v>0</v>
          </cell>
          <cell r="AF242">
            <v>215247.5</v>
          </cell>
          <cell r="AG242">
            <v>9811.7000000000007</v>
          </cell>
          <cell r="AH242">
            <v>3782</v>
          </cell>
          <cell r="AI242">
            <v>0</v>
          </cell>
          <cell r="AJ242" t="str">
            <v>HEPTRAL</v>
          </cell>
          <cell r="AK242">
            <v>0</v>
          </cell>
          <cell r="AL242">
            <v>0</v>
          </cell>
          <cell r="AM242">
            <v>0</v>
          </cell>
          <cell r="AN242">
            <v>0.3</v>
          </cell>
          <cell r="AO242">
            <v>180454.30000000005</v>
          </cell>
          <cell r="AP242">
            <v>0</v>
          </cell>
          <cell r="AQ242">
            <v>0</v>
          </cell>
          <cell r="AR242">
            <v>0</v>
          </cell>
          <cell r="AS242">
            <v>153091.20420726546</v>
          </cell>
          <cell r="AT242">
            <v>0</v>
          </cell>
          <cell r="AU242">
            <v>0</v>
          </cell>
          <cell r="AV242">
            <v>0</v>
          </cell>
          <cell r="AW242" t="str">
            <v>BETASERC</v>
          </cell>
          <cell r="AX242">
            <v>0</v>
          </cell>
          <cell r="AY242">
            <v>0</v>
          </cell>
          <cell r="AZ242">
            <v>0</v>
          </cell>
          <cell r="BA242">
            <v>0.3000000000000001</v>
          </cell>
          <cell r="BB242">
            <v>38727.919999999998</v>
          </cell>
          <cell r="BC242">
            <v>0</v>
          </cell>
          <cell r="BD242">
            <v>0</v>
          </cell>
          <cell r="BE242">
            <v>0</v>
          </cell>
          <cell r="BF242">
            <v>39145.964403923368</v>
          </cell>
          <cell r="BG242">
            <v>0</v>
          </cell>
          <cell r="BH242">
            <v>0</v>
          </cell>
          <cell r="BI242">
            <v>0</v>
          </cell>
          <cell r="BJ242">
            <v>447874.43900000001</v>
          </cell>
          <cell r="BK242">
            <v>440568.91861118883</v>
          </cell>
          <cell r="BL242" t="str">
            <v/>
          </cell>
          <cell r="BM242">
            <v>0.85</v>
          </cell>
          <cell r="BO242" t="str">
            <v>Staff</v>
          </cell>
          <cell r="BP242">
            <v>42011</v>
          </cell>
          <cell r="BQ242">
            <v>3</v>
          </cell>
          <cell r="BR242">
            <v>4</v>
          </cell>
          <cell r="BS242">
            <v>6</v>
          </cell>
          <cell r="BT242">
            <v>395525</v>
          </cell>
          <cell r="BU242">
            <v>1</v>
          </cell>
          <cell r="BW242">
            <v>0.89800000000000002</v>
          </cell>
          <cell r="BX242">
            <v>0.92300000000000004</v>
          </cell>
          <cell r="BY242">
            <v>1.179</v>
          </cell>
          <cell r="BZ242">
            <v>0.98899999999999999</v>
          </cell>
          <cell r="CG242">
            <v>1.02</v>
          </cell>
          <cell r="CH242">
            <v>1</v>
          </cell>
          <cell r="CI242">
            <v>1.2</v>
          </cell>
          <cell r="CJ242">
            <v>0</v>
          </cell>
          <cell r="CK242">
            <v>0.5</v>
          </cell>
        </row>
        <row r="243">
          <cell r="A243" t="str">
            <v>29Q2</v>
          </cell>
          <cell r="B243" t="str">
            <v>Q2</v>
          </cell>
          <cell r="C243">
            <v>29</v>
          </cell>
          <cell r="D243" t="str">
            <v>Kalistratova Alexandra</v>
          </cell>
          <cell r="E243" t="str">
            <v>Medical Representative</v>
          </cell>
          <cell r="F243">
            <v>41555</v>
          </cell>
          <cell r="G243" t="str">
            <v/>
          </cell>
          <cell r="H243" t="str">
            <v/>
          </cell>
          <cell r="I243" t="str">
            <v>Line 2</v>
          </cell>
          <cell r="J243" t="str">
            <v xml:space="preserve">DUPHASTON </v>
          </cell>
          <cell r="K243" t="str">
            <v>FEMOSTON</v>
          </cell>
          <cell r="L243">
            <v>0</v>
          </cell>
          <cell r="M243">
            <v>0</v>
          </cell>
          <cell r="N243">
            <v>0.3</v>
          </cell>
          <cell r="O243">
            <v>30577.5</v>
          </cell>
          <cell r="P243">
            <v>13444.400000000001</v>
          </cell>
          <cell r="Q243">
            <v>0</v>
          </cell>
          <cell r="R243">
            <v>0</v>
          </cell>
          <cell r="S243">
            <v>35111.250290316333</v>
          </cell>
          <cell r="T243">
            <v>12956.450118730678</v>
          </cell>
          <cell r="U243">
            <v>0</v>
          </cell>
          <cell r="V243">
            <v>0</v>
          </cell>
          <cell r="W243" t="str">
            <v>PHYSIOTENS</v>
          </cell>
          <cell r="X243" t="str">
            <v>TRICOR /LIPANTHYL</v>
          </cell>
          <cell r="Y243" t="str">
            <v>OMACOR</v>
          </cell>
          <cell r="Z243">
            <v>0</v>
          </cell>
          <cell r="AA243">
            <v>0.25</v>
          </cell>
          <cell r="AB243">
            <v>71681</v>
          </cell>
          <cell r="AC243">
            <v>2145.27</v>
          </cell>
          <cell r="AD243">
            <v>62</v>
          </cell>
          <cell r="AE243">
            <v>0</v>
          </cell>
          <cell r="AF243">
            <v>67640.022116541368</v>
          </cell>
          <cell r="AG243">
            <v>1496.6999999999998</v>
          </cell>
          <cell r="AH243">
            <v>651</v>
          </cell>
          <cell r="AI243">
            <v>0</v>
          </cell>
          <cell r="AJ243" t="str">
            <v>HEPTRAL</v>
          </cell>
          <cell r="AK243">
            <v>0</v>
          </cell>
          <cell r="AL243">
            <v>0</v>
          </cell>
          <cell r="AM243">
            <v>0</v>
          </cell>
          <cell r="AN243">
            <v>0.25</v>
          </cell>
          <cell r="AO243">
            <v>23279.100000000002</v>
          </cell>
          <cell r="AP243">
            <v>0</v>
          </cell>
          <cell r="AQ243">
            <v>0</v>
          </cell>
          <cell r="AR243">
            <v>0</v>
          </cell>
          <cell r="AS243">
            <v>22783.800000000003</v>
          </cell>
          <cell r="AT243">
            <v>0</v>
          </cell>
          <cell r="AU243">
            <v>0</v>
          </cell>
          <cell r="AV243">
            <v>0</v>
          </cell>
          <cell r="AW243" t="str">
            <v>BETASERC</v>
          </cell>
          <cell r="AX243" t="str">
            <v xml:space="preserve">DUPHALAC </v>
          </cell>
          <cell r="AY243" t="str">
            <v>CREON</v>
          </cell>
          <cell r="AZ243">
            <v>0</v>
          </cell>
          <cell r="BA243">
            <v>0.19999999999999996</v>
          </cell>
          <cell r="BB243">
            <v>13259.18</v>
          </cell>
          <cell r="BC243">
            <v>2342.4500000000003</v>
          </cell>
          <cell r="BD243">
            <v>2672.7784999999999</v>
          </cell>
          <cell r="BE243">
            <v>0</v>
          </cell>
          <cell r="BF243">
            <v>12483.256963131993</v>
          </cell>
          <cell r="BG243">
            <v>2313.4628955485132</v>
          </cell>
          <cell r="BH243">
            <v>2421.5148581135777</v>
          </cell>
          <cell r="BI243">
            <v>0</v>
          </cell>
          <cell r="BJ243">
            <v>159463.67850000001</v>
          </cell>
          <cell r="BK243">
            <v>157857.45724238246</v>
          </cell>
          <cell r="BL243" t="str">
            <v/>
          </cell>
          <cell r="BM243">
            <v>0.98</v>
          </cell>
          <cell r="BO243" t="str">
            <v>Staff</v>
          </cell>
          <cell r="BP243">
            <v>41647</v>
          </cell>
          <cell r="BQ243">
            <v>3</v>
          </cell>
          <cell r="BR243">
            <v>4</v>
          </cell>
          <cell r="BS243">
            <v>6</v>
          </cell>
          <cell r="BT243">
            <v>395525</v>
          </cell>
          <cell r="BU243">
            <v>1</v>
          </cell>
          <cell r="BW243">
            <v>0.91600000000000004</v>
          </cell>
          <cell r="BX243">
            <v>1.0589999999999999</v>
          </cell>
          <cell r="BY243">
            <v>1.022</v>
          </cell>
          <cell r="BZ243">
            <v>1.0609999999999999</v>
          </cell>
          <cell r="CG243">
            <v>1.01</v>
          </cell>
          <cell r="CH243">
            <v>1</v>
          </cell>
          <cell r="CI243">
            <v>1.1000000000000001</v>
          </cell>
          <cell r="CJ243">
            <v>0</v>
          </cell>
          <cell r="CK243">
            <v>1</v>
          </cell>
        </row>
        <row r="244">
          <cell r="A244" t="str">
            <v>30Q2</v>
          </cell>
          <cell r="B244" t="str">
            <v>Q2</v>
          </cell>
          <cell r="C244">
            <v>30</v>
          </cell>
          <cell r="D244" t="str">
            <v>Kassenova Gulshat</v>
          </cell>
          <cell r="E244" t="str">
            <v>Medical Representative</v>
          </cell>
          <cell r="F244">
            <v>42552</v>
          </cell>
          <cell r="G244" t="str">
            <v/>
          </cell>
          <cell r="H244" t="str">
            <v/>
          </cell>
          <cell r="I244" t="str">
            <v>Line 1</v>
          </cell>
          <cell r="J244" t="str">
            <v>CREON</v>
          </cell>
          <cell r="K244" t="str">
            <v xml:space="preserve">DUPHALAC </v>
          </cell>
          <cell r="L244">
            <v>0</v>
          </cell>
          <cell r="M244">
            <v>0</v>
          </cell>
          <cell r="N244">
            <v>0.5</v>
          </cell>
          <cell r="O244">
            <v>79246.080000000002</v>
          </cell>
          <cell r="P244">
            <v>24704.5</v>
          </cell>
          <cell r="Q244">
            <v>0</v>
          </cell>
          <cell r="R244">
            <v>0</v>
          </cell>
          <cell r="S244">
            <v>65202</v>
          </cell>
          <cell r="T244">
            <v>28052.101912409886</v>
          </cell>
          <cell r="U244">
            <v>0</v>
          </cell>
          <cell r="V244">
            <v>0</v>
          </cell>
          <cell r="W244" t="str">
            <v>HEPTRAL</v>
          </cell>
          <cell r="X244" t="str">
            <v xml:space="preserve">DUSPATALIN </v>
          </cell>
          <cell r="Y244">
            <v>0</v>
          </cell>
          <cell r="Z244">
            <v>0</v>
          </cell>
          <cell r="AA244">
            <v>0.35</v>
          </cell>
          <cell r="AB244">
            <v>36024.820000000007</v>
          </cell>
          <cell r="AC244">
            <v>12654</v>
          </cell>
          <cell r="AD244">
            <v>0</v>
          </cell>
          <cell r="AE244">
            <v>0</v>
          </cell>
          <cell r="AF244">
            <v>32495.957277667152</v>
          </cell>
          <cell r="AG244">
            <v>12338.382449688765</v>
          </cell>
          <cell r="AH244">
            <v>0</v>
          </cell>
          <cell r="AI244">
            <v>0</v>
          </cell>
          <cell r="AJ244" t="str">
            <v>IRS 19</v>
          </cell>
          <cell r="AK244" t="str">
            <v>IMUDON</v>
          </cell>
          <cell r="AL244">
            <v>0</v>
          </cell>
          <cell r="AM244">
            <v>0</v>
          </cell>
          <cell r="AN244">
            <v>0.1</v>
          </cell>
          <cell r="AO244">
            <v>3156</v>
          </cell>
          <cell r="AP244">
            <v>5232</v>
          </cell>
          <cell r="AQ244">
            <v>0</v>
          </cell>
          <cell r="AR244">
            <v>0</v>
          </cell>
          <cell r="AS244">
            <v>4355.2781782145994</v>
          </cell>
          <cell r="AT244">
            <v>6625.9450038751165</v>
          </cell>
          <cell r="AU244">
            <v>0</v>
          </cell>
          <cell r="AV244">
            <v>0</v>
          </cell>
          <cell r="AW244" t="str">
            <v xml:space="preserve">GANATON </v>
          </cell>
          <cell r="AX244" t="str">
            <v>DUPHABEARS</v>
          </cell>
          <cell r="AY244">
            <v>0</v>
          </cell>
          <cell r="AZ244">
            <v>0</v>
          </cell>
          <cell r="BA244">
            <v>5.0000000000000017E-2</v>
          </cell>
          <cell r="BB244">
            <v>979.40000000000009</v>
          </cell>
          <cell r="BC244">
            <v>598.59999999999991</v>
          </cell>
          <cell r="BD244">
            <v>0</v>
          </cell>
          <cell r="BE244">
            <v>0</v>
          </cell>
          <cell r="BF244">
            <v>1543.8000000000002</v>
          </cell>
          <cell r="BG244">
            <v>1094.6999999999998</v>
          </cell>
          <cell r="BH244">
            <v>0</v>
          </cell>
          <cell r="BI244">
            <v>0</v>
          </cell>
          <cell r="BJ244">
            <v>162595.40000000002</v>
          </cell>
          <cell r="BK244">
            <v>151708.16482185552</v>
          </cell>
          <cell r="BL244" t="str">
            <v/>
          </cell>
          <cell r="BM244">
            <v>0.94</v>
          </cell>
          <cell r="BO244" t="str">
            <v>Staff</v>
          </cell>
          <cell r="BP244">
            <v>42644</v>
          </cell>
          <cell r="BQ244">
            <v>3</v>
          </cell>
          <cell r="BR244">
            <v>4</v>
          </cell>
          <cell r="BS244">
            <v>6</v>
          </cell>
          <cell r="BT244">
            <v>395525</v>
          </cell>
          <cell r="BU244">
            <v>1</v>
          </cell>
          <cell r="BW244">
            <v>1.115</v>
          </cell>
          <cell r="BX244">
            <v>1.0860000000000001</v>
          </cell>
          <cell r="BY244">
            <v>0.76400000000000001</v>
          </cell>
          <cell r="BZ244">
            <v>0.59799999999999998</v>
          </cell>
          <cell r="CG244">
            <v>1.07</v>
          </cell>
          <cell r="CH244">
            <v>1</v>
          </cell>
          <cell r="CI244">
            <v>1.7</v>
          </cell>
          <cell r="CJ244">
            <v>0</v>
          </cell>
          <cell r="CK244">
            <v>0.5</v>
          </cell>
        </row>
        <row r="245">
          <cell r="A245" t="str">
            <v>31Q2</v>
          </cell>
          <cell r="B245" t="str">
            <v>Q2</v>
          </cell>
          <cell r="C245">
            <v>31</v>
          </cell>
          <cell r="D245" t="str">
            <v>Khalikova Nuriya</v>
          </cell>
          <cell r="E245" t="str">
            <v>Medical Representative</v>
          </cell>
          <cell r="F245">
            <v>41228</v>
          </cell>
          <cell r="G245" t="str">
            <v/>
          </cell>
          <cell r="H245" t="str">
            <v/>
          </cell>
          <cell r="I245" t="str">
            <v>Line 1</v>
          </cell>
          <cell r="J245" t="str">
            <v>CREON</v>
          </cell>
          <cell r="K245" t="str">
            <v xml:space="preserve">DUPHALAC </v>
          </cell>
          <cell r="L245">
            <v>0</v>
          </cell>
          <cell r="M245">
            <v>0</v>
          </cell>
          <cell r="N245">
            <v>0.5</v>
          </cell>
          <cell r="O245">
            <v>39718.06</v>
          </cell>
          <cell r="P245">
            <v>28251</v>
          </cell>
          <cell r="Q245">
            <v>0</v>
          </cell>
          <cell r="R245">
            <v>0</v>
          </cell>
          <cell r="S245">
            <v>27299.800388417585</v>
          </cell>
          <cell r="T245">
            <v>22891.422156449364</v>
          </cell>
          <cell r="U245">
            <v>0</v>
          </cell>
          <cell r="V245">
            <v>0</v>
          </cell>
          <cell r="W245" t="str">
            <v>HEPTRAL</v>
          </cell>
          <cell r="X245" t="str">
            <v xml:space="preserve">DUSPATALIN </v>
          </cell>
          <cell r="Y245">
            <v>0</v>
          </cell>
          <cell r="Z245">
            <v>0</v>
          </cell>
          <cell r="AA245">
            <v>0.35</v>
          </cell>
          <cell r="AB245">
            <v>25293.32</v>
          </cell>
          <cell r="AC245">
            <v>6602.5</v>
          </cell>
          <cell r="AD245">
            <v>0</v>
          </cell>
          <cell r="AE245">
            <v>0</v>
          </cell>
          <cell r="AF245">
            <v>20637.500000000004</v>
          </cell>
          <cell r="AG245">
            <v>6595.462024875801</v>
          </cell>
          <cell r="AH245">
            <v>0</v>
          </cell>
          <cell r="AI245">
            <v>0</v>
          </cell>
          <cell r="AJ245" t="str">
            <v>IRS 19</v>
          </cell>
          <cell r="AK245" t="str">
            <v>IMUDON</v>
          </cell>
          <cell r="AL245">
            <v>0</v>
          </cell>
          <cell r="AM245">
            <v>0</v>
          </cell>
          <cell r="AN245">
            <v>0.1</v>
          </cell>
          <cell r="AO245">
            <v>2436</v>
          </cell>
          <cell r="AP245">
            <v>3036</v>
          </cell>
          <cell r="AQ245">
            <v>0</v>
          </cell>
          <cell r="AR245">
            <v>0</v>
          </cell>
          <cell r="AS245">
            <v>1920</v>
          </cell>
          <cell r="AT245">
            <v>2520</v>
          </cell>
          <cell r="AU245">
            <v>0</v>
          </cell>
          <cell r="AV245">
            <v>0</v>
          </cell>
          <cell r="AW245" t="str">
            <v xml:space="preserve">GANATON </v>
          </cell>
          <cell r="AX245" t="str">
            <v>DUPHABEARS</v>
          </cell>
          <cell r="AY245">
            <v>0</v>
          </cell>
          <cell r="AZ245">
            <v>0</v>
          </cell>
          <cell r="BA245">
            <v>5.0000000000000017E-2</v>
          </cell>
          <cell r="BB245">
            <v>1162</v>
          </cell>
          <cell r="BC245">
            <v>364.9</v>
          </cell>
          <cell r="BD245">
            <v>0</v>
          </cell>
          <cell r="BE245">
            <v>0</v>
          </cell>
          <cell r="BF245">
            <v>747.00000000000011</v>
          </cell>
          <cell r="BG245">
            <v>364.9</v>
          </cell>
          <cell r="BH245">
            <v>0</v>
          </cell>
          <cell r="BI245">
            <v>0</v>
          </cell>
          <cell r="BJ245">
            <v>106863.78</v>
          </cell>
          <cell r="BK245">
            <v>82976.084569742743</v>
          </cell>
          <cell r="BL245" t="str">
            <v/>
          </cell>
          <cell r="BM245">
            <v>0.97</v>
          </cell>
          <cell r="BO245" t="str">
            <v>Staff</v>
          </cell>
          <cell r="BP245">
            <v>41320</v>
          </cell>
          <cell r="BQ245">
            <v>3</v>
          </cell>
          <cell r="BR245">
            <v>4</v>
          </cell>
          <cell r="BS245">
            <v>6</v>
          </cell>
          <cell r="BT245">
            <v>395525</v>
          </cell>
          <cell r="BU245">
            <v>1</v>
          </cell>
          <cell r="BW245">
            <v>1.3540000000000001</v>
          </cell>
          <cell r="BX245">
            <v>1.171</v>
          </cell>
          <cell r="BY245">
            <v>1.232</v>
          </cell>
          <cell r="BZ245">
            <v>1.373</v>
          </cell>
          <cell r="CG245">
            <v>1.29</v>
          </cell>
          <cell r="CH245">
            <v>1</v>
          </cell>
          <cell r="CI245">
            <v>2.5</v>
          </cell>
          <cell r="CJ245">
            <v>0</v>
          </cell>
          <cell r="CK245">
            <v>1</v>
          </cell>
        </row>
        <row r="246">
          <cell r="A246" t="str">
            <v>32Q2</v>
          </cell>
          <cell r="B246" t="str">
            <v>Q2</v>
          </cell>
          <cell r="C246">
            <v>32</v>
          </cell>
          <cell r="D246" t="str">
            <v>Kuchshanova Akmaral</v>
          </cell>
          <cell r="E246" t="str">
            <v>Medical Representative</v>
          </cell>
          <cell r="F246">
            <v>41739</v>
          </cell>
          <cell r="G246" t="str">
            <v/>
          </cell>
          <cell r="H246" t="str">
            <v/>
          </cell>
          <cell r="I246" t="str">
            <v>Line 2 (big cities)</v>
          </cell>
          <cell r="J246" t="str">
            <v>CREON</v>
          </cell>
          <cell r="K246" t="str">
            <v xml:space="preserve">DUPHALAC </v>
          </cell>
          <cell r="L246">
            <v>0</v>
          </cell>
          <cell r="M246">
            <v>0</v>
          </cell>
          <cell r="N246">
            <v>0.1</v>
          </cell>
          <cell r="O246">
            <v>19960.876500000002</v>
          </cell>
          <cell r="P246">
            <v>7666.6500000000005</v>
          </cell>
          <cell r="Q246">
            <v>0</v>
          </cell>
          <cell r="R246">
            <v>0</v>
          </cell>
          <cell r="S246">
            <v>16786.714000000004</v>
          </cell>
          <cell r="T246">
            <v>9346.1729706200349</v>
          </cell>
          <cell r="U246">
            <v>0</v>
          </cell>
          <cell r="V246">
            <v>0</v>
          </cell>
          <cell r="W246" t="str">
            <v>PHYSIOTENS</v>
          </cell>
          <cell r="X246" t="str">
            <v>TRICOR /LIPANTHYL</v>
          </cell>
          <cell r="Y246" t="str">
            <v>OMACOR</v>
          </cell>
          <cell r="Z246">
            <v>0</v>
          </cell>
          <cell r="AA246">
            <v>0.3</v>
          </cell>
          <cell r="AB246">
            <v>290233</v>
          </cell>
          <cell r="AC246">
            <v>10360.49</v>
          </cell>
          <cell r="AD246">
            <v>6665</v>
          </cell>
          <cell r="AE246">
            <v>0</v>
          </cell>
          <cell r="AF246">
            <v>265895</v>
          </cell>
          <cell r="AG246">
            <v>9711.92</v>
          </cell>
          <cell r="AH246">
            <v>7440</v>
          </cell>
          <cell r="AI246">
            <v>0</v>
          </cell>
          <cell r="AJ246" t="str">
            <v>HEPTRAL</v>
          </cell>
          <cell r="AK246">
            <v>0</v>
          </cell>
          <cell r="AL246">
            <v>0</v>
          </cell>
          <cell r="AM246">
            <v>0</v>
          </cell>
          <cell r="AN246">
            <v>0.3</v>
          </cell>
          <cell r="AO246">
            <v>331058.52</v>
          </cell>
          <cell r="AP246">
            <v>0</v>
          </cell>
          <cell r="AQ246">
            <v>0</v>
          </cell>
          <cell r="AR246">
            <v>0</v>
          </cell>
          <cell r="AS246">
            <v>356616</v>
          </cell>
          <cell r="AT246">
            <v>0</v>
          </cell>
          <cell r="AU246">
            <v>0</v>
          </cell>
          <cell r="AV246">
            <v>0</v>
          </cell>
          <cell r="AW246" t="str">
            <v>BETASERC</v>
          </cell>
          <cell r="AX246">
            <v>0</v>
          </cell>
          <cell r="AY246">
            <v>0</v>
          </cell>
          <cell r="AZ246">
            <v>0</v>
          </cell>
          <cell r="BA246">
            <v>0.3000000000000001</v>
          </cell>
          <cell r="BB246">
            <v>95677.040000000008</v>
          </cell>
          <cell r="BC246">
            <v>0</v>
          </cell>
          <cell r="BD246">
            <v>0</v>
          </cell>
          <cell r="BE246">
            <v>0</v>
          </cell>
          <cell r="BF246">
            <v>98361.423413493438</v>
          </cell>
          <cell r="BG246">
            <v>0</v>
          </cell>
          <cell r="BH246">
            <v>0</v>
          </cell>
          <cell r="BI246">
            <v>0</v>
          </cell>
          <cell r="BJ246">
            <v>761621.57649999997</v>
          </cell>
          <cell r="BK246">
            <v>764157.2303841135</v>
          </cell>
          <cell r="BL246" t="str">
            <v/>
          </cell>
          <cell r="BM246">
            <v>0.98</v>
          </cell>
          <cell r="BO246" t="str">
            <v>Staff</v>
          </cell>
          <cell r="BP246">
            <v>41830</v>
          </cell>
          <cell r="BQ246">
            <v>3</v>
          </cell>
          <cell r="BR246">
            <v>4</v>
          </cell>
          <cell r="BS246">
            <v>6</v>
          </cell>
          <cell r="BT246">
            <v>395525</v>
          </cell>
          <cell r="BU246">
            <v>1</v>
          </cell>
          <cell r="BW246">
            <v>1.0569999999999999</v>
          </cell>
          <cell r="BX246">
            <v>1.0860000000000001</v>
          </cell>
          <cell r="BY246">
            <v>0.92800000000000005</v>
          </cell>
          <cell r="BZ246">
            <v>0.97299999999999998</v>
          </cell>
          <cell r="CG246">
            <v>1</v>
          </cell>
          <cell r="CH246">
            <v>1</v>
          </cell>
          <cell r="CI246">
            <v>1</v>
          </cell>
          <cell r="CJ246">
            <v>0</v>
          </cell>
          <cell r="CK246">
            <v>1</v>
          </cell>
        </row>
        <row r="247">
          <cell r="A247" t="str">
            <v>33Q2</v>
          </cell>
          <cell r="B247" t="str">
            <v>Q2</v>
          </cell>
          <cell r="C247">
            <v>33</v>
          </cell>
          <cell r="D247" t="str">
            <v>Kussainova Dilara</v>
          </cell>
          <cell r="E247" t="str">
            <v>Medical Representative</v>
          </cell>
          <cell r="F247">
            <v>39776</v>
          </cell>
          <cell r="G247" t="str">
            <v/>
          </cell>
          <cell r="H247" t="str">
            <v/>
          </cell>
          <cell r="I247" t="str">
            <v>Line 2 (big cities)</v>
          </cell>
          <cell r="J247" t="str">
            <v>CREON</v>
          </cell>
          <cell r="K247" t="str">
            <v xml:space="preserve">DUPHALAC </v>
          </cell>
          <cell r="L247">
            <v>0</v>
          </cell>
          <cell r="M247">
            <v>0</v>
          </cell>
          <cell r="N247">
            <v>0.1</v>
          </cell>
          <cell r="O247">
            <v>8024.7907500000001</v>
          </cell>
          <cell r="P247">
            <v>4095</v>
          </cell>
          <cell r="Q247">
            <v>0</v>
          </cell>
          <cell r="R247">
            <v>0</v>
          </cell>
          <cell r="S247">
            <v>7254.6</v>
          </cell>
          <cell r="T247">
            <v>4431.0205378287237</v>
          </cell>
          <cell r="U247">
            <v>0</v>
          </cell>
          <cell r="V247">
            <v>0</v>
          </cell>
          <cell r="W247" t="str">
            <v>PHYSIOTENS</v>
          </cell>
          <cell r="X247" t="str">
            <v>TRICOR /LIPANTHYL</v>
          </cell>
          <cell r="Y247" t="str">
            <v>OMACOR</v>
          </cell>
          <cell r="Z247">
            <v>0</v>
          </cell>
          <cell r="AA247">
            <v>0.3</v>
          </cell>
          <cell r="AB247">
            <v>113822</v>
          </cell>
          <cell r="AC247">
            <v>2178.5299999999997</v>
          </cell>
          <cell r="AD247">
            <v>2139</v>
          </cell>
          <cell r="AE247">
            <v>0</v>
          </cell>
          <cell r="AF247">
            <v>113390</v>
          </cell>
          <cell r="AG247">
            <v>3326</v>
          </cell>
          <cell r="AH247">
            <v>3720</v>
          </cell>
          <cell r="AI247">
            <v>0</v>
          </cell>
          <cell r="AJ247" t="str">
            <v>HEPTRAL</v>
          </cell>
          <cell r="AK247">
            <v>0</v>
          </cell>
          <cell r="AL247">
            <v>0</v>
          </cell>
          <cell r="AM247">
            <v>0</v>
          </cell>
          <cell r="AN247">
            <v>0.3</v>
          </cell>
          <cell r="AO247">
            <v>121596.15000000001</v>
          </cell>
          <cell r="AP247">
            <v>0</v>
          </cell>
          <cell r="AQ247">
            <v>0</v>
          </cell>
          <cell r="AR247">
            <v>0</v>
          </cell>
          <cell r="AS247">
            <v>116725.70000000001</v>
          </cell>
          <cell r="AT247">
            <v>0</v>
          </cell>
          <cell r="AU247">
            <v>0</v>
          </cell>
          <cell r="AV247">
            <v>0</v>
          </cell>
          <cell r="AW247" t="str">
            <v>BETASERC</v>
          </cell>
          <cell r="AX247">
            <v>0</v>
          </cell>
          <cell r="AY247">
            <v>0</v>
          </cell>
          <cell r="AZ247">
            <v>0</v>
          </cell>
          <cell r="BA247">
            <v>0.3000000000000001</v>
          </cell>
          <cell r="BB247">
            <v>43541.460000000006</v>
          </cell>
          <cell r="BC247">
            <v>0</v>
          </cell>
          <cell r="BD247">
            <v>0</v>
          </cell>
          <cell r="BE247">
            <v>0</v>
          </cell>
          <cell r="BF247">
            <v>36070.972683772314</v>
          </cell>
          <cell r="BG247">
            <v>0</v>
          </cell>
          <cell r="BH247">
            <v>0</v>
          </cell>
          <cell r="BI247">
            <v>0</v>
          </cell>
          <cell r="BJ247">
            <v>295396.93075</v>
          </cell>
          <cell r="BK247">
            <v>284918.29322160105</v>
          </cell>
          <cell r="BL247" t="str">
            <v/>
          </cell>
          <cell r="BM247">
            <v>0.98</v>
          </cell>
          <cell r="BO247" t="str">
            <v>Staff</v>
          </cell>
          <cell r="BP247">
            <v>39868</v>
          </cell>
          <cell r="BQ247">
            <v>3</v>
          </cell>
          <cell r="BR247">
            <v>4</v>
          </cell>
          <cell r="BS247">
            <v>6</v>
          </cell>
          <cell r="BT247">
            <v>395525</v>
          </cell>
          <cell r="BU247">
            <v>1</v>
          </cell>
          <cell r="BW247">
            <v>1.0369999999999999</v>
          </cell>
          <cell r="BX247">
            <v>0.98099999999999998</v>
          </cell>
          <cell r="BY247">
            <v>1.042</v>
          </cell>
          <cell r="BZ247">
            <v>1.2070000000000001</v>
          </cell>
          <cell r="CG247">
            <v>1.04</v>
          </cell>
          <cell r="CH247">
            <v>1</v>
          </cell>
          <cell r="CI247">
            <v>1.4</v>
          </cell>
          <cell r="CJ247">
            <v>0</v>
          </cell>
          <cell r="CK247">
            <v>1</v>
          </cell>
        </row>
        <row r="248">
          <cell r="A248" t="str">
            <v>34Q2</v>
          </cell>
          <cell r="B248" t="str">
            <v>Q2</v>
          </cell>
          <cell r="C248">
            <v>34</v>
          </cell>
          <cell r="D248" t="str">
            <v>Kutdussova Liliya</v>
          </cell>
          <cell r="E248" t="str">
            <v>Medical Representative</v>
          </cell>
          <cell r="F248">
            <v>41043</v>
          </cell>
          <cell r="G248" t="str">
            <v/>
          </cell>
          <cell r="H248" t="str">
            <v/>
          </cell>
          <cell r="I248" t="str">
            <v>Line 2 (big cities)</v>
          </cell>
          <cell r="J248" t="str">
            <v>CREON</v>
          </cell>
          <cell r="K248" t="str">
            <v xml:space="preserve">DUPHALAC </v>
          </cell>
          <cell r="L248">
            <v>0</v>
          </cell>
          <cell r="M248">
            <v>0</v>
          </cell>
          <cell r="N248">
            <v>0.1</v>
          </cell>
          <cell r="O248">
            <v>2759.1875</v>
          </cell>
          <cell r="P248">
            <v>1547.4750000000001</v>
          </cell>
          <cell r="Q248">
            <v>0</v>
          </cell>
          <cell r="R248">
            <v>0</v>
          </cell>
          <cell r="S248">
            <v>3180.2550000000001</v>
          </cell>
          <cell r="T248">
            <v>1611.25</v>
          </cell>
          <cell r="U248">
            <v>0</v>
          </cell>
          <cell r="V248">
            <v>0</v>
          </cell>
          <cell r="W248" t="str">
            <v>PHYSIOTENS</v>
          </cell>
          <cell r="X248" t="str">
            <v>TRICOR /LIPANTHYL</v>
          </cell>
          <cell r="Y248" t="str">
            <v>OMACOR</v>
          </cell>
          <cell r="Z248">
            <v>0</v>
          </cell>
          <cell r="AA248">
            <v>0.3</v>
          </cell>
          <cell r="AB248">
            <v>15703.5</v>
          </cell>
          <cell r="AC248">
            <v>1247.2499999999998</v>
          </cell>
          <cell r="AD248">
            <v>279</v>
          </cell>
          <cell r="AE248">
            <v>0</v>
          </cell>
          <cell r="AF248">
            <v>39330</v>
          </cell>
          <cell r="AG248">
            <v>2494.5</v>
          </cell>
          <cell r="AH248">
            <v>1395</v>
          </cell>
          <cell r="AI248">
            <v>0</v>
          </cell>
          <cell r="AJ248" t="str">
            <v>HEPTRAL</v>
          </cell>
          <cell r="AK248">
            <v>0</v>
          </cell>
          <cell r="AL248">
            <v>0</v>
          </cell>
          <cell r="AM248">
            <v>0</v>
          </cell>
          <cell r="AN248">
            <v>0.3</v>
          </cell>
          <cell r="AO248">
            <v>33647.380000000005</v>
          </cell>
          <cell r="AP248">
            <v>0</v>
          </cell>
          <cell r="AQ248">
            <v>0</v>
          </cell>
          <cell r="AR248">
            <v>0</v>
          </cell>
          <cell r="AS248">
            <v>49530.000000000015</v>
          </cell>
          <cell r="AT248">
            <v>0</v>
          </cell>
          <cell r="AU248">
            <v>0</v>
          </cell>
          <cell r="AV248">
            <v>0</v>
          </cell>
          <cell r="AW248" t="str">
            <v>BETASERC</v>
          </cell>
          <cell r="AX248">
            <v>0</v>
          </cell>
          <cell r="AY248">
            <v>0</v>
          </cell>
          <cell r="AZ248">
            <v>0</v>
          </cell>
          <cell r="BA248">
            <v>0.3000000000000001</v>
          </cell>
          <cell r="BB248">
            <v>12673.800000000001</v>
          </cell>
          <cell r="BC248">
            <v>0</v>
          </cell>
          <cell r="BD248">
            <v>0</v>
          </cell>
          <cell r="BE248">
            <v>0</v>
          </cell>
          <cell r="BF248">
            <v>20841.986654533866</v>
          </cell>
          <cell r="BG248">
            <v>0</v>
          </cell>
          <cell r="BH248">
            <v>0</v>
          </cell>
          <cell r="BI248">
            <v>0</v>
          </cell>
          <cell r="BJ248">
            <v>67857.592499999999</v>
          </cell>
          <cell r="BK248">
            <v>118382.99165453386</v>
          </cell>
          <cell r="BL248" t="str">
            <v/>
          </cell>
          <cell r="BM248">
            <v>0.97</v>
          </cell>
          <cell r="BO248" t="str">
            <v>Staff</v>
          </cell>
          <cell r="BP248">
            <v>41135</v>
          </cell>
          <cell r="BQ248">
            <v>3</v>
          </cell>
          <cell r="BR248">
            <v>4</v>
          </cell>
          <cell r="BS248">
            <v>6</v>
          </cell>
          <cell r="BT248">
            <v>395525</v>
          </cell>
          <cell r="BU248">
            <v>1</v>
          </cell>
          <cell r="BW248">
            <v>0.89900000000000002</v>
          </cell>
          <cell r="BX248">
            <v>0.39900000000000002</v>
          </cell>
          <cell r="BY248">
            <v>0.67900000000000005</v>
          </cell>
          <cell r="BZ248">
            <v>0.60799999999999998</v>
          </cell>
          <cell r="CG248">
            <v>0.56999999999999995</v>
          </cell>
          <cell r="CH248">
            <v>0</v>
          </cell>
          <cell r="CI248">
            <v>0</v>
          </cell>
          <cell r="CJ248">
            <v>0</v>
          </cell>
          <cell r="CK248">
            <v>1</v>
          </cell>
        </row>
        <row r="249">
          <cell r="A249" t="str">
            <v>35Q2</v>
          </cell>
          <cell r="B249" t="str">
            <v>Q2</v>
          </cell>
          <cell r="C249">
            <v>35</v>
          </cell>
          <cell r="D249" t="str">
            <v>Kutlymuratov Assylatdin</v>
          </cell>
          <cell r="E249" t="str">
            <v>Medical Representative</v>
          </cell>
          <cell r="F249">
            <v>42348</v>
          </cell>
          <cell r="G249" t="str">
            <v/>
          </cell>
          <cell r="H249" t="str">
            <v/>
          </cell>
          <cell r="I249" t="str">
            <v>Line 2 (big cities)</v>
          </cell>
          <cell r="J249" t="str">
            <v>CREON</v>
          </cell>
          <cell r="K249" t="str">
            <v xml:space="preserve">DUPHALAC </v>
          </cell>
          <cell r="L249">
            <v>0</v>
          </cell>
          <cell r="M249">
            <v>0</v>
          </cell>
          <cell r="N249">
            <v>0.1</v>
          </cell>
          <cell r="O249">
            <v>19960.876500000002</v>
          </cell>
          <cell r="P249">
            <v>7666.6500000000005</v>
          </cell>
          <cell r="Q249">
            <v>0</v>
          </cell>
          <cell r="R249">
            <v>0</v>
          </cell>
          <cell r="S249">
            <v>16786.714000000004</v>
          </cell>
          <cell r="T249">
            <v>9346.1729706200349</v>
          </cell>
          <cell r="U249">
            <v>0</v>
          </cell>
          <cell r="V249">
            <v>0</v>
          </cell>
          <cell r="W249" t="str">
            <v>PHYSIOTENS</v>
          </cell>
          <cell r="X249" t="str">
            <v>TRICOR /LIPANTHYL</v>
          </cell>
          <cell r="Y249" t="str">
            <v>OMACOR</v>
          </cell>
          <cell r="Z249">
            <v>0</v>
          </cell>
          <cell r="AA249">
            <v>0.3</v>
          </cell>
          <cell r="AB249">
            <v>290233</v>
          </cell>
          <cell r="AC249">
            <v>10360.49</v>
          </cell>
          <cell r="AD249">
            <v>6665</v>
          </cell>
          <cell r="AE249">
            <v>0</v>
          </cell>
          <cell r="AF249">
            <v>265895</v>
          </cell>
          <cell r="AG249">
            <v>9711.92</v>
          </cell>
          <cell r="AH249">
            <v>7440</v>
          </cell>
          <cell r="AI249">
            <v>0</v>
          </cell>
          <cell r="AJ249" t="str">
            <v>HEPTRAL</v>
          </cell>
          <cell r="AK249">
            <v>0</v>
          </cell>
          <cell r="AL249">
            <v>0</v>
          </cell>
          <cell r="AM249">
            <v>0</v>
          </cell>
          <cell r="AN249">
            <v>0.3</v>
          </cell>
          <cell r="AO249">
            <v>331058.52</v>
          </cell>
          <cell r="AP249">
            <v>0</v>
          </cell>
          <cell r="AQ249">
            <v>0</v>
          </cell>
          <cell r="AR249">
            <v>0</v>
          </cell>
          <cell r="AS249">
            <v>356616</v>
          </cell>
          <cell r="AT249">
            <v>0</v>
          </cell>
          <cell r="AU249">
            <v>0</v>
          </cell>
          <cell r="AV249">
            <v>0</v>
          </cell>
          <cell r="AW249" t="str">
            <v>BETASERC</v>
          </cell>
          <cell r="AX249">
            <v>0</v>
          </cell>
          <cell r="AY249">
            <v>0</v>
          </cell>
          <cell r="AZ249">
            <v>0</v>
          </cell>
          <cell r="BA249">
            <v>0.3000000000000001</v>
          </cell>
          <cell r="BB249">
            <v>95677.040000000008</v>
          </cell>
          <cell r="BC249">
            <v>0</v>
          </cell>
          <cell r="BD249">
            <v>0</v>
          </cell>
          <cell r="BE249">
            <v>0</v>
          </cell>
          <cell r="BF249">
            <v>98361.423413493438</v>
          </cell>
          <cell r="BG249">
            <v>0</v>
          </cell>
          <cell r="BH249">
            <v>0</v>
          </cell>
          <cell r="BI249">
            <v>0</v>
          </cell>
          <cell r="BJ249">
            <v>761621.57649999997</v>
          </cell>
          <cell r="BK249">
            <v>764157.2303841135</v>
          </cell>
          <cell r="BL249" t="str">
            <v/>
          </cell>
          <cell r="BM249">
            <v>0.89</v>
          </cell>
          <cell r="BO249" t="str">
            <v>Staff</v>
          </cell>
          <cell r="BP249">
            <v>42439</v>
          </cell>
          <cell r="BQ249">
            <v>3</v>
          </cell>
          <cell r="BR249">
            <v>4</v>
          </cell>
          <cell r="BS249">
            <v>6</v>
          </cell>
          <cell r="BT249">
            <v>395525</v>
          </cell>
          <cell r="BU249">
            <v>1</v>
          </cell>
          <cell r="BW249">
            <v>1.0569999999999999</v>
          </cell>
          <cell r="BX249">
            <v>1.0860000000000001</v>
          </cell>
          <cell r="BY249">
            <v>0.92800000000000005</v>
          </cell>
          <cell r="BZ249">
            <v>0.97299999999999998</v>
          </cell>
          <cell r="CG249">
            <v>1</v>
          </cell>
          <cell r="CH249">
            <v>1</v>
          </cell>
          <cell r="CI249">
            <v>1</v>
          </cell>
          <cell r="CJ249">
            <v>0</v>
          </cell>
          <cell r="CK249">
            <v>0.5</v>
          </cell>
        </row>
        <row r="250">
          <cell r="A250" t="str">
            <v>36Q2</v>
          </cell>
          <cell r="B250" t="str">
            <v>Q2</v>
          </cell>
          <cell r="C250">
            <v>36</v>
          </cell>
          <cell r="D250" t="str">
            <v>Kuxa Anna</v>
          </cell>
          <cell r="E250" t="str">
            <v>Regional Manager</v>
          </cell>
          <cell r="F250">
            <v>40686</v>
          </cell>
          <cell r="G250" t="str">
            <v/>
          </cell>
          <cell r="H250" t="str">
            <v/>
          </cell>
          <cell r="I250" t="str">
            <v>Regional Manager-1</v>
          </cell>
          <cell r="J250" t="str">
            <v>GASTRO</v>
          </cell>
          <cell r="K250">
            <v>0</v>
          </cell>
          <cell r="L250">
            <v>0</v>
          </cell>
          <cell r="M250">
            <v>0</v>
          </cell>
          <cell r="N250">
            <v>0.5</v>
          </cell>
          <cell r="O250">
            <v>1017308.5400000002</v>
          </cell>
          <cell r="P250">
            <v>0</v>
          </cell>
          <cell r="Q250">
            <v>0</v>
          </cell>
          <cell r="R250">
            <v>0</v>
          </cell>
          <cell r="S250">
            <v>1026292.3943590373</v>
          </cell>
          <cell r="T250">
            <v>0</v>
          </cell>
          <cell r="U250">
            <v>0</v>
          </cell>
          <cell r="V250">
            <v>0</v>
          </cell>
          <cell r="W250" t="str">
            <v>GYNECOLOGY</v>
          </cell>
          <cell r="X250">
            <v>0</v>
          </cell>
          <cell r="Y250">
            <v>0</v>
          </cell>
          <cell r="Z250">
            <v>0</v>
          </cell>
          <cell r="AA250">
            <v>0.25</v>
          </cell>
          <cell r="AB250">
            <v>452093.54000000004</v>
          </cell>
          <cell r="AC250">
            <v>0</v>
          </cell>
          <cell r="AD250">
            <v>0</v>
          </cell>
          <cell r="AE250">
            <v>0</v>
          </cell>
          <cell r="AF250">
            <v>413133.68431154831</v>
          </cell>
          <cell r="AG250">
            <v>0</v>
          </cell>
          <cell r="AH250">
            <v>0</v>
          </cell>
          <cell r="AI250">
            <v>0</v>
          </cell>
          <cell r="AJ250" t="str">
            <v>CARDIO-NEURO</v>
          </cell>
          <cell r="AK250">
            <v>0</v>
          </cell>
          <cell r="AL250">
            <v>0</v>
          </cell>
          <cell r="AM250">
            <v>0</v>
          </cell>
          <cell r="AN250">
            <v>0.2</v>
          </cell>
          <cell r="AO250">
            <v>448378.87000000005</v>
          </cell>
          <cell r="AP250">
            <v>0</v>
          </cell>
          <cell r="AQ250">
            <v>0</v>
          </cell>
          <cell r="AR250">
            <v>0</v>
          </cell>
          <cell r="AS250">
            <v>464051.58580230514</v>
          </cell>
          <cell r="AT250">
            <v>0</v>
          </cell>
          <cell r="AU250">
            <v>0</v>
          </cell>
          <cell r="AV250">
            <v>0</v>
          </cell>
          <cell r="AW250" t="str">
            <v>IMMUNOLOGY</v>
          </cell>
          <cell r="AX250">
            <v>0</v>
          </cell>
          <cell r="AY250">
            <v>0</v>
          </cell>
          <cell r="AZ250">
            <v>0</v>
          </cell>
          <cell r="BA250">
            <v>4.9999999999999989E-2</v>
          </cell>
          <cell r="BB250">
            <v>61860</v>
          </cell>
          <cell r="BC250">
            <v>0</v>
          </cell>
          <cell r="BD250">
            <v>0</v>
          </cell>
          <cell r="BE250">
            <v>0</v>
          </cell>
          <cell r="BF250">
            <v>52809.803971738402</v>
          </cell>
          <cell r="BG250">
            <v>0</v>
          </cell>
          <cell r="BH250">
            <v>0</v>
          </cell>
          <cell r="BI250">
            <v>0</v>
          </cell>
          <cell r="BJ250">
            <v>1979640.9500000002</v>
          </cell>
          <cell r="BK250">
            <v>1956287.4684446289</v>
          </cell>
          <cell r="BL250">
            <v>0.74814814814814812</v>
          </cell>
          <cell r="BM250">
            <v>0.92</v>
          </cell>
          <cell r="BO250" t="str">
            <v>Staff</v>
          </cell>
          <cell r="BP250">
            <v>40778</v>
          </cell>
          <cell r="BQ250">
            <v>3</v>
          </cell>
          <cell r="BR250">
            <v>4</v>
          </cell>
          <cell r="BS250">
            <v>6</v>
          </cell>
          <cell r="BT250">
            <v>726000</v>
          </cell>
          <cell r="BU250">
            <v>1</v>
          </cell>
          <cell r="BW250">
            <v>0.99099999999999999</v>
          </cell>
          <cell r="BX250">
            <v>1.0940000000000001</v>
          </cell>
          <cell r="BY250">
            <v>0.96599999999999997</v>
          </cell>
          <cell r="BZ250">
            <v>1.171</v>
          </cell>
          <cell r="CG250">
            <v>1.01</v>
          </cell>
          <cell r="CH250">
            <v>1</v>
          </cell>
          <cell r="CI250">
            <v>1.1000000000000001</v>
          </cell>
          <cell r="CJ250">
            <v>1</v>
          </cell>
          <cell r="CK250">
            <v>0.5</v>
          </cell>
        </row>
        <row r="251">
          <cell r="A251" t="str">
            <v>37Q2</v>
          </cell>
          <cell r="B251" t="str">
            <v>Q2</v>
          </cell>
          <cell r="C251">
            <v>37</v>
          </cell>
          <cell r="D251" t="str">
            <v>Kuzikeyeva Dinara</v>
          </cell>
          <cell r="E251" t="str">
            <v>Regional Manager</v>
          </cell>
          <cell r="F251">
            <v>40983</v>
          </cell>
          <cell r="G251" t="str">
            <v/>
          </cell>
          <cell r="H251" t="str">
            <v/>
          </cell>
          <cell r="I251" t="str">
            <v>Regional Manager-1</v>
          </cell>
          <cell r="J251" t="str">
            <v>GASTRO</v>
          </cell>
          <cell r="K251">
            <v>0</v>
          </cell>
          <cell r="L251">
            <v>0</v>
          </cell>
          <cell r="M251">
            <v>0</v>
          </cell>
          <cell r="N251">
            <v>0.5</v>
          </cell>
          <cell r="O251">
            <v>299932.80999999994</v>
          </cell>
          <cell r="P251">
            <v>0</v>
          </cell>
          <cell r="Q251">
            <v>0</v>
          </cell>
          <cell r="R251">
            <v>0</v>
          </cell>
          <cell r="S251">
            <v>239502.91090321128</v>
          </cell>
          <cell r="T251">
            <v>0</v>
          </cell>
          <cell r="U251">
            <v>0</v>
          </cell>
          <cell r="V251">
            <v>0</v>
          </cell>
          <cell r="W251" t="str">
            <v>GYNECOLOGY</v>
          </cell>
          <cell r="X251">
            <v>0</v>
          </cell>
          <cell r="Y251">
            <v>0</v>
          </cell>
          <cell r="Z251">
            <v>0</v>
          </cell>
          <cell r="AA251">
            <v>0.25</v>
          </cell>
          <cell r="AB251">
            <v>100443.8</v>
          </cell>
          <cell r="AC251">
            <v>0</v>
          </cell>
          <cell r="AD251">
            <v>0</v>
          </cell>
          <cell r="AE251">
            <v>0</v>
          </cell>
          <cell r="AF251">
            <v>111190.38361177452</v>
          </cell>
          <cell r="AG251">
            <v>0</v>
          </cell>
          <cell r="AH251">
            <v>0</v>
          </cell>
          <cell r="AI251">
            <v>0</v>
          </cell>
          <cell r="AJ251" t="str">
            <v>CARDIO-NEURO</v>
          </cell>
          <cell r="AK251">
            <v>0</v>
          </cell>
          <cell r="AL251">
            <v>0</v>
          </cell>
          <cell r="AM251">
            <v>0</v>
          </cell>
          <cell r="AN251">
            <v>0.2</v>
          </cell>
          <cell r="AO251">
            <v>270974.51</v>
          </cell>
          <cell r="AP251">
            <v>0</v>
          </cell>
          <cell r="AQ251">
            <v>0</v>
          </cell>
          <cell r="AR251">
            <v>0</v>
          </cell>
          <cell r="AS251">
            <v>196197.41653875579</v>
          </cell>
          <cell r="AT251">
            <v>0</v>
          </cell>
          <cell r="AU251">
            <v>0</v>
          </cell>
          <cell r="AV251">
            <v>0</v>
          </cell>
          <cell r="AW251" t="str">
            <v>IMMUNOLOGY</v>
          </cell>
          <cell r="AX251">
            <v>0</v>
          </cell>
          <cell r="AY251">
            <v>0</v>
          </cell>
          <cell r="AZ251">
            <v>0</v>
          </cell>
          <cell r="BA251">
            <v>4.9999999999999989E-2</v>
          </cell>
          <cell r="BB251">
            <v>12372</v>
          </cell>
          <cell r="BC251">
            <v>0</v>
          </cell>
          <cell r="BD251">
            <v>0</v>
          </cell>
          <cell r="BE251">
            <v>0</v>
          </cell>
          <cell r="BF251">
            <v>13845.617164234682</v>
          </cell>
          <cell r="BG251">
            <v>0</v>
          </cell>
          <cell r="BH251">
            <v>0</v>
          </cell>
          <cell r="BI251">
            <v>0</v>
          </cell>
          <cell r="BJ251">
            <v>683723.11999999988</v>
          </cell>
          <cell r="BK251">
            <v>560736.32821797626</v>
          </cell>
          <cell r="BL251">
            <v>0.7592592592592593</v>
          </cell>
          <cell r="BM251">
            <v>0.95</v>
          </cell>
          <cell r="BO251" t="str">
            <v>Staff</v>
          </cell>
          <cell r="BP251">
            <v>41075</v>
          </cell>
          <cell r="BQ251">
            <v>3</v>
          </cell>
          <cell r="BR251">
            <v>4</v>
          </cell>
          <cell r="BS251">
            <v>6</v>
          </cell>
          <cell r="BT251">
            <v>726000</v>
          </cell>
          <cell r="BU251">
            <v>1</v>
          </cell>
          <cell r="BW251">
            <v>1.252</v>
          </cell>
          <cell r="BX251">
            <v>0.90300000000000002</v>
          </cell>
          <cell r="BY251">
            <v>1.381</v>
          </cell>
          <cell r="BZ251">
            <v>0.89400000000000002</v>
          </cell>
          <cell r="CG251">
            <v>1.22</v>
          </cell>
          <cell r="CH251">
            <v>1</v>
          </cell>
          <cell r="CI251">
            <v>2.5</v>
          </cell>
          <cell r="CJ251">
            <v>1</v>
          </cell>
          <cell r="CK251">
            <v>1</v>
          </cell>
        </row>
        <row r="252">
          <cell r="A252" t="str">
            <v>38Q2</v>
          </cell>
          <cell r="B252" t="str">
            <v>Q2</v>
          </cell>
          <cell r="C252">
            <v>38</v>
          </cell>
          <cell r="D252" t="str">
            <v>Kuznetsova Natalya</v>
          </cell>
          <cell r="E252" t="str">
            <v>Medical Representative</v>
          </cell>
          <cell r="F252">
            <v>41652</v>
          </cell>
          <cell r="G252" t="str">
            <v/>
          </cell>
          <cell r="H252" t="str">
            <v/>
          </cell>
          <cell r="I252" t="str">
            <v>Line 2 (big cities)</v>
          </cell>
          <cell r="J252" t="str">
            <v>CREON</v>
          </cell>
          <cell r="K252" t="str">
            <v xml:space="preserve">DUPHALAC </v>
          </cell>
          <cell r="L252">
            <v>0</v>
          </cell>
          <cell r="M252">
            <v>0</v>
          </cell>
          <cell r="N252">
            <v>0.1</v>
          </cell>
          <cell r="O252">
            <v>6491.6085000000003</v>
          </cell>
          <cell r="P252">
            <v>2620.7250000000004</v>
          </cell>
          <cell r="Q252">
            <v>0</v>
          </cell>
          <cell r="R252">
            <v>0</v>
          </cell>
          <cell r="S252">
            <v>4904.6884805670006</v>
          </cell>
          <cell r="T252">
            <v>2861.5750000000003</v>
          </cell>
          <cell r="U252">
            <v>0</v>
          </cell>
          <cell r="V252">
            <v>0</v>
          </cell>
          <cell r="W252" t="str">
            <v>PHYSIOTENS</v>
          </cell>
          <cell r="X252" t="str">
            <v>TRICOR /LIPANTHYL</v>
          </cell>
          <cell r="Y252" t="str">
            <v>OMACOR</v>
          </cell>
          <cell r="Z252">
            <v>0</v>
          </cell>
          <cell r="AA252">
            <v>0.3</v>
          </cell>
          <cell r="AB252">
            <v>103495</v>
          </cell>
          <cell r="AC252">
            <v>1579.85</v>
          </cell>
          <cell r="AD252">
            <v>310</v>
          </cell>
          <cell r="AE252">
            <v>0</v>
          </cell>
          <cell r="AF252">
            <v>93458</v>
          </cell>
          <cell r="AG252">
            <v>2660.8</v>
          </cell>
          <cell r="AH252">
            <v>1860</v>
          </cell>
          <cell r="AI252">
            <v>0</v>
          </cell>
          <cell r="AJ252" t="str">
            <v>HEPTRAL</v>
          </cell>
          <cell r="AK252">
            <v>0</v>
          </cell>
          <cell r="AL252">
            <v>0</v>
          </cell>
          <cell r="AM252">
            <v>0</v>
          </cell>
          <cell r="AN252">
            <v>0.3</v>
          </cell>
          <cell r="AO252">
            <v>53495.702000000005</v>
          </cell>
          <cell r="AP252">
            <v>0</v>
          </cell>
          <cell r="AQ252">
            <v>0</v>
          </cell>
          <cell r="AR252">
            <v>0</v>
          </cell>
          <cell r="AS252">
            <v>73553.020687511817</v>
          </cell>
          <cell r="AT252">
            <v>0</v>
          </cell>
          <cell r="AU252">
            <v>0</v>
          </cell>
          <cell r="AV252">
            <v>0</v>
          </cell>
          <cell r="AW252" t="str">
            <v>BETASERC</v>
          </cell>
          <cell r="AX252">
            <v>0</v>
          </cell>
          <cell r="AY252">
            <v>0</v>
          </cell>
          <cell r="AZ252">
            <v>0</v>
          </cell>
          <cell r="BA252">
            <v>0.3000000000000001</v>
          </cell>
          <cell r="BB252">
            <v>44013.70708</v>
          </cell>
          <cell r="BC252">
            <v>0</v>
          </cell>
          <cell r="BD252">
            <v>0</v>
          </cell>
          <cell r="BE252">
            <v>0</v>
          </cell>
          <cell r="BF252">
            <v>34298.648136519434</v>
          </cell>
          <cell r="BG252">
            <v>0</v>
          </cell>
          <cell r="BH252">
            <v>0</v>
          </cell>
          <cell r="BI252">
            <v>0</v>
          </cell>
          <cell r="BJ252">
            <v>212006.59258000003</v>
          </cell>
          <cell r="BK252">
            <v>213596.73230459826</v>
          </cell>
          <cell r="BL252" t="str">
            <v/>
          </cell>
          <cell r="BM252">
            <v>0.98</v>
          </cell>
          <cell r="BO252" t="str">
            <v>Staff</v>
          </cell>
          <cell r="BP252">
            <v>41742</v>
          </cell>
          <cell r="BQ252">
            <v>3</v>
          </cell>
          <cell r="BR252">
            <v>4</v>
          </cell>
          <cell r="BS252">
            <v>6</v>
          </cell>
          <cell r="BT252">
            <v>395525</v>
          </cell>
          <cell r="BU252">
            <v>1</v>
          </cell>
          <cell r="BW252">
            <v>1.173</v>
          </cell>
          <cell r="BX252">
            <v>1.0760000000000001</v>
          </cell>
          <cell r="BY252">
            <v>0.72699999999999998</v>
          </cell>
          <cell r="BZ252">
            <v>1.2829999999999999</v>
          </cell>
          <cell r="CG252">
            <v>0.99</v>
          </cell>
          <cell r="CH252">
            <v>1</v>
          </cell>
          <cell r="CI252">
            <v>0.96</v>
          </cell>
          <cell r="CJ252">
            <v>0</v>
          </cell>
          <cell r="CK252">
            <v>1</v>
          </cell>
        </row>
        <row r="253">
          <cell r="A253" t="str">
            <v>39Q2</v>
          </cell>
          <cell r="B253" t="str">
            <v>Q2</v>
          </cell>
          <cell r="C253">
            <v>39</v>
          </cell>
          <cell r="D253" t="str">
            <v>Litvinenko Tatyana</v>
          </cell>
          <cell r="E253" t="str">
            <v>Pharm Representative</v>
          </cell>
          <cell r="F253">
            <v>41008</v>
          </cell>
          <cell r="G253" t="str">
            <v/>
          </cell>
          <cell r="H253" t="str">
            <v/>
          </cell>
          <cell r="I253" t="str">
            <v>Pharma line</v>
          </cell>
          <cell r="J253" t="str">
            <v>CREON</v>
          </cell>
          <cell r="K253">
            <v>0</v>
          </cell>
          <cell r="L253">
            <v>0</v>
          </cell>
          <cell r="M253">
            <v>0</v>
          </cell>
          <cell r="N253">
            <v>0.45</v>
          </cell>
          <cell r="O253">
            <v>79246.080000000002</v>
          </cell>
          <cell r="P253">
            <v>0</v>
          </cell>
          <cell r="Q253">
            <v>0</v>
          </cell>
          <cell r="R253">
            <v>0</v>
          </cell>
          <cell r="S253">
            <v>65202</v>
          </cell>
          <cell r="T253">
            <v>0</v>
          </cell>
          <cell r="U253">
            <v>0</v>
          </cell>
          <cell r="V253">
            <v>0</v>
          </cell>
          <cell r="W253" t="str">
            <v xml:space="preserve">DUPHALAC </v>
          </cell>
          <cell r="X253">
            <v>0</v>
          </cell>
          <cell r="Y253">
            <v>0</v>
          </cell>
          <cell r="Z253">
            <v>0</v>
          </cell>
          <cell r="AA253">
            <v>0.3</v>
          </cell>
          <cell r="AB253">
            <v>24704.5</v>
          </cell>
          <cell r="AC253">
            <v>0</v>
          </cell>
          <cell r="AD253">
            <v>0</v>
          </cell>
          <cell r="AE253">
            <v>0</v>
          </cell>
          <cell r="AF253">
            <v>28052.101912409886</v>
          </cell>
          <cell r="AG253">
            <v>0</v>
          </cell>
          <cell r="AH253">
            <v>0</v>
          </cell>
          <cell r="AI253">
            <v>0</v>
          </cell>
          <cell r="AJ253" t="str">
            <v>IRS 19</v>
          </cell>
          <cell r="AK253" t="str">
            <v>IMUDON</v>
          </cell>
          <cell r="AL253">
            <v>0</v>
          </cell>
          <cell r="AM253">
            <v>0</v>
          </cell>
          <cell r="AN253">
            <v>0.15</v>
          </cell>
          <cell r="AO253">
            <v>3156</v>
          </cell>
          <cell r="AP253">
            <v>5232</v>
          </cell>
          <cell r="AQ253">
            <v>0</v>
          </cell>
          <cell r="AR253">
            <v>0</v>
          </cell>
          <cell r="AS253">
            <v>4355.2781782145994</v>
          </cell>
          <cell r="AT253">
            <v>6625.9450038751165</v>
          </cell>
          <cell r="AU253">
            <v>0</v>
          </cell>
          <cell r="AV253">
            <v>0</v>
          </cell>
          <cell r="AW253" t="str">
            <v>DUPHABEARS</v>
          </cell>
          <cell r="AX253">
            <v>0</v>
          </cell>
          <cell r="AY253">
            <v>0</v>
          </cell>
          <cell r="AZ253">
            <v>0</v>
          </cell>
          <cell r="BA253">
            <v>0.10000000000000006</v>
          </cell>
          <cell r="BB253">
            <v>598.59999999999991</v>
          </cell>
          <cell r="BC253">
            <v>0</v>
          </cell>
          <cell r="BD253">
            <v>0</v>
          </cell>
          <cell r="BE253">
            <v>0</v>
          </cell>
          <cell r="BF253">
            <v>1094.6999999999998</v>
          </cell>
          <cell r="BG253">
            <v>0</v>
          </cell>
          <cell r="BH253">
            <v>0</v>
          </cell>
          <cell r="BI253">
            <v>0</v>
          </cell>
          <cell r="BJ253">
            <v>112937.18000000001</v>
          </cell>
          <cell r="BK253">
            <v>105330.02509449959</v>
          </cell>
          <cell r="BL253" t="str">
            <v/>
          </cell>
          <cell r="BM253">
            <v>0.97</v>
          </cell>
          <cell r="BO253" t="str">
            <v>Staff</v>
          </cell>
          <cell r="BP253">
            <v>41099</v>
          </cell>
          <cell r="BQ253">
            <v>3</v>
          </cell>
          <cell r="BR253">
            <v>4</v>
          </cell>
          <cell r="BS253">
            <v>6</v>
          </cell>
          <cell r="BT253">
            <v>395525</v>
          </cell>
          <cell r="BU253">
            <v>1</v>
          </cell>
          <cell r="BW253">
            <v>1.2150000000000001</v>
          </cell>
          <cell r="BX253">
            <v>0.88100000000000001</v>
          </cell>
          <cell r="BY253">
            <v>0.76400000000000001</v>
          </cell>
          <cell r="BZ253">
            <v>0.54700000000000004</v>
          </cell>
          <cell r="CG253">
            <v>1.07</v>
          </cell>
          <cell r="CH253">
            <v>1</v>
          </cell>
          <cell r="CI253">
            <v>1.7</v>
          </cell>
          <cell r="CJ253">
            <v>0</v>
          </cell>
          <cell r="CK253">
            <v>1</v>
          </cell>
        </row>
        <row r="254">
          <cell r="A254" t="str">
            <v>40Q2</v>
          </cell>
          <cell r="B254" t="str">
            <v>Q2</v>
          </cell>
          <cell r="C254">
            <v>40</v>
          </cell>
          <cell r="D254" t="str">
            <v>Maisutova Almagul</v>
          </cell>
          <cell r="E254" t="str">
            <v>Regional Manager</v>
          </cell>
          <cell r="F254">
            <v>41640</v>
          </cell>
          <cell r="G254" t="str">
            <v/>
          </cell>
          <cell r="H254" t="str">
            <v/>
          </cell>
          <cell r="I254" t="str">
            <v>Regional Manager-1</v>
          </cell>
          <cell r="J254" t="str">
            <v>GASTRO</v>
          </cell>
          <cell r="K254">
            <v>0</v>
          </cell>
          <cell r="L254">
            <v>0</v>
          </cell>
          <cell r="M254">
            <v>0</v>
          </cell>
          <cell r="N254">
            <v>0.5</v>
          </cell>
          <cell r="O254">
            <v>408918.79000000004</v>
          </cell>
          <cell r="P254">
            <v>0</v>
          </cell>
          <cell r="Q254">
            <v>0</v>
          </cell>
          <cell r="R254">
            <v>0</v>
          </cell>
          <cell r="S254">
            <v>400927.01617003349</v>
          </cell>
          <cell r="T254">
            <v>0</v>
          </cell>
          <cell r="U254">
            <v>0</v>
          </cell>
          <cell r="V254">
            <v>0</v>
          </cell>
          <cell r="W254" t="str">
            <v>GYNECOLOGY</v>
          </cell>
          <cell r="X254">
            <v>0</v>
          </cell>
          <cell r="Y254">
            <v>0</v>
          </cell>
          <cell r="Z254">
            <v>0</v>
          </cell>
          <cell r="AA254">
            <v>0.25</v>
          </cell>
          <cell r="AB254">
            <v>176247.49000000002</v>
          </cell>
          <cell r="AC254">
            <v>0</v>
          </cell>
          <cell r="AD254">
            <v>0</v>
          </cell>
          <cell r="AE254">
            <v>0</v>
          </cell>
          <cell r="AF254">
            <v>163939.64041503036</v>
          </cell>
          <cell r="AG254">
            <v>0</v>
          </cell>
          <cell r="AH254">
            <v>0</v>
          </cell>
          <cell r="AI254">
            <v>0</v>
          </cell>
          <cell r="AJ254" t="str">
            <v>CARDIO-NEURO</v>
          </cell>
          <cell r="AK254">
            <v>0</v>
          </cell>
          <cell r="AL254">
            <v>0</v>
          </cell>
          <cell r="AM254">
            <v>0</v>
          </cell>
          <cell r="AN254">
            <v>0.2</v>
          </cell>
          <cell r="AO254">
            <v>137545.15</v>
          </cell>
          <cell r="AP254">
            <v>0</v>
          </cell>
          <cell r="AQ254">
            <v>0</v>
          </cell>
          <cell r="AR254">
            <v>0</v>
          </cell>
          <cell r="AS254">
            <v>160721.55690322732</v>
          </cell>
          <cell r="AT254">
            <v>0</v>
          </cell>
          <cell r="AU254">
            <v>0</v>
          </cell>
          <cell r="AV254">
            <v>0</v>
          </cell>
          <cell r="AW254" t="str">
            <v>IMMUNOLOGY</v>
          </cell>
          <cell r="AX254">
            <v>0</v>
          </cell>
          <cell r="AY254">
            <v>0</v>
          </cell>
          <cell r="AZ254">
            <v>0</v>
          </cell>
          <cell r="BA254">
            <v>4.9999999999999989E-2</v>
          </cell>
          <cell r="BB254">
            <v>21624</v>
          </cell>
          <cell r="BC254">
            <v>0</v>
          </cell>
          <cell r="BD254">
            <v>0</v>
          </cell>
          <cell r="BE254">
            <v>0</v>
          </cell>
          <cell r="BF254">
            <v>20204.9214509784</v>
          </cell>
          <cell r="BG254">
            <v>0</v>
          </cell>
          <cell r="BH254">
            <v>0</v>
          </cell>
          <cell r="BI254">
            <v>0</v>
          </cell>
          <cell r="BJ254">
            <v>744335.43</v>
          </cell>
          <cell r="BK254">
            <v>745793.13493926951</v>
          </cell>
          <cell r="BL254">
            <v>0.79945799457994582</v>
          </cell>
          <cell r="BM254">
            <v>0.97</v>
          </cell>
          <cell r="BO254" t="str">
            <v>Staff</v>
          </cell>
          <cell r="BP254">
            <v>41730</v>
          </cell>
          <cell r="BQ254">
            <v>3</v>
          </cell>
          <cell r="BR254">
            <v>4</v>
          </cell>
          <cell r="BS254">
            <v>6</v>
          </cell>
          <cell r="BT254">
            <v>726000</v>
          </cell>
          <cell r="BU254">
            <v>1</v>
          </cell>
          <cell r="BW254">
            <v>1.02</v>
          </cell>
          <cell r="BX254">
            <v>1.075</v>
          </cell>
          <cell r="BY254">
            <v>0.85599999999999998</v>
          </cell>
          <cell r="BZ254">
            <v>1.07</v>
          </cell>
          <cell r="CG254">
            <v>1</v>
          </cell>
          <cell r="CH254">
            <v>1</v>
          </cell>
          <cell r="CI254">
            <v>1</v>
          </cell>
          <cell r="CJ254">
            <v>1</v>
          </cell>
          <cell r="CK254">
            <v>1</v>
          </cell>
        </row>
        <row r="255">
          <cell r="A255" t="str">
            <v>41Q2</v>
          </cell>
          <cell r="B255" t="str">
            <v>Q2</v>
          </cell>
          <cell r="C255">
            <v>41</v>
          </cell>
          <cell r="D255" t="str">
            <v>Mamedova Zarina</v>
          </cell>
          <cell r="E255" t="str">
            <v>Medical Representative</v>
          </cell>
          <cell r="F255">
            <v>41173</v>
          </cell>
          <cell r="G255" t="str">
            <v/>
          </cell>
          <cell r="H255" t="str">
            <v/>
          </cell>
          <cell r="I255" t="str">
            <v>Line 3 (big cities)</v>
          </cell>
          <cell r="J255" t="str">
            <v xml:space="preserve">DUPHASTON </v>
          </cell>
          <cell r="K255">
            <v>0</v>
          </cell>
          <cell r="L255">
            <v>0</v>
          </cell>
          <cell r="M255">
            <v>0</v>
          </cell>
          <cell r="N255">
            <v>0.45</v>
          </cell>
          <cell r="O255">
            <v>140197.5</v>
          </cell>
          <cell r="P255">
            <v>0</v>
          </cell>
          <cell r="Q255">
            <v>0</v>
          </cell>
          <cell r="R255">
            <v>0</v>
          </cell>
          <cell r="S255">
            <v>166050</v>
          </cell>
          <cell r="T255">
            <v>0</v>
          </cell>
          <cell r="U255">
            <v>0</v>
          </cell>
          <cell r="V255">
            <v>0</v>
          </cell>
          <cell r="W255" t="str">
            <v>FEMOSTON</v>
          </cell>
          <cell r="X255">
            <v>0</v>
          </cell>
          <cell r="Y255">
            <v>0</v>
          </cell>
          <cell r="Z255">
            <v>0</v>
          </cell>
          <cell r="AA255">
            <v>0.25</v>
          </cell>
          <cell r="AB255">
            <v>21158.399999999998</v>
          </cell>
          <cell r="AC255">
            <v>0</v>
          </cell>
          <cell r="AD255">
            <v>0</v>
          </cell>
          <cell r="AE255">
            <v>0</v>
          </cell>
          <cell r="AF255">
            <v>28609.990332355846</v>
          </cell>
          <cell r="AG255">
            <v>0</v>
          </cell>
          <cell r="AH255">
            <v>0</v>
          </cell>
          <cell r="AI255">
            <v>0</v>
          </cell>
          <cell r="AJ255" t="str">
            <v xml:space="preserve">DUPHALAC </v>
          </cell>
          <cell r="AK255" t="str">
            <v>OVATEL</v>
          </cell>
          <cell r="AL255">
            <v>0</v>
          </cell>
          <cell r="AM255">
            <v>0</v>
          </cell>
          <cell r="AN255">
            <v>0.25</v>
          </cell>
          <cell r="AO255">
            <v>11092</v>
          </cell>
          <cell r="AP255">
            <v>33.33</v>
          </cell>
          <cell r="AQ255">
            <v>0</v>
          </cell>
          <cell r="AR255">
            <v>0</v>
          </cell>
          <cell r="AS255">
            <v>14160</v>
          </cell>
          <cell r="AT255">
            <v>1199.8799999999999</v>
          </cell>
          <cell r="AU255">
            <v>0</v>
          </cell>
          <cell r="AV255">
            <v>0</v>
          </cell>
          <cell r="AW255" t="str">
            <v>CREON</v>
          </cell>
          <cell r="AX255">
            <v>0</v>
          </cell>
          <cell r="AY255">
            <v>0</v>
          </cell>
          <cell r="AZ255">
            <v>0</v>
          </cell>
          <cell r="BA255">
            <v>5.0000000000000044E-2</v>
          </cell>
          <cell r="BB255">
            <v>11956.169000000002</v>
          </cell>
          <cell r="BC255">
            <v>0</v>
          </cell>
          <cell r="BD255">
            <v>0</v>
          </cell>
          <cell r="BE255">
            <v>0</v>
          </cell>
          <cell r="BF255">
            <v>12410.550000000001</v>
          </cell>
          <cell r="BG255">
            <v>0</v>
          </cell>
          <cell r="BH255">
            <v>0</v>
          </cell>
          <cell r="BI255">
            <v>0</v>
          </cell>
          <cell r="BJ255">
            <v>184437.39899999998</v>
          </cell>
          <cell r="BK255">
            <v>222430.42033235583</v>
          </cell>
          <cell r="BL255" t="str">
            <v/>
          </cell>
          <cell r="BM255">
            <v>0.96</v>
          </cell>
          <cell r="BO255" t="str">
            <v>Staff</v>
          </cell>
          <cell r="BP255">
            <v>41264</v>
          </cell>
          <cell r="BQ255">
            <v>3</v>
          </cell>
          <cell r="BR255">
            <v>4</v>
          </cell>
          <cell r="BS255">
            <v>6</v>
          </cell>
          <cell r="BT255">
            <v>395525</v>
          </cell>
          <cell r="BU255">
            <v>1</v>
          </cell>
          <cell r="BW255">
            <v>0.84399999999999997</v>
          </cell>
          <cell r="BX255">
            <v>0.74</v>
          </cell>
          <cell r="BY255">
            <v>0.72399999999999998</v>
          </cell>
          <cell r="BZ255">
            <v>0.96299999999999997</v>
          </cell>
          <cell r="CG255">
            <v>0.83</v>
          </cell>
          <cell r="CH255">
            <v>0</v>
          </cell>
          <cell r="CI255">
            <v>0</v>
          </cell>
          <cell r="CJ255">
            <v>0</v>
          </cell>
          <cell r="CK255">
            <v>1</v>
          </cell>
        </row>
        <row r="256">
          <cell r="A256" t="str">
            <v>42Q2</v>
          </cell>
          <cell r="B256" t="str">
            <v>Q2</v>
          </cell>
          <cell r="C256">
            <v>42</v>
          </cell>
          <cell r="D256" t="str">
            <v>Mamutova Aliya</v>
          </cell>
          <cell r="E256" t="str">
            <v>Medical Representative</v>
          </cell>
          <cell r="F256">
            <v>40676</v>
          </cell>
          <cell r="G256" t="str">
            <v/>
          </cell>
          <cell r="H256" t="str">
            <v/>
          </cell>
          <cell r="I256" t="str">
            <v>Line 1</v>
          </cell>
          <cell r="J256" t="str">
            <v>CREON</v>
          </cell>
          <cell r="K256" t="str">
            <v xml:space="preserve">DUPHALAC </v>
          </cell>
          <cell r="L256">
            <v>0</v>
          </cell>
          <cell r="M256">
            <v>0</v>
          </cell>
          <cell r="N256">
            <v>0.5</v>
          </cell>
          <cell r="O256">
            <v>44466.68</v>
          </cell>
          <cell r="P256">
            <v>23239.5</v>
          </cell>
          <cell r="Q256">
            <v>0</v>
          </cell>
          <cell r="R256">
            <v>0</v>
          </cell>
          <cell r="S256">
            <v>31262.439635655737</v>
          </cell>
          <cell r="T256">
            <v>30201.739831368224</v>
          </cell>
          <cell r="U256">
            <v>0</v>
          </cell>
          <cell r="V256">
            <v>0</v>
          </cell>
          <cell r="W256" t="str">
            <v>HEPTRAL</v>
          </cell>
          <cell r="X256" t="str">
            <v xml:space="preserve">DUSPATALIN </v>
          </cell>
          <cell r="Y256">
            <v>0</v>
          </cell>
          <cell r="Z256">
            <v>0</v>
          </cell>
          <cell r="AA256">
            <v>0.35</v>
          </cell>
          <cell r="AB256">
            <v>45798.740000000005</v>
          </cell>
          <cell r="AC256">
            <v>3752.5</v>
          </cell>
          <cell r="AD256">
            <v>0</v>
          </cell>
          <cell r="AE256">
            <v>0</v>
          </cell>
          <cell r="AF256">
            <v>34704.020000000004</v>
          </cell>
          <cell r="AG256">
            <v>3705</v>
          </cell>
          <cell r="AH256">
            <v>0</v>
          </cell>
          <cell r="AI256">
            <v>0</v>
          </cell>
          <cell r="AJ256" t="str">
            <v>IRS 19</v>
          </cell>
          <cell r="AK256" t="str">
            <v>IMUDON</v>
          </cell>
          <cell r="AL256">
            <v>0</v>
          </cell>
          <cell r="AM256">
            <v>0</v>
          </cell>
          <cell r="AN256">
            <v>0.1</v>
          </cell>
          <cell r="AO256">
            <v>1812</v>
          </cell>
          <cell r="AP256">
            <v>2268</v>
          </cell>
          <cell r="AQ256">
            <v>0</v>
          </cell>
          <cell r="AR256">
            <v>0</v>
          </cell>
          <cell r="AS256">
            <v>621.80460707012901</v>
          </cell>
          <cell r="AT256">
            <v>1200</v>
          </cell>
          <cell r="AU256">
            <v>0</v>
          </cell>
          <cell r="AV256">
            <v>0</v>
          </cell>
          <cell r="AW256" t="str">
            <v xml:space="preserve">GANATON </v>
          </cell>
          <cell r="AX256" t="str">
            <v>DUPHABEARS</v>
          </cell>
          <cell r="AY256">
            <v>0</v>
          </cell>
          <cell r="AZ256">
            <v>0</v>
          </cell>
          <cell r="BA256">
            <v>5.0000000000000017E-2</v>
          </cell>
          <cell r="BB256">
            <v>946.2</v>
          </cell>
          <cell r="BC256">
            <v>122.99999999999999</v>
          </cell>
          <cell r="BD256">
            <v>0</v>
          </cell>
          <cell r="BE256">
            <v>0</v>
          </cell>
          <cell r="BF256">
            <v>1498.6407939396222</v>
          </cell>
          <cell r="BG256">
            <v>364.9</v>
          </cell>
          <cell r="BH256">
            <v>0</v>
          </cell>
          <cell r="BI256">
            <v>0</v>
          </cell>
          <cell r="BJ256">
            <v>122406.62</v>
          </cell>
          <cell r="BK256">
            <v>103558.54486803371</v>
          </cell>
          <cell r="BL256" t="str">
            <v/>
          </cell>
          <cell r="BM256">
            <v>0.96</v>
          </cell>
          <cell r="BO256" t="str">
            <v>Staff</v>
          </cell>
          <cell r="BP256">
            <v>40768</v>
          </cell>
          <cell r="BQ256">
            <v>3</v>
          </cell>
          <cell r="BR256">
            <v>4</v>
          </cell>
          <cell r="BS256">
            <v>6</v>
          </cell>
          <cell r="BT256">
            <v>395525</v>
          </cell>
          <cell r="BU256">
            <v>1</v>
          </cell>
          <cell r="BW256">
            <v>1.1020000000000001</v>
          </cell>
          <cell r="BX256">
            <v>1.29</v>
          </cell>
          <cell r="BY256">
            <v>2.2400000000000002</v>
          </cell>
          <cell r="BZ256">
            <v>0.57399999999999995</v>
          </cell>
          <cell r="CG256">
            <v>1.18</v>
          </cell>
          <cell r="CH256">
            <v>1</v>
          </cell>
          <cell r="CI256">
            <v>2.4</v>
          </cell>
          <cell r="CJ256">
            <v>0</v>
          </cell>
          <cell r="CK256">
            <v>1</v>
          </cell>
        </row>
        <row r="257">
          <cell r="A257" t="str">
            <v>43Q2</v>
          </cell>
          <cell r="B257" t="str">
            <v>Q2</v>
          </cell>
          <cell r="C257">
            <v>43</v>
          </cell>
          <cell r="D257" t="str">
            <v>Manapbayeva Assel</v>
          </cell>
          <cell r="E257" t="str">
            <v>Medical Representative</v>
          </cell>
          <cell r="F257">
            <v>42552</v>
          </cell>
          <cell r="G257" t="str">
            <v/>
          </cell>
          <cell r="H257" t="str">
            <v/>
          </cell>
          <cell r="I257" t="str">
            <v>Line 2 (big cities)</v>
          </cell>
          <cell r="J257" t="str">
            <v>CREON</v>
          </cell>
          <cell r="K257" t="str">
            <v xml:space="preserve">DUPHALAC </v>
          </cell>
          <cell r="L257">
            <v>0</v>
          </cell>
          <cell r="M257">
            <v>0</v>
          </cell>
          <cell r="N257">
            <v>0.1</v>
          </cell>
          <cell r="O257">
            <v>19960.876500000002</v>
          </cell>
          <cell r="P257">
            <v>7666.6500000000005</v>
          </cell>
          <cell r="Q257">
            <v>0</v>
          </cell>
          <cell r="R257">
            <v>0</v>
          </cell>
          <cell r="S257">
            <v>16786.714000000004</v>
          </cell>
          <cell r="T257">
            <v>9346.1729706200349</v>
          </cell>
          <cell r="U257">
            <v>0</v>
          </cell>
          <cell r="V257">
            <v>0</v>
          </cell>
          <cell r="W257" t="str">
            <v>PHYSIOTENS</v>
          </cell>
          <cell r="X257" t="str">
            <v>TRICOR /LIPANTHYL</v>
          </cell>
          <cell r="Y257" t="str">
            <v>OMACOR</v>
          </cell>
          <cell r="Z257">
            <v>0</v>
          </cell>
          <cell r="AA257">
            <v>0.3</v>
          </cell>
          <cell r="AB257">
            <v>290233</v>
          </cell>
          <cell r="AC257">
            <v>10360.49</v>
          </cell>
          <cell r="AD257">
            <v>6665</v>
          </cell>
          <cell r="AE257">
            <v>0</v>
          </cell>
          <cell r="AF257">
            <v>265895</v>
          </cell>
          <cell r="AG257">
            <v>9711.92</v>
          </cell>
          <cell r="AH257">
            <v>7440</v>
          </cell>
          <cell r="AI257">
            <v>0</v>
          </cell>
          <cell r="AJ257" t="str">
            <v>HEPTRAL</v>
          </cell>
          <cell r="AK257">
            <v>0</v>
          </cell>
          <cell r="AL257">
            <v>0</v>
          </cell>
          <cell r="AM257">
            <v>0</v>
          </cell>
          <cell r="AN257">
            <v>0.3</v>
          </cell>
          <cell r="AO257">
            <v>331058.52</v>
          </cell>
          <cell r="AP257">
            <v>0</v>
          </cell>
          <cell r="AQ257">
            <v>0</v>
          </cell>
          <cell r="AR257">
            <v>0</v>
          </cell>
          <cell r="AS257">
            <v>356616</v>
          </cell>
          <cell r="AT257">
            <v>0</v>
          </cell>
          <cell r="AU257">
            <v>0</v>
          </cell>
          <cell r="AV257">
            <v>0</v>
          </cell>
          <cell r="AW257" t="str">
            <v>BETASERC</v>
          </cell>
          <cell r="AX257">
            <v>0</v>
          </cell>
          <cell r="AY257">
            <v>0</v>
          </cell>
          <cell r="AZ257">
            <v>0</v>
          </cell>
          <cell r="BA257">
            <v>0.3000000000000001</v>
          </cell>
          <cell r="BB257">
            <v>95677.040000000008</v>
          </cell>
          <cell r="BC257">
            <v>0</v>
          </cell>
          <cell r="BD257">
            <v>0</v>
          </cell>
          <cell r="BE257">
            <v>0</v>
          </cell>
          <cell r="BF257">
            <v>98361.423413493438</v>
          </cell>
          <cell r="BG257">
            <v>0</v>
          </cell>
          <cell r="BH257">
            <v>0</v>
          </cell>
          <cell r="BI257">
            <v>0</v>
          </cell>
          <cell r="BJ257">
            <v>761621.57649999997</v>
          </cell>
          <cell r="BK257">
            <v>764157.2303841135</v>
          </cell>
          <cell r="BL257" t="str">
            <v/>
          </cell>
          <cell r="BM257">
            <v>0.97</v>
          </cell>
          <cell r="BO257" t="str">
            <v>Staff</v>
          </cell>
          <cell r="BP257">
            <v>42644</v>
          </cell>
          <cell r="BQ257">
            <v>3</v>
          </cell>
          <cell r="BR257">
            <v>4</v>
          </cell>
          <cell r="BS257">
            <v>6</v>
          </cell>
          <cell r="BT257">
            <v>395525</v>
          </cell>
          <cell r="BU257">
            <v>1</v>
          </cell>
          <cell r="BW257">
            <v>1.0569999999999999</v>
          </cell>
          <cell r="BX257">
            <v>1.0860000000000001</v>
          </cell>
          <cell r="BY257">
            <v>0.92800000000000005</v>
          </cell>
          <cell r="BZ257">
            <v>0.97299999999999998</v>
          </cell>
          <cell r="CG257">
            <v>1</v>
          </cell>
          <cell r="CH257">
            <v>1</v>
          </cell>
          <cell r="CI257">
            <v>1</v>
          </cell>
          <cell r="CJ257">
            <v>0</v>
          </cell>
          <cell r="CK257">
            <v>1</v>
          </cell>
        </row>
        <row r="258">
          <cell r="A258" t="str">
            <v>44Q2</v>
          </cell>
          <cell r="B258" t="str">
            <v>Q2</v>
          </cell>
          <cell r="C258">
            <v>44</v>
          </cell>
          <cell r="D258" t="str">
            <v>Maximenko Alexandr</v>
          </cell>
          <cell r="E258" t="str">
            <v>Pharm Representative</v>
          </cell>
          <cell r="F258">
            <v>40861</v>
          </cell>
          <cell r="G258" t="str">
            <v/>
          </cell>
          <cell r="H258" t="str">
            <v/>
          </cell>
          <cell r="I258" t="str">
            <v>Pharma line</v>
          </cell>
          <cell r="J258" t="str">
            <v>CREON</v>
          </cell>
          <cell r="K258">
            <v>0</v>
          </cell>
          <cell r="L258">
            <v>0</v>
          </cell>
          <cell r="M258">
            <v>0</v>
          </cell>
          <cell r="N258">
            <v>0.45</v>
          </cell>
          <cell r="O258">
            <v>81552.67</v>
          </cell>
          <cell r="P258">
            <v>0</v>
          </cell>
          <cell r="Q258">
            <v>0</v>
          </cell>
          <cell r="R258">
            <v>0</v>
          </cell>
          <cell r="S258">
            <v>78053</v>
          </cell>
          <cell r="T258">
            <v>0</v>
          </cell>
          <cell r="U258">
            <v>0</v>
          </cell>
          <cell r="V258">
            <v>0</v>
          </cell>
          <cell r="W258" t="str">
            <v xml:space="preserve">DUPHALAC </v>
          </cell>
          <cell r="X258">
            <v>0</v>
          </cell>
          <cell r="Y258">
            <v>0</v>
          </cell>
          <cell r="Z258">
            <v>0</v>
          </cell>
          <cell r="AA258">
            <v>0.3</v>
          </cell>
          <cell r="AB258">
            <v>33796</v>
          </cell>
          <cell r="AC258">
            <v>0</v>
          </cell>
          <cell r="AD258">
            <v>0</v>
          </cell>
          <cell r="AE258">
            <v>0</v>
          </cell>
          <cell r="AF258">
            <v>33080.313830039435</v>
          </cell>
          <cell r="AG258">
            <v>0</v>
          </cell>
          <cell r="AH258">
            <v>0</v>
          </cell>
          <cell r="AI258">
            <v>0</v>
          </cell>
          <cell r="AJ258" t="str">
            <v>IRS 19</v>
          </cell>
          <cell r="AK258" t="str">
            <v>IMUDON</v>
          </cell>
          <cell r="AL258">
            <v>0</v>
          </cell>
          <cell r="AM258">
            <v>0</v>
          </cell>
          <cell r="AN258">
            <v>0.15</v>
          </cell>
          <cell r="AO258">
            <v>3144</v>
          </cell>
          <cell r="AP258">
            <v>11880</v>
          </cell>
          <cell r="AQ258">
            <v>0</v>
          </cell>
          <cell r="AR258">
            <v>0</v>
          </cell>
          <cell r="AS258">
            <v>3120</v>
          </cell>
          <cell r="AT258">
            <v>10800</v>
          </cell>
          <cell r="AU258">
            <v>0</v>
          </cell>
          <cell r="AV258">
            <v>0</v>
          </cell>
          <cell r="AW258" t="str">
            <v>DUPHABEARS</v>
          </cell>
          <cell r="AX258">
            <v>0</v>
          </cell>
          <cell r="AY258">
            <v>0</v>
          </cell>
          <cell r="AZ258">
            <v>0</v>
          </cell>
          <cell r="BA258">
            <v>0.10000000000000006</v>
          </cell>
          <cell r="BB258">
            <v>647.79999999999995</v>
          </cell>
          <cell r="BC258">
            <v>0</v>
          </cell>
          <cell r="BD258">
            <v>0</v>
          </cell>
          <cell r="BE258">
            <v>0</v>
          </cell>
          <cell r="BF258">
            <v>729.8</v>
          </cell>
          <cell r="BG258">
            <v>0</v>
          </cell>
          <cell r="BH258">
            <v>0</v>
          </cell>
          <cell r="BI258">
            <v>0</v>
          </cell>
          <cell r="BJ258">
            <v>131020.47</v>
          </cell>
          <cell r="BK258">
            <v>125783.11383003944</v>
          </cell>
          <cell r="BL258" t="str">
            <v/>
          </cell>
          <cell r="BM258">
            <v>0.96</v>
          </cell>
          <cell r="BO258" t="str">
            <v>Staff</v>
          </cell>
          <cell r="BP258">
            <v>40953</v>
          </cell>
          <cell r="BQ258">
            <v>3</v>
          </cell>
          <cell r="BR258">
            <v>4</v>
          </cell>
          <cell r="BS258">
            <v>6</v>
          </cell>
          <cell r="BT258">
            <v>395525</v>
          </cell>
          <cell r="BU258">
            <v>1</v>
          </cell>
          <cell r="BW258">
            <v>1.0449999999999999</v>
          </cell>
          <cell r="BX258">
            <v>1.022</v>
          </cell>
          <cell r="BY258">
            <v>1.079</v>
          </cell>
          <cell r="BZ258">
            <v>0.88800000000000001</v>
          </cell>
          <cell r="CG258">
            <v>1.04</v>
          </cell>
          <cell r="CH258">
            <v>1</v>
          </cell>
          <cell r="CI258">
            <v>1.4</v>
          </cell>
          <cell r="CJ258">
            <v>0</v>
          </cell>
          <cell r="CK258">
            <v>1</v>
          </cell>
        </row>
        <row r="259">
          <cell r="A259" t="str">
            <v>45Q2</v>
          </cell>
          <cell r="B259" t="str">
            <v>Q2</v>
          </cell>
          <cell r="C259">
            <v>45</v>
          </cell>
          <cell r="D259" t="str">
            <v>Meirbek Ainur</v>
          </cell>
          <cell r="E259" t="str">
            <v>Medical Representative</v>
          </cell>
          <cell r="F259">
            <v>40676</v>
          </cell>
          <cell r="G259" t="str">
            <v/>
          </cell>
          <cell r="H259" t="str">
            <v/>
          </cell>
          <cell r="I259" t="str">
            <v>Line 1</v>
          </cell>
          <cell r="J259" t="str">
            <v>CREON</v>
          </cell>
          <cell r="K259" t="str">
            <v xml:space="preserve">DUPHALAC </v>
          </cell>
          <cell r="L259">
            <v>0</v>
          </cell>
          <cell r="M259">
            <v>0</v>
          </cell>
          <cell r="N259">
            <v>0.5</v>
          </cell>
          <cell r="O259">
            <v>239123.38</v>
          </cell>
          <cell r="P259">
            <v>110920</v>
          </cell>
          <cell r="Q259">
            <v>0</v>
          </cell>
          <cell r="R259">
            <v>0</v>
          </cell>
          <cell r="S259">
            <v>248211</v>
          </cell>
          <cell r="T259">
            <v>141600</v>
          </cell>
          <cell r="U259">
            <v>0</v>
          </cell>
          <cell r="V259">
            <v>0</v>
          </cell>
          <cell r="W259" t="str">
            <v>HEPTRAL</v>
          </cell>
          <cell r="X259" t="str">
            <v xml:space="preserve">DUSPATALIN </v>
          </cell>
          <cell r="Y259">
            <v>0</v>
          </cell>
          <cell r="Z259">
            <v>0</v>
          </cell>
          <cell r="AA259">
            <v>0.35</v>
          </cell>
          <cell r="AB259">
            <v>180454.30000000005</v>
          </cell>
          <cell r="AC259">
            <v>21432</v>
          </cell>
          <cell r="AD259">
            <v>0</v>
          </cell>
          <cell r="AE259">
            <v>0</v>
          </cell>
          <cell r="AF259">
            <v>153091.20420726546</v>
          </cell>
          <cell r="AG259">
            <v>29972.5</v>
          </cell>
          <cell r="AH259">
            <v>0</v>
          </cell>
          <cell r="AI259">
            <v>0</v>
          </cell>
          <cell r="AJ259" t="str">
            <v>IRS 19</v>
          </cell>
          <cell r="AK259" t="str">
            <v>IMUDON</v>
          </cell>
          <cell r="AL259">
            <v>0</v>
          </cell>
          <cell r="AM259">
            <v>0</v>
          </cell>
          <cell r="AN259">
            <v>0.1</v>
          </cell>
          <cell r="AO259">
            <v>4524</v>
          </cell>
          <cell r="AP259">
            <v>8784</v>
          </cell>
          <cell r="AQ259">
            <v>0</v>
          </cell>
          <cell r="AR259">
            <v>0</v>
          </cell>
          <cell r="AS259">
            <v>6300</v>
          </cell>
          <cell r="AT259">
            <v>8640</v>
          </cell>
          <cell r="AU259">
            <v>0</v>
          </cell>
          <cell r="AV259">
            <v>0</v>
          </cell>
          <cell r="AW259" t="str">
            <v xml:space="preserve">GANATON </v>
          </cell>
          <cell r="AX259" t="str">
            <v>DUPHABEARS</v>
          </cell>
          <cell r="AY259">
            <v>0</v>
          </cell>
          <cell r="AZ259">
            <v>0</v>
          </cell>
          <cell r="BA259">
            <v>5.0000000000000017E-2</v>
          </cell>
          <cell r="BB259">
            <v>2490</v>
          </cell>
          <cell r="BC259">
            <v>881.49999999999989</v>
          </cell>
          <cell r="BD259">
            <v>0</v>
          </cell>
          <cell r="BE259">
            <v>0</v>
          </cell>
          <cell r="BF259">
            <v>3154</v>
          </cell>
          <cell r="BG259">
            <v>2173</v>
          </cell>
          <cell r="BH259">
            <v>0</v>
          </cell>
          <cell r="BI259">
            <v>0</v>
          </cell>
          <cell r="BJ259">
            <v>568609.18000000005</v>
          </cell>
          <cell r="BK259">
            <v>593141.70420726552</v>
          </cell>
          <cell r="BL259" t="str">
            <v/>
          </cell>
          <cell r="BM259">
            <v>0.98</v>
          </cell>
          <cell r="BO259" t="str">
            <v>Staff</v>
          </cell>
          <cell r="BP259">
            <v>40768</v>
          </cell>
          <cell r="BQ259">
            <v>3</v>
          </cell>
          <cell r="BR259">
            <v>4</v>
          </cell>
          <cell r="BS259">
            <v>6</v>
          </cell>
          <cell r="BT259">
            <v>395525</v>
          </cell>
          <cell r="BU259">
            <v>1</v>
          </cell>
          <cell r="BW259">
            <v>0.89800000000000002</v>
          </cell>
          <cell r="BX259">
            <v>1.103</v>
          </cell>
          <cell r="BY259">
            <v>0.89100000000000001</v>
          </cell>
          <cell r="BZ259">
            <v>0.63300000000000001</v>
          </cell>
          <cell r="CG259">
            <v>0.96</v>
          </cell>
          <cell r="CH259">
            <v>1</v>
          </cell>
          <cell r="CI259">
            <v>0.82</v>
          </cell>
          <cell r="CJ259">
            <v>0</v>
          </cell>
          <cell r="CK259">
            <v>1</v>
          </cell>
        </row>
        <row r="260">
          <cell r="A260" t="str">
            <v>46Q2</v>
          </cell>
          <cell r="B260" t="str">
            <v>Q2</v>
          </cell>
          <cell r="C260">
            <v>46</v>
          </cell>
          <cell r="D260" t="str">
            <v>Nakipbekova Gulzhan</v>
          </cell>
          <cell r="E260" t="str">
            <v>Medical Representative</v>
          </cell>
          <cell r="F260">
            <v>40983</v>
          </cell>
          <cell r="G260" t="str">
            <v/>
          </cell>
          <cell r="H260" t="str">
            <v/>
          </cell>
          <cell r="I260" t="str">
            <v>Line 1</v>
          </cell>
          <cell r="J260" t="str">
            <v>CREON</v>
          </cell>
          <cell r="K260" t="str">
            <v xml:space="preserve">DUPHALAC </v>
          </cell>
          <cell r="L260">
            <v>0</v>
          </cell>
          <cell r="M260">
            <v>0</v>
          </cell>
          <cell r="N260">
            <v>0.5</v>
          </cell>
          <cell r="O260">
            <v>239123.38</v>
          </cell>
          <cell r="P260">
            <v>110920</v>
          </cell>
          <cell r="Q260">
            <v>0</v>
          </cell>
          <cell r="R260">
            <v>0</v>
          </cell>
          <cell r="S260">
            <v>248211</v>
          </cell>
          <cell r="T260">
            <v>141600</v>
          </cell>
          <cell r="U260">
            <v>0</v>
          </cell>
          <cell r="V260">
            <v>0</v>
          </cell>
          <cell r="W260" t="str">
            <v>HEPTRAL</v>
          </cell>
          <cell r="X260" t="str">
            <v xml:space="preserve">DUSPATALIN </v>
          </cell>
          <cell r="Y260">
            <v>0</v>
          </cell>
          <cell r="Z260">
            <v>0</v>
          </cell>
          <cell r="AA260">
            <v>0.35</v>
          </cell>
          <cell r="AB260">
            <v>180454.30000000005</v>
          </cell>
          <cell r="AC260">
            <v>21432</v>
          </cell>
          <cell r="AD260">
            <v>0</v>
          </cell>
          <cell r="AE260">
            <v>0</v>
          </cell>
          <cell r="AF260">
            <v>153091.20420726546</v>
          </cell>
          <cell r="AG260">
            <v>29972.5</v>
          </cell>
          <cell r="AH260">
            <v>0</v>
          </cell>
          <cell r="AI260">
            <v>0</v>
          </cell>
          <cell r="AJ260" t="str">
            <v>IRS 19</v>
          </cell>
          <cell r="AK260" t="str">
            <v>IMUDON</v>
          </cell>
          <cell r="AL260">
            <v>0</v>
          </cell>
          <cell r="AM260">
            <v>0</v>
          </cell>
          <cell r="AN260">
            <v>0.1</v>
          </cell>
          <cell r="AO260">
            <v>4524</v>
          </cell>
          <cell r="AP260">
            <v>8784</v>
          </cell>
          <cell r="AQ260">
            <v>0</v>
          </cell>
          <cell r="AR260">
            <v>0</v>
          </cell>
          <cell r="AS260">
            <v>6300</v>
          </cell>
          <cell r="AT260">
            <v>8640</v>
          </cell>
          <cell r="AU260">
            <v>0</v>
          </cell>
          <cell r="AV260">
            <v>0</v>
          </cell>
          <cell r="AW260" t="str">
            <v xml:space="preserve">GANATON </v>
          </cell>
          <cell r="AX260" t="str">
            <v>DUPHABEARS</v>
          </cell>
          <cell r="AY260">
            <v>0</v>
          </cell>
          <cell r="AZ260">
            <v>0</v>
          </cell>
          <cell r="BA260">
            <v>5.0000000000000017E-2</v>
          </cell>
          <cell r="BB260">
            <v>2490</v>
          </cell>
          <cell r="BC260">
            <v>881.49999999999989</v>
          </cell>
          <cell r="BD260">
            <v>0</v>
          </cell>
          <cell r="BE260">
            <v>0</v>
          </cell>
          <cell r="BF260">
            <v>3154</v>
          </cell>
          <cell r="BG260">
            <v>2173</v>
          </cell>
          <cell r="BH260">
            <v>0</v>
          </cell>
          <cell r="BI260">
            <v>0</v>
          </cell>
          <cell r="BJ260">
            <v>568609.18000000005</v>
          </cell>
          <cell r="BK260">
            <v>593141.70420726552</v>
          </cell>
          <cell r="BL260" t="str">
            <v/>
          </cell>
          <cell r="BM260">
            <v>0.92</v>
          </cell>
          <cell r="BO260" t="str">
            <v>Staff</v>
          </cell>
          <cell r="BP260">
            <v>41075</v>
          </cell>
          <cell r="BQ260">
            <v>3</v>
          </cell>
          <cell r="BR260">
            <v>4</v>
          </cell>
          <cell r="BS260">
            <v>6</v>
          </cell>
          <cell r="BT260">
            <v>395525</v>
          </cell>
          <cell r="BU260">
            <v>1</v>
          </cell>
          <cell r="BW260">
            <v>0.89800000000000002</v>
          </cell>
          <cell r="BX260">
            <v>1.103</v>
          </cell>
          <cell r="BY260">
            <v>0.89100000000000001</v>
          </cell>
          <cell r="BZ260">
            <v>0.63300000000000001</v>
          </cell>
          <cell r="CG260">
            <v>0.96</v>
          </cell>
          <cell r="CH260">
            <v>1</v>
          </cell>
          <cell r="CI260">
            <v>0.82</v>
          </cell>
          <cell r="CJ260">
            <v>0</v>
          </cell>
          <cell r="CK260">
            <v>0.5</v>
          </cell>
        </row>
        <row r="261">
          <cell r="A261" t="str">
            <v>47Q2</v>
          </cell>
          <cell r="B261" t="str">
            <v>Q2</v>
          </cell>
          <cell r="C261">
            <v>47</v>
          </cell>
          <cell r="D261" t="str">
            <v>Novokhatnyaya Anastasiya</v>
          </cell>
          <cell r="E261" t="str">
            <v>Medical Representative</v>
          </cell>
          <cell r="F261">
            <v>40683</v>
          </cell>
          <cell r="G261" t="str">
            <v/>
          </cell>
          <cell r="H261" t="str">
            <v/>
          </cell>
          <cell r="I261" t="str">
            <v>Line 3 (big cities)</v>
          </cell>
          <cell r="J261" t="str">
            <v xml:space="preserve">DUPHASTON </v>
          </cell>
          <cell r="K261">
            <v>0</v>
          </cell>
          <cell r="L261">
            <v>0</v>
          </cell>
          <cell r="M261">
            <v>0</v>
          </cell>
          <cell r="N261">
            <v>0.45</v>
          </cell>
          <cell r="O261">
            <v>298269</v>
          </cell>
          <cell r="P261">
            <v>0</v>
          </cell>
          <cell r="Q261">
            <v>0</v>
          </cell>
          <cell r="R261">
            <v>0</v>
          </cell>
          <cell r="S261">
            <v>243000</v>
          </cell>
          <cell r="T261">
            <v>0</v>
          </cell>
          <cell r="U261">
            <v>0</v>
          </cell>
          <cell r="V261">
            <v>0</v>
          </cell>
          <cell r="W261" t="str">
            <v>FEMOSTON</v>
          </cell>
          <cell r="X261">
            <v>0</v>
          </cell>
          <cell r="Y261">
            <v>0</v>
          </cell>
          <cell r="Z261">
            <v>0</v>
          </cell>
          <cell r="AA261">
            <v>0.25</v>
          </cell>
          <cell r="AB261">
            <v>122728</v>
          </cell>
          <cell r="AC261">
            <v>0</v>
          </cell>
          <cell r="AD261">
            <v>0</v>
          </cell>
          <cell r="AE261">
            <v>0</v>
          </cell>
          <cell r="AF261">
            <v>129794.19232176128</v>
          </cell>
          <cell r="AG261">
            <v>0</v>
          </cell>
          <cell r="AH261">
            <v>0</v>
          </cell>
          <cell r="AI261">
            <v>0</v>
          </cell>
          <cell r="AJ261" t="str">
            <v xml:space="preserve">DUPHALAC </v>
          </cell>
          <cell r="AK261" t="str">
            <v>OVATEL</v>
          </cell>
          <cell r="AL261">
            <v>0</v>
          </cell>
          <cell r="AM261">
            <v>0</v>
          </cell>
          <cell r="AN261">
            <v>0.25</v>
          </cell>
          <cell r="AO261">
            <v>15333.300000000001</v>
          </cell>
          <cell r="AP261">
            <v>266.64</v>
          </cell>
          <cell r="AQ261">
            <v>0</v>
          </cell>
          <cell r="AR261">
            <v>0</v>
          </cell>
          <cell r="AS261">
            <v>18692.34594124007</v>
          </cell>
          <cell r="AT261">
            <v>1499.85</v>
          </cell>
          <cell r="AU261">
            <v>0</v>
          </cell>
          <cell r="AV261">
            <v>0</v>
          </cell>
          <cell r="AW261" t="str">
            <v>CREON</v>
          </cell>
          <cell r="AX261">
            <v>0</v>
          </cell>
          <cell r="AY261">
            <v>0</v>
          </cell>
          <cell r="AZ261">
            <v>0</v>
          </cell>
          <cell r="BA261">
            <v>5.0000000000000044E-2</v>
          </cell>
          <cell r="BB261">
            <v>19960.876500000002</v>
          </cell>
          <cell r="BC261">
            <v>0</v>
          </cell>
          <cell r="BD261">
            <v>0</v>
          </cell>
          <cell r="BE261">
            <v>0</v>
          </cell>
          <cell r="BF261">
            <v>16786.714000000004</v>
          </cell>
          <cell r="BG261">
            <v>0</v>
          </cell>
          <cell r="BH261">
            <v>0</v>
          </cell>
          <cell r="BI261">
            <v>0</v>
          </cell>
          <cell r="BJ261">
            <v>456557.81650000002</v>
          </cell>
          <cell r="BK261">
            <v>409773.10226300132</v>
          </cell>
          <cell r="BL261" t="str">
            <v/>
          </cell>
          <cell r="BM261">
            <v>0.83</v>
          </cell>
          <cell r="BO261" t="str">
            <v>Staff</v>
          </cell>
          <cell r="BP261">
            <v>40775</v>
          </cell>
          <cell r="BQ261">
            <v>3</v>
          </cell>
          <cell r="BR261">
            <v>4</v>
          </cell>
          <cell r="BS261">
            <v>6</v>
          </cell>
          <cell r="BT261">
            <v>395525</v>
          </cell>
          <cell r="BU261">
            <v>1</v>
          </cell>
          <cell r="BW261">
            <v>1.2270000000000001</v>
          </cell>
          <cell r="BX261">
            <v>0.94599999999999995</v>
          </cell>
          <cell r="BY261">
            <v>0.77300000000000002</v>
          </cell>
          <cell r="BZ261">
            <v>1.1890000000000001</v>
          </cell>
          <cell r="CG261">
            <v>1.1100000000000001</v>
          </cell>
          <cell r="CH261">
            <v>1</v>
          </cell>
          <cell r="CI261">
            <v>2.0499999999999998</v>
          </cell>
          <cell r="CJ261">
            <v>0</v>
          </cell>
          <cell r="CK261">
            <v>0.5</v>
          </cell>
        </row>
        <row r="262">
          <cell r="A262" t="str">
            <v>48Q2</v>
          </cell>
          <cell r="B262" t="str">
            <v>Q2</v>
          </cell>
          <cell r="C262">
            <v>48</v>
          </cell>
          <cell r="D262" t="str">
            <v>Omarova Aizhan</v>
          </cell>
          <cell r="E262" t="str">
            <v>Medical Representative</v>
          </cell>
          <cell r="F262">
            <v>42461</v>
          </cell>
          <cell r="G262" t="str">
            <v/>
          </cell>
          <cell r="H262" t="str">
            <v/>
          </cell>
          <cell r="I262" t="str">
            <v>Line 1</v>
          </cell>
          <cell r="J262" t="str">
            <v>CREON</v>
          </cell>
          <cell r="K262" t="str">
            <v xml:space="preserve">DUPHALAC </v>
          </cell>
          <cell r="L262">
            <v>0</v>
          </cell>
          <cell r="M262">
            <v>0</v>
          </cell>
          <cell r="N262">
            <v>0.5</v>
          </cell>
          <cell r="O262">
            <v>56854.07</v>
          </cell>
          <cell r="P262">
            <v>29912</v>
          </cell>
          <cell r="Q262">
            <v>0</v>
          </cell>
          <cell r="R262">
            <v>0</v>
          </cell>
          <cell r="S262">
            <v>37602</v>
          </cell>
          <cell r="T262">
            <v>24090</v>
          </cell>
          <cell r="U262">
            <v>0</v>
          </cell>
          <cell r="V262">
            <v>0</v>
          </cell>
          <cell r="W262" t="str">
            <v>HEPTRAL</v>
          </cell>
          <cell r="X262" t="str">
            <v xml:space="preserve">DUSPATALIN </v>
          </cell>
          <cell r="Y262">
            <v>0</v>
          </cell>
          <cell r="Z262">
            <v>0</v>
          </cell>
          <cell r="AA262">
            <v>0.35</v>
          </cell>
          <cell r="AB262">
            <v>51247.040000000008</v>
          </cell>
          <cell r="AC262">
            <v>6346</v>
          </cell>
          <cell r="AD262">
            <v>0</v>
          </cell>
          <cell r="AE262">
            <v>0</v>
          </cell>
          <cell r="AF262">
            <v>31448.069263445475</v>
          </cell>
          <cell r="AG262">
            <v>4275</v>
          </cell>
          <cell r="AH262">
            <v>0</v>
          </cell>
          <cell r="AI262">
            <v>0</v>
          </cell>
          <cell r="AJ262" t="str">
            <v>IRS 19</v>
          </cell>
          <cell r="AK262" t="str">
            <v>IMUDON</v>
          </cell>
          <cell r="AL262">
            <v>0</v>
          </cell>
          <cell r="AM262">
            <v>0</v>
          </cell>
          <cell r="AN262">
            <v>0.1</v>
          </cell>
          <cell r="AO262">
            <v>2160</v>
          </cell>
          <cell r="AP262">
            <v>1824</v>
          </cell>
          <cell r="AQ262">
            <v>0</v>
          </cell>
          <cell r="AR262">
            <v>0</v>
          </cell>
          <cell r="AS262">
            <v>1784.3939821449653</v>
          </cell>
          <cell r="AT262">
            <v>1080</v>
          </cell>
          <cell r="AU262">
            <v>0</v>
          </cell>
          <cell r="AV262">
            <v>0</v>
          </cell>
          <cell r="AW262" t="str">
            <v xml:space="preserve">GANATON </v>
          </cell>
          <cell r="AX262" t="str">
            <v>DUPHABEARS</v>
          </cell>
          <cell r="AY262">
            <v>0</v>
          </cell>
          <cell r="AZ262">
            <v>0</v>
          </cell>
          <cell r="BA262">
            <v>5.0000000000000017E-2</v>
          </cell>
          <cell r="BB262">
            <v>763.60000000000014</v>
          </cell>
          <cell r="BC262">
            <v>602.69999999999993</v>
          </cell>
          <cell r="BD262">
            <v>0</v>
          </cell>
          <cell r="BE262">
            <v>0</v>
          </cell>
          <cell r="BF262">
            <v>996</v>
          </cell>
          <cell r="BG262">
            <v>364.9</v>
          </cell>
          <cell r="BH262">
            <v>0</v>
          </cell>
          <cell r="BI262">
            <v>0</v>
          </cell>
          <cell r="BJ262">
            <v>149709.41</v>
          </cell>
          <cell r="BK262">
            <v>101640.36324559043</v>
          </cell>
          <cell r="BL262" t="str">
            <v/>
          </cell>
          <cell r="BM262">
            <v>0.94</v>
          </cell>
          <cell r="BO262" t="str">
            <v>Staff</v>
          </cell>
          <cell r="BP262">
            <v>42552</v>
          </cell>
          <cell r="BQ262">
            <v>3</v>
          </cell>
          <cell r="BR262">
            <v>4</v>
          </cell>
          <cell r="BS262">
            <v>6</v>
          </cell>
          <cell r="BT262">
            <v>395525</v>
          </cell>
          <cell r="BU262">
            <v>1</v>
          </cell>
          <cell r="BW262">
            <v>1.4059999999999999</v>
          </cell>
          <cell r="BX262">
            <v>1.6120000000000001</v>
          </cell>
          <cell r="BY262">
            <v>1.391</v>
          </cell>
          <cell r="BZ262">
            <v>1.004</v>
          </cell>
          <cell r="CG262">
            <v>1.47</v>
          </cell>
          <cell r="CH262">
            <v>1</v>
          </cell>
          <cell r="CI262">
            <v>2.5</v>
          </cell>
          <cell r="CJ262">
            <v>0</v>
          </cell>
          <cell r="CK262">
            <v>0.5</v>
          </cell>
        </row>
        <row r="263">
          <cell r="A263" t="str">
            <v>49Q2</v>
          </cell>
          <cell r="B263" t="str">
            <v>Q2</v>
          </cell>
          <cell r="C263">
            <v>49</v>
          </cell>
          <cell r="D263" t="str">
            <v>Ospanova Anar</v>
          </cell>
          <cell r="E263" t="str">
            <v>Medical Representative</v>
          </cell>
          <cell r="F263">
            <v>42681</v>
          </cell>
          <cell r="G263" t="str">
            <v/>
          </cell>
          <cell r="H263" t="str">
            <v/>
          </cell>
          <cell r="I263" t="str">
            <v>Line 2</v>
          </cell>
          <cell r="J263" t="str">
            <v xml:space="preserve">DUPHASTON </v>
          </cell>
          <cell r="K263" t="str">
            <v>FEMOSTON</v>
          </cell>
          <cell r="L263">
            <v>0</v>
          </cell>
          <cell r="M263">
            <v>0</v>
          </cell>
          <cell r="N263">
            <v>0.3</v>
          </cell>
          <cell r="O263">
            <v>39744</v>
          </cell>
          <cell r="P263">
            <v>22295.199999999997</v>
          </cell>
          <cell r="Q263">
            <v>0</v>
          </cell>
          <cell r="R263">
            <v>0</v>
          </cell>
          <cell r="S263">
            <v>43470.64771569633</v>
          </cell>
          <cell r="T263">
            <v>21850.489225548652</v>
          </cell>
          <cell r="U263">
            <v>0</v>
          </cell>
          <cell r="V263">
            <v>0</v>
          </cell>
          <cell r="W263" t="str">
            <v>PHYSIOTENS</v>
          </cell>
          <cell r="X263" t="str">
            <v>TRICOR /LIPANTHYL</v>
          </cell>
          <cell r="Y263" t="str">
            <v>OMACOR</v>
          </cell>
          <cell r="Z263">
            <v>0</v>
          </cell>
          <cell r="AA263">
            <v>0.25</v>
          </cell>
          <cell r="AB263">
            <v>109645</v>
          </cell>
          <cell r="AC263">
            <v>1164.0999999999999</v>
          </cell>
          <cell r="AD263">
            <v>1488</v>
          </cell>
          <cell r="AE263">
            <v>0</v>
          </cell>
          <cell r="AF263">
            <v>90745</v>
          </cell>
          <cell r="AG263">
            <v>1746.1499999999999</v>
          </cell>
          <cell r="AH263">
            <v>1395</v>
          </cell>
          <cell r="AI263">
            <v>0</v>
          </cell>
          <cell r="AJ263" t="str">
            <v>HEPTRAL</v>
          </cell>
          <cell r="AK263">
            <v>0</v>
          </cell>
          <cell r="AL263">
            <v>0</v>
          </cell>
          <cell r="AM263">
            <v>0</v>
          </cell>
          <cell r="AN263">
            <v>0.25</v>
          </cell>
          <cell r="AO263">
            <v>36024.820000000007</v>
          </cell>
          <cell r="AP263">
            <v>0</v>
          </cell>
          <cell r="AQ263">
            <v>0</v>
          </cell>
          <cell r="AR263">
            <v>0</v>
          </cell>
          <cell r="AS263">
            <v>32495.957277667152</v>
          </cell>
          <cell r="AT263">
            <v>0</v>
          </cell>
          <cell r="AU263">
            <v>0</v>
          </cell>
          <cell r="AV263">
            <v>0</v>
          </cell>
          <cell r="AW263" t="str">
            <v>BETASERC</v>
          </cell>
          <cell r="AX263" t="str">
            <v xml:space="preserve">DUPHALAC </v>
          </cell>
          <cell r="AY263" t="str">
            <v>CREON</v>
          </cell>
          <cell r="AZ263">
            <v>0</v>
          </cell>
          <cell r="BA263">
            <v>0.19999999999999996</v>
          </cell>
          <cell r="BB263">
            <v>18452.04</v>
          </cell>
          <cell r="BC263">
            <v>2470.4500000000003</v>
          </cell>
          <cell r="BD263">
            <v>3962.3040000000001</v>
          </cell>
          <cell r="BE263">
            <v>0</v>
          </cell>
          <cell r="BF263">
            <v>11941.086713388195</v>
          </cell>
          <cell r="BG263">
            <v>2805.2101912409889</v>
          </cell>
          <cell r="BH263">
            <v>3260.1000000000004</v>
          </cell>
          <cell r="BI263">
            <v>0</v>
          </cell>
          <cell r="BJ263">
            <v>235245.91399999999</v>
          </cell>
          <cell r="BK263">
            <v>209709.64112354131</v>
          </cell>
          <cell r="BL263" t="str">
            <v/>
          </cell>
          <cell r="BM263">
            <v>0.97</v>
          </cell>
          <cell r="BO263" t="str">
            <v>Staff</v>
          </cell>
          <cell r="BP263">
            <v>42773</v>
          </cell>
          <cell r="BQ263">
            <v>3</v>
          </cell>
          <cell r="BR263">
            <v>4</v>
          </cell>
          <cell r="BS263">
            <v>6</v>
          </cell>
          <cell r="BT263">
            <v>395525</v>
          </cell>
          <cell r="BU263">
            <v>1</v>
          </cell>
          <cell r="BW263">
            <v>0.95</v>
          </cell>
          <cell r="BX263">
            <v>1.196</v>
          </cell>
          <cell r="BY263">
            <v>1.109</v>
          </cell>
          <cell r="BZ263">
            <v>1.3819999999999999</v>
          </cell>
          <cell r="CG263">
            <v>1.1200000000000001</v>
          </cell>
          <cell r="CH263">
            <v>1</v>
          </cell>
          <cell r="CI263">
            <v>2.1</v>
          </cell>
          <cell r="CJ263">
            <v>0</v>
          </cell>
          <cell r="CK263">
            <v>1</v>
          </cell>
        </row>
        <row r="264">
          <cell r="A264" t="str">
            <v>50Q2</v>
          </cell>
          <cell r="B264" t="str">
            <v>Q2</v>
          </cell>
          <cell r="C264">
            <v>50</v>
          </cell>
          <cell r="D264" t="str">
            <v>Ossipova Anna</v>
          </cell>
          <cell r="E264" t="str">
            <v>Pharm Representative</v>
          </cell>
          <cell r="F264">
            <v>42045</v>
          </cell>
          <cell r="G264" t="str">
            <v/>
          </cell>
          <cell r="H264" t="str">
            <v/>
          </cell>
          <cell r="I264" t="str">
            <v>Pharma line</v>
          </cell>
          <cell r="J264" t="str">
            <v>CREON</v>
          </cell>
          <cell r="K264">
            <v>0</v>
          </cell>
          <cell r="L264">
            <v>0</v>
          </cell>
          <cell r="M264">
            <v>0</v>
          </cell>
          <cell r="N264">
            <v>0.45</v>
          </cell>
          <cell r="O264">
            <v>129832.17</v>
          </cell>
          <cell r="P264">
            <v>0</v>
          </cell>
          <cell r="Q264">
            <v>0</v>
          </cell>
          <cell r="R264">
            <v>0</v>
          </cell>
          <cell r="S264">
            <v>98093.769611340016</v>
          </cell>
          <cell r="T264">
            <v>0</v>
          </cell>
          <cell r="U264">
            <v>0</v>
          </cell>
          <cell r="V264">
            <v>0</v>
          </cell>
          <cell r="W264" t="str">
            <v xml:space="preserve">DUPHALAC </v>
          </cell>
          <cell r="X264">
            <v>0</v>
          </cell>
          <cell r="Y264">
            <v>0</v>
          </cell>
          <cell r="Z264">
            <v>0</v>
          </cell>
          <cell r="AA264">
            <v>0.3</v>
          </cell>
          <cell r="AB264">
            <v>52414.5</v>
          </cell>
          <cell r="AC264">
            <v>0</v>
          </cell>
          <cell r="AD264">
            <v>0</v>
          </cell>
          <cell r="AE264">
            <v>0</v>
          </cell>
          <cell r="AF264">
            <v>57231.5</v>
          </cell>
          <cell r="AG264">
            <v>0</v>
          </cell>
          <cell r="AH264">
            <v>0</v>
          </cell>
          <cell r="AI264">
            <v>0</v>
          </cell>
          <cell r="AJ264" t="str">
            <v>IRS 19</v>
          </cell>
          <cell r="AK264" t="str">
            <v>IMUDON</v>
          </cell>
          <cell r="AL264">
            <v>0</v>
          </cell>
          <cell r="AM264">
            <v>0</v>
          </cell>
          <cell r="AN264">
            <v>0.15</v>
          </cell>
          <cell r="AO264">
            <v>6744</v>
          </cell>
          <cell r="AP264">
            <v>8604</v>
          </cell>
          <cell r="AQ264">
            <v>0</v>
          </cell>
          <cell r="AR264">
            <v>0</v>
          </cell>
          <cell r="AS264">
            <v>5400</v>
          </cell>
          <cell r="AT264">
            <v>7920</v>
          </cell>
          <cell r="AU264">
            <v>0</v>
          </cell>
          <cell r="AV264">
            <v>0</v>
          </cell>
          <cell r="AW264" t="str">
            <v>DUPHABEARS</v>
          </cell>
          <cell r="AX264">
            <v>0</v>
          </cell>
          <cell r="AY264">
            <v>0</v>
          </cell>
          <cell r="AZ264">
            <v>0</v>
          </cell>
          <cell r="BA264">
            <v>0.10000000000000006</v>
          </cell>
          <cell r="BB264">
            <v>754.4</v>
          </cell>
          <cell r="BC264">
            <v>0</v>
          </cell>
          <cell r="BD264">
            <v>0</v>
          </cell>
          <cell r="BE264">
            <v>0</v>
          </cell>
          <cell r="BF264">
            <v>1459.6</v>
          </cell>
          <cell r="BG264">
            <v>0</v>
          </cell>
          <cell r="BH264">
            <v>0</v>
          </cell>
          <cell r="BI264">
            <v>0</v>
          </cell>
          <cell r="BJ264">
            <v>198349.06999999998</v>
          </cell>
          <cell r="BK264">
            <v>170104.86961134002</v>
          </cell>
          <cell r="BL264" t="str">
            <v/>
          </cell>
          <cell r="BM264">
            <v>0.94</v>
          </cell>
          <cell r="BO264" t="str">
            <v>Staff</v>
          </cell>
          <cell r="BP264">
            <v>42134</v>
          </cell>
          <cell r="BQ264">
            <v>3</v>
          </cell>
          <cell r="BR264">
            <v>4</v>
          </cell>
          <cell r="BS264">
            <v>6</v>
          </cell>
          <cell r="BT264">
            <v>395525</v>
          </cell>
          <cell r="BU264">
            <v>1</v>
          </cell>
          <cell r="BW264">
            <v>1.3240000000000001</v>
          </cell>
          <cell r="BX264">
            <v>0.91600000000000004</v>
          </cell>
          <cell r="BY264">
            <v>1.1519999999999999</v>
          </cell>
          <cell r="BZ264">
            <v>0.51700000000000002</v>
          </cell>
          <cell r="CG264">
            <v>1.17</v>
          </cell>
          <cell r="CH264">
            <v>1</v>
          </cell>
          <cell r="CI264">
            <v>2.35</v>
          </cell>
          <cell r="CJ264">
            <v>0</v>
          </cell>
          <cell r="CK264">
            <v>0.5</v>
          </cell>
        </row>
        <row r="265">
          <cell r="A265" t="str">
            <v>51Q2</v>
          </cell>
          <cell r="B265" t="str">
            <v>Q2</v>
          </cell>
          <cell r="C265">
            <v>51</v>
          </cell>
          <cell r="D265" t="str">
            <v>Pavlutskikh Yelena</v>
          </cell>
          <cell r="E265" t="str">
            <v>Medical Representative</v>
          </cell>
          <cell r="F265">
            <v>40680</v>
          </cell>
          <cell r="G265" t="str">
            <v/>
          </cell>
          <cell r="H265" t="str">
            <v/>
          </cell>
          <cell r="I265" t="str">
            <v>Line 1</v>
          </cell>
          <cell r="J265" t="str">
            <v>CREON</v>
          </cell>
          <cell r="K265" t="str">
            <v xml:space="preserve">DUPHALAC </v>
          </cell>
          <cell r="L265">
            <v>0</v>
          </cell>
          <cell r="M265">
            <v>0</v>
          </cell>
          <cell r="N265">
            <v>0.5</v>
          </cell>
          <cell r="O265">
            <v>39092.630000000005</v>
          </cell>
          <cell r="P265">
            <v>23094</v>
          </cell>
          <cell r="Q265">
            <v>0</v>
          </cell>
          <cell r="R265">
            <v>0</v>
          </cell>
          <cell r="S265">
            <v>32538</v>
          </cell>
          <cell r="T265">
            <v>24028.122709770374</v>
          </cell>
          <cell r="U265">
            <v>0</v>
          </cell>
          <cell r="V265">
            <v>0</v>
          </cell>
          <cell r="W265" t="str">
            <v>HEPTRAL</v>
          </cell>
          <cell r="X265" t="str">
            <v xml:space="preserve">DUSPATALIN </v>
          </cell>
          <cell r="Y265">
            <v>0</v>
          </cell>
          <cell r="Z265">
            <v>0</v>
          </cell>
          <cell r="AA265">
            <v>0.35</v>
          </cell>
          <cell r="AB265">
            <v>24864.060000000005</v>
          </cell>
          <cell r="AC265">
            <v>12179</v>
          </cell>
          <cell r="AD265">
            <v>0</v>
          </cell>
          <cell r="AE265">
            <v>0</v>
          </cell>
          <cell r="AF265">
            <v>24824.706547836358</v>
          </cell>
          <cell r="AG265">
            <v>12095.299954525228</v>
          </cell>
          <cell r="AH265">
            <v>0</v>
          </cell>
          <cell r="AI265">
            <v>0</v>
          </cell>
          <cell r="AJ265" t="str">
            <v>IRS 19</v>
          </cell>
          <cell r="AK265" t="str">
            <v>IMUDON</v>
          </cell>
          <cell r="AL265">
            <v>0</v>
          </cell>
          <cell r="AM265">
            <v>0</v>
          </cell>
          <cell r="AN265">
            <v>0.1</v>
          </cell>
          <cell r="AO265">
            <v>2376</v>
          </cell>
          <cell r="AP265">
            <v>1596</v>
          </cell>
          <cell r="AQ265">
            <v>0</v>
          </cell>
          <cell r="AR265">
            <v>0</v>
          </cell>
          <cell r="AS265">
            <v>1800</v>
          </cell>
          <cell r="AT265">
            <v>2110.4862635938507</v>
          </cell>
          <cell r="AU265">
            <v>0</v>
          </cell>
          <cell r="AV265">
            <v>0</v>
          </cell>
          <cell r="AW265" t="str">
            <v xml:space="preserve">GANATON </v>
          </cell>
          <cell r="AX265" t="str">
            <v>DUPHABEARS</v>
          </cell>
          <cell r="AY265">
            <v>0</v>
          </cell>
          <cell r="AZ265">
            <v>0</v>
          </cell>
          <cell r="BA265">
            <v>5.0000000000000017E-2</v>
          </cell>
          <cell r="BB265">
            <v>979.4</v>
          </cell>
          <cell r="BC265">
            <v>336.2</v>
          </cell>
          <cell r="BD265">
            <v>0</v>
          </cell>
          <cell r="BE265">
            <v>0</v>
          </cell>
          <cell r="BF265">
            <v>747.00000000000011</v>
          </cell>
          <cell r="BG265">
            <v>364.9</v>
          </cell>
          <cell r="BH265">
            <v>0</v>
          </cell>
          <cell r="BI265">
            <v>0</v>
          </cell>
          <cell r="BJ265">
            <v>104517.29000000001</v>
          </cell>
          <cell r="BK265">
            <v>98508.515475725799</v>
          </cell>
          <cell r="BL265" t="str">
            <v/>
          </cell>
          <cell r="BM265">
            <v>0.93</v>
          </cell>
          <cell r="BO265" t="str">
            <v>Staff</v>
          </cell>
          <cell r="BP265">
            <v>40772</v>
          </cell>
          <cell r="BQ265">
            <v>3</v>
          </cell>
          <cell r="BR265">
            <v>4</v>
          </cell>
          <cell r="BS265">
            <v>6</v>
          </cell>
          <cell r="BT265">
            <v>395525</v>
          </cell>
          <cell r="BU265">
            <v>1</v>
          </cell>
          <cell r="BW265">
            <v>1.099</v>
          </cell>
          <cell r="BX265">
            <v>1.0029999999999999</v>
          </cell>
          <cell r="BY265">
            <v>1.016</v>
          </cell>
          <cell r="BZ265">
            <v>1.1830000000000001</v>
          </cell>
          <cell r="CG265">
            <v>1.06</v>
          </cell>
          <cell r="CH265">
            <v>1</v>
          </cell>
          <cell r="CI265">
            <v>1.6</v>
          </cell>
          <cell r="CJ265">
            <v>0</v>
          </cell>
          <cell r="CK265">
            <v>0.5</v>
          </cell>
        </row>
        <row r="266">
          <cell r="A266" t="str">
            <v>52Q2</v>
          </cell>
          <cell r="B266" t="str">
            <v>Q2</v>
          </cell>
          <cell r="C266">
            <v>52</v>
          </cell>
          <cell r="D266" t="str">
            <v>Rakhimzhanova Gulnar</v>
          </cell>
          <cell r="E266" t="str">
            <v>Medical Representative</v>
          </cell>
          <cell r="F266">
            <v>41792</v>
          </cell>
          <cell r="G266" t="str">
            <v/>
          </cell>
          <cell r="H266" t="str">
            <v/>
          </cell>
          <cell r="I266" t="str">
            <v>Line 1</v>
          </cell>
          <cell r="J266" t="str">
            <v>CREON</v>
          </cell>
          <cell r="K266" t="str">
            <v xml:space="preserve">DUPHALAC </v>
          </cell>
          <cell r="L266">
            <v>0</v>
          </cell>
          <cell r="M266">
            <v>0</v>
          </cell>
          <cell r="N266">
            <v>0.5</v>
          </cell>
          <cell r="O266">
            <v>66676.290000000008</v>
          </cell>
          <cell r="P266">
            <v>28754</v>
          </cell>
          <cell r="Q266">
            <v>0</v>
          </cell>
          <cell r="R266">
            <v>0</v>
          </cell>
          <cell r="S266">
            <v>62543.166730671452</v>
          </cell>
          <cell r="T266">
            <v>25035</v>
          </cell>
          <cell r="U266">
            <v>0</v>
          </cell>
          <cell r="V266">
            <v>0</v>
          </cell>
          <cell r="W266" t="str">
            <v>HEPTRAL</v>
          </cell>
          <cell r="X266" t="str">
            <v xml:space="preserve">DUSPATALIN </v>
          </cell>
          <cell r="Y266">
            <v>0</v>
          </cell>
          <cell r="Z266">
            <v>0</v>
          </cell>
          <cell r="AA266">
            <v>0.35</v>
          </cell>
          <cell r="AB266">
            <v>37543.740000000005</v>
          </cell>
          <cell r="AC266">
            <v>17195</v>
          </cell>
          <cell r="AD266">
            <v>0</v>
          </cell>
          <cell r="AE266">
            <v>0</v>
          </cell>
          <cell r="AF266">
            <v>36513.449450367698</v>
          </cell>
          <cell r="AG266">
            <v>17298.954781979974</v>
          </cell>
          <cell r="AH266">
            <v>0</v>
          </cell>
          <cell r="AI266">
            <v>0</v>
          </cell>
          <cell r="AJ266" t="str">
            <v>IRS 19</v>
          </cell>
          <cell r="AK266" t="str">
            <v>IMUDON</v>
          </cell>
          <cell r="AL266">
            <v>0</v>
          </cell>
          <cell r="AM266">
            <v>0</v>
          </cell>
          <cell r="AN266">
            <v>0.1</v>
          </cell>
          <cell r="AO266">
            <v>1752</v>
          </cell>
          <cell r="AP266">
            <v>4116</v>
          </cell>
          <cell r="AQ266">
            <v>0</v>
          </cell>
          <cell r="AR266">
            <v>0</v>
          </cell>
          <cell r="AS266">
            <v>3120</v>
          </cell>
          <cell r="AT266">
            <v>3600</v>
          </cell>
          <cell r="AU266">
            <v>0</v>
          </cell>
          <cell r="AV266">
            <v>0</v>
          </cell>
          <cell r="AW266" t="str">
            <v xml:space="preserve">GANATON </v>
          </cell>
          <cell r="AX266" t="str">
            <v>DUPHABEARS</v>
          </cell>
          <cell r="AY266">
            <v>0</v>
          </cell>
          <cell r="AZ266">
            <v>0</v>
          </cell>
          <cell r="BA266">
            <v>5.0000000000000017E-2</v>
          </cell>
          <cell r="BB266">
            <v>1543.8000000000002</v>
          </cell>
          <cell r="BC266">
            <v>610.9</v>
          </cell>
          <cell r="BD266">
            <v>0</v>
          </cell>
          <cell r="BE266">
            <v>0</v>
          </cell>
          <cell r="BF266">
            <v>1494.0000000000002</v>
          </cell>
          <cell r="BG266">
            <v>1094.6999999999998</v>
          </cell>
          <cell r="BH266">
            <v>0</v>
          </cell>
          <cell r="BI266">
            <v>0</v>
          </cell>
          <cell r="BJ266">
            <v>158191.73000000004</v>
          </cell>
          <cell r="BK266">
            <v>150699.27096301914</v>
          </cell>
          <cell r="BL266" t="str">
            <v/>
          </cell>
          <cell r="BM266">
            <v>1</v>
          </cell>
          <cell r="BO266" t="str">
            <v>Staff</v>
          </cell>
          <cell r="BP266">
            <v>41884</v>
          </cell>
          <cell r="BQ266">
            <v>3</v>
          </cell>
          <cell r="BR266">
            <v>4</v>
          </cell>
          <cell r="BS266">
            <v>6</v>
          </cell>
          <cell r="BT266">
            <v>395525</v>
          </cell>
          <cell r="BU266">
            <v>1</v>
          </cell>
          <cell r="BW266">
            <v>1.0900000000000001</v>
          </cell>
          <cell r="BX266">
            <v>1.0169999999999999</v>
          </cell>
          <cell r="BY266">
            <v>0.873</v>
          </cell>
          <cell r="BZ266">
            <v>0.83199999999999996</v>
          </cell>
          <cell r="CG266">
            <v>1.05</v>
          </cell>
          <cell r="CH266">
            <v>1</v>
          </cell>
          <cell r="CI266">
            <v>1.5</v>
          </cell>
          <cell r="CJ266">
            <v>0</v>
          </cell>
          <cell r="CK266">
            <v>1</v>
          </cell>
        </row>
        <row r="267">
          <cell r="A267" t="str">
            <v>53Q2</v>
          </cell>
          <cell r="B267" t="str">
            <v>Q2</v>
          </cell>
          <cell r="C267">
            <v>53</v>
          </cell>
          <cell r="D267" t="str">
            <v>Sadvakassova Zhanat</v>
          </cell>
          <cell r="E267" t="str">
            <v>Pharm Representative</v>
          </cell>
          <cell r="F267">
            <v>41288</v>
          </cell>
          <cell r="G267" t="str">
            <v/>
          </cell>
          <cell r="H267" t="str">
            <v/>
          </cell>
          <cell r="I267" t="str">
            <v>Pharma line</v>
          </cell>
          <cell r="J267" t="str">
            <v>CREON</v>
          </cell>
          <cell r="K267">
            <v>0</v>
          </cell>
          <cell r="L267">
            <v>0</v>
          </cell>
          <cell r="M267">
            <v>0</v>
          </cell>
          <cell r="N267">
            <v>0.45</v>
          </cell>
          <cell r="O267">
            <v>160495.815</v>
          </cell>
          <cell r="P267">
            <v>0</v>
          </cell>
          <cell r="Q267">
            <v>0</v>
          </cell>
          <cell r="R267">
            <v>0</v>
          </cell>
          <cell r="S267">
            <v>145092</v>
          </cell>
          <cell r="T267">
            <v>0</v>
          </cell>
          <cell r="U267">
            <v>0</v>
          </cell>
          <cell r="V267">
            <v>0</v>
          </cell>
          <cell r="W267" t="str">
            <v xml:space="preserve">DUPHALAC </v>
          </cell>
          <cell r="X267">
            <v>0</v>
          </cell>
          <cell r="Y267">
            <v>0</v>
          </cell>
          <cell r="Z267">
            <v>0</v>
          </cell>
          <cell r="AA267">
            <v>0.3</v>
          </cell>
          <cell r="AB267">
            <v>81900</v>
          </cell>
          <cell r="AC267">
            <v>0</v>
          </cell>
          <cell r="AD267">
            <v>0</v>
          </cell>
          <cell r="AE267">
            <v>0</v>
          </cell>
          <cell r="AF267">
            <v>88620.410756574478</v>
          </cell>
          <cell r="AG267">
            <v>0</v>
          </cell>
          <cell r="AH267">
            <v>0</v>
          </cell>
          <cell r="AI267">
            <v>0</v>
          </cell>
          <cell r="AJ267" t="str">
            <v>IRS 19</v>
          </cell>
          <cell r="AK267" t="str">
            <v>IMUDON</v>
          </cell>
          <cell r="AL267">
            <v>0</v>
          </cell>
          <cell r="AM267">
            <v>0</v>
          </cell>
          <cell r="AN267">
            <v>0.15</v>
          </cell>
          <cell r="AO267">
            <v>9684</v>
          </cell>
          <cell r="AP267">
            <v>20923.199999999997</v>
          </cell>
          <cell r="AQ267">
            <v>0</v>
          </cell>
          <cell r="AR267">
            <v>0</v>
          </cell>
          <cell r="AS267">
            <v>7447.559412087332</v>
          </cell>
          <cell r="AT267">
            <v>16560</v>
          </cell>
          <cell r="AU267">
            <v>0</v>
          </cell>
          <cell r="AV267">
            <v>0</v>
          </cell>
          <cell r="AW267" t="str">
            <v>DUPHABEARS</v>
          </cell>
          <cell r="AX267">
            <v>0</v>
          </cell>
          <cell r="AY267">
            <v>0</v>
          </cell>
          <cell r="AZ267">
            <v>0</v>
          </cell>
          <cell r="BA267">
            <v>0.10000000000000006</v>
          </cell>
          <cell r="BB267">
            <v>2156.6</v>
          </cell>
          <cell r="BC267">
            <v>0</v>
          </cell>
          <cell r="BD267">
            <v>0</v>
          </cell>
          <cell r="BE267">
            <v>0</v>
          </cell>
          <cell r="BF267">
            <v>1824.4999999999998</v>
          </cell>
          <cell r="BG267">
            <v>0</v>
          </cell>
          <cell r="BH267">
            <v>0</v>
          </cell>
          <cell r="BI267">
            <v>0</v>
          </cell>
          <cell r="BJ267">
            <v>275159.61499999999</v>
          </cell>
          <cell r="BK267">
            <v>259544.47016866182</v>
          </cell>
          <cell r="BL267" t="str">
            <v/>
          </cell>
          <cell r="BM267">
            <v>0.99</v>
          </cell>
          <cell r="BO267" t="str">
            <v>Staff</v>
          </cell>
          <cell r="BP267">
            <v>41378</v>
          </cell>
          <cell r="BQ267">
            <v>3</v>
          </cell>
          <cell r="BR267">
            <v>4</v>
          </cell>
          <cell r="BS267">
            <v>6</v>
          </cell>
          <cell r="BT267">
            <v>395525</v>
          </cell>
          <cell r="BU267">
            <v>1</v>
          </cell>
          <cell r="BW267">
            <v>1.1060000000000001</v>
          </cell>
          <cell r="BX267">
            <v>0.92400000000000004</v>
          </cell>
          <cell r="BY267">
            <v>1.2749999999999999</v>
          </cell>
          <cell r="BZ267">
            <v>1.1819999999999999</v>
          </cell>
          <cell r="CG267">
            <v>1.06</v>
          </cell>
          <cell r="CH267">
            <v>1</v>
          </cell>
          <cell r="CI267">
            <v>1.6</v>
          </cell>
          <cell r="CJ267">
            <v>0</v>
          </cell>
          <cell r="CK267">
            <v>1</v>
          </cell>
        </row>
        <row r="268">
          <cell r="A268" t="str">
            <v>54Q2</v>
          </cell>
          <cell r="B268" t="str">
            <v>Q2</v>
          </cell>
          <cell r="C268">
            <v>54</v>
          </cell>
          <cell r="D268" t="str">
            <v>Sagimbayeva Lyazat</v>
          </cell>
          <cell r="E268" t="str">
            <v>Pharm Representative</v>
          </cell>
          <cell r="F268">
            <v>41813</v>
          </cell>
          <cell r="G268" t="str">
            <v/>
          </cell>
          <cell r="H268" t="str">
            <v/>
          </cell>
          <cell r="I268" t="str">
            <v>Pharma line</v>
          </cell>
          <cell r="J268" t="str">
            <v>CREON</v>
          </cell>
          <cell r="K268">
            <v>0</v>
          </cell>
          <cell r="L268">
            <v>0</v>
          </cell>
          <cell r="M268">
            <v>0</v>
          </cell>
          <cell r="N268">
            <v>0.45</v>
          </cell>
          <cell r="O268">
            <v>55183.75</v>
          </cell>
          <cell r="P268">
            <v>0</v>
          </cell>
          <cell r="Q268">
            <v>0</v>
          </cell>
          <cell r="R268">
            <v>0</v>
          </cell>
          <cell r="S268">
            <v>63605.1</v>
          </cell>
          <cell r="T268">
            <v>0</v>
          </cell>
          <cell r="U268">
            <v>0</v>
          </cell>
          <cell r="V268">
            <v>0</v>
          </cell>
          <cell r="W268" t="str">
            <v xml:space="preserve">DUPHALAC </v>
          </cell>
          <cell r="X268">
            <v>0</v>
          </cell>
          <cell r="Y268">
            <v>0</v>
          </cell>
          <cell r="Z268">
            <v>0</v>
          </cell>
          <cell r="AA268">
            <v>0.3</v>
          </cell>
          <cell r="AB268">
            <v>30949.5</v>
          </cell>
          <cell r="AC268">
            <v>0</v>
          </cell>
          <cell r="AD268">
            <v>0</v>
          </cell>
          <cell r="AE268">
            <v>0</v>
          </cell>
          <cell r="AF268">
            <v>32225</v>
          </cell>
          <cell r="AG268">
            <v>0</v>
          </cell>
          <cell r="AH268">
            <v>0</v>
          </cell>
          <cell r="AI268">
            <v>0</v>
          </cell>
          <cell r="AJ268" t="str">
            <v>IRS 19</v>
          </cell>
          <cell r="AK268" t="str">
            <v>IMUDON</v>
          </cell>
          <cell r="AL268">
            <v>0</v>
          </cell>
          <cell r="AM268">
            <v>0</v>
          </cell>
          <cell r="AN268">
            <v>0.15</v>
          </cell>
          <cell r="AO268">
            <v>4212</v>
          </cell>
          <cell r="AP268">
            <v>3996</v>
          </cell>
          <cell r="AQ268">
            <v>0</v>
          </cell>
          <cell r="AR268">
            <v>0</v>
          </cell>
          <cell r="AS268">
            <v>4320</v>
          </cell>
          <cell r="AT268">
            <v>7200</v>
          </cell>
          <cell r="AU268">
            <v>0</v>
          </cell>
          <cell r="AV268">
            <v>0</v>
          </cell>
          <cell r="AW268" t="str">
            <v>DUPHABEARS</v>
          </cell>
          <cell r="AX268">
            <v>0</v>
          </cell>
          <cell r="AY268">
            <v>0</v>
          </cell>
          <cell r="AZ268">
            <v>0</v>
          </cell>
          <cell r="BA268">
            <v>0.10000000000000006</v>
          </cell>
          <cell r="BB268">
            <v>114.79999999999998</v>
          </cell>
          <cell r="BC268">
            <v>0</v>
          </cell>
          <cell r="BD268">
            <v>0</v>
          </cell>
          <cell r="BE268">
            <v>0</v>
          </cell>
          <cell r="BF268">
            <v>1094.6999999999998</v>
          </cell>
          <cell r="BG268">
            <v>0</v>
          </cell>
          <cell r="BH268">
            <v>0</v>
          </cell>
          <cell r="BI268">
            <v>0</v>
          </cell>
          <cell r="BJ268">
            <v>94456.05</v>
          </cell>
          <cell r="BK268">
            <v>108444.8</v>
          </cell>
          <cell r="BL268" t="str">
            <v/>
          </cell>
          <cell r="BM268">
            <v>0.99</v>
          </cell>
          <cell r="BO268" t="str">
            <v>Staff</v>
          </cell>
          <cell r="BP268">
            <v>41905</v>
          </cell>
          <cell r="BQ268">
            <v>3</v>
          </cell>
          <cell r="BR268">
            <v>4</v>
          </cell>
          <cell r="BS268">
            <v>6</v>
          </cell>
          <cell r="BT268">
            <v>395525</v>
          </cell>
          <cell r="BU268">
            <v>1</v>
          </cell>
          <cell r="BW268">
            <v>0.86799999999999999</v>
          </cell>
          <cell r="BX268">
            <v>0.96</v>
          </cell>
          <cell r="BY268">
            <v>0.71299999999999997</v>
          </cell>
          <cell r="BZ268">
            <v>0.105</v>
          </cell>
          <cell r="CG268">
            <v>0.87</v>
          </cell>
          <cell r="CH268">
            <v>0</v>
          </cell>
          <cell r="CI268">
            <v>0</v>
          </cell>
          <cell r="CJ268">
            <v>0</v>
          </cell>
          <cell r="CK268">
            <v>1</v>
          </cell>
        </row>
        <row r="269">
          <cell r="A269" t="str">
            <v>55Q2</v>
          </cell>
          <cell r="B269" t="str">
            <v>Q2</v>
          </cell>
          <cell r="C269">
            <v>55</v>
          </cell>
          <cell r="D269" t="str">
            <v>Sakalbayeva Aliya</v>
          </cell>
          <cell r="E269" t="str">
            <v>Medical Representative</v>
          </cell>
          <cell r="F269">
            <v>41198</v>
          </cell>
          <cell r="G269" t="str">
            <v/>
          </cell>
          <cell r="H269" t="str">
            <v/>
          </cell>
          <cell r="I269" t="str">
            <v>Line 2</v>
          </cell>
          <cell r="J269" t="str">
            <v xml:space="preserve">DUPHASTON </v>
          </cell>
          <cell r="K269" t="str">
            <v>FEMOSTON</v>
          </cell>
          <cell r="L269">
            <v>0</v>
          </cell>
          <cell r="M269">
            <v>0</v>
          </cell>
          <cell r="N269">
            <v>0.3</v>
          </cell>
          <cell r="O269">
            <v>44185.5</v>
          </cell>
          <cell r="P269">
            <v>23037.599999999999</v>
          </cell>
          <cell r="Q269">
            <v>0</v>
          </cell>
          <cell r="R269">
            <v>0</v>
          </cell>
          <cell r="S269">
            <v>45833.821824143983</v>
          </cell>
          <cell r="T269">
            <v>24962.39991540305</v>
          </cell>
          <cell r="U269">
            <v>0</v>
          </cell>
          <cell r="V269">
            <v>0</v>
          </cell>
          <cell r="W269" t="str">
            <v>PHYSIOTENS</v>
          </cell>
          <cell r="X269" t="str">
            <v>TRICOR /LIPANTHYL</v>
          </cell>
          <cell r="Y269" t="str">
            <v>OMACOR</v>
          </cell>
          <cell r="Z269">
            <v>0</v>
          </cell>
          <cell r="AA269">
            <v>0.25</v>
          </cell>
          <cell r="AB269">
            <v>133627</v>
          </cell>
          <cell r="AC269">
            <v>2178.5300000000002</v>
          </cell>
          <cell r="AD269">
            <v>1178</v>
          </cell>
          <cell r="AE269">
            <v>0</v>
          </cell>
          <cell r="AF269">
            <v>160345</v>
          </cell>
          <cell r="AG269">
            <v>1995.6</v>
          </cell>
          <cell r="AH269">
            <v>930</v>
          </cell>
          <cell r="AI269">
            <v>0</v>
          </cell>
          <cell r="AJ269" t="str">
            <v>HEPTRAL</v>
          </cell>
          <cell r="AK269">
            <v>0</v>
          </cell>
          <cell r="AL269">
            <v>0</v>
          </cell>
          <cell r="AM269">
            <v>0</v>
          </cell>
          <cell r="AN269">
            <v>0.25</v>
          </cell>
          <cell r="AO269">
            <v>37444.68</v>
          </cell>
          <cell r="AP269">
            <v>0</v>
          </cell>
          <cell r="AQ269">
            <v>0</v>
          </cell>
          <cell r="AR269">
            <v>0</v>
          </cell>
          <cell r="AS269">
            <v>42871.975013682189</v>
          </cell>
          <cell r="AT269">
            <v>0</v>
          </cell>
          <cell r="AU269">
            <v>0</v>
          </cell>
          <cell r="AV269">
            <v>0</v>
          </cell>
          <cell r="AW269" t="str">
            <v>BETASERC</v>
          </cell>
          <cell r="AX269" t="str">
            <v xml:space="preserve">DUPHALAC </v>
          </cell>
          <cell r="AY269" t="str">
            <v>CREON</v>
          </cell>
          <cell r="AZ269">
            <v>0</v>
          </cell>
          <cell r="BA269">
            <v>0.19999999999999996</v>
          </cell>
          <cell r="BB269">
            <v>32072.760000000002</v>
          </cell>
          <cell r="BC269">
            <v>3379.6000000000004</v>
          </cell>
          <cell r="BD269">
            <v>4077.6334999999999</v>
          </cell>
          <cell r="BE269">
            <v>0</v>
          </cell>
          <cell r="BF269">
            <v>25770.075805640707</v>
          </cell>
          <cell r="BG269">
            <v>3308.0313830039436</v>
          </cell>
          <cell r="BH269">
            <v>3902.65</v>
          </cell>
          <cell r="BI269">
            <v>0</v>
          </cell>
          <cell r="BJ269">
            <v>281181.30349999998</v>
          </cell>
          <cell r="BK269">
            <v>309919.55394187389</v>
          </cell>
          <cell r="BL269" t="str">
            <v/>
          </cell>
          <cell r="BM269">
            <v>0.93</v>
          </cell>
          <cell r="BO269" t="str">
            <v>Staff</v>
          </cell>
          <cell r="BP269">
            <v>41290</v>
          </cell>
          <cell r="BQ269">
            <v>3</v>
          </cell>
          <cell r="BR269">
            <v>4</v>
          </cell>
          <cell r="BS269">
            <v>6</v>
          </cell>
          <cell r="BT269">
            <v>395525</v>
          </cell>
          <cell r="BU269">
            <v>1</v>
          </cell>
          <cell r="BW269">
            <v>0.95</v>
          </cell>
          <cell r="BX269">
            <v>0.83899999999999997</v>
          </cell>
          <cell r="BY269">
            <v>0.873</v>
          </cell>
          <cell r="BZ269">
            <v>1.1990000000000001</v>
          </cell>
          <cell r="CG269">
            <v>0.91</v>
          </cell>
          <cell r="CH269">
            <v>1</v>
          </cell>
          <cell r="CI269">
            <v>0.7</v>
          </cell>
          <cell r="CJ269">
            <v>0</v>
          </cell>
          <cell r="CK269">
            <v>0.5</v>
          </cell>
        </row>
        <row r="270">
          <cell r="A270" t="str">
            <v>56Q2</v>
          </cell>
          <cell r="B270" t="str">
            <v>Q2</v>
          </cell>
          <cell r="C270">
            <v>56</v>
          </cell>
          <cell r="D270" t="str">
            <v>Sarbassova Dina (Shymkent)</v>
          </cell>
          <cell r="E270" t="str">
            <v>Pharm Representative</v>
          </cell>
          <cell r="F270">
            <v>42654</v>
          </cell>
          <cell r="G270">
            <v>42887</v>
          </cell>
          <cell r="H270" t="str">
            <v/>
          </cell>
          <cell r="I270" t="str">
            <v>Pharma line</v>
          </cell>
          <cell r="J270" t="str">
            <v>CREON</v>
          </cell>
          <cell r="K270">
            <v>0</v>
          </cell>
          <cell r="L270">
            <v>0</v>
          </cell>
          <cell r="M270">
            <v>0</v>
          </cell>
          <cell r="N270">
            <v>0.45</v>
          </cell>
          <cell r="O270">
            <v>150235.14000000001</v>
          </cell>
          <cell r="P270">
            <v>0</v>
          </cell>
          <cell r="Q270">
            <v>0</v>
          </cell>
          <cell r="R270">
            <v>0</v>
          </cell>
          <cell r="S270">
            <v>165474</v>
          </cell>
          <cell r="T270">
            <v>0</v>
          </cell>
          <cell r="U270">
            <v>0</v>
          </cell>
          <cell r="V270">
            <v>0</v>
          </cell>
          <cell r="W270" t="str">
            <v xml:space="preserve">DUPHALAC </v>
          </cell>
          <cell r="X270">
            <v>0</v>
          </cell>
          <cell r="Y270">
            <v>0</v>
          </cell>
          <cell r="Z270">
            <v>0</v>
          </cell>
          <cell r="AA270">
            <v>0.3</v>
          </cell>
          <cell r="AB270">
            <v>75906</v>
          </cell>
          <cell r="AC270">
            <v>0</v>
          </cell>
          <cell r="AD270">
            <v>0</v>
          </cell>
          <cell r="AE270">
            <v>0</v>
          </cell>
          <cell r="AF270">
            <v>94400</v>
          </cell>
          <cell r="AG270">
            <v>0</v>
          </cell>
          <cell r="AH270">
            <v>0</v>
          </cell>
          <cell r="AI270">
            <v>0</v>
          </cell>
          <cell r="AJ270" t="str">
            <v>IRS 19</v>
          </cell>
          <cell r="AK270" t="str">
            <v>IMUDON</v>
          </cell>
          <cell r="AL270">
            <v>0</v>
          </cell>
          <cell r="AM270">
            <v>0</v>
          </cell>
          <cell r="AN270">
            <v>0.15</v>
          </cell>
          <cell r="AO270">
            <v>3348</v>
          </cell>
          <cell r="AP270">
            <v>6228</v>
          </cell>
          <cell r="AQ270">
            <v>0</v>
          </cell>
          <cell r="AR270">
            <v>0</v>
          </cell>
          <cell r="AS270">
            <v>4368</v>
          </cell>
          <cell r="AT270">
            <v>6000</v>
          </cell>
          <cell r="AU270">
            <v>0</v>
          </cell>
          <cell r="AV270">
            <v>0</v>
          </cell>
          <cell r="AW270" t="str">
            <v>DUPHABEARS</v>
          </cell>
          <cell r="AX270">
            <v>0</v>
          </cell>
          <cell r="AY270">
            <v>0</v>
          </cell>
          <cell r="AZ270">
            <v>0</v>
          </cell>
          <cell r="BA270">
            <v>0.10000000000000006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235717.14</v>
          </cell>
          <cell r="BK270">
            <v>270242</v>
          </cell>
          <cell r="BL270" t="str">
            <v/>
          </cell>
          <cell r="BM270">
            <v>1</v>
          </cell>
          <cell r="BO270" t="str">
            <v>Maternity leave</v>
          </cell>
          <cell r="BP270">
            <v>42746</v>
          </cell>
          <cell r="BQ270">
            <v>2</v>
          </cell>
          <cell r="BR270">
            <v>4</v>
          </cell>
          <cell r="BS270">
            <v>5</v>
          </cell>
          <cell r="BT270">
            <v>395525</v>
          </cell>
          <cell r="BU270">
            <v>0.66666666666666663</v>
          </cell>
          <cell r="BW270">
            <v>0.90800000000000003</v>
          </cell>
          <cell r="BX270">
            <v>0.80400000000000005</v>
          </cell>
          <cell r="BY270">
            <v>0.92400000000000004</v>
          </cell>
          <cell r="BZ270">
            <v>0</v>
          </cell>
          <cell r="CG270">
            <v>0.87</v>
          </cell>
          <cell r="CH270">
            <v>0</v>
          </cell>
          <cell r="CI270">
            <v>0</v>
          </cell>
          <cell r="CJ270">
            <v>0</v>
          </cell>
          <cell r="CK270">
            <v>1</v>
          </cell>
        </row>
        <row r="271">
          <cell r="A271" t="str">
            <v>57Q2</v>
          </cell>
          <cell r="B271" t="str">
            <v>Q2</v>
          </cell>
          <cell r="C271">
            <v>57</v>
          </cell>
          <cell r="D271" t="str">
            <v>Sariyeva Ainur</v>
          </cell>
          <cell r="E271" t="str">
            <v>Pharm Representative</v>
          </cell>
          <cell r="F271">
            <v>41738</v>
          </cell>
          <cell r="G271" t="str">
            <v/>
          </cell>
          <cell r="H271" t="str">
            <v/>
          </cell>
          <cell r="I271" t="str">
            <v>Pharma line</v>
          </cell>
          <cell r="J271" t="str">
            <v>CREON</v>
          </cell>
          <cell r="K271">
            <v>0</v>
          </cell>
          <cell r="L271">
            <v>0</v>
          </cell>
          <cell r="M271">
            <v>0</v>
          </cell>
          <cell r="N271">
            <v>0.45</v>
          </cell>
          <cell r="O271">
            <v>239123.38</v>
          </cell>
          <cell r="P271">
            <v>0</v>
          </cell>
          <cell r="Q271">
            <v>0</v>
          </cell>
          <cell r="R271">
            <v>0</v>
          </cell>
          <cell r="S271">
            <v>248211</v>
          </cell>
          <cell r="T271">
            <v>0</v>
          </cell>
          <cell r="U271">
            <v>0</v>
          </cell>
          <cell r="V271">
            <v>0</v>
          </cell>
          <cell r="W271" t="str">
            <v xml:space="preserve">DUPHALAC </v>
          </cell>
          <cell r="X271">
            <v>0</v>
          </cell>
          <cell r="Y271">
            <v>0</v>
          </cell>
          <cell r="Z271">
            <v>0</v>
          </cell>
          <cell r="AA271">
            <v>0.3</v>
          </cell>
          <cell r="AB271">
            <v>110920</v>
          </cell>
          <cell r="AC271">
            <v>0</v>
          </cell>
          <cell r="AD271">
            <v>0</v>
          </cell>
          <cell r="AE271">
            <v>0</v>
          </cell>
          <cell r="AF271">
            <v>141600</v>
          </cell>
          <cell r="AG271">
            <v>0</v>
          </cell>
          <cell r="AH271">
            <v>0</v>
          </cell>
          <cell r="AI271">
            <v>0</v>
          </cell>
          <cell r="AJ271" t="str">
            <v>IRS 19</v>
          </cell>
          <cell r="AK271" t="str">
            <v>IMUDON</v>
          </cell>
          <cell r="AL271">
            <v>0</v>
          </cell>
          <cell r="AM271">
            <v>0</v>
          </cell>
          <cell r="AN271">
            <v>0.15</v>
          </cell>
          <cell r="AO271">
            <v>4524</v>
          </cell>
          <cell r="AP271">
            <v>8784</v>
          </cell>
          <cell r="AQ271">
            <v>0</v>
          </cell>
          <cell r="AR271">
            <v>0</v>
          </cell>
          <cell r="AS271">
            <v>6300</v>
          </cell>
          <cell r="AT271">
            <v>8640</v>
          </cell>
          <cell r="AU271">
            <v>0</v>
          </cell>
          <cell r="AV271">
            <v>0</v>
          </cell>
          <cell r="AW271" t="str">
            <v>DUPHABEARS</v>
          </cell>
          <cell r="AX271">
            <v>0</v>
          </cell>
          <cell r="AY271">
            <v>0</v>
          </cell>
          <cell r="AZ271">
            <v>0</v>
          </cell>
          <cell r="BA271">
            <v>0.10000000000000006</v>
          </cell>
          <cell r="BB271">
            <v>881.49999999999989</v>
          </cell>
          <cell r="BC271">
            <v>0</v>
          </cell>
          <cell r="BD271">
            <v>0</v>
          </cell>
          <cell r="BE271">
            <v>0</v>
          </cell>
          <cell r="BF271">
            <v>2173</v>
          </cell>
          <cell r="BG271">
            <v>0</v>
          </cell>
          <cell r="BH271">
            <v>0</v>
          </cell>
          <cell r="BI271">
            <v>0</v>
          </cell>
          <cell r="BJ271">
            <v>364232.88</v>
          </cell>
          <cell r="BK271">
            <v>406924</v>
          </cell>
          <cell r="BL271" t="str">
            <v/>
          </cell>
          <cell r="BM271">
            <v>0.99</v>
          </cell>
          <cell r="BO271" t="str">
            <v>Staff</v>
          </cell>
          <cell r="BP271">
            <v>41829</v>
          </cell>
          <cell r="BQ271">
            <v>3</v>
          </cell>
          <cell r="BR271">
            <v>4</v>
          </cell>
          <cell r="BS271">
            <v>6</v>
          </cell>
          <cell r="BT271">
            <v>395525</v>
          </cell>
          <cell r="BU271">
            <v>1</v>
          </cell>
          <cell r="BW271">
            <v>0.96299999999999997</v>
          </cell>
          <cell r="BX271">
            <v>0.78300000000000003</v>
          </cell>
          <cell r="BY271">
            <v>0.89100000000000001</v>
          </cell>
          <cell r="BZ271">
            <v>0.40600000000000003</v>
          </cell>
          <cell r="CG271">
            <v>0.9</v>
          </cell>
          <cell r="CH271">
            <v>1</v>
          </cell>
          <cell r="CI271">
            <v>0.7</v>
          </cell>
          <cell r="CJ271">
            <v>0</v>
          </cell>
          <cell r="CK271">
            <v>1</v>
          </cell>
        </row>
        <row r="272">
          <cell r="A272" t="str">
            <v>58Q2</v>
          </cell>
          <cell r="B272" t="str">
            <v>Q2</v>
          </cell>
          <cell r="C272">
            <v>58</v>
          </cell>
          <cell r="D272" t="str">
            <v>Sarsenbayeva Saniya</v>
          </cell>
          <cell r="E272" t="str">
            <v>Medical Representative</v>
          </cell>
          <cell r="F272">
            <v>42585</v>
          </cell>
          <cell r="G272" t="str">
            <v/>
          </cell>
          <cell r="H272" t="str">
            <v/>
          </cell>
          <cell r="I272" t="str">
            <v>Line 1</v>
          </cell>
          <cell r="J272" t="str">
            <v>CREON</v>
          </cell>
          <cell r="K272" t="str">
            <v xml:space="preserve">DUPHALAC </v>
          </cell>
          <cell r="L272">
            <v>0</v>
          </cell>
          <cell r="M272">
            <v>0</v>
          </cell>
          <cell r="N272">
            <v>0.5</v>
          </cell>
          <cell r="O272">
            <v>160495.815</v>
          </cell>
          <cell r="P272">
            <v>81900</v>
          </cell>
          <cell r="Q272">
            <v>0</v>
          </cell>
          <cell r="R272">
            <v>0</v>
          </cell>
          <cell r="S272">
            <v>145092</v>
          </cell>
          <cell r="T272">
            <v>88620.410756574478</v>
          </cell>
          <cell r="U272">
            <v>0</v>
          </cell>
          <cell r="V272">
            <v>0</v>
          </cell>
          <cell r="W272" t="str">
            <v>HEPTRAL</v>
          </cell>
          <cell r="X272" t="str">
            <v xml:space="preserve">DUSPATALIN </v>
          </cell>
          <cell r="Y272">
            <v>0</v>
          </cell>
          <cell r="Z272">
            <v>0</v>
          </cell>
          <cell r="AA272">
            <v>0.35</v>
          </cell>
          <cell r="AB272">
            <v>121596.15000000001</v>
          </cell>
          <cell r="AC272">
            <v>23446</v>
          </cell>
          <cell r="AD272">
            <v>0</v>
          </cell>
          <cell r="AE272">
            <v>0</v>
          </cell>
          <cell r="AF272">
            <v>116725.70000000001</v>
          </cell>
          <cell r="AG272">
            <v>22052.712384430451</v>
          </cell>
          <cell r="AH272">
            <v>0</v>
          </cell>
          <cell r="AI272">
            <v>0</v>
          </cell>
          <cell r="AJ272" t="str">
            <v>IRS 19</v>
          </cell>
          <cell r="AK272" t="str">
            <v>IMUDON</v>
          </cell>
          <cell r="AL272">
            <v>0</v>
          </cell>
          <cell r="AM272">
            <v>0</v>
          </cell>
          <cell r="AN272">
            <v>0.1</v>
          </cell>
          <cell r="AO272">
            <v>9684</v>
          </cell>
          <cell r="AP272">
            <v>20923.199999999997</v>
          </cell>
          <cell r="AQ272">
            <v>0</v>
          </cell>
          <cell r="AR272">
            <v>0</v>
          </cell>
          <cell r="AS272">
            <v>7447.559412087332</v>
          </cell>
          <cell r="AT272">
            <v>16560</v>
          </cell>
          <cell r="AU272">
            <v>0</v>
          </cell>
          <cell r="AV272">
            <v>0</v>
          </cell>
          <cell r="AW272" t="str">
            <v xml:space="preserve">GANATON </v>
          </cell>
          <cell r="AX272" t="str">
            <v>DUPHABEARS</v>
          </cell>
          <cell r="AY272">
            <v>0</v>
          </cell>
          <cell r="AZ272">
            <v>0</v>
          </cell>
          <cell r="BA272">
            <v>5.0000000000000017E-2</v>
          </cell>
          <cell r="BB272">
            <v>3071</v>
          </cell>
          <cell r="BC272">
            <v>2156.6</v>
          </cell>
          <cell r="BD272">
            <v>0</v>
          </cell>
          <cell r="BE272">
            <v>0</v>
          </cell>
          <cell r="BF272">
            <v>3984</v>
          </cell>
          <cell r="BG272">
            <v>1824.4999999999998</v>
          </cell>
          <cell r="BH272">
            <v>0</v>
          </cell>
          <cell r="BI272">
            <v>0</v>
          </cell>
          <cell r="BJ272">
            <v>423272.76500000001</v>
          </cell>
          <cell r="BK272">
            <v>402306.88255309226</v>
          </cell>
          <cell r="BL272" t="str">
            <v/>
          </cell>
          <cell r="BM272">
            <v>0.99</v>
          </cell>
          <cell r="BO272" t="str">
            <v>Staff</v>
          </cell>
          <cell r="BP272">
            <v>42677</v>
          </cell>
          <cell r="BQ272">
            <v>3</v>
          </cell>
          <cell r="BR272">
            <v>4</v>
          </cell>
          <cell r="BS272">
            <v>6</v>
          </cell>
          <cell r="BT272">
            <v>395525</v>
          </cell>
          <cell r="BU272">
            <v>1</v>
          </cell>
          <cell r="BW272">
            <v>1.0369999999999999</v>
          </cell>
          <cell r="BX272">
            <v>1.0449999999999999</v>
          </cell>
          <cell r="BY272">
            <v>1.2749999999999999</v>
          </cell>
          <cell r="BZ272">
            <v>0.9</v>
          </cell>
          <cell r="CG272">
            <v>1.05</v>
          </cell>
          <cell r="CH272">
            <v>1</v>
          </cell>
          <cell r="CI272">
            <v>1.5</v>
          </cell>
          <cell r="CJ272">
            <v>0</v>
          </cell>
          <cell r="CK272">
            <v>1</v>
          </cell>
        </row>
        <row r="273">
          <cell r="A273" t="str">
            <v>59Q2</v>
          </cell>
          <cell r="B273" t="str">
            <v>Q2</v>
          </cell>
          <cell r="C273">
            <v>59</v>
          </cell>
          <cell r="D273" t="str">
            <v>Simachkova Yelena</v>
          </cell>
          <cell r="E273" t="str">
            <v>Pharm Representative</v>
          </cell>
          <cell r="F273">
            <v>41445</v>
          </cell>
          <cell r="G273">
            <v>42868</v>
          </cell>
          <cell r="H273" t="str">
            <v/>
          </cell>
          <cell r="I273" t="str">
            <v>Pharma line</v>
          </cell>
          <cell r="J273" t="str">
            <v>CREON</v>
          </cell>
          <cell r="K273">
            <v>0</v>
          </cell>
          <cell r="L273">
            <v>0</v>
          </cell>
          <cell r="M273">
            <v>0</v>
          </cell>
          <cell r="N273">
            <v>0.45</v>
          </cell>
          <cell r="O273">
            <v>22840.05</v>
          </cell>
          <cell r="P273">
            <v>0</v>
          </cell>
          <cell r="Q273">
            <v>0</v>
          </cell>
          <cell r="R273">
            <v>0</v>
          </cell>
          <cell r="S273">
            <v>20805.166730671452</v>
          </cell>
          <cell r="T273">
            <v>0</v>
          </cell>
          <cell r="U273">
            <v>0</v>
          </cell>
          <cell r="V273">
            <v>0</v>
          </cell>
          <cell r="W273" t="str">
            <v xml:space="preserve">DUPHALAC </v>
          </cell>
          <cell r="X273">
            <v>0</v>
          </cell>
          <cell r="Y273">
            <v>0</v>
          </cell>
          <cell r="Z273">
            <v>0</v>
          </cell>
          <cell r="AA273">
            <v>0.3</v>
          </cell>
          <cell r="AB273">
            <v>8938.5</v>
          </cell>
          <cell r="AC273">
            <v>0</v>
          </cell>
          <cell r="AD273">
            <v>0</v>
          </cell>
          <cell r="AE273">
            <v>0</v>
          </cell>
          <cell r="AF273">
            <v>8345</v>
          </cell>
          <cell r="AG273">
            <v>0</v>
          </cell>
          <cell r="AH273">
            <v>0</v>
          </cell>
          <cell r="AI273">
            <v>0</v>
          </cell>
          <cell r="AJ273" t="str">
            <v>IRS 19</v>
          </cell>
          <cell r="AK273" t="str">
            <v>IMUDON</v>
          </cell>
          <cell r="AL273">
            <v>0</v>
          </cell>
          <cell r="AM273">
            <v>0</v>
          </cell>
          <cell r="AN273">
            <v>0.15</v>
          </cell>
          <cell r="AO273">
            <v>576</v>
          </cell>
          <cell r="AP273">
            <v>1164</v>
          </cell>
          <cell r="AQ273">
            <v>0</v>
          </cell>
          <cell r="AR273">
            <v>0</v>
          </cell>
          <cell r="AS273">
            <v>1200</v>
          </cell>
          <cell r="AT273">
            <v>1200</v>
          </cell>
          <cell r="AU273">
            <v>0</v>
          </cell>
          <cell r="AV273">
            <v>0</v>
          </cell>
          <cell r="AW273" t="str">
            <v>DUPHABEARS</v>
          </cell>
          <cell r="AX273">
            <v>0</v>
          </cell>
          <cell r="AY273">
            <v>0</v>
          </cell>
          <cell r="AZ273">
            <v>0</v>
          </cell>
          <cell r="BA273">
            <v>0.10000000000000006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33518.550000000003</v>
          </cell>
          <cell r="BK273">
            <v>31550.166730671452</v>
          </cell>
          <cell r="BL273" t="str">
            <v/>
          </cell>
          <cell r="BM273">
            <v>0</v>
          </cell>
          <cell r="BO273" t="str">
            <v>Maternity leave</v>
          </cell>
          <cell r="BP273">
            <v>41537</v>
          </cell>
          <cell r="BQ273">
            <v>1</v>
          </cell>
          <cell r="BR273">
            <v>4</v>
          </cell>
          <cell r="BS273">
            <v>4</v>
          </cell>
          <cell r="BT273">
            <v>395525</v>
          </cell>
          <cell r="BU273">
            <v>0.33333333333333331</v>
          </cell>
          <cell r="BW273">
            <v>1.0980000000000001</v>
          </cell>
          <cell r="BX273">
            <v>1.071</v>
          </cell>
          <cell r="BY273">
            <v>0.72499999999999998</v>
          </cell>
          <cell r="BZ273">
            <v>0</v>
          </cell>
          <cell r="CG273">
            <v>1.06</v>
          </cell>
          <cell r="CH273">
            <v>1</v>
          </cell>
          <cell r="CI273">
            <v>1.6</v>
          </cell>
          <cell r="CJ273">
            <v>0</v>
          </cell>
          <cell r="CK273">
            <v>0</v>
          </cell>
        </row>
        <row r="274">
          <cell r="A274" t="str">
            <v>60Q2</v>
          </cell>
          <cell r="B274" t="str">
            <v>Q2</v>
          </cell>
          <cell r="C274">
            <v>60</v>
          </cell>
          <cell r="D274" t="str">
            <v>Soni Laura</v>
          </cell>
          <cell r="E274" t="str">
            <v>Medical Representative</v>
          </cell>
          <cell r="F274">
            <v>42186</v>
          </cell>
          <cell r="G274" t="str">
            <v/>
          </cell>
          <cell r="H274" t="str">
            <v/>
          </cell>
          <cell r="I274" t="str">
            <v>Line 2 (big cities)</v>
          </cell>
          <cell r="J274" t="str">
            <v>CREON</v>
          </cell>
          <cell r="K274" t="str">
            <v xml:space="preserve">DUPHALAC </v>
          </cell>
          <cell r="L274">
            <v>0</v>
          </cell>
          <cell r="M274">
            <v>0</v>
          </cell>
          <cell r="N274">
            <v>0.1</v>
          </cell>
          <cell r="O274">
            <v>19960.876500000002</v>
          </cell>
          <cell r="P274">
            <v>7666.6500000000005</v>
          </cell>
          <cell r="Q274">
            <v>0</v>
          </cell>
          <cell r="R274">
            <v>0</v>
          </cell>
          <cell r="S274">
            <v>16786.714000000004</v>
          </cell>
          <cell r="T274">
            <v>9346.1729706200349</v>
          </cell>
          <cell r="U274">
            <v>0</v>
          </cell>
          <cell r="V274">
            <v>0</v>
          </cell>
          <cell r="W274" t="str">
            <v>PHYSIOTENS</v>
          </cell>
          <cell r="X274" t="str">
            <v>TRICOR /LIPANTHYL</v>
          </cell>
          <cell r="Y274" t="str">
            <v>OMACOR</v>
          </cell>
          <cell r="Z274">
            <v>0</v>
          </cell>
          <cell r="AA274">
            <v>0.3</v>
          </cell>
          <cell r="AB274">
            <v>290233</v>
          </cell>
          <cell r="AC274">
            <v>10360.49</v>
          </cell>
          <cell r="AD274">
            <v>6665</v>
          </cell>
          <cell r="AE274">
            <v>0</v>
          </cell>
          <cell r="AF274">
            <v>265895</v>
          </cell>
          <cell r="AG274">
            <v>9711.92</v>
          </cell>
          <cell r="AH274">
            <v>7440</v>
          </cell>
          <cell r="AI274">
            <v>0</v>
          </cell>
          <cell r="AJ274" t="str">
            <v>HEPTRAL</v>
          </cell>
          <cell r="AK274">
            <v>0</v>
          </cell>
          <cell r="AL274">
            <v>0</v>
          </cell>
          <cell r="AM274">
            <v>0</v>
          </cell>
          <cell r="AN274">
            <v>0.3</v>
          </cell>
          <cell r="AO274">
            <v>331058.52</v>
          </cell>
          <cell r="AP274">
            <v>0</v>
          </cell>
          <cell r="AQ274">
            <v>0</v>
          </cell>
          <cell r="AR274">
            <v>0</v>
          </cell>
          <cell r="AS274">
            <v>356616</v>
          </cell>
          <cell r="AT274">
            <v>0</v>
          </cell>
          <cell r="AU274">
            <v>0</v>
          </cell>
          <cell r="AV274">
            <v>0</v>
          </cell>
          <cell r="AW274" t="str">
            <v>BETASERC</v>
          </cell>
          <cell r="AX274">
            <v>0</v>
          </cell>
          <cell r="AY274">
            <v>0</v>
          </cell>
          <cell r="AZ274">
            <v>0</v>
          </cell>
          <cell r="BA274">
            <v>0.3000000000000001</v>
          </cell>
          <cell r="BB274">
            <v>95677.040000000008</v>
          </cell>
          <cell r="BC274">
            <v>0</v>
          </cell>
          <cell r="BD274">
            <v>0</v>
          </cell>
          <cell r="BE274">
            <v>0</v>
          </cell>
          <cell r="BF274">
            <v>98361.423413493438</v>
          </cell>
          <cell r="BG274">
            <v>0</v>
          </cell>
          <cell r="BH274">
            <v>0</v>
          </cell>
          <cell r="BI274">
            <v>0</v>
          </cell>
          <cell r="BJ274">
            <v>761621.57649999997</v>
          </cell>
          <cell r="BK274">
            <v>764157.2303841135</v>
          </cell>
          <cell r="BL274" t="str">
            <v/>
          </cell>
          <cell r="BM274">
            <v>0.99</v>
          </cell>
          <cell r="BO274" t="str">
            <v>Staff</v>
          </cell>
          <cell r="BP274">
            <v>42278</v>
          </cell>
          <cell r="BQ274">
            <v>3</v>
          </cell>
          <cell r="BR274">
            <v>4</v>
          </cell>
          <cell r="BS274">
            <v>6</v>
          </cell>
          <cell r="BT274">
            <v>395525</v>
          </cell>
          <cell r="BU274">
            <v>1</v>
          </cell>
          <cell r="BW274">
            <v>1.0569999999999999</v>
          </cell>
          <cell r="BX274">
            <v>1.0860000000000001</v>
          </cell>
          <cell r="BY274">
            <v>0.92800000000000005</v>
          </cell>
          <cell r="BZ274">
            <v>0.97299999999999998</v>
          </cell>
          <cell r="CG274">
            <v>1</v>
          </cell>
          <cell r="CH274">
            <v>1</v>
          </cell>
          <cell r="CI274">
            <v>1</v>
          </cell>
          <cell r="CJ274">
            <v>0</v>
          </cell>
          <cell r="CK274">
            <v>1</v>
          </cell>
        </row>
        <row r="275">
          <cell r="A275" t="str">
            <v>61Q2</v>
          </cell>
          <cell r="B275" t="str">
            <v>Q2</v>
          </cell>
          <cell r="C275">
            <v>61</v>
          </cell>
          <cell r="D275" t="str">
            <v>Suttubayeva Gulnar</v>
          </cell>
          <cell r="E275" t="str">
            <v>Regional Manager</v>
          </cell>
          <cell r="F275">
            <v>40680</v>
          </cell>
          <cell r="G275" t="str">
            <v/>
          </cell>
          <cell r="H275" t="str">
            <v/>
          </cell>
          <cell r="I275" t="str">
            <v>Regional Manager-1</v>
          </cell>
          <cell r="J275" t="str">
            <v>GASTRO</v>
          </cell>
          <cell r="K275">
            <v>0</v>
          </cell>
          <cell r="L275">
            <v>0</v>
          </cell>
          <cell r="M275">
            <v>0</v>
          </cell>
          <cell r="N275">
            <v>0.5</v>
          </cell>
          <cell r="O275">
            <v>354260.8</v>
          </cell>
          <cell r="P275">
            <v>0</v>
          </cell>
          <cell r="Q275">
            <v>0</v>
          </cell>
          <cell r="R275">
            <v>0</v>
          </cell>
          <cell r="S275">
            <v>317113.38474489376</v>
          </cell>
          <cell r="T275">
            <v>0</v>
          </cell>
          <cell r="U275">
            <v>0</v>
          </cell>
          <cell r="V275">
            <v>0</v>
          </cell>
          <cell r="W275" t="str">
            <v>GYNECOLOGY</v>
          </cell>
          <cell r="X275">
            <v>0</v>
          </cell>
          <cell r="Y275">
            <v>0</v>
          </cell>
          <cell r="Z275">
            <v>0</v>
          </cell>
          <cell r="AA275">
            <v>0.25</v>
          </cell>
          <cell r="AB275">
            <v>153647.66</v>
          </cell>
          <cell r="AC275">
            <v>0</v>
          </cell>
          <cell r="AD275">
            <v>0</v>
          </cell>
          <cell r="AE275">
            <v>0</v>
          </cell>
          <cell r="AF275">
            <v>141498.09443807756</v>
          </cell>
          <cell r="AG275">
            <v>0</v>
          </cell>
          <cell r="AH275">
            <v>0</v>
          </cell>
          <cell r="AI275">
            <v>0</v>
          </cell>
          <cell r="AJ275" t="str">
            <v>CARDIO-NEURO</v>
          </cell>
          <cell r="AK275">
            <v>0</v>
          </cell>
          <cell r="AL275">
            <v>0</v>
          </cell>
          <cell r="AM275">
            <v>0</v>
          </cell>
          <cell r="AN275">
            <v>0.2</v>
          </cell>
          <cell r="AO275">
            <v>258839.90000000002</v>
          </cell>
          <cell r="AP275">
            <v>0</v>
          </cell>
          <cell r="AQ275">
            <v>0</v>
          </cell>
          <cell r="AR275">
            <v>0</v>
          </cell>
          <cell r="AS275">
            <v>182103.5572614281</v>
          </cell>
          <cell r="AT275">
            <v>0</v>
          </cell>
          <cell r="AU275">
            <v>0</v>
          </cell>
          <cell r="AV275">
            <v>0</v>
          </cell>
          <cell r="AW275" t="str">
            <v>IMMUNOLOGY</v>
          </cell>
          <cell r="AX275">
            <v>0</v>
          </cell>
          <cell r="AY275">
            <v>0</v>
          </cell>
          <cell r="AZ275">
            <v>0</v>
          </cell>
          <cell r="BA275">
            <v>4.9999999999999989E-2</v>
          </cell>
          <cell r="BB275">
            <v>15312</v>
          </cell>
          <cell r="BC275">
            <v>0</v>
          </cell>
          <cell r="BD275">
            <v>0</v>
          </cell>
          <cell r="BE275">
            <v>0</v>
          </cell>
          <cell r="BF275">
            <v>15070.486263593852</v>
          </cell>
          <cell r="BG275">
            <v>0</v>
          </cell>
          <cell r="BH275">
            <v>0</v>
          </cell>
          <cell r="BI275">
            <v>0</v>
          </cell>
          <cell r="BJ275">
            <v>782060.36</v>
          </cell>
          <cell r="BK275">
            <v>655785.52270799328</v>
          </cell>
          <cell r="BL275">
            <v>0.89972899728997291</v>
          </cell>
          <cell r="BM275">
            <v>0.97</v>
          </cell>
          <cell r="BO275" t="str">
            <v>Staff</v>
          </cell>
          <cell r="BP275">
            <v>40772</v>
          </cell>
          <cell r="BQ275">
            <v>3</v>
          </cell>
          <cell r="BR275">
            <v>4</v>
          </cell>
          <cell r="BS275">
            <v>6</v>
          </cell>
          <cell r="BT275">
            <v>726000</v>
          </cell>
          <cell r="BU275">
            <v>1</v>
          </cell>
          <cell r="BW275">
            <v>1.117</v>
          </cell>
          <cell r="BX275">
            <v>1.0860000000000001</v>
          </cell>
          <cell r="BY275">
            <v>1.421</v>
          </cell>
          <cell r="BZ275">
            <v>1.016</v>
          </cell>
          <cell r="CG275">
            <v>1.19</v>
          </cell>
          <cell r="CH275">
            <v>1</v>
          </cell>
          <cell r="CI275">
            <v>2.4500000000000002</v>
          </cell>
          <cell r="CJ275">
            <v>1</v>
          </cell>
          <cell r="CK275">
            <v>1</v>
          </cell>
        </row>
        <row r="276">
          <cell r="A276" t="str">
            <v>62Q2</v>
          </cell>
          <cell r="B276" t="str">
            <v>Q2</v>
          </cell>
          <cell r="C276">
            <v>62</v>
          </cell>
          <cell r="D276" t="str">
            <v>Tasbulatova Saule</v>
          </cell>
          <cell r="E276" t="str">
            <v>Medical Representative</v>
          </cell>
          <cell r="F276">
            <v>40680</v>
          </cell>
          <cell r="G276" t="str">
            <v/>
          </cell>
          <cell r="H276" t="str">
            <v/>
          </cell>
          <cell r="I276" t="str">
            <v>Line 2</v>
          </cell>
          <cell r="J276" t="str">
            <v xml:space="preserve">DUPHASTON </v>
          </cell>
          <cell r="K276" t="str">
            <v>FEMOSTON</v>
          </cell>
          <cell r="L276">
            <v>0</v>
          </cell>
          <cell r="M276">
            <v>0</v>
          </cell>
          <cell r="N276">
            <v>0.3</v>
          </cell>
          <cell r="O276">
            <v>23274</v>
          </cell>
          <cell r="P276">
            <v>8143.2</v>
          </cell>
          <cell r="Q276">
            <v>0</v>
          </cell>
          <cell r="R276">
            <v>0</v>
          </cell>
          <cell r="S276">
            <v>24966.041988598641</v>
          </cell>
          <cell r="T276">
            <v>7610.4137594560507</v>
          </cell>
          <cell r="U276">
            <v>0</v>
          </cell>
          <cell r="V276">
            <v>0</v>
          </cell>
          <cell r="W276" t="str">
            <v>PHYSIOTENS</v>
          </cell>
          <cell r="X276" t="str">
            <v>TRICOR /LIPANTHYL</v>
          </cell>
          <cell r="Y276" t="str">
            <v>OMACOR</v>
          </cell>
          <cell r="Z276">
            <v>0</v>
          </cell>
          <cell r="AA276">
            <v>0.25</v>
          </cell>
          <cell r="AB276">
            <v>93554</v>
          </cell>
          <cell r="AC276">
            <v>1513.33</v>
          </cell>
          <cell r="AD276">
            <v>248</v>
          </cell>
          <cell r="AE276">
            <v>0</v>
          </cell>
          <cell r="AF276">
            <v>55420</v>
          </cell>
          <cell r="AG276">
            <v>748.34999999999991</v>
          </cell>
          <cell r="AH276">
            <v>465</v>
          </cell>
          <cell r="AI276">
            <v>0</v>
          </cell>
          <cell r="AJ276" t="str">
            <v>HEPTRAL</v>
          </cell>
          <cell r="AK276">
            <v>0</v>
          </cell>
          <cell r="AL276">
            <v>0</v>
          </cell>
          <cell r="AM276">
            <v>0</v>
          </cell>
          <cell r="AN276">
            <v>0.25</v>
          </cell>
          <cell r="AO276">
            <v>24864.060000000005</v>
          </cell>
          <cell r="AP276">
            <v>0</v>
          </cell>
          <cell r="AQ276">
            <v>0</v>
          </cell>
          <cell r="AR276">
            <v>0</v>
          </cell>
          <cell r="AS276">
            <v>24824.706547836358</v>
          </cell>
          <cell r="AT276">
            <v>0</v>
          </cell>
          <cell r="AU276">
            <v>0</v>
          </cell>
          <cell r="AV276">
            <v>0</v>
          </cell>
          <cell r="AW276" t="str">
            <v>BETASERC</v>
          </cell>
          <cell r="AX276" t="str">
            <v xml:space="preserve">DUPHALAC </v>
          </cell>
          <cell r="AY276" t="str">
            <v>CREON</v>
          </cell>
          <cell r="AZ276">
            <v>0</v>
          </cell>
          <cell r="BA276">
            <v>0.19999999999999996</v>
          </cell>
          <cell r="BB276">
            <v>12902.54</v>
          </cell>
          <cell r="BC276">
            <v>2309.4</v>
          </cell>
          <cell r="BD276">
            <v>1954.6315000000004</v>
          </cell>
          <cell r="BE276">
            <v>0</v>
          </cell>
          <cell r="BF276">
            <v>8026.4699198742073</v>
          </cell>
          <cell r="BG276">
            <v>2402.8122709770373</v>
          </cell>
          <cell r="BH276">
            <v>1626.9</v>
          </cell>
          <cell r="BI276">
            <v>0</v>
          </cell>
          <cell r="BJ276">
            <v>168763.16149999999</v>
          </cell>
          <cell r="BK276">
            <v>126090.69448674232</v>
          </cell>
          <cell r="BL276" t="str">
            <v/>
          </cell>
          <cell r="BM276">
            <v>1</v>
          </cell>
          <cell r="BO276" t="str">
            <v>Staff</v>
          </cell>
          <cell r="BP276">
            <v>40772</v>
          </cell>
          <cell r="BQ276">
            <v>3</v>
          </cell>
          <cell r="BR276">
            <v>4</v>
          </cell>
          <cell r="BS276">
            <v>6</v>
          </cell>
          <cell r="BT276">
            <v>395525</v>
          </cell>
          <cell r="BU276">
            <v>1</v>
          </cell>
          <cell r="BW276">
            <v>0.96399999999999997</v>
          </cell>
          <cell r="BX276">
            <v>1.6830000000000001</v>
          </cell>
          <cell r="BY276">
            <v>1.002</v>
          </cell>
          <cell r="BZ276">
            <v>1.4239999999999999</v>
          </cell>
          <cell r="CG276">
            <v>1.34</v>
          </cell>
          <cell r="CH276">
            <v>1</v>
          </cell>
          <cell r="CI276">
            <v>2.5</v>
          </cell>
          <cell r="CJ276">
            <v>0</v>
          </cell>
          <cell r="CK276">
            <v>1</v>
          </cell>
        </row>
        <row r="277">
          <cell r="A277" t="str">
            <v>63Q2</v>
          </cell>
          <cell r="B277" t="str">
            <v>Q2</v>
          </cell>
          <cell r="C277">
            <v>63</v>
          </cell>
          <cell r="D277" t="str">
            <v>Temirbayeva Akzhunis</v>
          </cell>
          <cell r="E277" t="str">
            <v>Medical Representative</v>
          </cell>
          <cell r="F277">
            <v>40983</v>
          </cell>
          <cell r="G277" t="str">
            <v/>
          </cell>
          <cell r="H277" t="str">
            <v/>
          </cell>
          <cell r="I277" t="str">
            <v>Line 1</v>
          </cell>
          <cell r="J277" t="str">
            <v>CREON</v>
          </cell>
          <cell r="K277" t="str">
            <v xml:space="preserve">DUPHALAC </v>
          </cell>
          <cell r="L277">
            <v>0</v>
          </cell>
          <cell r="M277">
            <v>0</v>
          </cell>
          <cell r="N277">
            <v>0.5</v>
          </cell>
          <cell r="O277">
            <v>239123.38</v>
          </cell>
          <cell r="P277">
            <v>110920</v>
          </cell>
          <cell r="Q277">
            <v>0</v>
          </cell>
          <cell r="R277">
            <v>0</v>
          </cell>
          <cell r="S277">
            <v>248211</v>
          </cell>
          <cell r="T277">
            <v>141600</v>
          </cell>
          <cell r="U277">
            <v>0</v>
          </cell>
          <cell r="V277">
            <v>0</v>
          </cell>
          <cell r="W277" t="str">
            <v>HEPTRAL</v>
          </cell>
          <cell r="X277" t="str">
            <v xml:space="preserve">DUSPATALIN </v>
          </cell>
          <cell r="Y277">
            <v>0</v>
          </cell>
          <cell r="Z277">
            <v>0</v>
          </cell>
          <cell r="AA277">
            <v>0.35</v>
          </cell>
          <cell r="AB277">
            <v>180454.30000000005</v>
          </cell>
          <cell r="AC277">
            <v>21432</v>
          </cell>
          <cell r="AD277">
            <v>0</v>
          </cell>
          <cell r="AE277">
            <v>0</v>
          </cell>
          <cell r="AF277">
            <v>153091.20420726546</v>
          </cell>
          <cell r="AG277">
            <v>29972.5</v>
          </cell>
          <cell r="AH277">
            <v>0</v>
          </cell>
          <cell r="AI277">
            <v>0</v>
          </cell>
          <cell r="AJ277" t="str">
            <v>IRS 19</v>
          </cell>
          <cell r="AK277" t="str">
            <v>IMUDON</v>
          </cell>
          <cell r="AL277">
            <v>0</v>
          </cell>
          <cell r="AM277">
            <v>0</v>
          </cell>
          <cell r="AN277">
            <v>0.1</v>
          </cell>
          <cell r="AO277">
            <v>4524</v>
          </cell>
          <cell r="AP277">
            <v>8784</v>
          </cell>
          <cell r="AQ277">
            <v>0</v>
          </cell>
          <cell r="AR277">
            <v>0</v>
          </cell>
          <cell r="AS277">
            <v>6300</v>
          </cell>
          <cell r="AT277">
            <v>8640</v>
          </cell>
          <cell r="AU277">
            <v>0</v>
          </cell>
          <cell r="AV277">
            <v>0</v>
          </cell>
          <cell r="AW277" t="str">
            <v xml:space="preserve">GANATON </v>
          </cell>
          <cell r="AX277" t="str">
            <v>DUPHABEARS</v>
          </cell>
          <cell r="AY277">
            <v>0</v>
          </cell>
          <cell r="AZ277">
            <v>0</v>
          </cell>
          <cell r="BA277">
            <v>5.0000000000000017E-2</v>
          </cell>
          <cell r="BB277">
            <v>2490</v>
          </cell>
          <cell r="BC277">
            <v>881.49999999999989</v>
          </cell>
          <cell r="BD277">
            <v>0</v>
          </cell>
          <cell r="BE277">
            <v>0</v>
          </cell>
          <cell r="BF277">
            <v>3154</v>
          </cell>
          <cell r="BG277">
            <v>2173</v>
          </cell>
          <cell r="BH277">
            <v>0</v>
          </cell>
          <cell r="BI277">
            <v>0</v>
          </cell>
          <cell r="BJ277">
            <v>568609.18000000005</v>
          </cell>
          <cell r="BK277">
            <v>593141.70420726552</v>
          </cell>
          <cell r="BL277" t="str">
            <v/>
          </cell>
          <cell r="BM277">
            <v>0.93</v>
          </cell>
          <cell r="BO277" t="str">
            <v>Staff</v>
          </cell>
          <cell r="BP277">
            <v>41075</v>
          </cell>
          <cell r="BQ277">
            <v>3</v>
          </cell>
          <cell r="BR277">
            <v>4</v>
          </cell>
          <cell r="BS277">
            <v>6</v>
          </cell>
          <cell r="BT277">
            <v>395525</v>
          </cell>
          <cell r="BU277">
            <v>1</v>
          </cell>
          <cell r="BW277">
            <v>0.89800000000000002</v>
          </cell>
          <cell r="BX277">
            <v>1.103</v>
          </cell>
          <cell r="BY277">
            <v>0.89100000000000001</v>
          </cell>
          <cell r="BZ277">
            <v>0.63300000000000001</v>
          </cell>
          <cell r="CG277">
            <v>0.96</v>
          </cell>
          <cell r="CH277">
            <v>1</v>
          </cell>
          <cell r="CI277">
            <v>0.82</v>
          </cell>
          <cell r="CJ277">
            <v>0</v>
          </cell>
          <cell r="CK277">
            <v>0.5</v>
          </cell>
        </row>
        <row r="278">
          <cell r="A278" t="str">
            <v>64Q2</v>
          </cell>
          <cell r="B278" t="str">
            <v>Q2</v>
          </cell>
          <cell r="C278">
            <v>64</v>
          </cell>
          <cell r="D278" t="str">
            <v>Tilessova Altynay</v>
          </cell>
          <cell r="E278" t="str">
            <v>Medical Representative</v>
          </cell>
          <cell r="F278">
            <v>41080</v>
          </cell>
          <cell r="G278" t="str">
            <v/>
          </cell>
          <cell r="H278" t="str">
            <v/>
          </cell>
          <cell r="I278" t="str">
            <v>Line 1</v>
          </cell>
          <cell r="J278" t="str">
            <v>CREON</v>
          </cell>
          <cell r="K278" t="str">
            <v xml:space="preserve">DUPHALAC </v>
          </cell>
          <cell r="L278">
            <v>0</v>
          </cell>
          <cell r="M278">
            <v>0</v>
          </cell>
          <cell r="N278">
            <v>0.5</v>
          </cell>
          <cell r="O278">
            <v>239123.38</v>
          </cell>
          <cell r="P278">
            <v>110920</v>
          </cell>
          <cell r="Q278">
            <v>0</v>
          </cell>
          <cell r="R278">
            <v>0</v>
          </cell>
          <cell r="S278">
            <v>248211</v>
          </cell>
          <cell r="T278">
            <v>141600</v>
          </cell>
          <cell r="U278">
            <v>0</v>
          </cell>
          <cell r="V278">
            <v>0</v>
          </cell>
          <cell r="W278" t="str">
            <v>HEPTRAL</v>
          </cell>
          <cell r="X278" t="str">
            <v xml:space="preserve">DUSPATALIN </v>
          </cell>
          <cell r="Y278">
            <v>0</v>
          </cell>
          <cell r="Z278">
            <v>0</v>
          </cell>
          <cell r="AA278">
            <v>0.35</v>
          </cell>
          <cell r="AB278">
            <v>180454.30000000005</v>
          </cell>
          <cell r="AC278">
            <v>21432</v>
          </cell>
          <cell r="AD278">
            <v>0</v>
          </cell>
          <cell r="AE278">
            <v>0</v>
          </cell>
          <cell r="AF278">
            <v>153091.20420726546</v>
          </cell>
          <cell r="AG278">
            <v>29972.5</v>
          </cell>
          <cell r="AH278">
            <v>0</v>
          </cell>
          <cell r="AI278">
            <v>0</v>
          </cell>
          <cell r="AJ278" t="str">
            <v>IRS 19</v>
          </cell>
          <cell r="AK278" t="str">
            <v>IMUDON</v>
          </cell>
          <cell r="AL278">
            <v>0</v>
          </cell>
          <cell r="AM278">
            <v>0</v>
          </cell>
          <cell r="AN278">
            <v>0.1</v>
          </cell>
          <cell r="AO278">
            <v>4524</v>
          </cell>
          <cell r="AP278">
            <v>8784</v>
          </cell>
          <cell r="AQ278">
            <v>0</v>
          </cell>
          <cell r="AR278">
            <v>0</v>
          </cell>
          <cell r="AS278">
            <v>6300</v>
          </cell>
          <cell r="AT278">
            <v>8640</v>
          </cell>
          <cell r="AU278">
            <v>0</v>
          </cell>
          <cell r="AV278">
            <v>0</v>
          </cell>
          <cell r="AW278" t="str">
            <v xml:space="preserve">GANATON </v>
          </cell>
          <cell r="AX278" t="str">
            <v>DUPHABEARS</v>
          </cell>
          <cell r="AY278">
            <v>0</v>
          </cell>
          <cell r="AZ278">
            <v>0</v>
          </cell>
          <cell r="BA278">
            <v>5.0000000000000017E-2</v>
          </cell>
          <cell r="BB278">
            <v>2490</v>
          </cell>
          <cell r="BC278">
            <v>881.49999999999989</v>
          </cell>
          <cell r="BD278">
            <v>0</v>
          </cell>
          <cell r="BE278">
            <v>0</v>
          </cell>
          <cell r="BF278">
            <v>3154</v>
          </cell>
          <cell r="BG278">
            <v>2173</v>
          </cell>
          <cell r="BH278">
            <v>0</v>
          </cell>
          <cell r="BI278">
            <v>0</v>
          </cell>
          <cell r="BJ278">
            <v>568609.18000000005</v>
          </cell>
          <cell r="BK278">
            <v>593141.70420726552</v>
          </cell>
          <cell r="BL278" t="str">
            <v/>
          </cell>
          <cell r="BM278">
            <v>0.97</v>
          </cell>
          <cell r="BO278" t="str">
            <v>Staff</v>
          </cell>
          <cell r="BP278">
            <v>41172</v>
          </cell>
          <cell r="BQ278">
            <v>3</v>
          </cell>
          <cell r="BR278">
            <v>4</v>
          </cell>
          <cell r="BS278">
            <v>6</v>
          </cell>
          <cell r="BT278">
            <v>395525</v>
          </cell>
          <cell r="BU278">
            <v>1</v>
          </cell>
          <cell r="BW278">
            <v>0.89800000000000002</v>
          </cell>
          <cell r="BX278">
            <v>1.103</v>
          </cell>
          <cell r="BY278">
            <v>0.89100000000000001</v>
          </cell>
          <cell r="BZ278">
            <v>0.63300000000000001</v>
          </cell>
          <cell r="CG278">
            <v>0.96</v>
          </cell>
          <cell r="CH278">
            <v>1</v>
          </cell>
          <cell r="CI278">
            <v>0.82</v>
          </cell>
          <cell r="CJ278">
            <v>0</v>
          </cell>
          <cell r="CK278">
            <v>1</v>
          </cell>
        </row>
        <row r="279">
          <cell r="A279" t="str">
            <v>65Q2</v>
          </cell>
          <cell r="B279" t="str">
            <v>Q2</v>
          </cell>
          <cell r="C279">
            <v>65</v>
          </cell>
          <cell r="D279" t="str">
            <v>Tipalov Sergey</v>
          </cell>
          <cell r="E279" t="str">
            <v>Medical Representative</v>
          </cell>
          <cell r="F279">
            <v>42625</v>
          </cell>
          <cell r="G279" t="str">
            <v/>
          </cell>
          <cell r="H279" t="str">
            <v/>
          </cell>
          <cell r="I279" t="str">
            <v>Line 2</v>
          </cell>
          <cell r="J279" t="str">
            <v xml:space="preserve">DUPHASTON </v>
          </cell>
          <cell r="K279" t="str">
            <v>FEMOSTON</v>
          </cell>
          <cell r="L279">
            <v>0</v>
          </cell>
          <cell r="M279">
            <v>0</v>
          </cell>
          <cell r="N279">
            <v>0.3</v>
          </cell>
          <cell r="O279">
            <v>39744</v>
          </cell>
          <cell r="P279">
            <v>22295.199999999997</v>
          </cell>
          <cell r="Q279">
            <v>0</v>
          </cell>
          <cell r="R279">
            <v>0</v>
          </cell>
          <cell r="S279">
            <v>43470.64771569633</v>
          </cell>
          <cell r="T279">
            <v>21850.489225548652</v>
          </cell>
          <cell r="U279">
            <v>0</v>
          </cell>
          <cell r="V279">
            <v>0</v>
          </cell>
          <cell r="W279" t="str">
            <v>PHYSIOTENS</v>
          </cell>
          <cell r="X279" t="str">
            <v>TRICOR /LIPANTHYL</v>
          </cell>
          <cell r="Y279" t="str">
            <v>OMACOR</v>
          </cell>
          <cell r="Z279">
            <v>0</v>
          </cell>
          <cell r="AA279">
            <v>0.25</v>
          </cell>
          <cell r="AB279">
            <v>109645</v>
          </cell>
          <cell r="AC279">
            <v>1164.0999999999999</v>
          </cell>
          <cell r="AD279">
            <v>1488</v>
          </cell>
          <cell r="AE279">
            <v>0</v>
          </cell>
          <cell r="AF279">
            <v>90745</v>
          </cell>
          <cell r="AG279">
            <v>1746.1499999999999</v>
          </cell>
          <cell r="AH279">
            <v>1395</v>
          </cell>
          <cell r="AI279">
            <v>0</v>
          </cell>
          <cell r="AJ279" t="str">
            <v>HEPTRAL</v>
          </cell>
          <cell r="AK279">
            <v>0</v>
          </cell>
          <cell r="AL279">
            <v>0</v>
          </cell>
          <cell r="AM279">
            <v>0</v>
          </cell>
          <cell r="AN279">
            <v>0.25</v>
          </cell>
          <cell r="AO279">
            <v>36024.820000000007</v>
          </cell>
          <cell r="AP279">
            <v>0</v>
          </cell>
          <cell r="AQ279">
            <v>0</v>
          </cell>
          <cell r="AR279">
            <v>0</v>
          </cell>
          <cell r="AS279">
            <v>32495.957277667152</v>
          </cell>
          <cell r="AT279">
            <v>0</v>
          </cell>
          <cell r="AU279">
            <v>0</v>
          </cell>
          <cell r="AV279">
            <v>0</v>
          </cell>
          <cell r="AW279" t="str">
            <v>BETASERC</v>
          </cell>
          <cell r="AX279" t="str">
            <v xml:space="preserve">DUPHALAC </v>
          </cell>
          <cell r="AY279" t="str">
            <v>CREON</v>
          </cell>
          <cell r="AZ279">
            <v>0</v>
          </cell>
          <cell r="BA279">
            <v>0.19999999999999996</v>
          </cell>
          <cell r="BB279">
            <v>18452.04</v>
          </cell>
          <cell r="BC279">
            <v>2470.4500000000003</v>
          </cell>
          <cell r="BD279">
            <v>3962.3040000000001</v>
          </cell>
          <cell r="BE279">
            <v>0</v>
          </cell>
          <cell r="BF279">
            <v>11941.086713388195</v>
          </cell>
          <cell r="BG279">
            <v>2805.2101912409889</v>
          </cell>
          <cell r="BH279">
            <v>3260.1000000000004</v>
          </cell>
          <cell r="BI279">
            <v>0</v>
          </cell>
          <cell r="BJ279">
            <v>235245.91399999999</v>
          </cell>
          <cell r="BK279">
            <v>209709.64112354131</v>
          </cell>
          <cell r="BL279" t="str">
            <v/>
          </cell>
          <cell r="BM279">
            <v>0.9</v>
          </cell>
          <cell r="BO279" t="str">
            <v>Staff</v>
          </cell>
          <cell r="BP279">
            <v>42716</v>
          </cell>
          <cell r="BQ279">
            <v>3</v>
          </cell>
          <cell r="BR279">
            <v>4</v>
          </cell>
          <cell r="BS279">
            <v>6</v>
          </cell>
          <cell r="BT279">
            <v>395525</v>
          </cell>
          <cell r="BU279">
            <v>1</v>
          </cell>
          <cell r="BW279">
            <v>0.95</v>
          </cell>
          <cell r="BX279">
            <v>1.196</v>
          </cell>
          <cell r="BY279">
            <v>1.109</v>
          </cell>
          <cell r="BZ279">
            <v>1.3819999999999999</v>
          </cell>
          <cell r="CG279">
            <v>1.1200000000000001</v>
          </cell>
          <cell r="CH279">
            <v>1</v>
          </cell>
          <cell r="CI279">
            <v>2.1</v>
          </cell>
          <cell r="CJ279">
            <v>0</v>
          </cell>
          <cell r="CK279">
            <v>0.5</v>
          </cell>
        </row>
        <row r="280">
          <cell r="A280" t="str">
            <v>66Q2</v>
          </cell>
          <cell r="B280" t="str">
            <v>Q2</v>
          </cell>
          <cell r="C280">
            <v>66</v>
          </cell>
          <cell r="D280" t="str">
            <v>Ungarbayeva Zhanna</v>
          </cell>
          <cell r="E280" t="str">
            <v>Medical Representative</v>
          </cell>
          <cell r="F280">
            <v>41919</v>
          </cell>
          <cell r="G280" t="str">
            <v/>
          </cell>
          <cell r="H280" t="str">
            <v/>
          </cell>
          <cell r="I280" t="str">
            <v>Line 3 (big cities)</v>
          </cell>
          <cell r="J280" t="str">
            <v xml:space="preserve">DUPHASTON </v>
          </cell>
          <cell r="K280">
            <v>0</v>
          </cell>
          <cell r="L280">
            <v>0</v>
          </cell>
          <cell r="M280">
            <v>0</v>
          </cell>
          <cell r="N280">
            <v>0.45</v>
          </cell>
          <cell r="O280">
            <v>54837</v>
          </cell>
          <cell r="P280">
            <v>0</v>
          </cell>
          <cell r="Q280">
            <v>0</v>
          </cell>
          <cell r="R280">
            <v>0</v>
          </cell>
          <cell r="S280">
            <v>52650</v>
          </cell>
          <cell r="T280">
            <v>0</v>
          </cell>
          <cell r="U280">
            <v>0</v>
          </cell>
          <cell r="V280">
            <v>0</v>
          </cell>
          <cell r="W280" t="str">
            <v>FEMOSTON</v>
          </cell>
          <cell r="X280">
            <v>0</v>
          </cell>
          <cell r="Y280">
            <v>0</v>
          </cell>
          <cell r="Z280">
            <v>0</v>
          </cell>
          <cell r="AA280">
            <v>0.25</v>
          </cell>
          <cell r="AB280">
            <v>11576.8</v>
          </cell>
          <cell r="AC280">
            <v>0</v>
          </cell>
          <cell r="AD280">
            <v>0</v>
          </cell>
          <cell r="AE280">
            <v>0</v>
          </cell>
          <cell r="AF280">
            <v>18978.912240425063</v>
          </cell>
          <cell r="AG280">
            <v>0</v>
          </cell>
          <cell r="AH280">
            <v>0</v>
          </cell>
          <cell r="AI280">
            <v>0</v>
          </cell>
          <cell r="AJ280" t="str">
            <v xml:space="preserve">DUPHALAC </v>
          </cell>
          <cell r="AK280" t="str">
            <v>OVATEL</v>
          </cell>
          <cell r="AL280">
            <v>0</v>
          </cell>
          <cell r="AM280">
            <v>0</v>
          </cell>
          <cell r="AN280">
            <v>0.25</v>
          </cell>
          <cell r="AO280">
            <v>3094.9500000000003</v>
          </cell>
          <cell r="AP280">
            <v>66.66</v>
          </cell>
          <cell r="AQ280">
            <v>0</v>
          </cell>
          <cell r="AR280">
            <v>0</v>
          </cell>
          <cell r="AS280">
            <v>3222.5</v>
          </cell>
          <cell r="AT280">
            <v>499.94999999999993</v>
          </cell>
          <cell r="AU280">
            <v>0</v>
          </cell>
          <cell r="AV280">
            <v>0</v>
          </cell>
          <cell r="AW280" t="str">
            <v>CREON</v>
          </cell>
          <cell r="AX280">
            <v>0</v>
          </cell>
          <cell r="AY280">
            <v>0</v>
          </cell>
          <cell r="AZ280">
            <v>0</v>
          </cell>
          <cell r="BA280">
            <v>5.0000000000000044E-2</v>
          </cell>
          <cell r="BB280">
            <v>2759.1875</v>
          </cell>
          <cell r="BC280">
            <v>0</v>
          </cell>
          <cell r="BD280">
            <v>0</v>
          </cell>
          <cell r="BE280">
            <v>0</v>
          </cell>
          <cell r="BF280">
            <v>3180.2550000000001</v>
          </cell>
          <cell r="BG280">
            <v>0</v>
          </cell>
          <cell r="BH280">
            <v>0</v>
          </cell>
          <cell r="BI280">
            <v>0</v>
          </cell>
          <cell r="BJ280">
            <v>72334.597500000003</v>
          </cell>
          <cell r="BK280">
            <v>78531.617240425068</v>
          </cell>
          <cell r="BL280" t="str">
            <v/>
          </cell>
          <cell r="BM280">
            <v>0.97</v>
          </cell>
          <cell r="BO280" t="str">
            <v>Staff</v>
          </cell>
          <cell r="BP280">
            <v>42011</v>
          </cell>
          <cell r="BQ280">
            <v>3</v>
          </cell>
          <cell r="BR280">
            <v>4</v>
          </cell>
          <cell r="BS280">
            <v>6</v>
          </cell>
          <cell r="BT280">
            <v>395525</v>
          </cell>
          <cell r="BU280">
            <v>1</v>
          </cell>
          <cell r="BW280">
            <v>1.042</v>
          </cell>
          <cell r="BX280">
            <v>0.61</v>
          </cell>
          <cell r="BY280">
            <v>0.84899999999999998</v>
          </cell>
          <cell r="BZ280">
            <v>0.86799999999999999</v>
          </cell>
          <cell r="CG280">
            <v>0.92</v>
          </cell>
          <cell r="CH280">
            <v>1</v>
          </cell>
          <cell r="CI280">
            <v>0.7</v>
          </cell>
          <cell r="CJ280">
            <v>0</v>
          </cell>
          <cell r="CK280">
            <v>1</v>
          </cell>
        </row>
        <row r="281">
          <cell r="A281" t="str">
            <v>67Q2</v>
          </cell>
          <cell r="B281" t="str">
            <v>Q2</v>
          </cell>
          <cell r="C281">
            <v>67</v>
          </cell>
          <cell r="D281" t="str">
            <v>Yerkin Nadiyam</v>
          </cell>
          <cell r="E281" t="str">
            <v>Medical Representative</v>
          </cell>
          <cell r="F281">
            <v>40787</v>
          </cell>
          <cell r="G281" t="str">
            <v/>
          </cell>
          <cell r="H281" t="str">
            <v/>
          </cell>
          <cell r="I281" t="str">
            <v>Line 1</v>
          </cell>
          <cell r="J281" t="str">
            <v>CREON</v>
          </cell>
          <cell r="K281" t="str">
            <v xml:space="preserve">DUPHALAC </v>
          </cell>
          <cell r="L281">
            <v>0</v>
          </cell>
          <cell r="M281">
            <v>0</v>
          </cell>
          <cell r="N281">
            <v>0.5</v>
          </cell>
          <cell r="O281">
            <v>399217.53</v>
          </cell>
          <cell r="P281">
            <v>153333</v>
          </cell>
          <cell r="Q281">
            <v>0</v>
          </cell>
          <cell r="R281">
            <v>0</v>
          </cell>
          <cell r="S281">
            <v>335734.28</v>
          </cell>
          <cell r="T281">
            <v>186923.4594124007</v>
          </cell>
          <cell r="U281">
            <v>0</v>
          </cell>
          <cell r="V281">
            <v>0</v>
          </cell>
          <cell r="W281" t="str">
            <v>HEPTRAL</v>
          </cell>
          <cell r="X281" t="str">
            <v xml:space="preserve">DUSPATALIN </v>
          </cell>
          <cell r="Y281">
            <v>0</v>
          </cell>
          <cell r="Z281">
            <v>0</v>
          </cell>
          <cell r="AA281">
            <v>0.35</v>
          </cell>
          <cell r="AB281">
            <v>331058.52</v>
          </cell>
          <cell r="AC281">
            <v>36404</v>
          </cell>
          <cell r="AD281">
            <v>0</v>
          </cell>
          <cell r="AE281">
            <v>0</v>
          </cell>
          <cell r="AF281">
            <v>356616</v>
          </cell>
          <cell r="AG281">
            <v>42750</v>
          </cell>
          <cell r="AH281">
            <v>0</v>
          </cell>
          <cell r="AI281">
            <v>0</v>
          </cell>
          <cell r="AJ281" t="str">
            <v>IRS 19</v>
          </cell>
          <cell r="AK281" t="str">
            <v>IMUDON</v>
          </cell>
          <cell r="AL281">
            <v>0</v>
          </cell>
          <cell r="AM281">
            <v>0</v>
          </cell>
          <cell r="AN281">
            <v>0.1</v>
          </cell>
          <cell r="AO281">
            <v>23592</v>
          </cell>
          <cell r="AP281">
            <v>34668</v>
          </cell>
          <cell r="AQ281">
            <v>0</v>
          </cell>
          <cell r="AR281">
            <v>0</v>
          </cell>
          <cell r="AS281">
            <v>21600</v>
          </cell>
          <cell r="AT281">
            <v>28248</v>
          </cell>
          <cell r="AU281">
            <v>0</v>
          </cell>
          <cell r="AV281">
            <v>0</v>
          </cell>
          <cell r="AW281" t="str">
            <v xml:space="preserve">GANATON </v>
          </cell>
          <cell r="AX281" t="str">
            <v>DUPHABEARS</v>
          </cell>
          <cell r="AY281">
            <v>0</v>
          </cell>
          <cell r="AZ281">
            <v>0</v>
          </cell>
          <cell r="BA281">
            <v>5.0000000000000017E-2</v>
          </cell>
          <cell r="BB281">
            <v>4266.2000000000007</v>
          </cell>
          <cell r="BC281">
            <v>1861.3999999999999</v>
          </cell>
          <cell r="BD281">
            <v>0</v>
          </cell>
          <cell r="BE281">
            <v>0</v>
          </cell>
          <cell r="BF281">
            <v>7470</v>
          </cell>
          <cell r="BG281">
            <v>3279.9999999999995</v>
          </cell>
          <cell r="BH281">
            <v>0</v>
          </cell>
          <cell r="BI281">
            <v>0</v>
          </cell>
          <cell r="BJ281">
            <v>984400.65</v>
          </cell>
          <cell r="BK281">
            <v>982621.73941240076</v>
          </cell>
          <cell r="BL281" t="str">
            <v/>
          </cell>
          <cell r="BM281">
            <v>0.96</v>
          </cell>
          <cell r="BO281" t="str">
            <v>Staff</v>
          </cell>
          <cell r="BP281">
            <v>40878</v>
          </cell>
          <cell r="BQ281">
            <v>3</v>
          </cell>
          <cell r="BR281">
            <v>4</v>
          </cell>
          <cell r="BS281">
            <v>6</v>
          </cell>
          <cell r="BT281">
            <v>395525</v>
          </cell>
          <cell r="BU281">
            <v>1</v>
          </cell>
          <cell r="BW281">
            <v>1.0569999999999999</v>
          </cell>
          <cell r="BX281">
            <v>0.92</v>
          </cell>
          <cell r="BY281">
            <v>1.169</v>
          </cell>
          <cell r="BZ281">
            <v>0.56999999999999995</v>
          </cell>
          <cell r="CG281">
            <v>1</v>
          </cell>
          <cell r="CH281">
            <v>1</v>
          </cell>
          <cell r="CI281">
            <v>1</v>
          </cell>
          <cell r="CJ281">
            <v>0</v>
          </cell>
          <cell r="CK281">
            <v>1</v>
          </cell>
        </row>
        <row r="282">
          <cell r="A282" t="str">
            <v>68Q2</v>
          </cell>
          <cell r="B282" t="str">
            <v>Q2</v>
          </cell>
          <cell r="C282">
            <v>68</v>
          </cell>
          <cell r="D282" t="str">
            <v>Yesbolova Gulnur</v>
          </cell>
          <cell r="E282" t="str">
            <v>Medical Representative</v>
          </cell>
          <cell r="F282">
            <v>40695</v>
          </cell>
          <cell r="G282" t="str">
            <v/>
          </cell>
          <cell r="H282" t="str">
            <v/>
          </cell>
          <cell r="I282" t="str">
            <v>Line 1</v>
          </cell>
          <cell r="J282" t="str">
            <v>CREON</v>
          </cell>
          <cell r="K282" t="str">
            <v xml:space="preserve">DUPHALAC </v>
          </cell>
          <cell r="L282">
            <v>0</v>
          </cell>
          <cell r="M282">
            <v>0</v>
          </cell>
          <cell r="N282">
            <v>0.5</v>
          </cell>
          <cell r="O282">
            <v>399217.53</v>
          </cell>
          <cell r="P282">
            <v>153333</v>
          </cell>
          <cell r="Q282">
            <v>0</v>
          </cell>
          <cell r="R282">
            <v>0</v>
          </cell>
          <cell r="S282">
            <v>335734.28</v>
          </cell>
          <cell r="T282">
            <v>186923.4594124007</v>
          </cell>
          <cell r="U282">
            <v>0</v>
          </cell>
          <cell r="V282">
            <v>0</v>
          </cell>
          <cell r="W282" t="str">
            <v>HEPTRAL</v>
          </cell>
          <cell r="X282" t="str">
            <v xml:space="preserve">DUSPATALIN </v>
          </cell>
          <cell r="Y282">
            <v>0</v>
          </cell>
          <cell r="Z282">
            <v>0</v>
          </cell>
          <cell r="AA282">
            <v>0.35</v>
          </cell>
          <cell r="AB282">
            <v>331058.52</v>
          </cell>
          <cell r="AC282">
            <v>36404</v>
          </cell>
          <cell r="AD282">
            <v>0</v>
          </cell>
          <cell r="AE282">
            <v>0</v>
          </cell>
          <cell r="AF282">
            <v>356616</v>
          </cell>
          <cell r="AG282">
            <v>42750</v>
          </cell>
          <cell r="AH282">
            <v>0</v>
          </cell>
          <cell r="AI282">
            <v>0</v>
          </cell>
          <cell r="AJ282" t="str">
            <v>IRS 19</v>
          </cell>
          <cell r="AK282" t="str">
            <v>IMUDON</v>
          </cell>
          <cell r="AL282">
            <v>0</v>
          </cell>
          <cell r="AM282">
            <v>0</v>
          </cell>
          <cell r="AN282">
            <v>0.1</v>
          </cell>
          <cell r="AO282">
            <v>23592</v>
          </cell>
          <cell r="AP282">
            <v>34668</v>
          </cell>
          <cell r="AQ282">
            <v>0</v>
          </cell>
          <cell r="AR282">
            <v>0</v>
          </cell>
          <cell r="AS282">
            <v>21600</v>
          </cell>
          <cell r="AT282">
            <v>28248</v>
          </cell>
          <cell r="AU282">
            <v>0</v>
          </cell>
          <cell r="AV282">
            <v>0</v>
          </cell>
          <cell r="AW282" t="str">
            <v xml:space="preserve">GANATON </v>
          </cell>
          <cell r="AX282" t="str">
            <v>DUPHABEARS</v>
          </cell>
          <cell r="AY282">
            <v>0</v>
          </cell>
          <cell r="AZ282">
            <v>0</v>
          </cell>
          <cell r="BA282">
            <v>5.0000000000000017E-2</v>
          </cell>
          <cell r="BB282">
            <v>4266.2000000000007</v>
          </cell>
          <cell r="BC282">
            <v>1861.3999999999999</v>
          </cell>
          <cell r="BD282">
            <v>0</v>
          </cell>
          <cell r="BE282">
            <v>0</v>
          </cell>
          <cell r="BF282">
            <v>7470</v>
          </cell>
          <cell r="BG282">
            <v>3279.9999999999995</v>
          </cell>
          <cell r="BH282">
            <v>0</v>
          </cell>
          <cell r="BI282">
            <v>0</v>
          </cell>
          <cell r="BJ282">
            <v>984400.65</v>
          </cell>
          <cell r="BK282">
            <v>982621.73941240076</v>
          </cell>
          <cell r="BL282" t="str">
            <v/>
          </cell>
          <cell r="BM282">
            <v>0.99</v>
          </cell>
          <cell r="BO282" t="str">
            <v>Staff</v>
          </cell>
          <cell r="BP282">
            <v>40787</v>
          </cell>
          <cell r="BQ282">
            <v>3</v>
          </cell>
          <cell r="BR282">
            <v>4</v>
          </cell>
          <cell r="BS282">
            <v>6</v>
          </cell>
          <cell r="BT282">
            <v>395525</v>
          </cell>
          <cell r="BU282">
            <v>1</v>
          </cell>
          <cell r="BW282">
            <v>1.0569999999999999</v>
          </cell>
          <cell r="BX282">
            <v>0.92</v>
          </cell>
          <cell r="BY282">
            <v>1.169</v>
          </cell>
          <cell r="BZ282">
            <v>0.56999999999999995</v>
          </cell>
          <cell r="CG282">
            <v>1</v>
          </cell>
          <cell r="CH282">
            <v>1</v>
          </cell>
          <cell r="CI282">
            <v>1</v>
          </cell>
          <cell r="CJ282">
            <v>0</v>
          </cell>
          <cell r="CK282">
            <v>1</v>
          </cell>
        </row>
        <row r="283">
          <cell r="A283" t="str">
            <v>69Q2</v>
          </cell>
          <cell r="B283" t="str">
            <v>Q2</v>
          </cell>
          <cell r="C283">
            <v>69</v>
          </cell>
          <cell r="D283" t="str">
            <v>Yevseyenko Larissa</v>
          </cell>
          <cell r="E283" t="str">
            <v>Regional Manager</v>
          </cell>
          <cell r="F283">
            <v>40680</v>
          </cell>
          <cell r="G283" t="str">
            <v/>
          </cell>
          <cell r="H283" t="str">
            <v/>
          </cell>
          <cell r="I283" t="str">
            <v>Regional Manager-1</v>
          </cell>
          <cell r="J283" t="str">
            <v>GASTRO</v>
          </cell>
          <cell r="K283">
            <v>0</v>
          </cell>
          <cell r="L283">
            <v>0</v>
          </cell>
          <cell r="M283">
            <v>0</v>
          </cell>
          <cell r="N283">
            <v>0.5</v>
          </cell>
          <cell r="O283">
            <v>391520.08200000005</v>
          </cell>
          <cell r="P283">
            <v>0</v>
          </cell>
          <cell r="Q283">
            <v>0</v>
          </cell>
          <cell r="R283">
            <v>0</v>
          </cell>
          <cell r="S283">
            <v>373691.06292039313</v>
          </cell>
          <cell r="T283">
            <v>0</v>
          </cell>
          <cell r="U283">
            <v>0</v>
          </cell>
          <cell r="V283">
            <v>0</v>
          </cell>
          <cell r="W283" t="str">
            <v>GYNECOLOGY</v>
          </cell>
          <cell r="X283">
            <v>0</v>
          </cell>
          <cell r="Y283">
            <v>0</v>
          </cell>
          <cell r="Z283">
            <v>0</v>
          </cell>
          <cell r="AA283">
            <v>0.25</v>
          </cell>
          <cell r="AB283">
            <v>139810.06000000003</v>
          </cell>
          <cell r="AC283">
            <v>0</v>
          </cell>
          <cell r="AD283">
            <v>0</v>
          </cell>
          <cell r="AE283">
            <v>0</v>
          </cell>
          <cell r="AF283">
            <v>119479.72961301572</v>
          </cell>
          <cell r="AG283">
            <v>0</v>
          </cell>
          <cell r="AH283">
            <v>0</v>
          </cell>
          <cell r="AI283">
            <v>0</v>
          </cell>
          <cell r="AJ283" t="str">
            <v>CARDIO-NEURO</v>
          </cell>
          <cell r="AK283">
            <v>0</v>
          </cell>
          <cell r="AL283">
            <v>0</v>
          </cell>
          <cell r="AM283">
            <v>0</v>
          </cell>
          <cell r="AN283">
            <v>0.2</v>
          </cell>
          <cell r="AO283">
            <v>189688.97708000004</v>
          </cell>
          <cell r="AP283">
            <v>0</v>
          </cell>
          <cell r="AQ283">
            <v>0</v>
          </cell>
          <cell r="AR283">
            <v>0</v>
          </cell>
          <cell r="AS283">
            <v>170410.24944236371</v>
          </cell>
          <cell r="AT283">
            <v>0</v>
          </cell>
          <cell r="AU283">
            <v>0</v>
          </cell>
          <cell r="AV283">
            <v>0</v>
          </cell>
          <cell r="AW283" t="str">
            <v>IMMUNOLOGY</v>
          </cell>
          <cell r="AX283">
            <v>0</v>
          </cell>
          <cell r="AY283">
            <v>0</v>
          </cell>
          <cell r="AZ283">
            <v>0</v>
          </cell>
          <cell r="BA283">
            <v>4.9999999999999989E-2</v>
          </cell>
          <cell r="BB283">
            <v>20484</v>
          </cell>
          <cell r="BC283">
            <v>0</v>
          </cell>
          <cell r="BD283">
            <v>0</v>
          </cell>
          <cell r="BE283">
            <v>0</v>
          </cell>
          <cell r="BF283">
            <v>16218.057250284573</v>
          </cell>
          <cell r="BG283">
            <v>0</v>
          </cell>
          <cell r="BH283">
            <v>0</v>
          </cell>
          <cell r="BI283">
            <v>0</v>
          </cell>
          <cell r="BJ283">
            <v>741503.11908000009</v>
          </cell>
          <cell r="BK283">
            <v>679799.09922605718</v>
          </cell>
          <cell r="BL283">
            <v>0.82804232804232802</v>
          </cell>
          <cell r="BM283">
            <v>0.95</v>
          </cell>
          <cell r="BO283" t="str">
            <v>Staff</v>
          </cell>
          <cell r="BP283">
            <v>40772</v>
          </cell>
          <cell r="BQ283">
            <v>3</v>
          </cell>
          <cell r="BR283">
            <v>4</v>
          </cell>
          <cell r="BS283">
            <v>6</v>
          </cell>
          <cell r="BT283">
            <v>726000</v>
          </cell>
          <cell r="BU283">
            <v>1</v>
          </cell>
          <cell r="BW283">
            <v>1.048</v>
          </cell>
          <cell r="BX283">
            <v>1.17</v>
          </cell>
          <cell r="BY283">
            <v>1.113</v>
          </cell>
          <cell r="BZ283">
            <v>1.2629999999999999</v>
          </cell>
          <cell r="CG283">
            <v>1.0900000000000001</v>
          </cell>
          <cell r="CH283">
            <v>1</v>
          </cell>
          <cell r="CI283">
            <v>1.9</v>
          </cell>
          <cell r="CJ283">
            <v>1</v>
          </cell>
          <cell r="CK283">
            <v>1</v>
          </cell>
        </row>
        <row r="284">
          <cell r="A284" t="str">
            <v>70Q2</v>
          </cell>
          <cell r="B284" t="str">
            <v>Q2</v>
          </cell>
          <cell r="C284">
            <v>70</v>
          </cell>
          <cell r="D284" t="str">
            <v>Yu Vitaliya</v>
          </cell>
          <cell r="E284" t="str">
            <v>Medical Representative</v>
          </cell>
          <cell r="F284">
            <v>42186</v>
          </cell>
          <cell r="G284" t="str">
            <v/>
          </cell>
          <cell r="H284" t="str">
            <v/>
          </cell>
          <cell r="I284" t="str">
            <v>Line 2 (big cities)</v>
          </cell>
          <cell r="J284" t="str">
            <v>CREON</v>
          </cell>
          <cell r="K284" t="str">
            <v xml:space="preserve">DUPHALAC </v>
          </cell>
          <cell r="L284">
            <v>0</v>
          </cell>
          <cell r="M284">
            <v>0</v>
          </cell>
          <cell r="N284">
            <v>0.1</v>
          </cell>
          <cell r="O284">
            <v>19960.876500000002</v>
          </cell>
          <cell r="P284">
            <v>7666.6500000000005</v>
          </cell>
          <cell r="Q284">
            <v>0</v>
          </cell>
          <cell r="R284">
            <v>0</v>
          </cell>
          <cell r="S284">
            <v>16786.714000000004</v>
          </cell>
          <cell r="T284">
            <v>9346.1729706200349</v>
          </cell>
          <cell r="U284">
            <v>0</v>
          </cell>
          <cell r="V284">
            <v>0</v>
          </cell>
          <cell r="W284" t="str">
            <v>PHYSIOTENS</v>
          </cell>
          <cell r="X284" t="str">
            <v>TRICOR /LIPANTHYL</v>
          </cell>
          <cell r="Y284" t="str">
            <v>OMACOR</v>
          </cell>
          <cell r="Z284">
            <v>0</v>
          </cell>
          <cell r="AA284">
            <v>0.3</v>
          </cell>
          <cell r="AB284">
            <v>290233</v>
          </cell>
          <cell r="AC284">
            <v>10360.49</v>
          </cell>
          <cell r="AD284">
            <v>6665</v>
          </cell>
          <cell r="AE284">
            <v>0</v>
          </cell>
          <cell r="AF284">
            <v>265895</v>
          </cell>
          <cell r="AG284">
            <v>9711.92</v>
          </cell>
          <cell r="AH284">
            <v>7440</v>
          </cell>
          <cell r="AI284">
            <v>0</v>
          </cell>
          <cell r="AJ284" t="str">
            <v>HEPTRAL</v>
          </cell>
          <cell r="AK284">
            <v>0</v>
          </cell>
          <cell r="AL284">
            <v>0</v>
          </cell>
          <cell r="AM284">
            <v>0</v>
          </cell>
          <cell r="AN284">
            <v>0.3</v>
          </cell>
          <cell r="AO284">
            <v>331058.52</v>
          </cell>
          <cell r="AP284">
            <v>0</v>
          </cell>
          <cell r="AQ284">
            <v>0</v>
          </cell>
          <cell r="AR284">
            <v>0</v>
          </cell>
          <cell r="AS284">
            <v>356616</v>
          </cell>
          <cell r="AT284">
            <v>0</v>
          </cell>
          <cell r="AU284">
            <v>0</v>
          </cell>
          <cell r="AV284">
            <v>0</v>
          </cell>
          <cell r="AW284" t="str">
            <v>BETASERC</v>
          </cell>
          <cell r="AX284">
            <v>0</v>
          </cell>
          <cell r="AY284">
            <v>0</v>
          </cell>
          <cell r="AZ284">
            <v>0</v>
          </cell>
          <cell r="BA284">
            <v>0.3000000000000001</v>
          </cell>
          <cell r="BB284">
            <v>95677.040000000008</v>
          </cell>
          <cell r="BC284">
            <v>0</v>
          </cell>
          <cell r="BD284">
            <v>0</v>
          </cell>
          <cell r="BE284">
            <v>0</v>
          </cell>
          <cell r="BF284">
            <v>98361.423413493438</v>
          </cell>
          <cell r="BG284">
            <v>0</v>
          </cell>
          <cell r="BH284">
            <v>0</v>
          </cell>
          <cell r="BI284">
            <v>0</v>
          </cell>
          <cell r="BJ284">
            <v>761621.57649999997</v>
          </cell>
          <cell r="BK284">
            <v>764157.2303841135</v>
          </cell>
          <cell r="BL284" t="str">
            <v/>
          </cell>
          <cell r="BM284">
            <v>0.97</v>
          </cell>
          <cell r="BO284" t="str">
            <v>Staff</v>
          </cell>
          <cell r="BP284">
            <v>42278</v>
          </cell>
          <cell r="BQ284">
            <v>3</v>
          </cell>
          <cell r="BR284">
            <v>4</v>
          </cell>
          <cell r="BS284">
            <v>6</v>
          </cell>
          <cell r="BT284">
            <v>395525</v>
          </cell>
          <cell r="BU284">
            <v>1</v>
          </cell>
          <cell r="BW284">
            <v>1.0569999999999999</v>
          </cell>
          <cell r="BX284">
            <v>1.0860000000000001</v>
          </cell>
          <cell r="BY284">
            <v>0.92800000000000005</v>
          </cell>
          <cell r="BZ284">
            <v>0.97299999999999998</v>
          </cell>
          <cell r="CG284">
            <v>1</v>
          </cell>
          <cell r="CH284">
            <v>1</v>
          </cell>
          <cell r="CI284">
            <v>1</v>
          </cell>
          <cell r="CJ284">
            <v>0</v>
          </cell>
          <cell r="CK284">
            <v>1</v>
          </cell>
        </row>
        <row r="285">
          <cell r="A285" t="str">
            <v>71Q2</v>
          </cell>
          <cell r="B285" t="str">
            <v>Q2</v>
          </cell>
          <cell r="C285">
            <v>71</v>
          </cell>
          <cell r="D285" t="str">
            <v>Zhanabekova Kamshat</v>
          </cell>
          <cell r="E285" t="str">
            <v>Medical Representative</v>
          </cell>
          <cell r="F285">
            <v>40680</v>
          </cell>
          <cell r="G285" t="str">
            <v/>
          </cell>
          <cell r="H285" t="str">
            <v/>
          </cell>
          <cell r="I285" t="str">
            <v>Line 1</v>
          </cell>
          <cell r="J285" t="str">
            <v>CREON</v>
          </cell>
          <cell r="K285" t="str">
            <v xml:space="preserve">DUPHALAC </v>
          </cell>
          <cell r="L285">
            <v>0</v>
          </cell>
          <cell r="M285">
            <v>0</v>
          </cell>
          <cell r="N285">
            <v>0.5</v>
          </cell>
          <cell r="O285">
            <v>53455.569999999992</v>
          </cell>
          <cell r="P285">
            <v>23424.5</v>
          </cell>
          <cell r="Q285">
            <v>0</v>
          </cell>
          <cell r="R285">
            <v>0</v>
          </cell>
          <cell r="S285">
            <v>48430.297162271556</v>
          </cell>
          <cell r="T285">
            <v>23134.628955485132</v>
          </cell>
          <cell r="U285">
            <v>0</v>
          </cell>
          <cell r="V285">
            <v>0</v>
          </cell>
          <cell r="W285" t="str">
            <v>HEPTRAL</v>
          </cell>
          <cell r="X285" t="str">
            <v xml:space="preserve">DUSPATALIN </v>
          </cell>
          <cell r="Y285">
            <v>0</v>
          </cell>
          <cell r="Z285">
            <v>0</v>
          </cell>
          <cell r="AA285">
            <v>0.35</v>
          </cell>
          <cell r="AB285">
            <v>23279.100000000002</v>
          </cell>
          <cell r="AC285">
            <v>9728</v>
          </cell>
          <cell r="AD285">
            <v>0</v>
          </cell>
          <cell r="AE285">
            <v>0</v>
          </cell>
          <cell r="AF285">
            <v>22783.800000000003</v>
          </cell>
          <cell r="AG285">
            <v>10604.787291246641</v>
          </cell>
          <cell r="AH285">
            <v>0</v>
          </cell>
          <cell r="AI285">
            <v>0</v>
          </cell>
          <cell r="AJ285" t="str">
            <v>IRS 19</v>
          </cell>
          <cell r="AK285" t="str">
            <v>IMUDON</v>
          </cell>
          <cell r="AL285">
            <v>0</v>
          </cell>
          <cell r="AM285">
            <v>0</v>
          </cell>
          <cell r="AN285">
            <v>0.1</v>
          </cell>
          <cell r="AO285">
            <v>2484</v>
          </cell>
          <cell r="AP285">
            <v>3624</v>
          </cell>
          <cell r="AQ285">
            <v>0</v>
          </cell>
          <cell r="AR285">
            <v>0</v>
          </cell>
          <cell r="AS285">
            <v>2880</v>
          </cell>
          <cell r="AT285">
            <v>2520</v>
          </cell>
          <cell r="AU285">
            <v>0</v>
          </cell>
          <cell r="AV285">
            <v>0</v>
          </cell>
          <cell r="AW285" t="str">
            <v xml:space="preserve">GANATON </v>
          </cell>
          <cell r="AX285" t="str">
            <v>DUPHABEARS</v>
          </cell>
          <cell r="AY285">
            <v>0</v>
          </cell>
          <cell r="AZ285">
            <v>0</v>
          </cell>
          <cell r="BA285">
            <v>5.0000000000000017E-2</v>
          </cell>
          <cell r="BB285">
            <v>1178.6000000000001</v>
          </cell>
          <cell r="BC285">
            <v>487.9</v>
          </cell>
          <cell r="BD285">
            <v>0</v>
          </cell>
          <cell r="BE285">
            <v>0</v>
          </cell>
          <cell r="BF285">
            <v>2241.0000000000005</v>
          </cell>
          <cell r="BG285">
            <v>729.8</v>
          </cell>
          <cell r="BH285">
            <v>0</v>
          </cell>
          <cell r="BI285">
            <v>0</v>
          </cell>
          <cell r="BJ285">
            <v>117661.67</v>
          </cell>
          <cell r="BK285">
            <v>113324.31340900334</v>
          </cell>
          <cell r="BL285" t="str">
            <v/>
          </cell>
          <cell r="BM285">
            <v>0.97</v>
          </cell>
          <cell r="BO285" t="str">
            <v>Staff</v>
          </cell>
          <cell r="BP285">
            <v>40772</v>
          </cell>
          <cell r="BQ285">
            <v>3</v>
          </cell>
          <cell r="BR285">
            <v>4</v>
          </cell>
          <cell r="BS285">
            <v>6</v>
          </cell>
          <cell r="BT285">
            <v>395525</v>
          </cell>
          <cell r="BU285">
            <v>1</v>
          </cell>
          <cell r="BW285">
            <v>1.0740000000000001</v>
          </cell>
          <cell r="BX285">
            <v>0.98899999999999999</v>
          </cell>
          <cell r="BY285">
            <v>1.131</v>
          </cell>
          <cell r="BZ285">
            <v>0.56100000000000005</v>
          </cell>
          <cell r="CG285">
            <v>1.04</v>
          </cell>
          <cell r="CH285">
            <v>1</v>
          </cell>
          <cell r="CI285">
            <v>1.4</v>
          </cell>
          <cell r="CJ285">
            <v>0</v>
          </cell>
          <cell r="CK285">
            <v>1</v>
          </cell>
        </row>
        <row r="286">
          <cell r="A286" t="str">
            <v>72Q2</v>
          </cell>
          <cell r="B286" t="str">
            <v>Q2</v>
          </cell>
          <cell r="C286">
            <v>72</v>
          </cell>
          <cell r="D286" t="str">
            <v>Zhazylbekova Aitolkyn</v>
          </cell>
          <cell r="E286" t="str">
            <v>Medical Representative</v>
          </cell>
          <cell r="F286">
            <v>41353</v>
          </cell>
          <cell r="G286" t="str">
            <v/>
          </cell>
          <cell r="H286" t="str">
            <v/>
          </cell>
          <cell r="I286" t="str">
            <v>Line 3 (big cities)</v>
          </cell>
          <cell r="J286" t="str">
            <v xml:space="preserve">DUPHASTON </v>
          </cell>
          <cell r="K286">
            <v>0</v>
          </cell>
          <cell r="L286">
            <v>0</v>
          </cell>
          <cell r="M286">
            <v>0</v>
          </cell>
          <cell r="N286">
            <v>0.45</v>
          </cell>
          <cell r="O286">
            <v>298269</v>
          </cell>
          <cell r="P286">
            <v>0</v>
          </cell>
          <cell r="Q286">
            <v>0</v>
          </cell>
          <cell r="R286">
            <v>0</v>
          </cell>
          <cell r="S286">
            <v>243000</v>
          </cell>
          <cell r="T286">
            <v>0</v>
          </cell>
          <cell r="U286">
            <v>0</v>
          </cell>
          <cell r="V286">
            <v>0</v>
          </cell>
          <cell r="W286" t="str">
            <v>FEMOSTON</v>
          </cell>
          <cell r="X286">
            <v>0</v>
          </cell>
          <cell r="Y286">
            <v>0</v>
          </cell>
          <cell r="Z286">
            <v>0</v>
          </cell>
          <cell r="AA286">
            <v>0.25</v>
          </cell>
          <cell r="AB286">
            <v>122728</v>
          </cell>
          <cell r="AC286">
            <v>0</v>
          </cell>
          <cell r="AD286">
            <v>0</v>
          </cell>
          <cell r="AE286">
            <v>0</v>
          </cell>
          <cell r="AF286">
            <v>129794.19232176128</v>
          </cell>
          <cell r="AG286">
            <v>0</v>
          </cell>
          <cell r="AH286">
            <v>0</v>
          </cell>
          <cell r="AI286">
            <v>0</v>
          </cell>
          <cell r="AJ286" t="str">
            <v xml:space="preserve">DUPHALAC </v>
          </cell>
          <cell r="AK286" t="str">
            <v>OVATEL</v>
          </cell>
          <cell r="AL286">
            <v>0</v>
          </cell>
          <cell r="AM286">
            <v>0</v>
          </cell>
          <cell r="AN286">
            <v>0.25</v>
          </cell>
          <cell r="AO286">
            <v>15333.300000000001</v>
          </cell>
          <cell r="AP286">
            <v>266.64</v>
          </cell>
          <cell r="AQ286">
            <v>0</v>
          </cell>
          <cell r="AR286">
            <v>0</v>
          </cell>
          <cell r="AS286">
            <v>18692.34594124007</v>
          </cell>
          <cell r="AT286">
            <v>1499.85</v>
          </cell>
          <cell r="AU286">
            <v>0</v>
          </cell>
          <cell r="AV286">
            <v>0</v>
          </cell>
          <cell r="AW286" t="str">
            <v>CREON</v>
          </cell>
          <cell r="AX286">
            <v>0</v>
          </cell>
          <cell r="AY286">
            <v>0</v>
          </cell>
          <cell r="AZ286">
            <v>0</v>
          </cell>
          <cell r="BA286">
            <v>5.0000000000000044E-2</v>
          </cell>
          <cell r="BB286">
            <v>19960.876500000002</v>
          </cell>
          <cell r="BC286">
            <v>0</v>
          </cell>
          <cell r="BD286">
            <v>0</v>
          </cell>
          <cell r="BE286">
            <v>0</v>
          </cell>
          <cell r="BF286">
            <v>16786.714000000004</v>
          </cell>
          <cell r="BG286">
            <v>0</v>
          </cell>
          <cell r="BH286">
            <v>0</v>
          </cell>
          <cell r="BI286">
            <v>0</v>
          </cell>
          <cell r="BJ286">
            <v>456557.81650000002</v>
          </cell>
          <cell r="BK286">
            <v>409773.10226300132</v>
          </cell>
          <cell r="BL286" t="str">
            <v/>
          </cell>
          <cell r="BM286">
            <v>0.98</v>
          </cell>
          <cell r="BO286" t="str">
            <v>Staff</v>
          </cell>
          <cell r="BP286">
            <v>41445</v>
          </cell>
          <cell r="BQ286">
            <v>3</v>
          </cell>
          <cell r="BR286">
            <v>4</v>
          </cell>
          <cell r="BS286">
            <v>6</v>
          </cell>
          <cell r="BT286">
            <v>395525</v>
          </cell>
          <cell r="BU286">
            <v>1</v>
          </cell>
          <cell r="BW286">
            <v>1.2270000000000001</v>
          </cell>
          <cell r="BX286">
            <v>0.94599999999999995</v>
          </cell>
          <cell r="BY286">
            <v>0.77300000000000002</v>
          </cell>
          <cell r="BZ286">
            <v>1.1890000000000001</v>
          </cell>
          <cell r="CG286">
            <v>1.1100000000000001</v>
          </cell>
          <cell r="CH286">
            <v>1</v>
          </cell>
          <cell r="CI286">
            <v>2.0499999999999998</v>
          </cell>
          <cell r="CJ286">
            <v>0</v>
          </cell>
          <cell r="CK286">
            <v>1</v>
          </cell>
        </row>
        <row r="287">
          <cell r="A287" t="str">
            <v>73Q2</v>
          </cell>
          <cell r="B287" t="str">
            <v>Q2</v>
          </cell>
          <cell r="C287">
            <v>73</v>
          </cell>
          <cell r="D287" t="str">
            <v>Zhmailova Yelena</v>
          </cell>
          <cell r="E287" t="str">
            <v>Regional Manager</v>
          </cell>
          <cell r="F287">
            <v>40676</v>
          </cell>
          <cell r="G287" t="str">
            <v/>
          </cell>
          <cell r="H287" t="str">
            <v/>
          </cell>
          <cell r="I287" t="str">
            <v>Regional Manager-1</v>
          </cell>
          <cell r="J287" t="str">
            <v>GASTRO</v>
          </cell>
          <cell r="K287">
            <v>0</v>
          </cell>
          <cell r="L287">
            <v>0</v>
          </cell>
          <cell r="M287">
            <v>0</v>
          </cell>
          <cell r="N287">
            <v>0.5</v>
          </cell>
          <cell r="O287">
            <v>280547.42</v>
          </cell>
          <cell r="P287">
            <v>0</v>
          </cell>
          <cell r="Q287">
            <v>0</v>
          </cell>
          <cell r="R287">
            <v>0</v>
          </cell>
          <cell r="S287">
            <v>281406.00319623738</v>
          </cell>
          <cell r="T287">
            <v>0</v>
          </cell>
          <cell r="U287">
            <v>0</v>
          </cell>
          <cell r="V287">
            <v>0</v>
          </cell>
          <cell r="W287" t="str">
            <v>GYNECOLOGY</v>
          </cell>
          <cell r="X287">
            <v>0</v>
          </cell>
          <cell r="Y287">
            <v>0</v>
          </cell>
          <cell r="Z287">
            <v>0</v>
          </cell>
          <cell r="AA287">
            <v>0.25</v>
          </cell>
          <cell r="AB287">
            <v>111311.66</v>
          </cell>
          <cell r="AC287">
            <v>0</v>
          </cell>
          <cell r="AD287">
            <v>0</v>
          </cell>
          <cell r="AE287">
            <v>0</v>
          </cell>
          <cell r="AF287">
            <v>118863.92214859405</v>
          </cell>
          <cell r="AG287">
            <v>0</v>
          </cell>
          <cell r="AH287">
            <v>0</v>
          </cell>
          <cell r="AI287">
            <v>0</v>
          </cell>
          <cell r="AJ287" t="str">
            <v>CARDIO-NEURO</v>
          </cell>
          <cell r="AK287">
            <v>0</v>
          </cell>
          <cell r="AL287">
            <v>0</v>
          </cell>
          <cell r="AM287">
            <v>0</v>
          </cell>
          <cell r="AN287">
            <v>0.2</v>
          </cell>
          <cell r="AO287">
            <v>256203.74000000002</v>
          </cell>
          <cell r="AP287">
            <v>0</v>
          </cell>
          <cell r="AQ287">
            <v>0</v>
          </cell>
          <cell r="AR287">
            <v>0</v>
          </cell>
          <cell r="AS287">
            <v>271311.65488531406</v>
          </cell>
          <cell r="AT287">
            <v>0</v>
          </cell>
          <cell r="AU287">
            <v>0</v>
          </cell>
          <cell r="AV287">
            <v>0</v>
          </cell>
          <cell r="AW287" t="str">
            <v>IMMUNOLOGY</v>
          </cell>
          <cell r="AX287">
            <v>0</v>
          </cell>
          <cell r="AY287">
            <v>0</v>
          </cell>
          <cell r="AZ287">
            <v>0</v>
          </cell>
          <cell r="BA287">
            <v>4.9999999999999989E-2</v>
          </cell>
          <cell r="BB287">
            <v>21132</v>
          </cell>
          <cell r="BC287">
            <v>0</v>
          </cell>
          <cell r="BD287">
            <v>0</v>
          </cell>
          <cell r="BE287">
            <v>0</v>
          </cell>
          <cell r="BF287">
            <v>19320</v>
          </cell>
          <cell r="BG287">
            <v>0</v>
          </cell>
          <cell r="BH287">
            <v>0</v>
          </cell>
          <cell r="BI287">
            <v>0</v>
          </cell>
          <cell r="BJ287">
            <v>669194.81999999995</v>
          </cell>
          <cell r="BK287">
            <v>690901.58023014548</v>
          </cell>
          <cell r="BL287">
            <v>0.75555555555555554</v>
          </cell>
          <cell r="BM287">
            <v>0.98</v>
          </cell>
          <cell r="BO287" t="str">
            <v>Staff</v>
          </cell>
          <cell r="BP287">
            <v>40768</v>
          </cell>
          <cell r="BQ287">
            <v>3</v>
          </cell>
          <cell r="BR287">
            <v>4</v>
          </cell>
          <cell r="BS287">
            <v>6</v>
          </cell>
          <cell r="BT287">
            <v>726000</v>
          </cell>
          <cell r="BU287">
            <v>1</v>
          </cell>
          <cell r="BW287">
            <v>0.997</v>
          </cell>
          <cell r="BX287">
            <v>0.93600000000000005</v>
          </cell>
          <cell r="BY287">
            <v>0.94399999999999995</v>
          </cell>
          <cell r="BZ287">
            <v>1.0940000000000001</v>
          </cell>
          <cell r="CG287">
            <v>0.97</v>
          </cell>
          <cell r="CH287">
            <v>1</v>
          </cell>
          <cell r="CI287">
            <v>0.85</v>
          </cell>
          <cell r="CJ287">
            <v>1</v>
          </cell>
          <cell r="CK287">
            <v>1</v>
          </cell>
        </row>
        <row r="288">
          <cell r="A288" t="str">
            <v>74Q2</v>
          </cell>
          <cell r="B288" t="str">
            <v>Q2</v>
          </cell>
          <cell r="C288">
            <v>74</v>
          </cell>
          <cell r="D288" t="str">
            <v>Kaderov Nursultan</v>
          </cell>
          <cell r="E288" t="str">
            <v>Medical Representative</v>
          </cell>
          <cell r="F288">
            <v>42705</v>
          </cell>
          <cell r="G288" t="str">
            <v/>
          </cell>
          <cell r="H288" t="str">
            <v/>
          </cell>
          <cell r="I288" t="str">
            <v>Line 2</v>
          </cell>
          <cell r="J288" t="str">
            <v xml:space="preserve">DUPHASTON </v>
          </cell>
          <cell r="K288" t="str">
            <v>FEMOSTON</v>
          </cell>
          <cell r="L288">
            <v>0</v>
          </cell>
          <cell r="M288">
            <v>0</v>
          </cell>
          <cell r="N288">
            <v>0.3</v>
          </cell>
          <cell r="O288">
            <v>36612</v>
          </cell>
          <cell r="P288">
            <v>9674.3999999999978</v>
          </cell>
          <cell r="Q288">
            <v>0</v>
          </cell>
          <cell r="R288">
            <v>0</v>
          </cell>
          <cell r="S288">
            <v>24902.896047893279</v>
          </cell>
          <cell r="T288">
            <v>8321.8900830978819</v>
          </cell>
          <cell r="U288">
            <v>0</v>
          </cell>
          <cell r="V288">
            <v>0</v>
          </cell>
          <cell r="W288" t="str">
            <v>PHYSIOTENS</v>
          </cell>
          <cell r="X288" t="str">
            <v>TRICOR /LIPANTHYL</v>
          </cell>
          <cell r="Y288" t="str">
            <v>OMACOR</v>
          </cell>
          <cell r="Z288">
            <v>0</v>
          </cell>
          <cell r="AA288">
            <v>0.25</v>
          </cell>
          <cell r="AB288">
            <v>48572</v>
          </cell>
          <cell r="AC288">
            <v>299.33999999999997</v>
          </cell>
          <cell r="AD288">
            <v>434</v>
          </cell>
          <cell r="AE288">
            <v>0</v>
          </cell>
          <cell r="AF288">
            <v>38560</v>
          </cell>
          <cell r="AG288">
            <v>249.45</v>
          </cell>
          <cell r="AH288">
            <v>845.18611898534516</v>
          </cell>
          <cell r="AI288">
            <v>0</v>
          </cell>
          <cell r="AJ288" t="str">
            <v>HEPTRAL</v>
          </cell>
          <cell r="AK288">
            <v>0</v>
          </cell>
          <cell r="AL288">
            <v>0</v>
          </cell>
          <cell r="AM288">
            <v>0</v>
          </cell>
          <cell r="AN288">
            <v>0.25</v>
          </cell>
          <cell r="AO288">
            <v>25293.32</v>
          </cell>
          <cell r="AP288">
            <v>0</v>
          </cell>
          <cell r="AQ288">
            <v>0</v>
          </cell>
          <cell r="AR288">
            <v>0</v>
          </cell>
          <cell r="AS288">
            <v>20637.500000000004</v>
          </cell>
          <cell r="AT288">
            <v>0</v>
          </cell>
          <cell r="AU288">
            <v>0</v>
          </cell>
          <cell r="AV288">
            <v>0</v>
          </cell>
          <cell r="AW288" t="str">
            <v>BETASERC</v>
          </cell>
          <cell r="AX288" t="str">
            <v xml:space="preserve">DUPHALAC </v>
          </cell>
          <cell r="AY288" t="str">
            <v>CREON</v>
          </cell>
          <cell r="AZ288">
            <v>0</v>
          </cell>
          <cell r="BA288">
            <v>0.19999999999999996</v>
          </cell>
          <cell r="BB288">
            <v>9475.4599999999991</v>
          </cell>
          <cell r="BC288">
            <v>2825.1000000000004</v>
          </cell>
          <cell r="BD288">
            <v>1985.903</v>
          </cell>
          <cell r="BE288">
            <v>0</v>
          </cell>
          <cell r="BF288">
            <v>6735.2522588944776</v>
          </cell>
          <cell r="BG288">
            <v>2289.1422156449366</v>
          </cell>
          <cell r="BH288">
            <v>1364.9900194208794</v>
          </cell>
          <cell r="BI288">
            <v>0</v>
          </cell>
          <cell r="BJ288">
            <v>135171.52299999999</v>
          </cell>
          <cell r="BK288">
            <v>103906.30674393679</v>
          </cell>
          <cell r="BL288" t="str">
            <v/>
          </cell>
          <cell r="BM288">
            <v>1</v>
          </cell>
          <cell r="BO288" t="str">
            <v>Staff</v>
          </cell>
          <cell r="BP288">
            <v>42795</v>
          </cell>
          <cell r="BQ288">
            <v>3</v>
          </cell>
          <cell r="BR288">
            <v>4</v>
          </cell>
          <cell r="BS288">
            <v>6</v>
          </cell>
          <cell r="BT288">
            <v>395525</v>
          </cell>
          <cell r="BU288">
            <v>1</v>
          </cell>
          <cell r="BW288">
            <v>1.393</v>
          </cell>
          <cell r="BX288">
            <v>1.2430000000000001</v>
          </cell>
          <cell r="BY288">
            <v>1.226</v>
          </cell>
          <cell r="BZ288">
            <v>1.375</v>
          </cell>
          <cell r="CG288">
            <v>1.3</v>
          </cell>
          <cell r="CH288">
            <v>1</v>
          </cell>
          <cell r="CI288">
            <v>2.5</v>
          </cell>
          <cell r="CJ288">
            <v>0</v>
          </cell>
          <cell r="CK288">
            <v>1</v>
          </cell>
        </row>
        <row r="289">
          <cell r="A289" t="str">
            <v>75Q2</v>
          </cell>
          <cell r="B289" t="str">
            <v>Q2</v>
          </cell>
          <cell r="C289">
            <v>75</v>
          </cell>
          <cell r="D289" t="str">
            <v>Ospanova Zhumagul</v>
          </cell>
          <cell r="E289" t="str">
            <v>Medical Representative</v>
          </cell>
          <cell r="F289">
            <v>42705</v>
          </cell>
          <cell r="G289" t="str">
            <v/>
          </cell>
          <cell r="H289" t="str">
            <v/>
          </cell>
          <cell r="I289" t="str">
            <v>Line 2</v>
          </cell>
          <cell r="J289" t="str">
            <v xml:space="preserve">DUPHASTON </v>
          </cell>
          <cell r="K289" t="str">
            <v>FEMOSTON</v>
          </cell>
          <cell r="L289">
            <v>0</v>
          </cell>
          <cell r="M289">
            <v>0</v>
          </cell>
          <cell r="N289">
            <v>0.3</v>
          </cell>
          <cell r="O289">
            <v>52515</v>
          </cell>
          <cell r="P289">
            <v>23362.399999999998</v>
          </cell>
          <cell r="Q289">
            <v>0</v>
          </cell>
          <cell r="R289">
            <v>0</v>
          </cell>
          <cell r="S289">
            <v>49808.403589181544</v>
          </cell>
          <cell r="T289">
            <v>25888.448969850211</v>
          </cell>
          <cell r="U289">
            <v>0</v>
          </cell>
          <cell r="V289">
            <v>0</v>
          </cell>
          <cell r="W289" t="str">
            <v>PHYSIOTENS</v>
          </cell>
          <cell r="X289" t="str">
            <v>TRICOR /LIPANTHYL</v>
          </cell>
          <cell r="Y289" t="str">
            <v>OMACOR</v>
          </cell>
          <cell r="Z289">
            <v>0</v>
          </cell>
          <cell r="AA289">
            <v>0.25</v>
          </cell>
          <cell r="AB289">
            <v>64881.5</v>
          </cell>
          <cell r="AC289">
            <v>2777.21</v>
          </cell>
          <cell r="AD289">
            <v>465</v>
          </cell>
          <cell r="AE289">
            <v>0</v>
          </cell>
          <cell r="AF289">
            <v>50265</v>
          </cell>
          <cell r="AG289">
            <v>1746.1499999999999</v>
          </cell>
          <cell r="AH289">
            <v>1395</v>
          </cell>
          <cell r="AI289">
            <v>0</v>
          </cell>
          <cell r="AJ289" t="str">
            <v>HEPTRAL</v>
          </cell>
          <cell r="AK289">
            <v>0</v>
          </cell>
          <cell r="AL289">
            <v>0</v>
          </cell>
          <cell r="AM289">
            <v>0</v>
          </cell>
          <cell r="AN289">
            <v>0.25</v>
          </cell>
          <cell r="AO289">
            <v>37543.740000000005</v>
          </cell>
          <cell r="AP289">
            <v>0</v>
          </cell>
          <cell r="AQ289">
            <v>0</v>
          </cell>
          <cell r="AR289">
            <v>0</v>
          </cell>
          <cell r="AS289">
            <v>36513.449450367698</v>
          </cell>
          <cell r="AT289">
            <v>0</v>
          </cell>
          <cell r="AU289">
            <v>0</v>
          </cell>
          <cell r="AV289">
            <v>0</v>
          </cell>
          <cell r="AW289" t="str">
            <v>BETASERC</v>
          </cell>
          <cell r="AX289" t="str">
            <v xml:space="preserve">DUPHALAC </v>
          </cell>
          <cell r="AY289" t="str">
            <v>CREON</v>
          </cell>
          <cell r="AZ289">
            <v>0</v>
          </cell>
          <cell r="BA289">
            <v>0.19999999999999996</v>
          </cell>
          <cell r="BB289">
            <v>23717.520000000004</v>
          </cell>
          <cell r="BC289">
            <v>2875.4</v>
          </cell>
          <cell r="BD289">
            <v>3333.8145000000004</v>
          </cell>
          <cell r="BE289">
            <v>0</v>
          </cell>
          <cell r="BF289">
            <v>17647.698963674105</v>
          </cell>
          <cell r="BG289">
            <v>2503.5</v>
          </cell>
          <cell r="BH289">
            <v>3127.1583365335728</v>
          </cell>
          <cell r="BI289">
            <v>0</v>
          </cell>
          <cell r="BJ289">
            <v>211471.5845</v>
          </cell>
          <cell r="BK289">
            <v>188894.80930960717</v>
          </cell>
          <cell r="BL289" t="str">
            <v/>
          </cell>
          <cell r="BM289">
            <v>0.97</v>
          </cell>
          <cell r="BO289" t="str">
            <v>Staff</v>
          </cell>
          <cell r="BP289">
            <v>42795</v>
          </cell>
          <cell r="BQ289">
            <v>3</v>
          </cell>
          <cell r="BR289">
            <v>4</v>
          </cell>
          <cell r="BS289">
            <v>6</v>
          </cell>
          <cell r="BT289">
            <v>395525</v>
          </cell>
          <cell r="BU289">
            <v>1</v>
          </cell>
          <cell r="BW289">
            <v>1.002</v>
          </cell>
          <cell r="BX289">
            <v>1.276</v>
          </cell>
          <cell r="BY289">
            <v>1.028</v>
          </cell>
          <cell r="BZ289">
            <v>1.286</v>
          </cell>
          <cell r="CG289">
            <v>1.1200000000000001</v>
          </cell>
          <cell r="CH289">
            <v>1</v>
          </cell>
          <cell r="CI289">
            <v>2.1</v>
          </cell>
          <cell r="CJ289">
            <v>0</v>
          </cell>
          <cell r="CK289">
            <v>1</v>
          </cell>
        </row>
        <row r="290">
          <cell r="A290" t="str">
            <v>76Q2</v>
          </cell>
          <cell r="B290" t="str">
            <v>Q2</v>
          </cell>
          <cell r="C290">
            <v>76</v>
          </cell>
          <cell r="D290" t="str">
            <v>Zhanuzakova Gulbakyt</v>
          </cell>
          <cell r="E290" t="str">
            <v>Medical Representative</v>
          </cell>
          <cell r="F290">
            <v>41771</v>
          </cell>
          <cell r="G290" t="str">
            <v/>
          </cell>
          <cell r="H290">
            <v>42826</v>
          </cell>
          <cell r="I290" t="str">
            <v>Line 1</v>
          </cell>
          <cell r="J290" t="str">
            <v>CREON</v>
          </cell>
          <cell r="K290" t="str">
            <v xml:space="preserve">DUPHALAC </v>
          </cell>
          <cell r="L290">
            <v>0</v>
          </cell>
          <cell r="M290">
            <v>0</v>
          </cell>
          <cell r="N290">
            <v>0.5</v>
          </cell>
          <cell r="O290">
            <v>55183.75</v>
          </cell>
          <cell r="P290">
            <v>30949.5</v>
          </cell>
          <cell r="Q290">
            <v>0</v>
          </cell>
          <cell r="R290">
            <v>0</v>
          </cell>
          <cell r="S290">
            <v>63605.1</v>
          </cell>
          <cell r="T290">
            <v>32225</v>
          </cell>
          <cell r="U290">
            <v>0</v>
          </cell>
          <cell r="V290">
            <v>0</v>
          </cell>
          <cell r="W290" t="str">
            <v>HEPTRAL</v>
          </cell>
          <cell r="X290" t="str">
            <v xml:space="preserve">DUSPATALIN </v>
          </cell>
          <cell r="Y290">
            <v>0</v>
          </cell>
          <cell r="Z290">
            <v>0</v>
          </cell>
          <cell r="AA290">
            <v>0.35</v>
          </cell>
          <cell r="AB290">
            <v>33647.380000000005</v>
          </cell>
          <cell r="AC290">
            <v>11191</v>
          </cell>
          <cell r="AD290">
            <v>0</v>
          </cell>
          <cell r="AE290">
            <v>0</v>
          </cell>
          <cell r="AF290">
            <v>49530.000000000015</v>
          </cell>
          <cell r="AG290">
            <v>12825</v>
          </cell>
          <cell r="AH290">
            <v>0</v>
          </cell>
          <cell r="AI290">
            <v>0</v>
          </cell>
          <cell r="AJ290" t="str">
            <v>IRS 19</v>
          </cell>
          <cell r="AK290" t="str">
            <v>IMUDON</v>
          </cell>
          <cell r="AL290">
            <v>0</v>
          </cell>
          <cell r="AM290">
            <v>0</v>
          </cell>
          <cell r="AN290">
            <v>0.1</v>
          </cell>
          <cell r="AO290">
            <v>4212</v>
          </cell>
          <cell r="AP290">
            <v>3996</v>
          </cell>
          <cell r="AQ290">
            <v>0</v>
          </cell>
          <cell r="AR290">
            <v>0</v>
          </cell>
          <cell r="AS290">
            <v>4320</v>
          </cell>
          <cell r="AT290">
            <v>7200</v>
          </cell>
          <cell r="AU290">
            <v>0</v>
          </cell>
          <cell r="AV290">
            <v>0</v>
          </cell>
          <cell r="AW290" t="str">
            <v xml:space="preserve">GANATON </v>
          </cell>
          <cell r="AX290" t="str">
            <v>DUPHABEARS</v>
          </cell>
          <cell r="AY290">
            <v>0</v>
          </cell>
          <cell r="AZ290">
            <v>0</v>
          </cell>
          <cell r="BA290">
            <v>5.0000000000000017E-2</v>
          </cell>
          <cell r="BB290">
            <v>1411</v>
          </cell>
          <cell r="BC290">
            <v>114.79999999999998</v>
          </cell>
          <cell r="BD290">
            <v>0</v>
          </cell>
          <cell r="BE290">
            <v>0</v>
          </cell>
          <cell r="BF290">
            <v>1494.0000000000002</v>
          </cell>
          <cell r="BG290">
            <v>1094.6999999999998</v>
          </cell>
          <cell r="BH290">
            <v>0</v>
          </cell>
          <cell r="BI290">
            <v>0</v>
          </cell>
          <cell r="BJ290">
            <v>140705.43</v>
          </cell>
          <cell r="BK290">
            <v>172293.80000000005</v>
          </cell>
          <cell r="BL290" t="str">
            <v/>
          </cell>
          <cell r="BM290">
            <v>1</v>
          </cell>
          <cell r="BO290" t="str">
            <v>Staff</v>
          </cell>
          <cell r="BP290">
            <v>41863</v>
          </cell>
          <cell r="BQ290">
            <v>3</v>
          </cell>
          <cell r="BR290">
            <v>4</v>
          </cell>
          <cell r="BS290">
            <v>6</v>
          </cell>
          <cell r="BT290">
            <v>395525</v>
          </cell>
          <cell r="BU290">
            <v>1</v>
          </cell>
          <cell r="BW290">
            <v>0.89900000000000002</v>
          </cell>
          <cell r="BX290">
            <v>0.71899999999999997</v>
          </cell>
          <cell r="BY290">
            <v>0.71299999999999997</v>
          </cell>
          <cell r="BZ290">
            <v>0.58899999999999997</v>
          </cell>
          <cell r="CG290">
            <v>0.82</v>
          </cell>
          <cell r="CH290">
            <v>0</v>
          </cell>
          <cell r="CI290">
            <v>0</v>
          </cell>
          <cell r="CJ290">
            <v>0</v>
          </cell>
          <cell r="CK290">
            <v>1</v>
          </cell>
        </row>
        <row r="291">
          <cell r="A291" t="str">
            <v>77Q2</v>
          </cell>
          <cell r="B291" t="str">
            <v>Q2</v>
          </cell>
          <cell r="C291">
            <v>77</v>
          </cell>
          <cell r="D291" t="str">
            <v>Nurikhanova Alissa</v>
          </cell>
          <cell r="E291" t="str">
            <v>Regional Manager</v>
          </cell>
          <cell r="F291">
            <v>40676</v>
          </cell>
          <cell r="G291" t="str">
            <v/>
          </cell>
          <cell r="H291">
            <v>42826</v>
          </cell>
          <cell r="I291" t="str">
            <v>Regional Manager-1</v>
          </cell>
          <cell r="J291" t="str">
            <v>GASTRO</v>
          </cell>
          <cell r="K291">
            <v>0</v>
          </cell>
          <cell r="L291">
            <v>0</v>
          </cell>
          <cell r="M291">
            <v>0</v>
          </cell>
          <cell r="N291">
            <v>0.5</v>
          </cell>
          <cell r="O291">
            <v>280547.42</v>
          </cell>
          <cell r="P291">
            <v>0</v>
          </cell>
          <cell r="Q291">
            <v>0</v>
          </cell>
          <cell r="R291">
            <v>0</v>
          </cell>
          <cell r="S291">
            <v>281406.00319623738</v>
          </cell>
          <cell r="T291">
            <v>0</v>
          </cell>
          <cell r="U291">
            <v>0</v>
          </cell>
          <cell r="V291">
            <v>0</v>
          </cell>
          <cell r="W291" t="str">
            <v>GYNECOLOGY</v>
          </cell>
          <cell r="X291">
            <v>0</v>
          </cell>
          <cell r="Y291">
            <v>0</v>
          </cell>
          <cell r="Z291">
            <v>0</v>
          </cell>
          <cell r="AA291">
            <v>0.25</v>
          </cell>
          <cell r="AB291">
            <v>111311.66</v>
          </cell>
          <cell r="AC291">
            <v>0</v>
          </cell>
          <cell r="AD291">
            <v>0</v>
          </cell>
          <cell r="AE291">
            <v>0</v>
          </cell>
          <cell r="AF291">
            <v>118863.92214859405</v>
          </cell>
          <cell r="AG291">
            <v>0</v>
          </cell>
          <cell r="AH291">
            <v>0</v>
          </cell>
          <cell r="AI291">
            <v>0</v>
          </cell>
          <cell r="AJ291" t="str">
            <v>CARDIO-NEURO</v>
          </cell>
          <cell r="AK291">
            <v>0</v>
          </cell>
          <cell r="AL291">
            <v>0</v>
          </cell>
          <cell r="AM291">
            <v>0</v>
          </cell>
          <cell r="AN291">
            <v>0.2</v>
          </cell>
          <cell r="AO291">
            <v>256203.74000000002</v>
          </cell>
          <cell r="AP291">
            <v>0</v>
          </cell>
          <cell r="AQ291">
            <v>0</v>
          </cell>
          <cell r="AR291">
            <v>0</v>
          </cell>
          <cell r="AS291">
            <v>271311.65488531406</v>
          </cell>
          <cell r="AT291">
            <v>0</v>
          </cell>
          <cell r="AU291">
            <v>0</v>
          </cell>
          <cell r="AV291">
            <v>0</v>
          </cell>
          <cell r="AW291" t="str">
            <v>IMMUNOLOGY</v>
          </cell>
          <cell r="AX291">
            <v>0</v>
          </cell>
          <cell r="AY291">
            <v>0</v>
          </cell>
          <cell r="AZ291">
            <v>0</v>
          </cell>
          <cell r="BA291">
            <v>4.9999999999999989E-2</v>
          </cell>
          <cell r="BB291">
            <v>21132</v>
          </cell>
          <cell r="BC291">
            <v>0</v>
          </cell>
          <cell r="BD291">
            <v>0</v>
          </cell>
          <cell r="BE291">
            <v>0</v>
          </cell>
          <cell r="BF291">
            <v>19320</v>
          </cell>
          <cell r="BG291">
            <v>0</v>
          </cell>
          <cell r="BH291">
            <v>0</v>
          </cell>
          <cell r="BI291">
            <v>0</v>
          </cell>
          <cell r="BJ291">
            <v>669194.81999999995</v>
          </cell>
          <cell r="BK291">
            <v>690901.58023014548</v>
          </cell>
          <cell r="BL291">
            <v>0.42222222222222222</v>
          </cell>
          <cell r="BM291">
            <v>0.95</v>
          </cell>
          <cell r="BO291" t="str">
            <v>Staff</v>
          </cell>
          <cell r="BP291">
            <v>40768</v>
          </cell>
          <cell r="BQ291">
            <v>3</v>
          </cell>
          <cell r="BR291">
            <v>4</v>
          </cell>
          <cell r="BS291">
            <v>6</v>
          </cell>
          <cell r="BT291">
            <v>726000</v>
          </cell>
          <cell r="BU291">
            <v>1</v>
          </cell>
          <cell r="BW291">
            <v>0.997</v>
          </cell>
          <cell r="BX291">
            <v>0.93600000000000005</v>
          </cell>
          <cell r="BY291">
            <v>0.94399999999999995</v>
          </cell>
          <cell r="BZ291">
            <v>1.0940000000000001</v>
          </cell>
          <cell r="CG291">
            <v>0.97</v>
          </cell>
          <cell r="CH291">
            <v>1</v>
          </cell>
          <cell r="CI291">
            <v>0.85</v>
          </cell>
          <cell r="CJ291">
            <v>0</v>
          </cell>
          <cell r="CK291">
            <v>1</v>
          </cell>
        </row>
        <row r="292">
          <cell r="A292" t="str">
            <v>78Q2</v>
          </cell>
          <cell r="B292" t="str">
            <v>Q2</v>
          </cell>
          <cell r="C292">
            <v>78</v>
          </cell>
          <cell r="D292" t="str">
            <v>Konurub Roza</v>
          </cell>
          <cell r="E292" t="str">
            <v>Medical Representative</v>
          </cell>
          <cell r="F292">
            <v>42005</v>
          </cell>
          <cell r="G292">
            <v>42634</v>
          </cell>
          <cell r="H292">
            <v>42826</v>
          </cell>
          <cell r="I292" t="str">
            <v>Pharma line</v>
          </cell>
          <cell r="J292" t="str">
            <v>CREON</v>
          </cell>
          <cell r="K292">
            <v>0</v>
          </cell>
          <cell r="L292">
            <v>0</v>
          </cell>
          <cell r="M292">
            <v>0</v>
          </cell>
          <cell r="N292">
            <v>0.45</v>
          </cell>
          <cell r="O292">
            <v>53455.569999999992</v>
          </cell>
          <cell r="P292">
            <v>0</v>
          </cell>
          <cell r="Q292">
            <v>0</v>
          </cell>
          <cell r="R292">
            <v>0</v>
          </cell>
          <cell r="S292">
            <v>48430.297162271556</v>
          </cell>
          <cell r="T292">
            <v>0</v>
          </cell>
          <cell r="U292">
            <v>0</v>
          </cell>
          <cell r="V292">
            <v>0</v>
          </cell>
          <cell r="W292" t="str">
            <v xml:space="preserve">DUPHALAC </v>
          </cell>
          <cell r="X292">
            <v>0</v>
          </cell>
          <cell r="Y292">
            <v>0</v>
          </cell>
          <cell r="Z292">
            <v>0</v>
          </cell>
          <cell r="AA292">
            <v>0.3</v>
          </cell>
          <cell r="AB292">
            <v>23424.5</v>
          </cell>
          <cell r="AC292">
            <v>0</v>
          </cell>
          <cell r="AD292">
            <v>0</v>
          </cell>
          <cell r="AE292">
            <v>0</v>
          </cell>
          <cell r="AF292">
            <v>23134.628955485132</v>
          </cell>
          <cell r="AG292">
            <v>0</v>
          </cell>
          <cell r="AH292">
            <v>0</v>
          </cell>
          <cell r="AI292">
            <v>0</v>
          </cell>
          <cell r="AJ292" t="str">
            <v>IRS 19</v>
          </cell>
          <cell r="AK292" t="str">
            <v>IMUDON</v>
          </cell>
          <cell r="AL292">
            <v>0</v>
          </cell>
          <cell r="AM292">
            <v>0</v>
          </cell>
          <cell r="AN292">
            <v>0.15</v>
          </cell>
          <cell r="AO292">
            <v>2484</v>
          </cell>
          <cell r="AP292">
            <v>3624</v>
          </cell>
          <cell r="AQ292">
            <v>0</v>
          </cell>
          <cell r="AR292">
            <v>0</v>
          </cell>
          <cell r="AS292">
            <v>2880</v>
          </cell>
          <cell r="AT292">
            <v>2520</v>
          </cell>
          <cell r="AU292">
            <v>0</v>
          </cell>
          <cell r="AV292">
            <v>0</v>
          </cell>
          <cell r="AW292" t="str">
            <v>DUPHABEARS</v>
          </cell>
          <cell r="AX292">
            <v>0</v>
          </cell>
          <cell r="AY292">
            <v>0</v>
          </cell>
          <cell r="AZ292">
            <v>0</v>
          </cell>
          <cell r="BA292">
            <v>0.10000000000000006</v>
          </cell>
          <cell r="BB292">
            <v>487.9</v>
          </cell>
          <cell r="BC292">
            <v>0</v>
          </cell>
          <cell r="BD292">
            <v>0</v>
          </cell>
          <cell r="BE292">
            <v>0</v>
          </cell>
          <cell r="BF292">
            <v>729.8</v>
          </cell>
          <cell r="BG292">
            <v>0</v>
          </cell>
          <cell r="BH292">
            <v>0</v>
          </cell>
          <cell r="BI292">
            <v>0</v>
          </cell>
          <cell r="BJ292">
            <v>83475.969999999987</v>
          </cell>
          <cell r="BK292">
            <v>77694.726117756698</v>
          </cell>
          <cell r="BL292" t="str">
            <v/>
          </cell>
          <cell r="BM292">
            <v>1</v>
          </cell>
          <cell r="BO292" t="str">
            <v>Staff</v>
          </cell>
          <cell r="BP292">
            <v>42095</v>
          </cell>
          <cell r="BQ292">
            <v>3</v>
          </cell>
          <cell r="BR292">
            <v>4</v>
          </cell>
          <cell r="BS292">
            <v>6</v>
          </cell>
          <cell r="BT292">
            <v>395525</v>
          </cell>
          <cell r="BU292">
            <v>1</v>
          </cell>
          <cell r="BW292">
            <v>1.1040000000000001</v>
          </cell>
          <cell r="BX292">
            <v>1.0129999999999999</v>
          </cell>
          <cell r="BY292">
            <v>1.131</v>
          </cell>
          <cell r="BZ292">
            <v>0.66900000000000004</v>
          </cell>
          <cell r="CG292">
            <v>1.07</v>
          </cell>
          <cell r="CH292">
            <v>1</v>
          </cell>
          <cell r="CI292">
            <v>1.7</v>
          </cell>
          <cell r="CJ292">
            <v>0</v>
          </cell>
          <cell r="CK292">
            <v>1</v>
          </cell>
        </row>
        <row r="293">
          <cell r="A293" t="str">
            <v>79Q2</v>
          </cell>
          <cell r="B293" t="str">
            <v>Q2</v>
          </cell>
          <cell r="C293">
            <v>79</v>
          </cell>
          <cell r="D293" t="str">
            <v>Tulemyrzayeva Madina</v>
          </cell>
          <cell r="E293" t="str">
            <v>Regional Manager</v>
          </cell>
          <cell r="F293">
            <v>42936</v>
          </cell>
          <cell r="G293" t="str">
            <v/>
          </cell>
          <cell r="H293" t="str">
            <v/>
          </cell>
          <cell r="I293" t="str">
            <v>Regional Manager-1</v>
          </cell>
          <cell r="J293" t="str">
            <v>GASTRO</v>
          </cell>
          <cell r="K293">
            <v>0</v>
          </cell>
          <cell r="L293">
            <v>0</v>
          </cell>
          <cell r="M293">
            <v>0</v>
          </cell>
          <cell r="N293">
            <v>0.5</v>
          </cell>
          <cell r="O293">
            <v>555301.18000000005</v>
          </cell>
          <cell r="P293">
            <v>0</v>
          </cell>
          <cell r="Q293">
            <v>0</v>
          </cell>
          <cell r="R293">
            <v>0</v>
          </cell>
          <cell r="S293">
            <v>578201.70420726552</v>
          </cell>
          <cell r="T293">
            <v>0</v>
          </cell>
          <cell r="U293">
            <v>0</v>
          </cell>
          <cell r="V293">
            <v>0</v>
          </cell>
          <cell r="W293" t="str">
            <v>GYNECOLOGY</v>
          </cell>
          <cell r="X293">
            <v>0</v>
          </cell>
          <cell r="Y293">
            <v>0</v>
          </cell>
          <cell r="Z293">
            <v>0</v>
          </cell>
          <cell r="AA293">
            <v>0.25</v>
          </cell>
          <cell r="AB293">
            <v>161389.22999999998</v>
          </cell>
          <cell r="AC293">
            <v>0</v>
          </cell>
          <cell r="AD293">
            <v>0</v>
          </cell>
          <cell r="AE293">
            <v>0</v>
          </cell>
          <cell r="AF293">
            <v>195859.87033235584</v>
          </cell>
          <cell r="AG293">
            <v>0</v>
          </cell>
          <cell r="AH293">
            <v>0</v>
          </cell>
          <cell r="AI293">
            <v>0</v>
          </cell>
          <cell r="AJ293" t="str">
            <v>CARDIO-NEURO</v>
          </cell>
          <cell r="AK293">
            <v>0</v>
          </cell>
          <cell r="AL293">
            <v>0</v>
          </cell>
          <cell r="AM293">
            <v>0</v>
          </cell>
          <cell r="AN293">
            <v>0.2</v>
          </cell>
          <cell r="AO293">
            <v>249917.96999999997</v>
          </cell>
          <cell r="AP293">
            <v>0</v>
          </cell>
          <cell r="AQ293">
            <v>0</v>
          </cell>
          <cell r="AR293">
            <v>0</v>
          </cell>
          <cell r="AS293">
            <v>267987.16440392338</v>
          </cell>
          <cell r="AT293">
            <v>0</v>
          </cell>
          <cell r="AU293">
            <v>0</v>
          </cell>
          <cell r="AV293">
            <v>0</v>
          </cell>
          <cell r="AW293" t="str">
            <v>IMMUNOLOGY</v>
          </cell>
          <cell r="AX293">
            <v>0</v>
          </cell>
          <cell r="AY293">
            <v>0</v>
          </cell>
          <cell r="AZ293">
            <v>0</v>
          </cell>
          <cell r="BA293">
            <v>4.9999999999999989E-2</v>
          </cell>
          <cell r="BB293">
            <v>13308</v>
          </cell>
          <cell r="BC293">
            <v>0</v>
          </cell>
          <cell r="BD293">
            <v>0</v>
          </cell>
          <cell r="BE293">
            <v>0</v>
          </cell>
          <cell r="BF293">
            <v>14940</v>
          </cell>
          <cell r="BG293">
            <v>0</v>
          </cell>
          <cell r="BH293">
            <v>0</v>
          </cell>
          <cell r="BI293">
            <v>0</v>
          </cell>
          <cell r="BJ293">
            <v>979916.38</v>
          </cell>
          <cell r="BK293">
            <v>1056988.7389435447</v>
          </cell>
          <cell r="BL293">
            <v>1</v>
          </cell>
          <cell r="BM293">
            <v>1</v>
          </cell>
          <cell r="BO293" t="str">
            <v>Newcomer</v>
          </cell>
          <cell r="BP293">
            <v>43028</v>
          </cell>
          <cell r="BQ293">
            <v>0</v>
          </cell>
          <cell r="BR293">
            <v>11</v>
          </cell>
          <cell r="BS293">
            <v>6</v>
          </cell>
          <cell r="BT293">
            <v>726000</v>
          </cell>
          <cell r="BU293">
            <v>0</v>
          </cell>
          <cell r="BW293">
            <v>0.96</v>
          </cell>
          <cell r="BX293">
            <v>0.82399999999999995</v>
          </cell>
          <cell r="BY293">
            <v>0.93300000000000005</v>
          </cell>
          <cell r="BZ293">
            <v>0.89100000000000001</v>
          </cell>
          <cell r="CG293">
            <v>0.93</v>
          </cell>
          <cell r="CH293">
            <v>1</v>
          </cell>
          <cell r="CI293">
            <v>0.7</v>
          </cell>
          <cell r="CJ293">
            <v>1</v>
          </cell>
          <cell r="CK293">
            <v>1</v>
          </cell>
        </row>
        <row r="294">
          <cell r="A294" t="str">
            <v>80Q2</v>
          </cell>
          <cell r="B294" t="str">
            <v>Q2</v>
          </cell>
          <cell r="C294">
            <v>80</v>
          </cell>
          <cell r="D294" t="str">
            <v>Kusmanova Shynar</v>
          </cell>
          <cell r="E294" t="str">
            <v>Pharm Representative</v>
          </cell>
          <cell r="F294">
            <v>41699</v>
          </cell>
          <cell r="G294" t="str">
            <v/>
          </cell>
          <cell r="H294">
            <v>42887</v>
          </cell>
          <cell r="I294" t="str">
            <v>Pharma line</v>
          </cell>
          <cell r="J294" t="str">
            <v>CREON</v>
          </cell>
          <cell r="K294">
            <v>0</v>
          </cell>
          <cell r="L294">
            <v>0</v>
          </cell>
          <cell r="M294">
            <v>0</v>
          </cell>
          <cell r="N294">
            <v>0.45</v>
          </cell>
          <cell r="O294">
            <v>24648.93</v>
          </cell>
          <cell r="P294">
            <v>0</v>
          </cell>
          <cell r="Q294">
            <v>0</v>
          </cell>
          <cell r="R294">
            <v>0</v>
          </cell>
          <cell r="S294">
            <v>20869</v>
          </cell>
          <cell r="T294">
            <v>0</v>
          </cell>
          <cell r="U294">
            <v>0</v>
          </cell>
          <cell r="V294">
            <v>0</v>
          </cell>
          <cell r="W294" t="str">
            <v xml:space="preserve">DUPHALAC </v>
          </cell>
          <cell r="X294">
            <v>0</v>
          </cell>
          <cell r="Y294">
            <v>0</v>
          </cell>
          <cell r="Z294">
            <v>0</v>
          </cell>
          <cell r="AA294">
            <v>0.3</v>
          </cell>
          <cell r="AB294">
            <v>11311</v>
          </cell>
          <cell r="AC294">
            <v>0</v>
          </cell>
          <cell r="AD294">
            <v>0</v>
          </cell>
          <cell r="AE294">
            <v>0</v>
          </cell>
          <cell r="AF294">
            <v>8345</v>
          </cell>
          <cell r="AG294">
            <v>0</v>
          </cell>
          <cell r="AH294">
            <v>0</v>
          </cell>
          <cell r="AI294">
            <v>0</v>
          </cell>
          <cell r="AJ294" t="str">
            <v>IRS 19</v>
          </cell>
          <cell r="AK294" t="str">
            <v>IMUDON</v>
          </cell>
          <cell r="AL294">
            <v>0</v>
          </cell>
          <cell r="AM294">
            <v>0</v>
          </cell>
          <cell r="AN294">
            <v>0.15</v>
          </cell>
          <cell r="AO294">
            <v>528</v>
          </cell>
          <cell r="AP294">
            <v>1524</v>
          </cell>
          <cell r="AQ294">
            <v>0</v>
          </cell>
          <cell r="AR294">
            <v>0</v>
          </cell>
          <cell r="AS294">
            <v>960</v>
          </cell>
          <cell r="AT294">
            <v>1200</v>
          </cell>
          <cell r="AU294">
            <v>0</v>
          </cell>
          <cell r="AV294">
            <v>0</v>
          </cell>
          <cell r="AW294" t="str">
            <v>DUPHABEARS</v>
          </cell>
          <cell r="AX294">
            <v>0</v>
          </cell>
          <cell r="AY294">
            <v>0</v>
          </cell>
          <cell r="AZ294">
            <v>0</v>
          </cell>
          <cell r="BA294">
            <v>0.10000000000000006</v>
          </cell>
          <cell r="BB294">
            <v>610.9</v>
          </cell>
          <cell r="BC294">
            <v>0</v>
          </cell>
          <cell r="BD294">
            <v>0</v>
          </cell>
          <cell r="BE294">
            <v>0</v>
          </cell>
          <cell r="BF294">
            <v>1094.6999999999998</v>
          </cell>
          <cell r="BG294">
            <v>0</v>
          </cell>
          <cell r="BH294">
            <v>0</v>
          </cell>
          <cell r="BI294">
            <v>0</v>
          </cell>
          <cell r="BJ294">
            <v>38622.83</v>
          </cell>
          <cell r="BK294">
            <v>32468.7</v>
          </cell>
          <cell r="BL294" t="str">
            <v/>
          </cell>
          <cell r="BM294">
            <v>0</v>
          </cell>
          <cell r="BO294" t="str">
            <v>Staff</v>
          </cell>
          <cell r="BP294">
            <v>41791</v>
          </cell>
          <cell r="BQ294">
            <v>1</v>
          </cell>
          <cell r="BR294">
            <v>6</v>
          </cell>
          <cell r="BS294">
            <v>6</v>
          </cell>
          <cell r="BT294">
            <v>395525</v>
          </cell>
          <cell r="BU294">
            <v>0.33333333333333331</v>
          </cell>
          <cell r="BW294">
            <v>1.181</v>
          </cell>
          <cell r="BX294">
            <v>1.355</v>
          </cell>
          <cell r="BY294">
            <v>0.95</v>
          </cell>
          <cell r="BZ294">
            <v>0.55800000000000005</v>
          </cell>
          <cell r="CG294">
            <v>1.19</v>
          </cell>
          <cell r="CH294">
            <v>1</v>
          </cell>
          <cell r="CI294">
            <v>2.4500000000000002</v>
          </cell>
          <cell r="CJ294">
            <v>0</v>
          </cell>
          <cell r="CK294">
            <v>0</v>
          </cell>
        </row>
        <row r="295">
          <cell r="A295" t="str">
            <v>81Q2</v>
          </cell>
          <cell r="B295" t="str">
            <v>Q2</v>
          </cell>
          <cell r="C295">
            <v>81</v>
          </cell>
          <cell r="D295" t="str">
            <v>Salikhova Akbota</v>
          </cell>
          <cell r="E295" t="str">
            <v>Medical Representative</v>
          </cell>
          <cell r="F295">
            <v>41533</v>
          </cell>
          <cell r="G295" t="str">
            <v/>
          </cell>
          <cell r="H295">
            <v>42856</v>
          </cell>
          <cell r="I295" t="str">
            <v>Line 2</v>
          </cell>
          <cell r="J295" t="str">
            <v xml:space="preserve">DUPHASTON </v>
          </cell>
          <cell r="K295" t="str">
            <v>FEMOSTON</v>
          </cell>
          <cell r="L295">
            <v>0</v>
          </cell>
          <cell r="M295">
            <v>0</v>
          </cell>
          <cell r="N295">
            <v>0.3</v>
          </cell>
          <cell r="O295">
            <v>27891</v>
          </cell>
          <cell r="P295">
            <v>7029.6</v>
          </cell>
          <cell r="Q295">
            <v>0</v>
          </cell>
          <cell r="R295">
            <v>0</v>
          </cell>
          <cell r="S295">
            <v>16223.092746236693</v>
          </cell>
          <cell r="T295">
            <v>5442.7191088260533</v>
          </cell>
          <cell r="U295">
            <v>0</v>
          </cell>
          <cell r="V295">
            <v>0</v>
          </cell>
          <cell r="W295" t="str">
            <v>PHYSIOTENS</v>
          </cell>
          <cell r="X295" t="str">
            <v>TRICOR /LIPANTHYL</v>
          </cell>
          <cell r="Y295" t="str">
            <v>OMACOR</v>
          </cell>
          <cell r="Z295">
            <v>0</v>
          </cell>
          <cell r="AA295">
            <v>0.25</v>
          </cell>
          <cell r="AB295">
            <v>36320.5</v>
          </cell>
          <cell r="AC295">
            <v>299.33999999999997</v>
          </cell>
          <cell r="AD295">
            <v>248</v>
          </cell>
          <cell r="AE295">
            <v>0</v>
          </cell>
          <cell r="AF295">
            <v>25440</v>
          </cell>
          <cell r="AG295">
            <v>166.29999999999998</v>
          </cell>
          <cell r="AH295">
            <v>552.08243069017715</v>
          </cell>
          <cell r="AI295">
            <v>0</v>
          </cell>
          <cell r="AJ295" t="str">
            <v>HEPTRAL</v>
          </cell>
          <cell r="AK295">
            <v>0</v>
          </cell>
          <cell r="AL295">
            <v>0</v>
          </cell>
          <cell r="AM295">
            <v>0</v>
          </cell>
          <cell r="AN295">
            <v>0.25</v>
          </cell>
          <cell r="AO295">
            <v>17137.38</v>
          </cell>
          <cell r="AP295">
            <v>0</v>
          </cell>
          <cell r="AQ295">
            <v>0</v>
          </cell>
          <cell r="AR295">
            <v>0</v>
          </cell>
          <cell r="AS295">
            <v>13769.340000000002</v>
          </cell>
          <cell r="AT295">
            <v>0</v>
          </cell>
          <cell r="AU295">
            <v>0</v>
          </cell>
          <cell r="AV295">
            <v>0</v>
          </cell>
          <cell r="AW295" t="str">
            <v>BETASERC</v>
          </cell>
          <cell r="AX295" t="str">
            <v xml:space="preserve">DUPHALAC </v>
          </cell>
          <cell r="AY295" t="str">
            <v>CREON</v>
          </cell>
          <cell r="AZ295">
            <v>0</v>
          </cell>
          <cell r="BA295">
            <v>0.19999999999999996</v>
          </cell>
          <cell r="BB295">
            <v>6897.8200000000006</v>
          </cell>
          <cell r="BC295">
            <v>2052.85</v>
          </cell>
          <cell r="BD295">
            <v>1527.3905</v>
          </cell>
          <cell r="BE295">
            <v>0</v>
          </cell>
          <cell r="BF295">
            <v>4426.5058661948515</v>
          </cell>
          <cell r="BG295">
            <v>1505.8922156449364</v>
          </cell>
          <cell r="BH295">
            <v>925.95038643715202</v>
          </cell>
          <cell r="BI295">
            <v>0</v>
          </cell>
          <cell r="BJ295">
            <v>99403.880499999999</v>
          </cell>
          <cell r="BK295">
            <v>68451.882754029866</v>
          </cell>
          <cell r="BL295" t="str">
            <v/>
          </cell>
          <cell r="BM295">
            <v>0</v>
          </cell>
          <cell r="BO295" t="str">
            <v>Staff</v>
          </cell>
          <cell r="BP295">
            <v>41624</v>
          </cell>
          <cell r="BQ295">
            <v>2</v>
          </cell>
          <cell r="BR295">
            <v>5</v>
          </cell>
          <cell r="BS295">
            <v>6</v>
          </cell>
          <cell r="BT295">
            <v>395525</v>
          </cell>
          <cell r="BU295">
            <v>0.66666666666666663</v>
          </cell>
          <cell r="BW295">
            <v>1.6120000000000001</v>
          </cell>
          <cell r="BX295">
            <v>1.409</v>
          </cell>
          <cell r="BY295">
            <v>1.2450000000000001</v>
          </cell>
          <cell r="BZ295">
            <v>1.528</v>
          </cell>
          <cell r="CG295">
            <v>1.45</v>
          </cell>
          <cell r="CH295">
            <v>1</v>
          </cell>
          <cell r="CI295">
            <v>2.5</v>
          </cell>
          <cell r="CJ295">
            <v>0</v>
          </cell>
          <cell r="CK295">
            <v>0</v>
          </cell>
        </row>
        <row r="296">
          <cell r="A296" t="str">
            <v>82Q2</v>
          </cell>
          <cell r="B296" t="str">
            <v>Q2</v>
          </cell>
          <cell r="C296">
            <v>82</v>
          </cell>
          <cell r="D296" t="str">
            <v>Turganbayeva Zhazira</v>
          </cell>
          <cell r="E296" t="str">
            <v>Medical Representative</v>
          </cell>
          <cell r="F296">
            <v>41529</v>
          </cell>
          <cell r="G296" t="str">
            <v/>
          </cell>
          <cell r="H296">
            <v>42887</v>
          </cell>
          <cell r="I296" t="str">
            <v>Line 3 (big cities)</v>
          </cell>
          <cell r="J296" t="str">
            <v xml:space="preserve">DUPHASTON </v>
          </cell>
          <cell r="K296">
            <v>0</v>
          </cell>
          <cell r="L296">
            <v>0</v>
          </cell>
          <cell r="M296">
            <v>0</v>
          </cell>
          <cell r="N296">
            <v>0.45</v>
          </cell>
          <cell r="O296">
            <v>47722.5</v>
          </cell>
          <cell r="P296">
            <v>0</v>
          </cell>
          <cell r="Q296">
            <v>0</v>
          </cell>
          <cell r="R296">
            <v>0</v>
          </cell>
          <cell r="S296">
            <v>55350</v>
          </cell>
          <cell r="T296">
            <v>0</v>
          </cell>
          <cell r="U296">
            <v>0</v>
          </cell>
          <cell r="V296">
            <v>0</v>
          </cell>
          <cell r="W296" t="str">
            <v>FEMOSTON</v>
          </cell>
          <cell r="X296">
            <v>0</v>
          </cell>
          <cell r="Y296">
            <v>0</v>
          </cell>
          <cell r="Z296">
            <v>0</v>
          </cell>
          <cell r="AA296">
            <v>0.25</v>
          </cell>
          <cell r="AB296">
            <v>7725.5999999999995</v>
          </cell>
          <cell r="AC296">
            <v>0</v>
          </cell>
          <cell r="AD296">
            <v>0</v>
          </cell>
          <cell r="AE296">
            <v>0</v>
          </cell>
          <cell r="AF296">
            <v>9512</v>
          </cell>
          <cell r="AG296">
            <v>0</v>
          </cell>
          <cell r="AH296">
            <v>0</v>
          </cell>
          <cell r="AI296">
            <v>0</v>
          </cell>
          <cell r="AJ296" t="str">
            <v xml:space="preserve">DUPHALAC </v>
          </cell>
          <cell r="AK296" t="str">
            <v>OVATEL</v>
          </cell>
          <cell r="AL296">
            <v>0</v>
          </cell>
          <cell r="AM296">
            <v>0</v>
          </cell>
          <cell r="AN296">
            <v>0.25</v>
          </cell>
          <cell r="AO296">
            <v>3501.4</v>
          </cell>
          <cell r="AP296">
            <v>0</v>
          </cell>
          <cell r="AQ296">
            <v>0</v>
          </cell>
          <cell r="AR296">
            <v>0</v>
          </cell>
          <cell r="AS296">
            <v>4720</v>
          </cell>
          <cell r="AT296">
            <v>399.96</v>
          </cell>
          <cell r="AU296">
            <v>0</v>
          </cell>
          <cell r="AV296">
            <v>0</v>
          </cell>
          <cell r="AW296" t="str">
            <v>CREON</v>
          </cell>
          <cell r="AX296">
            <v>0</v>
          </cell>
          <cell r="AY296">
            <v>0</v>
          </cell>
          <cell r="AZ296">
            <v>0</v>
          </cell>
          <cell r="BA296">
            <v>5.0000000000000044E-2</v>
          </cell>
          <cell r="BB296">
            <v>4444.4119999999994</v>
          </cell>
          <cell r="BC296">
            <v>0</v>
          </cell>
          <cell r="BD296">
            <v>0</v>
          </cell>
          <cell r="BE296">
            <v>0</v>
          </cell>
          <cell r="BF296">
            <v>4136.8500000000004</v>
          </cell>
          <cell r="BG296">
            <v>0</v>
          </cell>
          <cell r="BH296">
            <v>0</v>
          </cell>
          <cell r="BI296">
            <v>0</v>
          </cell>
          <cell r="BJ296">
            <v>63393.911999999997</v>
          </cell>
          <cell r="BK296">
            <v>74118.810000000012</v>
          </cell>
          <cell r="BL296" t="str">
            <v/>
          </cell>
          <cell r="BM296">
            <v>1</v>
          </cell>
          <cell r="BO296" t="str">
            <v>Staff</v>
          </cell>
          <cell r="BP296">
            <v>41620</v>
          </cell>
          <cell r="BQ296">
            <v>1</v>
          </cell>
          <cell r="BR296">
            <v>6</v>
          </cell>
          <cell r="BS296">
            <v>6</v>
          </cell>
          <cell r="BT296">
            <v>395525</v>
          </cell>
          <cell r="BU296">
            <v>0.33333333333333331</v>
          </cell>
          <cell r="BW296">
            <v>0.86199999999999999</v>
          </cell>
          <cell r="BX296">
            <v>0.81200000000000006</v>
          </cell>
          <cell r="BY296">
            <v>0.68400000000000005</v>
          </cell>
          <cell r="BZ296">
            <v>1.0740000000000001</v>
          </cell>
          <cell r="CG296">
            <v>0.86</v>
          </cell>
          <cell r="CH296">
            <v>0</v>
          </cell>
          <cell r="CI296">
            <v>0</v>
          </cell>
          <cell r="CJ296">
            <v>0</v>
          </cell>
          <cell r="CK296">
            <v>1</v>
          </cell>
        </row>
        <row r="297">
          <cell r="A297" t="str">
            <v>83Q2</v>
          </cell>
          <cell r="B297" t="str">
            <v>Q2</v>
          </cell>
          <cell r="C297">
            <v>83</v>
          </cell>
          <cell r="D297" t="str">
            <v>Makenova Yuliya</v>
          </cell>
          <cell r="E297" t="str">
            <v>Medical Representative</v>
          </cell>
          <cell r="F297">
            <v>42781</v>
          </cell>
          <cell r="G297" t="str">
            <v/>
          </cell>
          <cell r="H297" t="str">
            <v/>
          </cell>
          <cell r="I297" t="str">
            <v>Line 3 (big cities)</v>
          </cell>
          <cell r="J297" t="str">
            <v xml:space="preserve">DUPHASTON </v>
          </cell>
          <cell r="K297">
            <v>0</v>
          </cell>
          <cell r="L297">
            <v>0</v>
          </cell>
          <cell r="M297">
            <v>0</v>
          </cell>
          <cell r="N297">
            <v>0.45</v>
          </cell>
          <cell r="O297">
            <v>18441</v>
          </cell>
          <cell r="P297">
            <v>0</v>
          </cell>
          <cell r="Q297">
            <v>0</v>
          </cell>
          <cell r="R297">
            <v>0</v>
          </cell>
          <cell r="S297">
            <v>18900</v>
          </cell>
          <cell r="T297">
            <v>0</v>
          </cell>
          <cell r="U297">
            <v>0</v>
          </cell>
          <cell r="V297">
            <v>0</v>
          </cell>
          <cell r="W297" t="str">
            <v>FEMOSTON</v>
          </cell>
          <cell r="X297">
            <v>0</v>
          </cell>
          <cell r="Y297">
            <v>0</v>
          </cell>
          <cell r="Z297">
            <v>0</v>
          </cell>
          <cell r="AA297">
            <v>0.25</v>
          </cell>
          <cell r="AB297">
            <v>10428.4</v>
          </cell>
          <cell r="AC297">
            <v>0</v>
          </cell>
          <cell r="AD297">
            <v>0</v>
          </cell>
          <cell r="AE297">
            <v>0</v>
          </cell>
          <cell r="AF297">
            <v>8178</v>
          </cell>
          <cell r="AG297">
            <v>0</v>
          </cell>
          <cell r="AH297">
            <v>0</v>
          </cell>
          <cell r="AI297">
            <v>0</v>
          </cell>
          <cell r="AJ297" t="str">
            <v xml:space="preserve">DUPHALAC </v>
          </cell>
          <cell r="AK297" t="str">
            <v>OVATEL</v>
          </cell>
          <cell r="AL297">
            <v>0</v>
          </cell>
          <cell r="AM297">
            <v>0</v>
          </cell>
          <cell r="AN297">
            <v>0.25</v>
          </cell>
          <cell r="AO297">
            <v>1663.3000000000002</v>
          </cell>
          <cell r="AP297">
            <v>0</v>
          </cell>
          <cell r="AQ297">
            <v>0</v>
          </cell>
          <cell r="AR297">
            <v>0</v>
          </cell>
          <cell r="AS297">
            <v>1891.45</v>
          </cell>
          <cell r="AT297">
            <v>333.29999999999995</v>
          </cell>
          <cell r="AU297">
            <v>0</v>
          </cell>
          <cell r="AV297">
            <v>0</v>
          </cell>
          <cell r="AW297" t="str">
            <v>CREON</v>
          </cell>
          <cell r="AX297">
            <v>0</v>
          </cell>
          <cell r="AY297">
            <v>0</v>
          </cell>
          <cell r="AZ297">
            <v>0</v>
          </cell>
          <cell r="BA297">
            <v>5.0000000000000044E-2</v>
          </cell>
          <cell r="BB297">
            <v>3476.4595000000004</v>
          </cell>
          <cell r="BC297">
            <v>0</v>
          </cell>
          <cell r="BD297">
            <v>0</v>
          </cell>
          <cell r="BE297">
            <v>0</v>
          </cell>
          <cell r="BF297">
            <v>1679.03620803373</v>
          </cell>
          <cell r="BG297">
            <v>0</v>
          </cell>
          <cell r="BH297">
            <v>0</v>
          </cell>
          <cell r="BI297">
            <v>0</v>
          </cell>
          <cell r="BJ297">
            <v>34009.159500000002</v>
          </cell>
          <cell r="BK297">
            <v>30981.786208033729</v>
          </cell>
          <cell r="BL297" t="str">
            <v/>
          </cell>
          <cell r="BM297">
            <v>0.94</v>
          </cell>
          <cell r="BO297" t="str">
            <v>Newcomer</v>
          </cell>
          <cell r="BP297">
            <v>42870</v>
          </cell>
          <cell r="BQ297">
            <v>1</v>
          </cell>
          <cell r="BR297">
            <v>6</v>
          </cell>
          <cell r="BS297">
            <v>6</v>
          </cell>
          <cell r="BT297">
            <v>395525</v>
          </cell>
          <cell r="BU297">
            <v>0.33333333333333331</v>
          </cell>
          <cell r="BW297">
            <v>0.97599999999999998</v>
          </cell>
          <cell r="BX297">
            <v>1.2749999999999999</v>
          </cell>
          <cell r="BY297">
            <v>0.748</v>
          </cell>
          <cell r="BZ297">
            <v>2.0710000000000002</v>
          </cell>
          <cell r="CG297">
            <v>1.1000000000000001</v>
          </cell>
          <cell r="CH297">
            <v>1</v>
          </cell>
          <cell r="CI297">
            <v>2</v>
          </cell>
          <cell r="CJ297">
            <v>0</v>
          </cell>
          <cell r="CK297">
            <v>0.5</v>
          </cell>
        </row>
        <row r="298">
          <cell r="A298" t="str">
            <v>84Q2</v>
          </cell>
          <cell r="B298" t="str">
            <v>Q2</v>
          </cell>
          <cell r="C298">
            <v>84</v>
          </cell>
          <cell r="D298" t="str">
            <v>Sarbassova Dina (Astana)</v>
          </cell>
          <cell r="E298" t="str">
            <v>Medical Representative</v>
          </cell>
          <cell r="F298">
            <v>42654</v>
          </cell>
          <cell r="G298" t="str">
            <v/>
          </cell>
          <cell r="H298">
            <v>42887</v>
          </cell>
          <cell r="I298" t="str">
            <v>Line 2 (big cities)</v>
          </cell>
          <cell r="J298" t="str">
            <v>CREON</v>
          </cell>
          <cell r="K298" t="str">
            <v xml:space="preserve">DUPHALAC </v>
          </cell>
          <cell r="L298">
            <v>0</v>
          </cell>
          <cell r="M298">
            <v>0</v>
          </cell>
          <cell r="N298">
            <v>0.1</v>
          </cell>
          <cell r="O298">
            <v>2718.8724999999999</v>
          </cell>
          <cell r="P298">
            <v>1407.9250000000002</v>
          </cell>
          <cell r="Q298">
            <v>0</v>
          </cell>
          <cell r="R298">
            <v>0</v>
          </cell>
          <cell r="S298">
            <v>2418.2000000000003</v>
          </cell>
          <cell r="T298">
            <v>1505.5</v>
          </cell>
          <cell r="U298">
            <v>0</v>
          </cell>
          <cell r="V298">
            <v>0</v>
          </cell>
          <cell r="W298" t="str">
            <v>PHYSIOTENS</v>
          </cell>
          <cell r="X298" t="str">
            <v>TRICOR /LIPANTHYL</v>
          </cell>
          <cell r="Y298" t="str">
            <v>OMACOR</v>
          </cell>
          <cell r="Z298">
            <v>0</v>
          </cell>
          <cell r="AA298">
            <v>0.3</v>
          </cell>
          <cell r="AB298">
            <v>40920</v>
          </cell>
          <cell r="AC298">
            <v>764.9799999999999</v>
          </cell>
          <cell r="AD298">
            <v>837</v>
          </cell>
          <cell r="AE298">
            <v>0</v>
          </cell>
          <cell r="AF298">
            <v>37735</v>
          </cell>
          <cell r="AG298">
            <v>1080.95</v>
          </cell>
          <cell r="AH298">
            <v>1240</v>
          </cell>
          <cell r="AI298">
            <v>0</v>
          </cell>
          <cell r="AJ298" t="str">
            <v>HEPTRAL</v>
          </cell>
          <cell r="AK298">
            <v>0</v>
          </cell>
          <cell r="AL298">
            <v>0</v>
          </cell>
          <cell r="AM298">
            <v>0</v>
          </cell>
          <cell r="AN298">
            <v>0.3</v>
          </cell>
          <cell r="AO298">
            <v>30411.420000000006</v>
          </cell>
          <cell r="AP298">
            <v>0</v>
          </cell>
          <cell r="AQ298">
            <v>0</v>
          </cell>
          <cell r="AR298">
            <v>0</v>
          </cell>
          <cell r="AS298">
            <v>38633.400000000009</v>
          </cell>
          <cell r="AT298">
            <v>0</v>
          </cell>
          <cell r="AU298">
            <v>0</v>
          </cell>
          <cell r="AV298">
            <v>0</v>
          </cell>
          <cell r="AW298" t="str">
            <v>BETASERC</v>
          </cell>
          <cell r="AX298">
            <v>0</v>
          </cell>
          <cell r="AY298">
            <v>0</v>
          </cell>
          <cell r="AZ298">
            <v>0</v>
          </cell>
          <cell r="BA298">
            <v>0.3000000000000001</v>
          </cell>
          <cell r="BB298">
            <v>16436.04</v>
          </cell>
          <cell r="BC298">
            <v>0</v>
          </cell>
          <cell r="BD298">
            <v>0</v>
          </cell>
          <cell r="BE298">
            <v>0</v>
          </cell>
          <cell r="BF298">
            <v>12022.13215390854</v>
          </cell>
          <cell r="BG298">
            <v>0</v>
          </cell>
          <cell r="BH298">
            <v>0</v>
          </cell>
          <cell r="BI298">
            <v>0</v>
          </cell>
          <cell r="BJ298">
            <v>93496.237500000017</v>
          </cell>
          <cell r="BK298">
            <v>94635.182153908536</v>
          </cell>
          <cell r="BL298" t="str">
            <v/>
          </cell>
          <cell r="BM298">
            <v>0</v>
          </cell>
          <cell r="BO298" t="str">
            <v>Staff</v>
          </cell>
          <cell r="BP298">
            <v>42746</v>
          </cell>
          <cell r="BQ298">
            <v>1</v>
          </cell>
          <cell r="BR298">
            <v>6</v>
          </cell>
          <cell r="BS298">
            <v>6</v>
          </cell>
          <cell r="BT298">
            <v>395525</v>
          </cell>
          <cell r="BU298">
            <v>0.33333333333333331</v>
          </cell>
          <cell r="BW298">
            <v>1.052</v>
          </cell>
          <cell r="BX298">
            <v>1.0620000000000001</v>
          </cell>
          <cell r="BY298">
            <v>0.78700000000000003</v>
          </cell>
          <cell r="BZ298">
            <v>1.367</v>
          </cell>
          <cell r="CG298">
            <v>0.99</v>
          </cell>
          <cell r="CH298">
            <v>1</v>
          </cell>
          <cell r="CI298">
            <v>0.96</v>
          </cell>
          <cell r="CJ298">
            <v>0</v>
          </cell>
          <cell r="CK298">
            <v>0</v>
          </cell>
        </row>
        <row r="299">
          <cell r="A299" t="str">
            <v>85Q2</v>
          </cell>
          <cell r="B299" t="str">
            <v>Q2</v>
          </cell>
          <cell r="C299">
            <v>85</v>
          </cell>
          <cell r="D299" t="str">
            <v>Zhakenova Botagoz (замещение Калдыбаевой Н.)</v>
          </cell>
          <cell r="E299" t="str">
            <v>Medical Representative</v>
          </cell>
          <cell r="F299">
            <v>42767</v>
          </cell>
          <cell r="G299" t="str">
            <v/>
          </cell>
          <cell r="H299" t="str">
            <v/>
          </cell>
          <cell r="I299" t="str">
            <v>Line 1</v>
          </cell>
          <cell r="J299" t="str">
            <v>CREON</v>
          </cell>
          <cell r="K299" t="str">
            <v xml:space="preserve">DUPHALAC </v>
          </cell>
          <cell r="L299">
            <v>0</v>
          </cell>
          <cell r="M299">
            <v>0</v>
          </cell>
          <cell r="N299">
            <v>0.5</v>
          </cell>
          <cell r="O299">
            <v>28326.41</v>
          </cell>
          <cell r="P299">
            <v>10992.5</v>
          </cell>
          <cell r="Q299">
            <v>0</v>
          </cell>
          <cell r="R299">
            <v>0</v>
          </cell>
          <cell r="S299">
            <v>23554.497382398891</v>
          </cell>
          <cell r="T299">
            <v>15131.755854499464</v>
          </cell>
          <cell r="U299">
            <v>0</v>
          </cell>
          <cell r="V299">
            <v>0</v>
          </cell>
          <cell r="W299" t="str">
            <v>HEPTRAL</v>
          </cell>
          <cell r="X299" t="str">
            <v xml:space="preserve">DUSPATALIN </v>
          </cell>
          <cell r="Y299">
            <v>0</v>
          </cell>
          <cell r="Z299">
            <v>0</v>
          </cell>
          <cell r="AA299">
            <v>0.35</v>
          </cell>
          <cell r="AB299">
            <v>12052.300000000003</v>
          </cell>
          <cell r="AC299">
            <v>2745.5</v>
          </cell>
          <cell r="AD299">
            <v>0</v>
          </cell>
          <cell r="AE299">
            <v>0</v>
          </cell>
          <cell r="AF299">
            <v>18117.230232160731</v>
          </cell>
          <cell r="AG299">
            <v>2992.5</v>
          </cell>
          <cell r="AH299">
            <v>0</v>
          </cell>
          <cell r="AI299">
            <v>0</v>
          </cell>
          <cell r="AJ299" t="str">
            <v>IRS 19</v>
          </cell>
          <cell r="AK299" t="str">
            <v>IMUDON</v>
          </cell>
          <cell r="AL299">
            <v>0</v>
          </cell>
          <cell r="AM299">
            <v>0</v>
          </cell>
          <cell r="AN299">
            <v>0.1</v>
          </cell>
          <cell r="AO299">
            <v>972</v>
          </cell>
          <cell r="AP299">
            <v>1440</v>
          </cell>
          <cell r="AQ299">
            <v>0</v>
          </cell>
          <cell r="AR299">
            <v>0</v>
          </cell>
          <cell r="AS299">
            <v>1186.2974717837715</v>
          </cell>
          <cell r="AT299">
            <v>720</v>
          </cell>
          <cell r="AU299">
            <v>0</v>
          </cell>
          <cell r="AV299">
            <v>0</v>
          </cell>
          <cell r="AW299" t="str">
            <v xml:space="preserve">GANATON </v>
          </cell>
          <cell r="AX299" t="str">
            <v>DUPHABEARS</v>
          </cell>
          <cell r="AY299">
            <v>0</v>
          </cell>
          <cell r="AZ299">
            <v>0</v>
          </cell>
          <cell r="BA299">
            <v>5.0000000000000017E-2</v>
          </cell>
          <cell r="BB299">
            <v>99.600000000000009</v>
          </cell>
          <cell r="BC299">
            <v>590.4</v>
          </cell>
          <cell r="BD299">
            <v>0</v>
          </cell>
          <cell r="BE299">
            <v>0</v>
          </cell>
          <cell r="BF299">
            <v>664</v>
          </cell>
          <cell r="BG299">
            <v>364.9</v>
          </cell>
          <cell r="BH299">
            <v>0</v>
          </cell>
          <cell r="BI299">
            <v>0</v>
          </cell>
          <cell r="BJ299">
            <v>57218.710000000006</v>
          </cell>
          <cell r="BK299">
            <v>62731.180940842853</v>
          </cell>
          <cell r="BL299" t="str">
            <v/>
          </cell>
          <cell r="BM299">
            <v>0.83</v>
          </cell>
          <cell r="BO299" t="str">
            <v>Newcomer</v>
          </cell>
          <cell r="BP299">
            <v>42856</v>
          </cell>
          <cell r="BQ299">
            <v>2</v>
          </cell>
          <cell r="BR299">
            <v>5</v>
          </cell>
          <cell r="BS299">
            <v>6</v>
          </cell>
          <cell r="BT299">
            <v>395525</v>
          </cell>
          <cell r="BU299">
            <v>0.66666666666666663</v>
          </cell>
          <cell r="BW299">
            <v>1.016</v>
          </cell>
          <cell r="BX299">
            <v>0.70099999999999996</v>
          </cell>
          <cell r="BY299">
            <v>1.2649999999999999</v>
          </cell>
          <cell r="BZ299">
            <v>0.67100000000000004</v>
          </cell>
          <cell r="CG299">
            <v>0.91</v>
          </cell>
          <cell r="CH299">
            <v>1</v>
          </cell>
          <cell r="CI299">
            <v>0.7</v>
          </cell>
          <cell r="CJ299">
            <v>0</v>
          </cell>
          <cell r="CK299">
            <v>0.5</v>
          </cell>
        </row>
        <row r="300">
          <cell r="A300" t="str">
            <v>86Q2</v>
          </cell>
          <cell r="B300" t="str">
            <v>Q2</v>
          </cell>
          <cell r="C300">
            <v>86</v>
          </cell>
          <cell r="D300" t="str">
            <v>Dikambayev Zhiger</v>
          </cell>
          <cell r="E300" t="str">
            <v>Medical Representative</v>
          </cell>
          <cell r="F300">
            <v>42826</v>
          </cell>
          <cell r="G300" t="str">
            <v/>
          </cell>
          <cell r="H300" t="str">
            <v/>
          </cell>
          <cell r="I300" t="str">
            <v>Line 2</v>
          </cell>
          <cell r="J300" t="str">
            <v xml:space="preserve">DUPHASTON </v>
          </cell>
          <cell r="K300" t="str">
            <v>FEMOSTON</v>
          </cell>
          <cell r="L300">
            <v>0</v>
          </cell>
          <cell r="M300">
            <v>0</v>
          </cell>
          <cell r="N300">
            <v>0.3</v>
          </cell>
          <cell r="O300">
            <v>24705</v>
          </cell>
          <cell r="P300">
            <v>13699.599999999999</v>
          </cell>
          <cell r="Q300">
            <v>0</v>
          </cell>
          <cell r="R300">
            <v>0</v>
          </cell>
          <cell r="S300">
            <v>36450</v>
          </cell>
          <cell r="T300">
            <v>9419.2466705295428</v>
          </cell>
          <cell r="U300">
            <v>0</v>
          </cell>
          <cell r="V300">
            <v>0</v>
          </cell>
          <cell r="W300" t="str">
            <v>PHYSIOTENS</v>
          </cell>
          <cell r="X300" t="str">
            <v>TRICOR /LIPANTHYL</v>
          </cell>
          <cell r="Y300" t="str">
            <v>OMACOR</v>
          </cell>
          <cell r="Z300">
            <v>0</v>
          </cell>
          <cell r="AA300">
            <v>0.25</v>
          </cell>
          <cell r="AB300">
            <v>122399.5</v>
          </cell>
          <cell r="AC300">
            <v>814.86999999999989</v>
          </cell>
          <cell r="AD300">
            <v>186</v>
          </cell>
          <cell r="AE300">
            <v>0</v>
          </cell>
          <cell r="AF300">
            <v>76461.799754547013</v>
          </cell>
          <cell r="AG300">
            <v>1247.25</v>
          </cell>
          <cell r="AH300">
            <v>651</v>
          </cell>
          <cell r="AI300">
            <v>0</v>
          </cell>
          <cell r="AJ300" t="str">
            <v>HEPTRAL</v>
          </cell>
          <cell r="AK300">
            <v>0</v>
          </cell>
          <cell r="AL300">
            <v>0</v>
          </cell>
          <cell r="AM300">
            <v>0</v>
          </cell>
          <cell r="AN300">
            <v>0.25</v>
          </cell>
          <cell r="AO300">
            <v>51247.040000000008</v>
          </cell>
          <cell r="AP300">
            <v>0</v>
          </cell>
          <cell r="AQ300">
            <v>0</v>
          </cell>
          <cell r="AR300">
            <v>0</v>
          </cell>
          <cell r="AS300">
            <v>31448.069263445475</v>
          </cell>
          <cell r="AT300">
            <v>0</v>
          </cell>
          <cell r="AU300">
            <v>0</v>
          </cell>
          <cell r="AV300">
            <v>0</v>
          </cell>
          <cell r="AW300" t="str">
            <v>BETASERC</v>
          </cell>
          <cell r="AX300" t="str">
            <v xml:space="preserve">DUPHALAC </v>
          </cell>
          <cell r="AY300" t="str">
            <v>CREON</v>
          </cell>
          <cell r="AZ300">
            <v>0</v>
          </cell>
          <cell r="BA300">
            <v>0.19999999999999996</v>
          </cell>
          <cell r="BB300">
            <v>16825</v>
          </cell>
          <cell r="BC300">
            <v>2991.2000000000003</v>
          </cell>
          <cell r="BD300">
            <v>2842.7035000000001</v>
          </cell>
          <cell r="BE300">
            <v>0</v>
          </cell>
          <cell r="BF300">
            <v>12010.130070820582</v>
          </cell>
          <cell r="BG300">
            <v>2409</v>
          </cell>
          <cell r="BH300">
            <v>1880.1000000000001</v>
          </cell>
          <cell r="BI300">
            <v>0</v>
          </cell>
          <cell r="BJ300">
            <v>235710.91350000002</v>
          </cell>
          <cell r="BK300">
            <v>171976.5957593426</v>
          </cell>
          <cell r="BM300">
            <v>0</v>
          </cell>
          <cell r="BO300" t="str">
            <v>Newcomer</v>
          </cell>
          <cell r="BP300">
            <v>42917</v>
          </cell>
          <cell r="BQ300">
            <v>0</v>
          </cell>
          <cell r="BR300">
            <v>7</v>
          </cell>
          <cell r="BS300">
            <v>6</v>
          </cell>
          <cell r="BT300">
            <v>395525</v>
          </cell>
          <cell r="BU300">
            <v>0</v>
          </cell>
          <cell r="BW300">
            <v>0.83699999999999997</v>
          </cell>
          <cell r="BX300">
            <v>1.575</v>
          </cell>
          <cell r="BY300">
            <v>1.63</v>
          </cell>
          <cell r="BZ300">
            <v>1.39</v>
          </cell>
          <cell r="CG300">
            <v>1.37</v>
          </cell>
          <cell r="CH300">
            <v>1</v>
          </cell>
          <cell r="CI300">
            <v>2.5</v>
          </cell>
          <cell r="CJ300">
            <v>0</v>
          </cell>
          <cell r="CK300">
            <v>0</v>
          </cell>
        </row>
        <row r="301">
          <cell r="A301" t="str">
            <v>87Q2</v>
          </cell>
          <cell r="B301" t="str">
            <v>Q2</v>
          </cell>
          <cell r="C301">
            <v>87</v>
          </cell>
          <cell r="D301" t="str">
            <v>Dubova Yevgeniya</v>
          </cell>
          <cell r="E301" t="str">
            <v>Medical Representative</v>
          </cell>
          <cell r="F301">
            <v>41625</v>
          </cell>
          <cell r="G301">
            <v>42516</v>
          </cell>
          <cell r="H301">
            <v>42807</v>
          </cell>
          <cell r="I301" t="str">
            <v>Line 2</v>
          </cell>
          <cell r="J301" t="str">
            <v xml:space="preserve">DUPHASTON </v>
          </cell>
          <cell r="K301" t="str">
            <v>FEMOSTON</v>
          </cell>
          <cell r="L301">
            <v>0</v>
          </cell>
          <cell r="M301">
            <v>0</v>
          </cell>
          <cell r="N301">
            <v>0.3</v>
          </cell>
          <cell r="O301">
            <v>17914.5</v>
          </cell>
          <cell r="P301">
            <v>8317.1999999999989</v>
          </cell>
          <cell r="Q301">
            <v>0</v>
          </cell>
          <cell r="R301">
            <v>0</v>
          </cell>
          <cell r="S301">
            <v>20558.104157270034</v>
          </cell>
          <cell r="T301">
            <v>7691.2554508589183</v>
          </cell>
          <cell r="U301">
            <v>0</v>
          </cell>
          <cell r="V301">
            <v>0</v>
          </cell>
          <cell r="W301" t="str">
            <v>PHYSIOTENS</v>
          </cell>
          <cell r="X301" t="str">
            <v>TRICOR /LIPANTHYL</v>
          </cell>
          <cell r="Y301" t="str">
            <v>OMACOR</v>
          </cell>
          <cell r="Z301">
            <v>0</v>
          </cell>
          <cell r="AA301">
            <v>0.25</v>
          </cell>
          <cell r="AB301">
            <v>80399</v>
          </cell>
          <cell r="AC301">
            <v>83.15</v>
          </cell>
          <cell r="AD301">
            <v>93</v>
          </cell>
          <cell r="AE301">
            <v>0</v>
          </cell>
          <cell r="AF301">
            <v>52770</v>
          </cell>
          <cell r="AG301">
            <v>104.47338638231852</v>
          </cell>
          <cell r="AH301">
            <v>431.50410972785289</v>
          </cell>
          <cell r="AI301">
            <v>0</v>
          </cell>
          <cell r="AJ301" t="str">
            <v>HEPTRAL</v>
          </cell>
          <cell r="AK301">
            <v>0</v>
          </cell>
          <cell r="AL301">
            <v>0</v>
          </cell>
          <cell r="AM301">
            <v>0</v>
          </cell>
          <cell r="AN301">
            <v>0.25</v>
          </cell>
          <cell r="AO301">
            <v>10500.36</v>
          </cell>
          <cell r="AP301">
            <v>0</v>
          </cell>
          <cell r="AQ301">
            <v>0</v>
          </cell>
          <cell r="AR301">
            <v>0</v>
          </cell>
          <cell r="AS301">
            <v>14859.000000000002</v>
          </cell>
          <cell r="AT301">
            <v>0</v>
          </cell>
          <cell r="AU301">
            <v>0</v>
          </cell>
          <cell r="AV301">
            <v>0</v>
          </cell>
          <cell r="AW301" t="str">
            <v>BETASERC</v>
          </cell>
          <cell r="AX301" t="str">
            <v xml:space="preserve">DUPHALAC </v>
          </cell>
          <cell r="AY301" t="str">
            <v>CREON</v>
          </cell>
          <cell r="AZ301">
            <v>0</v>
          </cell>
          <cell r="BA301">
            <v>0.19999999999999996</v>
          </cell>
          <cell r="BB301">
            <v>7587.3200000000015</v>
          </cell>
          <cell r="BC301">
            <v>1704.8500000000001</v>
          </cell>
          <cell r="BD301">
            <v>1627.2559999999999</v>
          </cell>
          <cell r="BE301">
            <v>0</v>
          </cell>
          <cell r="BF301">
            <v>5415.7813446671726</v>
          </cell>
          <cell r="BG301">
            <v>1525</v>
          </cell>
          <cell r="BH301">
            <v>1188.5250000000001</v>
          </cell>
          <cell r="BI301">
            <v>0</v>
          </cell>
          <cell r="BJ301">
            <v>128226.636</v>
          </cell>
          <cell r="BK301">
            <v>104543.6434489063</v>
          </cell>
          <cell r="BM301">
            <v>1</v>
          </cell>
          <cell r="BO301" t="str">
            <v>Staff</v>
          </cell>
          <cell r="BP301">
            <v>41715</v>
          </cell>
          <cell r="BQ301">
            <v>3</v>
          </cell>
          <cell r="BR301">
            <v>4</v>
          </cell>
          <cell r="BS301">
            <v>6</v>
          </cell>
          <cell r="BT301">
            <v>395525</v>
          </cell>
          <cell r="BU301">
            <v>0.5</v>
          </cell>
          <cell r="BW301">
            <v>0.92900000000000005</v>
          </cell>
          <cell r="BX301">
            <v>1.512</v>
          </cell>
          <cell r="BY301">
            <v>0.70699999999999996</v>
          </cell>
          <cell r="BZ301">
            <v>1.343</v>
          </cell>
          <cell r="CG301">
            <v>1.23</v>
          </cell>
          <cell r="CH301">
            <v>1</v>
          </cell>
          <cell r="CI301">
            <v>2.5</v>
          </cell>
          <cell r="CJ301">
            <v>0</v>
          </cell>
          <cell r="CK301">
            <v>1</v>
          </cell>
        </row>
        <row r="302">
          <cell r="A302" t="str">
            <v>88Q2</v>
          </cell>
          <cell r="B302" t="str">
            <v>Q2</v>
          </cell>
          <cell r="C302">
            <v>88</v>
          </cell>
          <cell r="D302" t="str">
            <v>Kalacheva Larissa</v>
          </cell>
          <cell r="E302" t="str">
            <v>Medical Representative</v>
          </cell>
          <cell r="F302">
            <v>42845</v>
          </cell>
          <cell r="G302" t="str">
            <v/>
          </cell>
          <cell r="H302" t="str">
            <v/>
          </cell>
          <cell r="I302" t="str">
            <v>Pharma line</v>
          </cell>
          <cell r="J302" t="str">
            <v>CREON</v>
          </cell>
          <cell r="K302">
            <v>0</v>
          </cell>
          <cell r="L302">
            <v>0</v>
          </cell>
          <cell r="M302">
            <v>0</v>
          </cell>
          <cell r="N302">
            <v>0.45</v>
          </cell>
          <cell r="O302">
            <v>129832.17</v>
          </cell>
          <cell r="P302">
            <v>0</v>
          </cell>
          <cell r="Q302">
            <v>0</v>
          </cell>
          <cell r="R302">
            <v>0</v>
          </cell>
          <cell r="S302">
            <v>98093.769611340016</v>
          </cell>
          <cell r="T302">
            <v>0</v>
          </cell>
          <cell r="U302">
            <v>0</v>
          </cell>
          <cell r="V302">
            <v>0</v>
          </cell>
          <cell r="W302" t="str">
            <v xml:space="preserve">DUPHALAC </v>
          </cell>
          <cell r="X302">
            <v>0</v>
          </cell>
          <cell r="Y302">
            <v>0</v>
          </cell>
          <cell r="Z302">
            <v>0</v>
          </cell>
          <cell r="AA302">
            <v>0.3</v>
          </cell>
          <cell r="AB302">
            <v>52414.5</v>
          </cell>
          <cell r="AC302">
            <v>0</v>
          </cell>
          <cell r="AD302">
            <v>0</v>
          </cell>
          <cell r="AE302">
            <v>0</v>
          </cell>
          <cell r="AF302">
            <v>57231.5</v>
          </cell>
          <cell r="AG302">
            <v>0</v>
          </cell>
          <cell r="AH302">
            <v>0</v>
          </cell>
          <cell r="AI302">
            <v>0</v>
          </cell>
          <cell r="AJ302" t="str">
            <v>IRS 19</v>
          </cell>
          <cell r="AK302" t="str">
            <v>IMUDON</v>
          </cell>
          <cell r="AL302">
            <v>0</v>
          </cell>
          <cell r="AM302">
            <v>0</v>
          </cell>
          <cell r="AN302">
            <v>0.15</v>
          </cell>
          <cell r="AO302">
            <v>6744</v>
          </cell>
          <cell r="AP302">
            <v>8604</v>
          </cell>
          <cell r="AQ302">
            <v>0</v>
          </cell>
          <cell r="AR302">
            <v>0</v>
          </cell>
          <cell r="AS302">
            <v>5400</v>
          </cell>
          <cell r="AT302">
            <v>7920</v>
          </cell>
          <cell r="AU302">
            <v>0</v>
          </cell>
          <cell r="AV302">
            <v>0</v>
          </cell>
          <cell r="AW302" t="str">
            <v>DUPHABEARS</v>
          </cell>
          <cell r="AX302">
            <v>0</v>
          </cell>
          <cell r="AY302">
            <v>0</v>
          </cell>
          <cell r="AZ302">
            <v>0</v>
          </cell>
          <cell r="BA302">
            <v>0.10000000000000006</v>
          </cell>
          <cell r="BB302">
            <v>754.4</v>
          </cell>
          <cell r="BC302">
            <v>0</v>
          </cell>
          <cell r="BD302">
            <v>0</v>
          </cell>
          <cell r="BE302">
            <v>0</v>
          </cell>
          <cell r="BF302">
            <v>1459.6</v>
          </cell>
          <cell r="BG302">
            <v>0</v>
          </cell>
          <cell r="BH302">
            <v>0</v>
          </cell>
          <cell r="BI302">
            <v>0</v>
          </cell>
          <cell r="BJ302">
            <v>198349.06999999998</v>
          </cell>
          <cell r="BK302">
            <v>170104.86961134002</v>
          </cell>
          <cell r="BM302">
            <v>0</v>
          </cell>
          <cell r="BO302" t="str">
            <v>Newcomer</v>
          </cell>
          <cell r="BP302">
            <v>42936</v>
          </cell>
          <cell r="BQ302">
            <v>0</v>
          </cell>
          <cell r="BR302">
            <v>8</v>
          </cell>
          <cell r="BS302">
            <v>6</v>
          </cell>
          <cell r="BT302">
            <v>395525</v>
          </cell>
          <cell r="BU302">
            <v>0</v>
          </cell>
          <cell r="BW302">
            <v>1.3240000000000001</v>
          </cell>
          <cell r="BX302">
            <v>0.91600000000000004</v>
          </cell>
          <cell r="BY302">
            <v>1.1519999999999999</v>
          </cell>
          <cell r="BZ302">
            <v>0.51700000000000002</v>
          </cell>
          <cell r="CG302">
            <v>1.17</v>
          </cell>
          <cell r="CH302">
            <v>1</v>
          </cell>
          <cell r="CI302">
            <v>2.35</v>
          </cell>
          <cell r="CJ302">
            <v>0</v>
          </cell>
          <cell r="CK302">
            <v>0</v>
          </cell>
        </row>
        <row r="303">
          <cell r="A303" t="str">
            <v>89Q2</v>
          </cell>
          <cell r="B303" t="str">
            <v>Q2</v>
          </cell>
          <cell r="C303">
            <v>89</v>
          </cell>
          <cell r="D303" t="str">
            <v>Kalen Temirlan</v>
          </cell>
          <cell r="E303" t="str">
            <v>Medical Representative</v>
          </cell>
          <cell r="F303">
            <v>42887</v>
          </cell>
          <cell r="G303" t="str">
            <v/>
          </cell>
          <cell r="H303" t="str">
            <v/>
          </cell>
          <cell r="I303" t="str">
            <v>Line 2</v>
          </cell>
          <cell r="J303" t="str">
            <v xml:space="preserve">DUPHASTON </v>
          </cell>
          <cell r="K303" t="str">
            <v>FEMOSTON</v>
          </cell>
          <cell r="L303">
            <v>0</v>
          </cell>
          <cell r="M303">
            <v>0</v>
          </cell>
          <cell r="N303">
            <v>0.3</v>
          </cell>
          <cell r="O303">
            <v>44185.5</v>
          </cell>
          <cell r="P303">
            <v>23037.599999999999</v>
          </cell>
          <cell r="Q303">
            <v>0</v>
          </cell>
          <cell r="R303">
            <v>0</v>
          </cell>
          <cell r="S303">
            <v>45833.821824143983</v>
          </cell>
          <cell r="T303">
            <v>24962.39991540305</v>
          </cell>
          <cell r="U303">
            <v>0</v>
          </cell>
          <cell r="V303">
            <v>0</v>
          </cell>
          <cell r="W303" t="str">
            <v>PHYSIOTENS</v>
          </cell>
          <cell r="X303" t="str">
            <v>TRICOR /LIPANTHYL</v>
          </cell>
          <cell r="Y303" t="str">
            <v>OMACOR</v>
          </cell>
          <cell r="Z303">
            <v>0</v>
          </cell>
          <cell r="AA303">
            <v>0.25</v>
          </cell>
          <cell r="AB303">
            <v>133627</v>
          </cell>
          <cell r="AC303">
            <v>2178.5300000000002</v>
          </cell>
          <cell r="AD303">
            <v>1178</v>
          </cell>
          <cell r="AE303">
            <v>0</v>
          </cell>
          <cell r="AF303">
            <v>160345</v>
          </cell>
          <cell r="AG303">
            <v>1995.6</v>
          </cell>
          <cell r="AH303">
            <v>930</v>
          </cell>
          <cell r="AI303">
            <v>0</v>
          </cell>
          <cell r="AJ303" t="str">
            <v>HEPTRAL</v>
          </cell>
          <cell r="AK303">
            <v>0</v>
          </cell>
          <cell r="AL303">
            <v>0</v>
          </cell>
          <cell r="AM303">
            <v>0</v>
          </cell>
          <cell r="AN303">
            <v>0.25</v>
          </cell>
          <cell r="AO303">
            <v>37444.68</v>
          </cell>
          <cell r="AP303">
            <v>0</v>
          </cell>
          <cell r="AQ303">
            <v>0</v>
          </cell>
          <cell r="AR303">
            <v>0</v>
          </cell>
          <cell r="AS303">
            <v>42871.975013682189</v>
          </cell>
          <cell r="AT303">
            <v>0</v>
          </cell>
          <cell r="AU303">
            <v>0</v>
          </cell>
          <cell r="AV303">
            <v>0</v>
          </cell>
          <cell r="AW303" t="str">
            <v>BETASERC</v>
          </cell>
          <cell r="AX303" t="str">
            <v xml:space="preserve">DUPHALAC </v>
          </cell>
          <cell r="AY303" t="str">
            <v>CREON</v>
          </cell>
          <cell r="AZ303">
            <v>0</v>
          </cell>
          <cell r="BA303">
            <v>0.19999999999999996</v>
          </cell>
          <cell r="BB303">
            <v>32072.760000000002</v>
          </cell>
          <cell r="BC303">
            <v>3379.6000000000004</v>
          </cell>
          <cell r="BD303">
            <v>4077.6334999999999</v>
          </cell>
          <cell r="BE303">
            <v>0</v>
          </cell>
          <cell r="BF303">
            <v>25770.075805640707</v>
          </cell>
          <cell r="BG303">
            <v>3308.0313830039436</v>
          </cell>
          <cell r="BH303">
            <v>3902.65</v>
          </cell>
          <cell r="BI303">
            <v>0</v>
          </cell>
          <cell r="BJ303">
            <v>281181.30349999998</v>
          </cell>
          <cell r="BK303">
            <v>309919.55394187389</v>
          </cell>
          <cell r="BM303">
            <v>0</v>
          </cell>
          <cell r="BO303" t="str">
            <v>Newcomer</v>
          </cell>
          <cell r="BP303">
            <v>42979</v>
          </cell>
          <cell r="BQ303">
            <v>0</v>
          </cell>
          <cell r="BR303">
            <v>9</v>
          </cell>
          <cell r="BS303">
            <v>6</v>
          </cell>
          <cell r="BT303">
            <v>395525</v>
          </cell>
          <cell r="BU303">
            <v>0</v>
          </cell>
          <cell r="BW303">
            <v>0.95</v>
          </cell>
          <cell r="BX303">
            <v>0.83899999999999997</v>
          </cell>
          <cell r="BY303">
            <v>0.873</v>
          </cell>
          <cell r="BZ303">
            <v>1.1990000000000001</v>
          </cell>
          <cell r="CG303">
            <v>0.91</v>
          </cell>
          <cell r="CH303">
            <v>1</v>
          </cell>
          <cell r="CI303">
            <v>0.7</v>
          </cell>
          <cell r="CJ303">
            <v>0</v>
          </cell>
          <cell r="CK303">
            <v>0</v>
          </cell>
        </row>
        <row r="304">
          <cell r="A304" t="str">
            <v>90Q2</v>
          </cell>
          <cell r="B304" t="str">
            <v>Q2</v>
          </cell>
          <cell r="C304">
            <v>90</v>
          </cell>
          <cell r="D304" t="str">
            <v>Kassanova Elmira</v>
          </cell>
          <cell r="E304" t="str">
            <v>Medical Representative</v>
          </cell>
          <cell r="F304">
            <v>42739</v>
          </cell>
          <cell r="G304" t="str">
            <v/>
          </cell>
          <cell r="H304" t="str">
            <v/>
          </cell>
          <cell r="I304" t="str">
            <v>Line 1</v>
          </cell>
          <cell r="J304" t="str">
            <v>CREON</v>
          </cell>
          <cell r="K304" t="str">
            <v xml:space="preserve">DUPHALAC </v>
          </cell>
          <cell r="L304">
            <v>0</v>
          </cell>
          <cell r="M304">
            <v>0</v>
          </cell>
          <cell r="N304">
            <v>0.5</v>
          </cell>
          <cell r="O304">
            <v>27687.07</v>
          </cell>
          <cell r="P304">
            <v>15805</v>
          </cell>
          <cell r="Q304">
            <v>0</v>
          </cell>
          <cell r="R304">
            <v>0</v>
          </cell>
          <cell r="S304">
            <v>22863.5</v>
          </cell>
          <cell r="T304">
            <v>14551.568075679897</v>
          </cell>
          <cell r="U304">
            <v>0</v>
          </cell>
          <cell r="V304">
            <v>0</v>
          </cell>
          <cell r="W304" t="str">
            <v>HEPTRAL</v>
          </cell>
          <cell r="X304" t="str">
            <v xml:space="preserve">DUSPATALIN </v>
          </cell>
          <cell r="Y304">
            <v>0</v>
          </cell>
          <cell r="Z304">
            <v>0</v>
          </cell>
          <cell r="AA304">
            <v>0.35</v>
          </cell>
          <cell r="AB304">
            <v>16377.920000000004</v>
          </cell>
          <cell r="AC304">
            <v>4474.5</v>
          </cell>
          <cell r="AD304">
            <v>0</v>
          </cell>
          <cell r="AE304">
            <v>0</v>
          </cell>
          <cell r="AF304">
            <v>19996.585276880491</v>
          </cell>
          <cell r="AG304">
            <v>4750</v>
          </cell>
          <cell r="AH304">
            <v>0</v>
          </cell>
          <cell r="AI304">
            <v>0</v>
          </cell>
          <cell r="AJ304" t="str">
            <v>IRS 19</v>
          </cell>
          <cell r="AK304" t="str">
            <v>IMUDON</v>
          </cell>
          <cell r="AL304">
            <v>0</v>
          </cell>
          <cell r="AM304">
            <v>0</v>
          </cell>
          <cell r="AN304">
            <v>0.1</v>
          </cell>
          <cell r="AO304">
            <v>1656</v>
          </cell>
          <cell r="AP304">
            <v>2880</v>
          </cell>
          <cell r="AQ304">
            <v>0</v>
          </cell>
          <cell r="AR304">
            <v>0</v>
          </cell>
          <cell r="AS304">
            <v>1375.7801677368955</v>
          </cell>
          <cell r="AT304">
            <v>1200</v>
          </cell>
          <cell r="AU304">
            <v>0</v>
          </cell>
          <cell r="AV304">
            <v>0</v>
          </cell>
          <cell r="AW304" t="str">
            <v xml:space="preserve">GANATON </v>
          </cell>
          <cell r="AX304" t="str">
            <v>DUPHABEARS</v>
          </cell>
          <cell r="AY304">
            <v>0</v>
          </cell>
          <cell r="AZ304">
            <v>0</v>
          </cell>
          <cell r="BA304">
            <v>5.0000000000000017E-2</v>
          </cell>
          <cell r="BB304">
            <v>182.60000000000002</v>
          </cell>
          <cell r="BC304">
            <v>274.7</v>
          </cell>
          <cell r="BD304">
            <v>0</v>
          </cell>
          <cell r="BE304">
            <v>0</v>
          </cell>
          <cell r="BF304">
            <v>664</v>
          </cell>
          <cell r="BG304">
            <v>364.9</v>
          </cell>
          <cell r="BH304">
            <v>0</v>
          </cell>
          <cell r="BI304">
            <v>0</v>
          </cell>
          <cell r="BJ304">
            <v>69337.790000000008</v>
          </cell>
          <cell r="BK304">
            <v>65766.333520297281</v>
          </cell>
          <cell r="BM304">
            <v>0.93</v>
          </cell>
          <cell r="BO304" t="str">
            <v>Newcomer</v>
          </cell>
          <cell r="BP304">
            <v>42829</v>
          </cell>
          <cell r="BQ304">
            <v>2</v>
          </cell>
          <cell r="BR304">
            <v>5</v>
          </cell>
          <cell r="BS304">
            <v>6</v>
          </cell>
          <cell r="BT304">
            <v>395525</v>
          </cell>
          <cell r="BU304">
            <v>0.66666666666666663</v>
          </cell>
          <cell r="BW304">
            <v>1.1619999999999999</v>
          </cell>
          <cell r="BX304">
            <v>0.84299999999999997</v>
          </cell>
          <cell r="BY304">
            <v>1.7609999999999999</v>
          </cell>
          <cell r="BZ304">
            <v>0.44400000000000001</v>
          </cell>
          <cell r="CG304">
            <v>1.05</v>
          </cell>
          <cell r="CH304">
            <v>1</v>
          </cell>
          <cell r="CI304">
            <v>1.5</v>
          </cell>
          <cell r="CJ304">
            <v>0</v>
          </cell>
          <cell r="CK304">
            <v>0.5</v>
          </cell>
        </row>
        <row r="305">
          <cell r="A305" t="str">
            <v>91Q2</v>
          </cell>
          <cell r="B305" t="str">
            <v>Q2</v>
          </cell>
          <cell r="C305">
            <v>91</v>
          </cell>
          <cell r="D305" t="str">
            <v>Nassyrov Farukh</v>
          </cell>
          <cell r="E305" t="str">
            <v>Pharm Representative</v>
          </cell>
          <cell r="F305">
            <v>42891</v>
          </cell>
          <cell r="G305" t="str">
            <v/>
          </cell>
          <cell r="H305" t="str">
            <v/>
          </cell>
          <cell r="I305" t="str">
            <v>Pharma line</v>
          </cell>
          <cell r="J305" t="str">
            <v>CREON</v>
          </cell>
          <cell r="K305">
            <v>0</v>
          </cell>
          <cell r="L305">
            <v>0</v>
          </cell>
          <cell r="M305">
            <v>0</v>
          </cell>
          <cell r="N305">
            <v>0.45</v>
          </cell>
          <cell r="O305">
            <v>399217.53</v>
          </cell>
          <cell r="P305">
            <v>0</v>
          </cell>
          <cell r="Q305">
            <v>0</v>
          </cell>
          <cell r="R305">
            <v>0</v>
          </cell>
          <cell r="S305">
            <v>335734.28</v>
          </cell>
          <cell r="T305">
            <v>0</v>
          </cell>
          <cell r="U305">
            <v>0</v>
          </cell>
          <cell r="V305">
            <v>0</v>
          </cell>
          <cell r="W305" t="str">
            <v xml:space="preserve">DUPHALAC </v>
          </cell>
          <cell r="X305">
            <v>0</v>
          </cell>
          <cell r="Y305">
            <v>0</v>
          </cell>
          <cell r="Z305">
            <v>0</v>
          </cell>
          <cell r="AA305">
            <v>0.3</v>
          </cell>
          <cell r="AB305">
            <v>153333</v>
          </cell>
          <cell r="AC305">
            <v>0</v>
          </cell>
          <cell r="AD305">
            <v>0</v>
          </cell>
          <cell r="AE305">
            <v>0</v>
          </cell>
          <cell r="AF305">
            <v>186923.4594124007</v>
          </cell>
          <cell r="AG305">
            <v>0</v>
          </cell>
          <cell r="AH305">
            <v>0</v>
          </cell>
          <cell r="AI305">
            <v>0</v>
          </cell>
          <cell r="AJ305" t="str">
            <v>IRS 19</v>
          </cell>
          <cell r="AK305" t="str">
            <v>IMUDON</v>
          </cell>
          <cell r="AL305">
            <v>0</v>
          </cell>
          <cell r="AM305">
            <v>0</v>
          </cell>
          <cell r="AN305">
            <v>0.15</v>
          </cell>
          <cell r="AO305">
            <v>23592</v>
          </cell>
          <cell r="AP305">
            <v>34668</v>
          </cell>
          <cell r="AQ305">
            <v>0</v>
          </cell>
          <cell r="AR305">
            <v>0</v>
          </cell>
          <cell r="AS305">
            <v>21600</v>
          </cell>
          <cell r="AT305">
            <v>28248</v>
          </cell>
          <cell r="AU305">
            <v>0</v>
          </cell>
          <cell r="AV305">
            <v>0</v>
          </cell>
          <cell r="AW305" t="str">
            <v>DUPHABEARS</v>
          </cell>
          <cell r="AX305">
            <v>0</v>
          </cell>
          <cell r="AY305">
            <v>0</v>
          </cell>
          <cell r="AZ305">
            <v>0</v>
          </cell>
          <cell r="BA305">
            <v>0.10000000000000006</v>
          </cell>
          <cell r="BB305">
            <v>1861.3999999999999</v>
          </cell>
          <cell r="BC305">
            <v>0</v>
          </cell>
          <cell r="BD305">
            <v>0</v>
          </cell>
          <cell r="BE305">
            <v>0</v>
          </cell>
          <cell r="BF305">
            <v>3279.9999999999995</v>
          </cell>
          <cell r="BG305">
            <v>0</v>
          </cell>
          <cell r="BH305">
            <v>0</v>
          </cell>
          <cell r="BI305">
            <v>0</v>
          </cell>
          <cell r="BJ305">
            <v>612671.93000000005</v>
          </cell>
          <cell r="BK305">
            <v>575785.73941240076</v>
          </cell>
          <cell r="BM305">
            <v>0</v>
          </cell>
          <cell r="BO305" t="str">
            <v>Newcomer</v>
          </cell>
          <cell r="BP305">
            <v>42983</v>
          </cell>
          <cell r="BQ305">
            <v>0</v>
          </cell>
          <cell r="BR305">
            <v>10</v>
          </cell>
          <cell r="BS305">
            <v>6</v>
          </cell>
          <cell r="BT305">
            <v>395525</v>
          </cell>
          <cell r="BU305">
            <v>0</v>
          </cell>
          <cell r="BW305">
            <v>1.1890000000000001</v>
          </cell>
          <cell r="BX305">
            <v>0.82</v>
          </cell>
          <cell r="BY305">
            <v>1.169</v>
          </cell>
          <cell r="BZ305">
            <v>0.56799999999999995</v>
          </cell>
          <cell r="CG305">
            <v>1.06</v>
          </cell>
          <cell r="CH305">
            <v>1</v>
          </cell>
          <cell r="CI305">
            <v>1.6</v>
          </cell>
          <cell r="CJ305">
            <v>0</v>
          </cell>
          <cell r="CK305">
            <v>0</v>
          </cell>
        </row>
        <row r="306">
          <cell r="A306" t="str">
            <v>92Q2</v>
          </cell>
          <cell r="B306" t="str">
            <v>Q2</v>
          </cell>
          <cell r="C306">
            <v>92</v>
          </cell>
          <cell r="D306" t="str">
            <v>Volkova Svetlana</v>
          </cell>
          <cell r="E306" t="str">
            <v>Medical Representative</v>
          </cell>
          <cell r="F306">
            <v>42835</v>
          </cell>
          <cell r="G306" t="str">
            <v/>
          </cell>
          <cell r="H306" t="str">
            <v/>
          </cell>
          <cell r="I306" t="str">
            <v>Line 1</v>
          </cell>
          <cell r="J306" t="str">
            <v>CREON</v>
          </cell>
          <cell r="K306" t="str">
            <v xml:space="preserve">DUPHALAC </v>
          </cell>
          <cell r="L306">
            <v>0</v>
          </cell>
          <cell r="M306">
            <v>0</v>
          </cell>
          <cell r="N306">
            <v>0.5</v>
          </cell>
          <cell r="O306">
            <v>129832.17</v>
          </cell>
          <cell r="P306">
            <v>52414.5</v>
          </cell>
          <cell r="Q306">
            <v>0</v>
          </cell>
          <cell r="R306">
            <v>0</v>
          </cell>
          <cell r="S306">
            <v>98093.769611340016</v>
          </cell>
          <cell r="T306">
            <v>57231.5</v>
          </cell>
          <cell r="U306">
            <v>0</v>
          </cell>
          <cell r="V306">
            <v>0</v>
          </cell>
          <cell r="W306" t="str">
            <v>HEPTRAL</v>
          </cell>
          <cell r="X306" t="str">
            <v xml:space="preserve">DUSPATALIN </v>
          </cell>
          <cell r="Y306">
            <v>0</v>
          </cell>
          <cell r="Z306">
            <v>0</v>
          </cell>
          <cell r="AA306">
            <v>0.35</v>
          </cell>
          <cell r="AB306">
            <v>53495.702000000005</v>
          </cell>
          <cell r="AC306">
            <v>14834.25</v>
          </cell>
          <cell r="AD306">
            <v>0</v>
          </cell>
          <cell r="AE306">
            <v>0</v>
          </cell>
          <cell r="AF306">
            <v>73553.020687511817</v>
          </cell>
          <cell r="AG306">
            <v>18525</v>
          </cell>
          <cell r="AH306">
            <v>0</v>
          </cell>
          <cell r="AI306">
            <v>0</v>
          </cell>
          <cell r="AJ306" t="str">
            <v>IRS 19</v>
          </cell>
          <cell r="AK306" t="str">
            <v>IMUDON</v>
          </cell>
          <cell r="AL306">
            <v>0</v>
          </cell>
          <cell r="AM306">
            <v>0</v>
          </cell>
          <cell r="AN306">
            <v>0.1</v>
          </cell>
          <cell r="AO306">
            <v>6744</v>
          </cell>
          <cell r="AP306">
            <v>8604</v>
          </cell>
          <cell r="AQ306">
            <v>0</v>
          </cell>
          <cell r="AR306">
            <v>0</v>
          </cell>
          <cell r="AS306">
            <v>5400</v>
          </cell>
          <cell r="AT306">
            <v>7920</v>
          </cell>
          <cell r="AU306">
            <v>0</v>
          </cell>
          <cell r="AV306">
            <v>0</v>
          </cell>
          <cell r="AW306" t="str">
            <v xml:space="preserve">GANATON </v>
          </cell>
          <cell r="AX306" t="str">
            <v>DUPHABEARS</v>
          </cell>
          <cell r="AY306">
            <v>0</v>
          </cell>
          <cell r="AZ306">
            <v>0</v>
          </cell>
          <cell r="BA306">
            <v>5.0000000000000017E-2</v>
          </cell>
          <cell r="BB306">
            <v>365.20000000000005</v>
          </cell>
          <cell r="BC306">
            <v>754.4</v>
          </cell>
          <cell r="BD306">
            <v>0</v>
          </cell>
          <cell r="BE306">
            <v>0</v>
          </cell>
          <cell r="BF306">
            <v>2490.0000000000005</v>
          </cell>
          <cell r="BG306">
            <v>1459.6</v>
          </cell>
          <cell r="BH306">
            <v>0</v>
          </cell>
          <cell r="BI306">
            <v>0</v>
          </cell>
          <cell r="BJ306">
            <v>267044.22199999995</v>
          </cell>
          <cell r="BK306">
            <v>264672.89029885182</v>
          </cell>
          <cell r="BM306">
            <v>0</v>
          </cell>
          <cell r="BO306" t="str">
            <v>Newcomer</v>
          </cell>
          <cell r="BP306">
            <v>42926</v>
          </cell>
          <cell r="BQ306">
            <v>0</v>
          </cell>
          <cell r="BR306">
            <v>8</v>
          </cell>
          <cell r="BS306">
            <v>6</v>
          </cell>
          <cell r="BT306">
            <v>395525</v>
          </cell>
          <cell r="BU306">
            <v>0</v>
          </cell>
          <cell r="BW306">
            <v>1.173</v>
          </cell>
          <cell r="BX306">
            <v>0.74199999999999999</v>
          </cell>
          <cell r="BY306">
            <v>1.1519999999999999</v>
          </cell>
          <cell r="BZ306">
            <v>0.28299999999999997</v>
          </cell>
          <cell r="CG306">
            <v>1.01</v>
          </cell>
          <cell r="CH306">
            <v>1</v>
          </cell>
          <cell r="CI306">
            <v>1.1000000000000001</v>
          </cell>
          <cell r="CJ306">
            <v>0</v>
          </cell>
          <cell r="CK306">
            <v>0</v>
          </cell>
        </row>
        <row r="307">
          <cell r="A307" t="str">
            <v>93Q2</v>
          </cell>
          <cell r="B307" t="str">
            <v>Q2</v>
          </cell>
          <cell r="C307">
            <v>93</v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1</v>
          </cell>
          <cell r="BJ307">
            <v>0</v>
          </cell>
          <cell r="BK307">
            <v>0</v>
          </cell>
          <cell r="BO307" t="e">
            <v>#VALUE!</v>
          </cell>
          <cell r="BP307" t="e">
            <v>#VALUE!</v>
          </cell>
          <cell r="BQ307" t="e">
            <v>#VALUE!</v>
          </cell>
          <cell r="BR307" t="e">
            <v>#VALUE!</v>
          </cell>
          <cell r="BS307" t="e">
            <v>#VALUE!</v>
          </cell>
          <cell r="BT307">
            <v>0</v>
          </cell>
          <cell r="BU307" t="str">
            <v/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</row>
        <row r="308">
          <cell r="A308" t="str">
            <v>94Q2</v>
          </cell>
          <cell r="B308" t="str">
            <v>Q2</v>
          </cell>
          <cell r="C308">
            <v>94</v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1</v>
          </cell>
          <cell r="BJ308">
            <v>0</v>
          </cell>
          <cell r="BK308">
            <v>0</v>
          </cell>
          <cell r="BO308" t="e">
            <v>#VALUE!</v>
          </cell>
          <cell r="BP308" t="e">
            <v>#VALUE!</v>
          </cell>
          <cell r="BQ308" t="e">
            <v>#VALUE!</v>
          </cell>
          <cell r="BR308" t="e">
            <v>#VALUE!</v>
          </cell>
          <cell r="BS308" t="e">
            <v>#VALUE!</v>
          </cell>
          <cell r="BT308">
            <v>0</v>
          </cell>
          <cell r="BU308" t="str">
            <v/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</row>
        <row r="309">
          <cell r="A309" t="str">
            <v>95Q2</v>
          </cell>
          <cell r="B309" t="str">
            <v>Q2</v>
          </cell>
          <cell r="C309">
            <v>95</v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1</v>
          </cell>
          <cell r="BJ309">
            <v>0</v>
          </cell>
          <cell r="BK309">
            <v>0</v>
          </cell>
          <cell r="BO309" t="e">
            <v>#VALUE!</v>
          </cell>
          <cell r="BP309" t="e">
            <v>#VALUE!</v>
          </cell>
          <cell r="BQ309" t="e">
            <v>#VALUE!</v>
          </cell>
          <cell r="BR309" t="e">
            <v>#VALUE!</v>
          </cell>
          <cell r="BS309" t="e">
            <v>#VALUE!</v>
          </cell>
          <cell r="BT309">
            <v>0</v>
          </cell>
          <cell r="BU309" t="str">
            <v/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</row>
        <row r="310">
          <cell r="A310" t="str">
            <v>96Q2</v>
          </cell>
          <cell r="B310" t="str">
            <v>Q2</v>
          </cell>
          <cell r="C310">
            <v>96</v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1</v>
          </cell>
          <cell r="BJ310">
            <v>0</v>
          </cell>
          <cell r="BK310">
            <v>0</v>
          </cell>
          <cell r="BO310" t="e">
            <v>#VALUE!</v>
          </cell>
          <cell r="BP310" t="e">
            <v>#VALUE!</v>
          </cell>
          <cell r="BQ310" t="e">
            <v>#VALUE!</v>
          </cell>
          <cell r="BR310" t="e">
            <v>#VALUE!</v>
          </cell>
          <cell r="BS310" t="e">
            <v>#VALUE!</v>
          </cell>
          <cell r="BT310">
            <v>0</v>
          </cell>
          <cell r="BU310" t="str">
            <v/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</row>
        <row r="311">
          <cell r="A311" t="str">
            <v>97Q2</v>
          </cell>
          <cell r="B311" t="str">
            <v>Q2</v>
          </cell>
          <cell r="C311">
            <v>97</v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1</v>
          </cell>
          <cell r="BJ311">
            <v>0</v>
          </cell>
          <cell r="BK311">
            <v>0</v>
          </cell>
          <cell r="BO311" t="e">
            <v>#VALUE!</v>
          </cell>
          <cell r="BP311" t="e">
            <v>#VALUE!</v>
          </cell>
          <cell r="BQ311" t="e">
            <v>#VALUE!</v>
          </cell>
          <cell r="BR311" t="e">
            <v>#VALUE!</v>
          </cell>
          <cell r="BS311" t="e">
            <v>#VALUE!</v>
          </cell>
          <cell r="BT311">
            <v>0</v>
          </cell>
          <cell r="BU311" t="str">
            <v/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</row>
        <row r="312">
          <cell r="A312" t="str">
            <v>98Q2</v>
          </cell>
          <cell r="B312" t="str">
            <v>Q2</v>
          </cell>
          <cell r="C312">
            <v>98</v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1</v>
          </cell>
          <cell r="BJ312">
            <v>0</v>
          </cell>
          <cell r="BK312">
            <v>0</v>
          </cell>
          <cell r="BO312" t="e">
            <v>#VALUE!</v>
          </cell>
          <cell r="BP312" t="e">
            <v>#VALUE!</v>
          </cell>
          <cell r="BQ312" t="e">
            <v>#VALUE!</v>
          </cell>
          <cell r="BR312" t="e">
            <v>#VALUE!</v>
          </cell>
          <cell r="BS312" t="e">
            <v>#VALUE!</v>
          </cell>
          <cell r="BT312">
            <v>0</v>
          </cell>
          <cell r="BU312" t="str">
            <v/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</row>
        <row r="313">
          <cell r="A313" t="str">
            <v>99Q2</v>
          </cell>
          <cell r="B313" t="str">
            <v>Q2</v>
          </cell>
          <cell r="C313">
            <v>99</v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1</v>
          </cell>
          <cell r="BJ313">
            <v>0</v>
          </cell>
          <cell r="BK313">
            <v>0</v>
          </cell>
          <cell r="BO313" t="e">
            <v>#VALUE!</v>
          </cell>
          <cell r="BP313" t="e">
            <v>#VALUE!</v>
          </cell>
          <cell r="BQ313" t="e">
            <v>#VALUE!</v>
          </cell>
          <cell r="BR313" t="e">
            <v>#VALUE!</v>
          </cell>
          <cell r="BS313" t="e">
            <v>#VALUE!</v>
          </cell>
          <cell r="BT313">
            <v>0</v>
          </cell>
          <cell r="BU313" t="str">
            <v/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</row>
        <row r="314">
          <cell r="A314" t="str">
            <v>100Q2</v>
          </cell>
          <cell r="B314" t="str">
            <v>Q2</v>
          </cell>
          <cell r="C314">
            <v>100</v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1</v>
          </cell>
          <cell r="BJ314">
            <v>0</v>
          </cell>
          <cell r="BK314">
            <v>0</v>
          </cell>
          <cell r="BO314" t="e">
            <v>#VALUE!</v>
          </cell>
          <cell r="BP314" t="e">
            <v>#VALUE!</v>
          </cell>
          <cell r="BQ314" t="e">
            <v>#VALUE!</v>
          </cell>
          <cell r="BR314" t="e">
            <v>#VALUE!</v>
          </cell>
          <cell r="BS314" t="e">
            <v>#VALUE!</v>
          </cell>
          <cell r="BT314">
            <v>0</v>
          </cell>
          <cell r="BU314" t="str">
            <v/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</row>
        <row r="315">
          <cell r="A315" t="str">
            <v>101Q2</v>
          </cell>
          <cell r="B315" t="str">
            <v>Q2</v>
          </cell>
          <cell r="C315">
            <v>101</v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1</v>
          </cell>
          <cell r="BJ315">
            <v>0</v>
          </cell>
          <cell r="BK315">
            <v>0</v>
          </cell>
          <cell r="BO315" t="e">
            <v>#VALUE!</v>
          </cell>
          <cell r="BP315" t="e">
            <v>#VALUE!</v>
          </cell>
          <cell r="BQ315" t="e">
            <v>#VALUE!</v>
          </cell>
          <cell r="BR315" t="e">
            <v>#VALUE!</v>
          </cell>
          <cell r="BS315" t="e">
            <v>#VALUE!</v>
          </cell>
          <cell r="BT315">
            <v>0</v>
          </cell>
          <cell r="BU315" t="str">
            <v/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</row>
        <row r="316">
          <cell r="A316" t="str">
            <v>102Q2</v>
          </cell>
          <cell r="B316" t="str">
            <v>Q2</v>
          </cell>
          <cell r="C316">
            <v>102</v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1</v>
          </cell>
          <cell r="BJ316">
            <v>0</v>
          </cell>
          <cell r="BK316">
            <v>0</v>
          </cell>
          <cell r="BO316" t="e">
            <v>#VALUE!</v>
          </cell>
          <cell r="BP316" t="e">
            <v>#VALUE!</v>
          </cell>
          <cell r="BQ316" t="e">
            <v>#VALUE!</v>
          </cell>
          <cell r="BR316" t="e">
            <v>#VALUE!</v>
          </cell>
          <cell r="BS316" t="e">
            <v>#VALUE!</v>
          </cell>
          <cell r="BT316">
            <v>0</v>
          </cell>
          <cell r="BU316" t="str">
            <v/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</row>
        <row r="317">
          <cell r="A317" t="str">
            <v>103Q2</v>
          </cell>
          <cell r="B317" t="str">
            <v>Q2</v>
          </cell>
          <cell r="C317">
            <v>103</v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1</v>
          </cell>
          <cell r="BJ317">
            <v>0</v>
          </cell>
          <cell r="BK317">
            <v>0</v>
          </cell>
          <cell r="BO317" t="e">
            <v>#VALUE!</v>
          </cell>
          <cell r="BP317" t="e">
            <v>#VALUE!</v>
          </cell>
          <cell r="BQ317" t="e">
            <v>#VALUE!</v>
          </cell>
          <cell r="BR317" t="e">
            <v>#VALUE!</v>
          </cell>
          <cell r="BS317" t="e">
            <v>#VALUE!</v>
          </cell>
          <cell r="BT317">
            <v>0</v>
          </cell>
          <cell r="BU317" t="str">
            <v/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</row>
        <row r="318">
          <cell r="A318" t="str">
            <v>104Q2</v>
          </cell>
          <cell r="B318" t="str">
            <v>Q2</v>
          </cell>
          <cell r="C318">
            <v>104</v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1</v>
          </cell>
          <cell r="BJ318">
            <v>0</v>
          </cell>
          <cell r="BK318">
            <v>0</v>
          </cell>
          <cell r="BO318" t="e">
            <v>#VALUE!</v>
          </cell>
          <cell r="BP318" t="e">
            <v>#VALUE!</v>
          </cell>
          <cell r="BQ318" t="e">
            <v>#VALUE!</v>
          </cell>
          <cell r="BR318" t="e">
            <v>#VALUE!</v>
          </cell>
          <cell r="BS318" t="e">
            <v>#VALUE!</v>
          </cell>
          <cell r="BT318">
            <v>0</v>
          </cell>
          <cell r="BU318" t="str">
            <v/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</row>
        <row r="319">
          <cell r="A319" t="str">
            <v>105Q2</v>
          </cell>
          <cell r="B319" t="str">
            <v>Q2</v>
          </cell>
          <cell r="C319">
            <v>105</v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1</v>
          </cell>
          <cell r="BJ319">
            <v>0</v>
          </cell>
          <cell r="BK319">
            <v>0</v>
          </cell>
          <cell r="BO319" t="e">
            <v>#VALUE!</v>
          </cell>
          <cell r="BP319" t="e">
            <v>#VALUE!</v>
          </cell>
          <cell r="BQ319" t="e">
            <v>#VALUE!</v>
          </cell>
          <cell r="BR319" t="e">
            <v>#VALUE!</v>
          </cell>
          <cell r="BS319" t="e">
            <v>#VALUE!</v>
          </cell>
          <cell r="BT319">
            <v>0</v>
          </cell>
          <cell r="BU319" t="str">
            <v/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</row>
        <row r="320">
          <cell r="A320" t="str">
            <v>106Q2</v>
          </cell>
          <cell r="B320" t="str">
            <v>Q2</v>
          </cell>
          <cell r="C320">
            <v>106</v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1</v>
          </cell>
          <cell r="BJ320">
            <v>0</v>
          </cell>
          <cell r="BK320">
            <v>0</v>
          </cell>
          <cell r="BO320" t="e">
            <v>#VALUE!</v>
          </cell>
          <cell r="BP320" t="e">
            <v>#VALUE!</v>
          </cell>
          <cell r="BQ320" t="e">
            <v>#VALUE!</v>
          </cell>
          <cell r="BR320" t="e">
            <v>#VALUE!</v>
          </cell>
          <cell r="BS320" t="e">
            <v>#VALUE!</v>
          </cell>
          <cell r="BT320">
            <v>0</v>
          </cell>
          <cell r="BU320" t="str">
            <v/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</row>
        <row r="321">
          <cell r="A321" t="str">
            <v>107Q2</v>
          </cell>
          <cell r="B321" t="str">
            <v>Q2</v>
          </cell>
          <cell r="C321">
            <v>107</v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1</v>
          </cell>
          <cell r="BJ321">
            <v>0</v>
          </cell>
          <cell r="BK321">
            <v>0</v>
          </cell>
          <cell r="BO321" t="e">
            <v>#VALUE!</v>
          </cell>
          <cell r="BP321" t="e">
            <v>#VALUE!</v>
          </cell>
          <cell r="BQ321" t="e">
            <v>#VALUE!</v>
          </cell>
          <cell r="BR321" t="e">
            <v>#VALUE!</v>
          </cell>
          <cell r="BS321" t="e">
            <v>#VALUE!</v>
          </cell>
          <cell r="BT321">
            <v>0</v>
          </cell>
          <cell r="BU321" t="str">
            <v/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</row>
        <row r="322">
          <cell r="A322" t="str">
            <v>108Q2</v>
          </cell>
          <cell r="B322" t="str">
            <v>Q2</v>
          </cell>
          <cell r="C322">
            <v>108</v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1</v>
          </cell>
          <cell r="BJ322">
            <v>0</v>
          </cell>
          <cell r="BK322">
            <v>0</v>
          </cell>
          <cell r="BO322" t="e">
            <v>#VALUE!</v>
          </cell>
          <cell r="BP322" t="e">
            <v>#VALUE!</v>
          </cell>
          <cell r="BQ322" t="e">
            <v>#VALUE!</v>
          </cell>
          <cell r="BR322" t="e">
            <v>#VALUE!</v>
          </cell>
          <cell r="BS322" t="e">
            <v>#VALUE!</v>
          </cell>
          <cell r="BT322">
            <v>0</v>
          </cell>
          <cell r="BU322" t="str">
            <v/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</row>
        <row r="323">
          <cell r="A323" t="str">
            <v>109Q2</v>
          </cell>
          <cell r="B323" t="str">
            <v>Q2</v>
          </cell>
          <cell r="C323">
            <v>109</v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1</v>
          </cell>
          <cell r="BJ323">
            <v>0</v>
          </cell>
          <cell r="BK323">
            <v>0</v>
          </cell>
          <cell r="BO323" t="e">
            <v>#VALUE!</v>
          </cell>
          <cell r="BP323" t="e">
            <v>#VALUE!</v>
          </cell>
          <cell r="BQ323" t="e">
            <v>#VALUE!</v>
          </cell>
          <cell r="BR323" t="e">
            <v>#VALUE!</v>
          </cell>
          <cell r="BS323" t="e">
            <v>#VALUE!</v>
          </cell>
          <cell r="BT323">
            <v>0</v>
          </cell>
          <cell r="BU323" t="str">
            <v/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</row>
        <row r="324">
          <cell r="A324" t="str">
            <v>110Q2</v>
          </cell>
          <cell r="B324" t="str">
            <v>Q2</v>
          </cell>
          <cell r="C324">
            <v>110</v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1</v>
          </cell>
          <cell r="BJ324">
            <v>0</v>
          </cell>
          <cell r="BK324">
            <v>0</v>
          </cell>
          <cell r="BO324" t="e">
            <v>#VALUE!</v>
          </cell>
          <cell r="BP324" t="e">
            <v>#VALUE!</v>
          </cell>
          <cell r="BQ324" t="e">
            <v>#VALUE!</v>
          </cell>
          <cell r="BR324" t="e">
            <v>#VALUE!</v>
          </cell>
          <cell r="BS324" t="e">
            <v>#VALUE!</v>
          </cell>
          <cell r="BT324">
            <v>0</v>
          </cell>
          <cell r="BU324" t="str">
            <v/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</row>
        <row r="325">
          <cell r="A325" t="str">
            <v>111Q2</v>
          </cell>
          <cell r="B325" t="str">
            <v>Q2</v>
          </cell>
          <cell r="C325">
            <v>111</v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1</v>
          </cell>
          <cell r="BJ325">
            <v>0</v>
          </cell>
          <cell r="BK325">
            <v>0</v>
          </cell>
          <cell r="BO325" t="e">
            <v>#VALUE!</v>
          </cell>
          <cell r="BP325" t="e">
            <v>#VALUE!</v>
          </cell>
          <cell r="BQ325" t="e">
            <v>#VALUE!</v>
          </cell>
          <cell r="BR325" t="e">
            <v>#VALUE!</v>
          </cell>
          <cell r="BS325" t="e">
            <v>#VALUE!</v>
          </cell>
          <cell r="BT325">
            <v>0</v>
          </cell>
          <cell r="BU325" t="str">
            <v/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</row>
        <row r="326">
          <cell r="A326" t="str">
            <v>112Q2</v>
          </cell>
          <cell r="B326" t="str">
            <v>Q2</v>
          </cell>
          <cell r="C326">
            <v>112</v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1</v>
          </cell>
          <cell r="BJ326">
            <v>0</v>
          </cell>
          <cell r="BK326">
            <v>0</v>
          </cell>
          <cell r="BO326" t="e">
            <v>#VALUE!</v>
          </cell>
          <cell r="BP326" t="e">
            <v>#VALUE!</v>
          </cell>
          <cell r="BQ326" t="e">
            <v>#VALUE!</v>
          </cell>
          <cell r="BR326" t="e">
            <v>#VALUE!</v>
          </cell>
          <cell r="BS326" t="e">
            <v>#VALUE!</v>
          </cell>
          <cell r="BT326">
            <v>0</v>
          </cell>
          <cell r="BU326" t="str">
            <v/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</row>
        <row r="327">
          <cell r="A327" t="str">
            <v>113Q2</v>
          </cell>
          <cell r="B327" t="str">
            <v>Q2</v>
          </cell>
          <cell r="C327">
            <v>113</v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1</v>
          </cell>
          <cell r="BJ327">
            <v>0</v>
          </cell>
          <cell r="BK327">
            <v>0</v>
          </cell>
          <cell r="BO327" t="e">
            <v>#VALUE!</v>
          </cell>
          <cell r="BP327" t="e">
            <v>#VALUE!</v>
          </cell>
          <cell r="BQ327" t="e">
            <v>#VALUE!</v>
          </cell>
          <cell r="BR327" t="e">
            <v>#VALUE!</v>
          </cell>
          <cell r="BS327" t="e">
            <v>#VALUE!</v>
          </cell>
          <cell r="BT327">
            <v>0</v>
          </cell>
          <cell r="BU327" t="str">
            <v/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</row>
        <row r="328">
          <cell r="A328" t="str">
            <v>114Q2</v>
          </cell>
          <cell r="B328" t="str">
            <v>Q2</v>
          </cell>
          <cell r="C328">
            <v>114</v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1</v>
          </cell>
          <cell r="BJ328">
            <v>0</v>
          </cell>
          <cell r="BK328">
            <v>0</v>
          </cell>
          <cell r="BO328" t="e">
            <v>#VALUE!</v>
          </cell>
          <cell r="BP328" t="e">
            <v>#VALUE!</v>
          </cell>
          <cell r="BQ328" t="e">
            <v>#VALUE!</v>
          </cell>
          <cell r="BR328" t="e">
            <v>#VALUE!</v>
          </cell>
          <cell r="BS328" t="e">
            <v>#VALUE!</v>
          </cell>
          <cell r="BT328">
            <v>0</v>
          </cell>
          <cell r="BU328" t="str">
            <v/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</row>
        <row r="329">
          <cell r="A329" t="str">
            <v>115Q2</v>
          </cell>
          <cell r="B329" t="str">
            <v>Q2</v>
          </cell>
          <cell r="C329">
            <v>115</v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1</v>
          </cell>
          <cell r="BJ329">
            <v>0</v>
          </cell>
          <cell r="BK329">
            <v>0</v>
          </cell>
          <cell r="BO329" t="e">
            <v>#VALUE!</v>
          </cell>
          <cell r="BP329" t="e">
            <v>#VALUE!</v>
          </cell>
          <cell r="BQ329" t="e">
            <v>#VALUE!</v>
          </cell>
          <cell r="BR329" t="e">
            <v>#VALUE!</v>
          </cell>
          <cell r="BS329" t="e">
            <v>#VALUE!</v>
          </cell>
          <cell r="BT329">
            <v>0</v>
          </cell>
          <cell r="BU329" t="str">
            <v/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</row>
        <row r="330">
          <cell r="A330" t="str">
            <v>116Q2</v>
          </cell>
          <cell r="B330" t="str">
            <v>Q2</v>
          </cell>
          <cell r="C330">
            <v>116</v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1</v>
          </cell>
          <cell r="BJ330">
            <v>0</v>
          </cell>
          <cell r="BK330">
            <v>0</v>
          </cell>
          <cell r="BO330" t="e">
            <v>#VALUE!</v>
          </cell>
          <cell r="BP330" t="e">
            <v>#VALUE!</v>
          </cell>
          <cell r="BQ330" t="e">
            <v>#VALUE!</v>
          </cell>
          <cell r="BR330" t="e">
            <v>#VALUE!</v>
          </cell>
          <cell r="BS330" t="e">
            <v>#VALUE!</v>
          </cell>
          <cell r="BT330">
            <v>0</v>
          </cell>
          <cell r="BU330" t="str">
            <v/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</row>
        <row r="331">
          <cell r="A331" t="str">
            <v>117Q2</v>
          </cell>
          <cell r="B331" t="str">
            <v>Q2</v>
          </cell>
          <cell r="C331">
            <v>117</v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1</v>
          </cell>
          <cell r="BJ331">
            <v>0</v>
          </cell>
          <cell r="BK331">
            <v>0</v>
          </cell>
          <cell r="BO331" t="e">
            <v>#VALUE!</v>
          </cell>
          <cell r="BP331" t="e">
            <v>#VALUE!</v>
          </cell>
          <cell r="BQ331" t="e">
            <v>#VALUE!</v>
          </cell>
          <cell r="BR331" t="e">
            <v>#VALUE!</v>
          </cell>
          <cell r="BS331" t="e">
            <v>#VALUE!</v>
          </cell>
          <cell r="BT331">
            <v>0</v>
          </cell>
          <cell r="BU331" t="str">
            <v/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</row>
        <row r="332">
          <cell r="A332" t="str">
            <v>118Q2</v>
          </cell>
          <cell r="B332" t="str">
            <v>Q2</v>
          </cell>
          <cell r="C332">
            <v>118</v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1</v>
          </cell>
          <cell r="BJ332">
            <v>0</v>
          </cell>
          <cell r="BK332">
            <v>0</v>
          </cell>
          <cell r="BO332" t="e">
            <v>#VALUE!</v>
          </cell>
          <cell r="BP332" t="e">
            <v>#VALUE!</v>
          </cell>
          <cell r="BQ332" t="e">
            <v>#VALUE!</v>
          </cell>
          <cell r="BR332" t="e">
            <v>#VALUE!</v>
          </cell>
          <cell r="BS332" t="e">
            <v>#VALUE!</v>
          </cell>
          <cell r="BT332">
            <v>0</v>
          </cell>
          <cell r="BU332" t="str">
            <v/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</row>
        <row r="333">
          <cell r="A333" t="str">
            <v>119Q2</v>
          </cell>
          <cell r="B333" t="str">
            <v>Q2</v>
          </cell>
          <cell r="C333">
            <v>119</v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1</v>
          </cell>
          <cell r="BJ333">
            <v>0</v>
          </cell>
          <cell r="BK333">
            <v>0</v>
          </cell>
          <cell r="BO333" t="e">
            <v>#VALUE!</v>
          </cell>
          <cell r="BP333" t="e">
            <v>#VALUE!</v>
          </cell>
          <cell r="BQ333" t="e">
            <v>#VALUE!</v>
          </cell>
          <cell r="BR333" t="e">
            <v>#VALUE!</v>
          </cell>
          <cell r="BS333" t="e">
            <v>#VALUE!</v>
          </cell>
          <cell r="BT333">
            <v>0</v>
          </cell>
          <cell r="BU333" t="str">
            <v/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</row>
        <row r="334">
          <cell r="A334" t="str">
            <v>120Q2</v>
          </cell>
          <cell r="B334" t="str">
            <v>Q2</v>
          </cell>
          <cell r="C334">
            <v>120</v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1</v>
          </cell>
          <cell r="BJ334">
            <v>0</v>
          </cell>
          <cell r="BK334">
            <v>0</v>
          </cell>
          <cell r="BO334" t="e">
            <v>#VALUE!</v>
          </cell>
          <cell r="BP334" t="e">
            <v>#VALUE!</v>
          </cell>
          <cell r="BQ334" t="e">
            <v>#VALUE!</v>
          </cell>
          <cell r="BR334" t="e">
            <v>#VALUE!</v>
          </cell>
          <cell r="BS334" t="e">
            <v>#VALUE!</v>
          </cell>
          <cell r="BT334">
            <v>0</v>
          </cell>
          <cell r="BU334" t="str">
            <v/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</row>
        <row r="335">
          <cell r="A335" t="str">
            <v>121Q2</v>
          </cell>
          <cell r="B335" t="str">
            <v>Q2</v>
          </cell>
          <cell r="C335">
            <v>121</v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1</v>
          </cell>
          <cell r="BJ335">
            <v>0</v>
          </cell>
          <cell r="BK335">
            <v>0</v>
          </cell>
          <cell r="BO335" t="e">
            <v>#VALUE!</v>
          </cell>
          <cell r="BP335" t="e">
            <v>#VALUE!</v>
          </cell>
          <cell r="BQ335" t="e">
            <v>#VALUE!</v>
          </cell>
          <cell r="BR335" t="e">
            <v>#VALUE!</v>
          </cell>
          <cell r="BS335" t="e">
            <v>#VALUE!</v>
          </cell>
          <cell r="BT335">
            <v>0</v>
          </cell>
          <cell r="BU335" t="str">
            <v/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</row>
        <row r="336">
          <cell r="A336" t="str">
            <v>122Q2</v>
          </cell>
          <cell r="B336" t="str">
            <v>Q2</v>
          </cell>
          <cell r="C336">
            <v>122</v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1</v>
          </cell>
          <cell r="BJ336">
            <v>0</v>
          </cell>
          <cell r="BK336">
            <v>0</v>
          </cell>
          <cell r="BO336" t="e">
            <v>#VALUE!</v>
          </cell>
          <cell r="BP336" t="e">
            <v>#VALUE!</v>
          </cell>
          <cell r="BQ336" t="e">
            <v>#VALUE!</v>
          </cell>
          <cell r="BR336" t="e">
            <v>#VALUE!</v>
          </cell>
          <cell r="BS336" t="e">
            <v>#VALUE!</v>
          </cell>
          <cell r="BT336">
            <v>0</v>
          </cell>
          <cell r="BU336" t="str">
            <v/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</row>
        <row r="337">
          <cell r="A337" t="str">
            <v>123Q2</v>
          </cell>
          <cell r="B337" t="str">
            <v>Q2</v>
          </cell>
          <cell r="C337">
            <v>123</v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1</v>
          </cell>
          <cell r="BJ337">
            <v>0</v>
          </cell>
          <cell r="BK337">
            <v>0</v>
          </cell>
          <cell r="BO337" t="e">
            <v>#VALUE!</v>
          </cell>
          <cell r="BP337" t="e">
            <v>#VALUE!</v>
          </cell>
          <cell r="BQ337" t="e">
            <v>#VALUE!</v>
          </cell>
          <cell r="BR337" t="e">
            <v>#VALUE!</v>
          </cell>
          <cell r="BS337" t="e">
            <v>#VALUE!</v>
          </cell>
          <cell r="BT337">
            <v>0</v>
          </cell>
          <cell r="BU337" t="str">
            <v/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</row>
        <row r="338">
          <cell r="A338" t="str">
            <v>124Q2</v>
          </cell>
          <cell r="B338" t="str">
            <v>Q2</v>
          </cell>
          <cell r="C338">
            <v>124</v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1</v>
          </cell>
          <cell r="BJ338">
            <v>0</v>
          </cell>
          <cell r="BK338">
            <v>0</v>
          </cell>
          <cell r="BO338" t="e">
            <v>#VALUE!</v>
          </cell>
          <cell r="BP338" t="e">
            <v>#VALUE!</v>
          </cell>
          <cell r="BQ338" t="e">
            <v>#VALUE!</v>
          </cell>
          <cell r="BR338" t="e">
            <v>#VALUE!</v>
          </cell>
          <cell r="BS338" t="e">
            <v>#VALUE!</v>
          </cell>
          <cell r="BT338">
            <v>0</v>
          </cell>
          <cell r="BU338" t="str">
            <v/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</row>
        <row r="339">
          <cell r="A339" t="str">
            <v>125Q2</v>
          </cell>
          <cell r="B339" t="str">
            <v>Q2</v>
          </cell>
          <cell r="C339">
            <v>125</v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1</v>
          </cell>
          <cell r="BJ339">
            <v>0</v>
          </cell>
          <cell r="BK339">
            <v>0</v>
          </cell>
          <cell r="BO339" t="e">
            <v>#VALUE!</v>
          </cell>
          <cell r="BP339" t="e">
            <v>#VALUE!</v>
          </cell>
          <cell r="BQ339" t="e">
            <v>#VALUE!</v>
          </cell>
          <cell r="BR339" t="e">
            <v>#VALUE!</v>
          </cell>
          <cell r="BS339" t="e">
            <v>#VALUE!</v>
          </cell>
          <cell r="BT339">
            <v>0</v>
          </cell>
          <cell r="BU339" t="str">
            <v/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</row>
        <row r="340">
          <cell r="A340" t="str">
            <v>126Q2</v>
          </cell>
          <cell r="B340" t="str">
            <v>Q2</v>
          </cell>
          <cell r="C340">
            <v>126</v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1</v>
          </cell>
          <cell r="BJ340">
            <v>0</v>
          </cell>
          <cell r="BK340">
            <v>0</v>
          </cell>
          <cell r="BO340" t="e">
            <v>#VALUE!</v>
          </cell>
          <cell r="BP340" t="e">
            <v>#VALUE!</v>
          </cell>
          <cell r="BQ340" t="e">
            <v>#VALUE!</v>
          </cell>
          <cell r="BR340" t="e">
            <v>#VALUE!</v>
          </cell>
          <cell r="BS340" t="e">
            <v>#VALUE!</v>
          </cell>
          <cell r="BT340">
            <v>0</v>
          </cell>
          <cell r="BU340" t="str">
            <v/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</row>
        <row r="341">
          <cell r="A341" t="str">
            <v>127Q2</v>
          </cell>
          <cell r="B341" t="str">
            <v>Q2</v>
          </cell>
          <cell r="C341">
            <v>127</v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1</v>
          </cell>
          <cell r="BJ341">
            <v>0</v>
          </cell>
          <cell r="BK341">
            <v>0</v>
          </cell>
          <cell r="BO341" t="e">
            <v>#VALUE!</v>
          </cell>
          <cell r="BP341" t="e">
            <v>#VALUE!</v>
          </cell>
          <cell r="BQ341" t="e">
            <v>#VALUE!</v>
          </cell>
          <cell r="BR341" t="e">
            <v>#VALUE!</v>
          </cell>
          <cell r="BS341" t="e">
            <v>#VALUE!</v>
          </cell>
          <cell r="BT341">
            <v>0</v>
          </cell>
          <cell r="BU341" t="str">
            <v/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</row>
        <row r="342">
          <cell r="A342" t="str">
            <v>128Q2</v>
          </cell>
          <cell r="B342" t="str">
            <v>Q2</v>
          </cell>
          <cell r="C342">
            <v>128</v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1</v>
          </cell>
          <cell r="BJ342">
            <v>0</v>
          </cell>
          <cell r="BK342">
            <v>0</v>
          </cell>
          <cell r="BO342" t="e">
            <v>#VALUE!</v>
          </cell>
          <cell r="BP342" t="e">
            <v>#VALUE!</v>
          </cell>
          <cell r="BQ342" t="e">
            <v>#VALUE!</v>
          </cell>
          <cell r="BR342" t="e">
            <v>#VALUE!</v>
          </cell>
          <cell r="BS342" t="e">
            <v>#VALUE!</v>
          </cell>
          <cell r="BT342">
            <v>0</v>
          </cell>
          <cell r="BU342" t="str">
            <v/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</row>
        <row r="343">
          <cell r="A343" t="str">
            <v>129Q2</v>
          </cell>
          <cell r="B343" t="str">
            <v>Q2</v>
          </cell>
          <cell r="C343">
            <v>129</v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1</v>
          </cell>
          <cell r="BJ343">
            <v>0</v>
          </cell>
          <cell r="BK343">
            <v>0</v>
          </cell>
          <cell r="BO343" t="e">
            <v>#VALUE!</v>
          </cell>
          <cell r="BP343" t="e">
            <v>#VALUE!</v>
          </cell>
          <cell r="BQ343" t="e">
            <v>#VALUE!</v>
          </cell>
          <cell r="BR343" t="e">
            <v>#VALUE!</v>
          </cell>
          <cell r="BS343" t="e">
            <v>#VALUE!</v>
          </cell>
          <cell r="BT343">
            <v>0</v>
          </cell>
          <cell r="BU343" t="str">
            <v/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</row>
        <row r="344">
          <cell r="A344" t="str">
            <v>130Q2</v>
          </cell>
          <cell r="B344" t="str">
            <v>Q2</v>
          </cell>
          <cell r="C344">
            <v>130</v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1</v>
          </cell>
          <cell r="BJ344">
            <v>0</v>
          </cell>
          <cell r="BK344">
            <v>0</v>
          </cell>
          <cell r="BO344" t="e">
            <v>#VALUE!</v>
          </cell>
          <cell r="BP344" t="e">
            <v>#VALUE!</v>
          </cell>
          <cell r="BQ344" t="e">
            <v>#VALUE!</v>
          </cell>
          <cell r="BR344" t="e">
            <v>#VALUE!</v>
          </cell>
          <cell r="BS344" t="e">
            <v>#VALUE!</v>
          </cell>
          <cell r="BT344">
            <v>0</v>
          </cell>
          <cell r="BU344" t="str">
            <v/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</row>
        <row r="345">
          <cell r="A345" t="str">
            <v>131Q2</v>
          </cell>
          <cell r="B345" t="str">
            <v>Q2</v>
          </cell>
          <cell r="C345">
            <v>131</v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1</v>
          </cell>
          <cell r="BJ345">
            <v>0</v>
          </cell>
          <cell r="BK345">
            <v>0</v>
          </cell>
          <cell r="BO345" t="e">
            <v>#VALUE!</v>
          </cell>
          <cell r="BP345" t="e">
            <v>#VALUE!</v>
          </cell>
          <cell r="BQ345" t="e">
            <v>#VALUE!</v>
          </cell>
          <cell r="BR345" t="e">
            <v>#VALUE!</v>
          </cell>
          <cell r="BS345" t="e">
            <v>#VALUE!</v>
          </cell>
          <cell r="BT345">
            <v>0</v>
          </cell>
          <cell r="BU345" t="str">
            <v/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</row>
        <row r="346">
          <cell r="A346" t="str">
            <v>132Q2</v>
          </cell>
          <cell r="B346" t="str">
            <v>Q2</v>
          </cell>
          <cell r="C346">
            <v>132</v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1</v>
          </cell>
          <cell r="BJ346">
            <v>0</v>
          </cell>
          <cell r="BK346">
            <v>0</v>
          </cell>
          <cell r="BO346" t="e">
            <v>#VALUE!</v>
          </cell>
          <cell r="BP346" t="e">
            <v>#VALUE!</v>
          </cell>
          <cell r="BQ346" t="e">
            <v>#VALUE!</v>
          </cell>
          <cell r="BR346" t="e">
            <v>#VALUE!</v>
          </cell>
          <cell r="BS346" t="e">
            <v>#VALUE!</v>
          </cell>
          <cell r="BT346">
            <v>0</v>
          </cell>
          <cell r="BU346" t="str">
            <v/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</row>
        <row r="347">
          <cell r="A347" t="str">
            <v>133Q2</v>
          </cell>
          <cell r="B347" t="str">
            <v>Q2</v>
          </cell>
          <cell r="C347">
            <v>133</v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1</v>
          </cell>
          <cell r="BJ347">
            <v>0</v>
          </cell>
          <cell r="BK347">
            <v>0</v>
          </cell>
          <cell r="BO347" t="e">
            <v>#VALUE!</v>
          </cell>
          <cell r="BP347" t="e">
            <v>#VALUE!</v>
          </cell>
          <cell r="BQ347" t="e">
            <v>#VALUE!</v>
          </cell>
          <cell r="BR347" t="e">
            <v>#VALUE!</v>
          </cell>
          <cell r="BS347" t="e">
            <v>#VALUE!</v>
          </cell>
          <cell r="BT347">
            <v>0</v>
          </cell>
          <cell r="BU347" t="str">
            <v/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</row>
        <row r="348">
          <cell r="A348" t="str">
            <v>134Q2</v>
          </cell>
          <cell r="B348" t="str">
            <v>Q2</v>
          </cell>
          <cell r="C348">
            <v>134</v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1</v>
          </cell>
          <cell r="BJ348">
            <v>0</v>
          </cell>
          <cell r="BK348">
            <v>0</v>
          </cell>
          <cell r="BO348" t="e">
            <v>#VALUE!</v>
          </cell>
          <cell r="BP348" t="e">
            <v>#VALUE!</v>
          </cell>
          <cell r="BQ348" t="e">
            <v>#VALUE!</v>
          </cell>
          <cell r="BR348" t="e">
            <v>#VALUE!</v>
          </cell>
          <cell r="BS348" t="e">
            <v>#VALUE!</v>
          </cell>
          <cell r="BT348">
            <v>0</v>
          </cell>
          <cell r="BU348" t="str">
            <v/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</row>
        <row r="349">
          <cell r="A349" t="str">
            <v>135Q2</v>
          </cell>
          <cell r="B349" t="str">
            <v>Q2</v>
          </cell>
          <cell r="C349">
            <v>135</v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1</v>
          </cell>
          <cell r="BJ349">
            <v>0</v>
          </cell>
          <cell r="BK349">
            <v>0</v>
          </cell>
          <cell r="BO349" t="e">
            <v>#VALUE!</v>
          </cell>
          <cell r="BP349" t="e">
            <v>#VALUE!</v>
          </cell>
          <cell r="BQ349" t="e">
            <v>#VALUE!</v>
          </cell>
          <cell r="BR349" t="e">
            <v>#VALUE!</v>
          </cell>
          <cell r="BS349" t="e">
            <v>#VALUE!</v>
          </cell>
          <cell r="BT349">
            <v>0</v>
          </cell>
          <cell r="BU349" t="str">
            <v/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</row>
        <row r="350">
          <cell r="A350" t="str">
            <v>136Q2</v>
          </cell>
          <cell r="B350" t="str">
            <v>Q2</v>
          </cell>
          <cell r="C350">
            <v>136</v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1</v>
          </cell>
          <cell r="BJ350">
            <v>0</v>
          </cell>
          <cell r="BK350">
            <v>0</v>
          </cell>
          <cell r="BO350" t="e">
            <v>#VALUE!</v>
          </cell>
          <cell r="BP350" t="e">
            <v>#VALUE!</v>
          </cell>
          <cell r="BQ350" t="e">
            <v>#VALUE!</v>
          </cell>
          <cell r="BR350" t="e">
            <v>#VALUE!</v>
          </cell>
          <cell r="BS350" t="e">
            <v>#VALUE!</v>
          </cell>
          <cell r="BT350">
            <v>0</v>
          </cell>
          <cell r="BU350" t="str">
            <v/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</row>
        <row r="351">
          <cell r="A351" t="str">
            <v>137Q2</v>
          </cell>
          <cell r="B351" t="str">
            <v>Q2</v>
          </cell>
          <cell r="C351">
            <v>137</v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1</v>
          </cell>
          <cell r="BJ351">
            <v>0</v>
          </cell>
          <cell r="BK351">
            <v>0</v>
          </cell>
          <cell r="BO351" t="e">
            <v>#VALUE!</v>
          </cell>
          <cell r="BP351" t="e">
            <v>#VALUE!</v>
          </cell>
          <cell r="BQ351" t="e">
            <v>#VALUE!</v>
          </cell>
          <cell r="BR351" t="e">
            <v>#VALUE!</v>
          </cell>
          <cell r="BS351" t="e">
            <v>#VALUE!</v>
          </cell>
          <cell r="BT351">
            <v>0</v>
          </cell>
          <cell r="BU351" t="str">
            <v/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</row>
        <row r="352">
          <cell r="A352" t="str">
            <v>138Q2</v>
          </cell>
          <cell r="B352" t="str">
            <v>Q2</v>
          </cell>
          <cell r="C352">
            <v>138</v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1</v>
          </cell>
          <cell r="BJ352">
            <v>0</v>
          </cell>
          <cell r="BK352">
            <v>0</v>
          </cell>
          <cell r="BO352" t="e">
            <v>#VALUE!</v>
          </cell>
          <cell r="BP352" t="e">
            <v>#VALUE!</v>
          </cell>
          <cell r="BQ352" t="e">
            <v>#VALUE!</v>
          </cell>
          <cell r="BR352" t="e">
            <v>#VALUE!</v>
          </cell>
          <cell r="BS352" t="e">
            <v>#VALUE!</v>
          </cell>
          <cell r="BT352">
            <v>0</v>
          </cell>
          <cell r="BU352" t="str">
            <v/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</row>
        <row r="353">
          <cell r="A353" t="str">
            <v>139Q2</v>
          </cell>
          <cell r="B353" t="str">
            <v>Q2</v>
          </cell>
          <cell r="C353">
            <v>139</v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1</v>
          </cell>
          <cell r="BJ353">
            <v>0</v>
          </cell>
          <cell r="BK353">
            <v>0</v>
          </cell>
          <cell r="BO353" t="e">
            <v>#VALUE!</v>
          </cell>
          <cell r="BP353" t="e">
            <v>#VALUE!</v>
          </cell>
          <cell r="BQ353" t="e">
            <v>#VALUE!</v>
          </cell>
          <cell r="BR353" t="e">
            <v>#VALUE!</v>
          </cell>
          <cell r="BS353" t="e">
            <v>#VALUE!</v>
          </cell>
          <cell r="BT353">
            <v>0</v>
          </cell>
          <cell r="BU353" t="str">
            <v/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</row>
        <row r="354">
          <cell r="A354" t="str">
            <v>140Q2</v>
          </cell>
          <cell r="B354" t="str">
            <v>Q2</v>
          </cell>
          <cell r="C354">
            <v>140</v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1</v>
          </cell>
          <cell r="BJ354">
            <v>0</v>
          </cell>
          <cell r="BK354">
            <v>0</v>
          </cell>
          <cell r="BO354" t="e">
            <v>#VALUE!</v>
          </cell>
          <cell r="BP354" t="e">
            <v>#VALUE!</v>
          </cell>
          <cell r="BQ354" t="e">
            <v>#VALUE!</v>
          </cell>
          <cell r="BR354" t="e">
            <v>#VALUE!</v>
          </cell>
          <cell r="BS354" t="e">
            <v>#VALUE!</v>
          </cell>
          <cell r="BT354">
            <v>0</v>
          </cell>
          <cell r="BU354" t="str">
            <v/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</row>
        <row r="355">
          <cell r="A355" t="str">
            <v>141Q2</v>
          </cell>
          <cell r="B355" t="str">
            <v>Q2</v>
          </cell>
          <cell r="C355">
            <v>141</v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1</v>
          </cell>
          <cell r="BJ355">
            <v>0</v>
          </cell>
          <cell r="BK355">
            <v>0</v>
          </cell>
          <cell r="BO355" t="e">
            <v>#VALUE!</v>
          </cell>
          <cell r="BP355" t="e">
            <v>#VALUE!</v>
          </cell>
          <cell r="BQ355" t="e">
            <v>#VALUE!</v>
          </cell>
          <cell r="BR355" t="e">
            <v>#VALUE!</v>
          </cell>
          <cell r="BS355" t="e">
            <v>#VALUE!</v>
          </cell>
          <cell r="BT355">
            <v>0</v>
          </cell>
          <cell r="BU355" t="str">
            <v/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</row>
        <row r="356">
          <cell r="A356" t="str">
            <v>142Q2</v>
          </cell>
          <cell r="B356" t="str">
            <v>Q2</v>
          </cell>
          <cell r="C356">
            <v>142</v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1</v>
          </cell>
          <cell r="BJ356">
            <v>0</v>
          </cell>
          <cell r="BK356">
            <v>0</v>
          </cell>
          <cell r="BO356" t="e">
            <v>#VALUE!</v>
          </cell>
          <cell r="BP356" t="e">
            <v>#VALUE!</v>
          </cell>
          <cell r="BQ356" t="e">
            <v>#VALUE!</v>
          </cell>
          <cell r="BR356" t="e">
            <v>#VALUE!</v>
          </cell>
          <cell r="BS356" t="e">
            <v>#VALUE!</v>
          </cell>
          <cell r="BT356">
            <v>0</v>
          </cell>
          <cell r="BU356" t="str">
            <v/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</row>
        <row r="357">
          <cell r="A357" t="str">
            <v>143Q2</v>
          </cell>
          <cell r="B357" t="str">
            <v>Q2</v>
          </cell>
          <cell r="C357">
            <v>143</v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1</v>
          </cell>
          <cell r="BJ357">
            <v>0</v>
          </cell>
          <cell r="BK357">
            <v>0</v>
          </cell>
          <cell r="BO357" t="e">
            <v>#VALUE!</v>
          </cell>
          <cell r="BP357" t="e">
            <v>#VALUE!</v>
          </cell>
          <cell r="BQ357" t="e">
            <v>#VALUE!</v>
          </cell>
          <cell r="BR357" t="e">
            <v>#VALUE!</v>
          </cell>
          <cell r="BS357" t="e">
            <v>#VALUE!</v>
          </cell>
          <cell r="BT357">
            <v>0</v>
          </cell>
          <cell r="BU357" t="str">
            <v/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</row>
        <row r="358">
          <cell r="A358" t="str">
            <v>144Q2</v>
          </cell>
          <cell r="B358" t="str">
            <v>Q2</v>
          </cell>
          <cell r="C358">
            <v>144</v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1</v>
          </cell>
          <cell r="BJ358">
            <v>0</v>
          </cell>
          <cell r="BK358">
            <v>0</v>
          </cell>
          <cell r="BO358" t="e">
            <v>#VALUE!</v>
          </cell>
          <cell r="BP358" t="e">
            <v>#VALUE!</v>
          </cell>
          <cell r="BQ358" t="e">
            <v>#VALUE!</v>
          </cell>
          <cell r="BR358" t="e">
            <v>#VALUE!</v>
          </cell>
          <cell r="BS358" t="e">
            <v>#VALUE!</v>
          </cell>
          <cell r="BT358">
            <v>0</v>
          </cell>
          <cell r="BU358" t="str">
            <v/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</row>
        <row r="359">
          <cell r="A359" t="str">
            <v>145Q2</v>
          </cell>
          <cell r="B359" t="str">
            <v>Q2</v>
          </cell>
          <cell r="C359">
            <v>145</v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1</v>
          </cell>
          <cell r="BJ359">
            <v>0</v>
          </cell>
          <cell r="BK359">
            <v>0</v>
          </cell>
          <cell r="BO359" t="e">
            <v>#VALUE!</v>
          </cell>
          <cell r="BP359" t="e">
            <v>#VALUE!</v>
          </cell>
          <cell r="BQ359" t="e">
            <v>#VALUE!</v>
          </cell>
          <cell r="BR359" t="e">
            <v>#VALUE!</v>
          </cell>
          <cell r="BS359" t="e">
            <v>#VALUE!</v>
          </cell>
          <cell r="BT359">
            <v>0</v>
          </cell>
          <cell r="BU359" t="str">
            <v/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</row>
        <row r="360">
          <cell r="A360" t="str">
            <v>146Q2</v>
          </cell>
          <cell r="B360" t="str">
            <v>Q2</v>
          </cell>
          <cell r="C360">
            <v>146</v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1</v>
          </cell>
          <cell r="BJ360">
            <v>0</v>
          </cell>
          <cell r="BK360">
            <v>0</v>
          </cell>
          <cell r="BO360" t="e">
            <v>#VALUE!</v>
          </cell>
          <cell r="BP360" t="e">
            <v>#VALUE!</v>
          </cell>
          <cell r="BQ360" t="e">
            <v>#VALUE!</v>
          </cell>
          <cell r="BR360" t="e">
            <v>#VALUE!</v>
          </cell>
          <cell r="BS360" t="e">
            <v>#VALUE!</v>
          </cell>
          <cell r="BT360">
            <v>0</v>
          </cell>
          <cell r="BU360" t="str">
            <v/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</row>
        <row r="361">
          <cell r="A361" t="str">
            <v>147Q2</v>
          </cell>
          <cell r="B361" t="str">
            <v>Q2</v>
          </cell>
          <cell r="C361">
            <v>147</v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1</v>
          </cell>
          <cell r="BJ361">
            <v>0</v>
          </cell>
          <cell r="BK361">
            <v>0</v>
          </cell>
          <cell r="BO361" t="e">
            <v>#VALUE!</v>
          </cell>
          <cell r="BP361" t="e">
            <v>#VALUE!</v>
          </cell>
          <cell r="BQ361" t="e">
            <v>#VALUE!</v>
          </cell>
          <cell r="BR361" t="e">
            <v>#VALUE!</v>
          </cell>
          <cell r="BS361" t="e">
            <v>#VALUE!</v>
          </cell>
          <cell r="BT361">
            <v>0</v>
          </cell>
          <cell r="BU361" t="str">
            <v/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</row>
        <row r="362">
          <cell r="A362" t="str">
            <v>148Q2</v>
          </cell>
          <cell r="B362" t="str">
            <v>Q2</v>
          </cell>
          <cell r="C362">
            <v>148</v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1</v>
          </cell>
          <cell r="BJ362">
            <v>0</v>
          </cell>
          <cell r="BK362">
            <v>0</v>
          </cell>
          <cell r="BO362" t="e">
            <v>#VALUE!</v>
          </cell>
          <cell r="BP362" t="e">
            <v>#VALUE!</v>
          </cell>
          <cell r="BQ362" t="e">
            <v>#VALUE!</v>
          </cell>
          <cell r="BR362" t="e">
            <v>#VALUE!</v>
          </cell>
          <cell r="BS362" t="e">
            <v>#VALUE!</v>
          </cell>
          <cell r="BT362">
            <v>0</v>
          </cell>
          <cell r="BU362" t="str">
            <v/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</row>
        <row r="363">
          <cell r="A363" t="str">
            <v>149Q2</v>
          </cell>
          <cell r="B363" t="str">
            <v>Q2</v>
          </cell>
          <cell r="C363">
            <v>149</v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1</v>
          </cell>
          <cell r="BJ363">
            <v>0</v>
          </cell>
          <cell r="BK363">
            <v>0</v>
          </cell>
          <cell r="BO363" t="e">
            <v>#VALUE!</v>
          </cell>
          <cell r="BP363" t="e">
            <v>#VALUE!</v>
          </cell>
          <cell r="BQ363" t="e">
            <v>#VALUE!</v>
          </cell>
          <cell r="BR363" t="e">
            <v>#VALUE!</v>
          </cell>
          <cell r="BS363" t="e">
            <v>#VALUE!</v>
          </cell>
          <cell r="BT363">
            <v>0</v>
          </cell>
          <cell r="BU363" t="str">
            <v/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</row>
        <row r="364">
          <cell r="A364" t="str">
            <v>150Q2</v>
          </cell>
          <cell r="B364" t="str">
            <v>Q2</v>
          </cell>
          <cell r="C364">
            <v>150</v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1</v>
          </cell>
          <cell r="BJ364">
            <v>0</v>
          </cell>
          <cell r="BK364">
            <v>0</v>
          </cell>
          <cell r="BO364" t="e">
            <v>#VALUE!</v>
          </cell>
          <cell r="BP364" t="e">
            <v>#VALUE!</v>
          </cell>
          <cell r="BQ364" t="e">
            <v>#VALUE!</v>
          </cell>
          <cell r="BR364" t="e">
            <v>#VALUE!</v>
          </cell>
          <cell r="BS364" t="e">
            <v>#VALUE!</v>
          </cell>
          <cell r="BT364">
            <v>0</v>
          </cell>
          <cell r="BU364" t="str">
            <v/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</row>
        <row r="365">
          <cell r="A365" t="str">
            <v>151Q2</v>
          </cell>
          <cell r="B365" t="str">
            <v>Q2</v>
          </cell>
          <cell r="C365">
            <v>151</v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1</v>
          </cell>
          <cell r="BJ365">
            <v>0</v>
          </cell>
          <cell r="BK365">
            <v>0</v>
          </cell>
          <cell r="BO365" t="e">
            <v>#VALUE!</v>
          </cell>
          <cell r="BP365" t="e">
            <v>#VALUE!</v>
          </cell>
          <cell r="BQ365" t="e">
            <v>#VALUE!</v>
          </cell>
          <cell r="BR365" t="e">
            <v>#VALUE!</v>
          </cell>
          <cell r="BS365" t="e">
            <v>#VALUE!</v>
          </cell>
          <cell r="BT365">
            <v>0</v>
          </cell>
          <cell r="BU365" t="str">
            <v/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</row>
        <row r="366">
          <cell r="A366" t="str">
            <v>152Q2</v>
          </cell>
          <cell r="B366" t="str">
            <v>Q2</v>
          </cell>
          <cell r="C366">
            <v>152</v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1</v>
          </cell>
          <cell r="BJ366">
            <v>0</v>
          </cell>
          <cell r="BK366">
            <v>0</v>
          </cell>
          <cell r="BO366" t="e">
            <v>#VALUE!</v>
          </cell>
          <cell r="BP366" t="e">
            <v>#VALUE!</v>
          </cell>
          <cell r="BQ366" t="e">
            <v>#VALUE!</v>
          </cell>
          <cell r="BR366" t="e">
            <v>#VALUE!</v>
          </cell>
          <cell r="BS366" t="e">
            <v>#VALUE!</v>
          </cell>
          <cell r="BT366">
            <v>0</v>
          </cell>
          <cell r="BU366" t="str">
            <v/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</row>
        <row r="367">
          <cell r="A367" t="str">
            <v>153Q2</v>
          </cell>
          <cell r="B367" t="str">
            <v>Q2</v>
          </cell>
          <cell r="C367">
            <v>153</v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1</v>
          </cell>
          <cell r="BJ367">
            <v>0</v>
          </cell>
          <cell r="BK367">
            <v>0</v>
          </cell>
          <cell r="BO367" t="e">
            <v>#VALUE!</v>
          </cell>
          <cell r="BP367" t="e">
            <v>#VALUE!</v>
          </cell>
          <cell r="BQ367" t="e">
            <v>#VALUE!</v>
          </cell>
          <cell r="BR367" t="e">
            <v>#VALUE!</v>
          </cell>
          <cell r="BS367" t="e">
            <v>#VALUE!</v>
          </cell>
          <cell r="BT367">
            <v>0</v>
          </cell>
          <cell r="BU367" t="str">
            <v/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</row>
        <row r="368">
          <cell r="A368" t="str">
            <v>154Q2</v>
          </cell>
          <cell r="B368" t="str">
            <v>Q2</v>
          </cell>
          <cell r="C368">
            <v>154</v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1</v>
          </cell>
          <cell r="BJ368">
            <v>0</v>
          </cell>
          <cell r="BK368">
            <v>0</v>
          </cell>
          <cell r="BO368" t="e">
            <v>#VALUE!</v>
          </cell>
          <cell r="BP368" t="e">
            <v>#VALUE!</v>
          </cell>
          <cell r="BQ368" t="e">
            <v>#VALUE!</v>
          </cell>
          <cell r="BR368" t="e">
            <v>#VALUE!</v>
          </cell>
          <cell r="BS368" t="e">
            <v>#VALUE!</v>
          </cell>
          <cell r="BT368">
            <v>0</v>
          </cell>
          <cell r="BU368" t="str">
            <v/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</row>
        <row r="369">
          <cell r="A369" t="str">
            <v>155Q2</v>
          </cell>
          <cell r="B369" t="str">
            <v>Q2</v>
          </cell>
          <cell r="C369">
            <v>155</v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1</v>
          </cell>
          <cell r="BJ369">
            <v>0</v>
          </cell>
          <cell r="BK369">
            <v>0</v>
          </cell>
          <cell r="BO369" t="e">
            <v>#VALUE!</v>
          </cell>
          <cell r="BP369" t="e">
            <v>#VALUE!</v>
          </cell>
          <cell r="BQ369" t="e">
            <v>#VALUE!</v>
          </cell>
          <cell r="BR369" t="e">
            <v>#VALUE!</v>
          </cell>
          <cell r="BS369" t="e">
            <v>#VALUE!</v>
          </cell>
          <cell r="BT369">
            <v>0</v>
          </cell>
          <cell r="BU369" t="str">
            <v/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</row>
        <row r="370">
          <cell r="A370" t="str">
            <v>156Q2</v>
          </cell>
          <cell r="B370" t="str">
            <v>Q2</v>
          </cell>
          <cell r="C370">
            <v>156</v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1</v>
          </cell>
          <cell r="BJ370">
            <v>0</v>
          </cell>
          <cell r="BK370">
            <v>0</v>
          </cell>
          <cell r="BO370" t="e">
            <v>#VALUE!</v>
          </cell>
          <cell r="BP370" t="e">
            <v>#VALUE!</v>
          </cell>
          <cell r="BQ370" t="e">
            <v>#VALUE!</v>
          </cell>
          <cell r="BR370" t="e">
            <v>#VALUE!</v>
          </cell>
          <cell r="BS370" t="e">
            <v>#VALUE!</v>
          </cell>
          <cell r="BT370">
            <v>0</v>
          </cell>
          <cell r="BU370" t="str">
            <v/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</row>
        <row r="371">
          <cell r="A371" t="str">
            <v>157Q2</v>
          </cell>
          <cell r="B371" t="str">
            <v>Q2</v>
          </cell>
          <cell r="C371">
            <v>157</v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1</v>
          </cell>
          <cell r="BJ371">
            <v>0</v>
          </cell>
          <cell r="BK371">
            <v>0</v>
          </cell>
          <cell r="BO371" t="e">
            <v>#VALUE!</v>
          </cell>
          <cell r="BP371" t="e">
            <v>#VALUE!</v>
          </cell>
          <cell r="BQ371" t="e">
            <v>#VALUE!</v>
          </cell>
          <cell r="BR371" t="e">
            <v>#VALUE!</v>
          </cell>
          <cell r="BS371" t="e">
            <v>#VALUE!</v>
          </cell>
          <cell r="BT371">
            <v>0</v>
          </cell>
          <cell r="BU371" t="str">
            <v/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</row>
        <row r="372">
          <cell r="A372" t="str">
            <v>158Q2</v>
          </cell>
          <cell r="B372" t="str">
            <v>Q2</v>
          </cell>
          <cell r="C372">
            <v>158</v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1</v>
          </cell>
          <cell r="BJ372">
            <v>0</v>
          </cell>
          <cell r="BK372">
            <v>0</v>
          </cell>
          <cell r="BO372" t="e">
            <v>#VALUE!</v>
          </cell>
          <cell r="BP372" t="e">
            <v>#VALUE!</v>
          </cell>
          <cell r="BQ372" t="e">
            <v>#VALUE!</v>
          </cell>
          <cell r="BR372" t="e">
            <v>#VALUE!</v>
          </cell>
          <cell r="BS372" t="e">
            <v>#VALUE!</v>
          </cell>
          <cell r="BT372">
            <v>0</v>
          </cell>
          <cell r="BU372" t="str">
            <v/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</row>
        <row r="373">
          <cell r="A373" t="str">
            <v>159Q2</v>
          </cell>
          <cell r="B373" t="str">
            <v>Q2</v>
          </cell>
          <cell r="C373">
            <v>159</v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1</v>
          </cell>
          <cell r="BJ373">
            <v>0</v>
          </cell>
          <cell r="BK373">
            <v>0</v>
          </cell>
          <cell r="BO373" t="e">
            <v>#VALUE!</v>
          </cell>
          <cell r="BP373" t="e">
            <v>#VALUE!</v>
          </cell>
          <cell r="BQ373" t="e">
            <v>#VALUE!</v>
          </cell>
          <cell r="BR373" t="e">
            <v>#VALUE!</v>
          </cell>
          <cell r="BS373" t="e">
            <v>#VALUE!</v>
          </cell>
          <cell r="BT373">
            <v>0</v>
          </cell>
          <cell r="BU373" t="str">
            <v/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</row>
        <row r="374">
          <cell r="A374" t="str">
            <v>160Q2</v>
          </cell>
          <cell r="B374" t="str">
            <v>Q2</v>
          </cell>
          <cell r="C374">
            <v>160</v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1</v>
          </cell>
          <cell r="BJ374">
            <v>0</v>
          </cell>
          <cell r="BK374">
            <v>0</v>
          </cell>
          <cell r="BO374" t="e">
            <v>#VALUE!</v>
          </cell>
          <cell r="BP374" t="e">
            <v>#VALUE!</v>
          </cell>
          <cell r="BQ374" t="e">
            <v>#VALUE!</v>
          </cell>
          <cell r="BR374" t="e">
            <v>#VALUE!</v>
          </cell>
          <cell r="BS374" t="e">
            <v>#VALUE!</v>
          </cell>
          <cell r="BT374">
            <v>0</v>
          </cell>
          <cell r="BU374" t="str">
            <v/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</row>
        <row r="375">
          <cell r="A375" t="str">
            <v>161Q2</v>
          </cell>
          <cell r="B375" t="str">
            <v>Q2</v>
          </cell>
          <cell r="C375">
            <v>161</v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1</v>
          </cell>
          <cell r="BJ375">
            <v>0</v>
          </cell>
          <cell r="BK375">
            <v>0</v>
          </cell>
          <cell r="BO375" t="e">
            <v>#VALUE!</v>
          </cell>
          <cell r="BP375" t="e">
            <v>#VALUE!</v>
          </cell>
          <cell r="BQ375" t="e">
            <v>#VALUE!</v>
          </cell>
          <cell r="BR375" t="e">
            <v>#VALUE!</v>
          </cell>
          <cell r="BS375" t="e">
            <v>#VALUE!</v>
          </cell>
          <cell r="BT375">
            <v>0</v>
          </cell>
          <cell r="BU375" t="str">
            <v/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</row>
        <row r="376">
          <cell r="A376" t="str">
            <v>162Q2</v>
          </cell>
          <cell r="B376" t="str">
            <v>Q2</v>
          </cell>
          <cell r="C376">
            <v>162</v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1</v>
          </cell>
          <cell r="BJ376">
            <v>0</v>
          </cell>
          <cell r="BK376">
            <v>0</v>
          </cell>
          <cell r="BO376" t="e">
            <v>#VALUE!</v>
          </cell>
          <cell r="BP376" t="e">
            <v>#VALUE!</v>
          </cell>
          <cell r="BQ376" t="e">
            <v>#VALUE!</v>
          </cell>
          <cell r="BR376" t="e">
            <v>#VALUE!</v>
          </cell>
          <cell r="BS376" t="e">
            <v>#VALUE!</v>
          </cell>
          <cell r="BT376">
            <v>0</v>
          </cell>
          <cell r="BU376" t="str">
            <v/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</row>
        <row r="377">
          <cell r="A377" t="str">
            <v>163Q2</v>
          </cell>
          <cell r="B377" t="str">
            <v>Q2</v>
          </cell>
          <cell r="C377">
            <v>163</v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1</v>
          </cell>
          <cell r="BJ377">
            <v>0</v>
          </cell>
          <cell r="BK377">
            <v>0</v>
          </cell>
          <cell r="BO377" t="e">
            <v>#VALUE!</v>
          </cell>
          <cell r="BP377" t="e">
            <v>#VALUE!</v>
          </cell>
          <cell r="BQ377" t="e">
            <v>#VALUE!</v>
          </cell>
          <cell r="BR377" t="e">
            <v>#VALUE!</v>
          </cell>
          <cell r="BS377" t="e">
            <v>#VALUE!</v>
          </cell>
          <cell r="BT377">
            <v>0</v>
          </cell>
          <cell r="BU377" t="str">
            <v/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</row>
        <row r="378">
          <cell r="A378" t="str">
            <v>164Q2</v>
          </cell>
          <cell r="B378" t="str">
            <v>Q2</v>
          </cell>
          <cell r="C378">
            <v>164</v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1</v>
          </cell>
          <cell r="BJ378">
            <v>0</v>
          </cell>
          <cell r="BK378">
            <v>0</v>
          </cell>
          <cell r="BO378" t="e">
            <v>#VALUE!</v>
          </cell>
          <cell r="BP378" t="e">
            <v>#VALUE!</v>
          </cell>
          <cell r="BQ378" t="e">
            <v>#VALUE!</v>
          </cell>
          <cell r="BR378" t="e">
            <v>#VALUE!</v>
          </cell>
          <cell r="BS378" t="e">
            <v>#VALUE!</v>
          </cell>
          <cell r="BT378">
            <v>0</v>
          </cell>
          <cell r="BU378" t="str">
            <v/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</row>
        <row r="379">
          <cell r="A379" t="str">
            <v>165Q2</v>
          </cell>
          <cell r="B379" t="str">
            <v>Q2</v>
          </cell>
          <cell r="C379">
            <v>165</v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1</v>
          </cell>
          <cell r="BJ379">
            <v>0</v>
          </cell>
          <cell r="BK379">
            <v>0</v>
          </cell>
          <cell r="BO379" t="e">
            <v>#VALUE!</v>
          </cell>
          <cell r="BP379" t="e">
            <v>#VALUE!</v>
          </cell>
          <cell r="BQ379" t="e">
            <v>#VALUE!</v>
          </cell>
          <cell r="BR379" t="e">
            <v>#VALUE!</v>
          </cell>
          <cell r="BS379" t="e">
            <v>#VALUE!</v>
          </cell>
          <cell r="BT379">
            <v>0</v>
          </cell>
          <cell r="BU379" t="str">
            <v/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</row>
        <row r="380">
          <cell r="A380" t="str">
            <v>166Q2</v>
          </cell>
          <cell r="B380" t="str">
            <v>Q2</v>
          </cell>
          <cell r="C380">
            <v>166</v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1</v>
          </cell>
          <cell r="BJ380">
            <v>0</v>
          </cell>
          <cell r="BK380">
            <v>0</v>
          </cell>
          <cell r="BO380" t="e">
            <v>#VALUE!</v>
          </cell>
          <cell r="BP380" t="e">
            <v>#VALUE!</v>
          </cell>
          <cell r="BQ380" t="e">
            <v>#VALUE!</v>
          </cell>
          <cell r="BR380" t="e">
            <v>#VALUE!</v>
          </cell>
          <cell r="BS380" t="e">
            <v>#VALUE!</v>
          </cell>
          <cell r="BT380">
            <v>0</v>
          </cell>
          <cell r="BU380" t="str">
            <v/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</row>
        <row r="381">
          <cell r="A381" t="str">
            <v>167Q2</v>
          </cell>
          <cell r="B381" t="str">
            <v>Q2</v>
          </cell>
          <cell r="C381">
            <v>167</v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1</v>
          </cell>
          <cell r="BJ381">
            <v>0</v>
          </cell>
          <cell r="BK381">
            <v>0</v>
          </cell>
          <cell r="BO381" t="e">
            <v>#VALUE!</v>
          </cell>
          <cell r="BP381" t="e">
            <v>#VALUE!</v>
          </cell>
          <cell r="BQ381" t="e">
            <v>#VALUE!</v>
          </cell>
          <cell r="BR381" t="e">
            <v>#VALUE!</v>
          </cell>
          <cell r="BS381" t="e">
            <v>#VALUE!</v>
          </cell>
          <cell r="BT381">
            <v>0</v>
          </cell>
          <cell r="BU381" t="str">
            <v/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</row>
        <row r="382">
          <cell r="A382" t="str">
            <v>168Q2</v>
          </cell>
          <cell r="B382" t="str">
            <v>Q2</v>
          </cell>
          <cell r="C382">
            <v>168</v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1</v>
          </cell>
          <cell r="BJ382">
            <v>0</v>
          </cell>
          <cell r="BK382">
            <v>0</v>
          </cell>
          <cell r="BO382" t="e">
            <v>#VALUE!</v>
          </cell>
          <cell r="BP382" t="e">
            <v>#VALUE!</v>
          </cell>
          <cell r="BQ382" t="e">
            <v>#VALUE!</v>
          </cell>
          <cell r="BR382" t="e">
            <v>#VALUE!</v>
          </cell>
          <cell r="BS382" t="e">
            <v>#VALUE!</v>
          </cell>
          <cell r="BT382">
            <v>0</v>
          </cell>
          <cell r="BU382" t="str">
            <v/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</row>
        <row r="383">
          <cell r="A383" t="str">
            <v>169Q2</v>
          </cell>
          <cell r="B383" t="str">
            <v>Q2</v>
          </cell>
          <cell r="C383">
            <v>169</v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1</v>
          </cell>
          <cell r="BJ383">
            <v>0</v>
          </cell>
          <cell r="BK383">
            <v>0</v>
          </cell>
          <cell r="BO383" t="e">
            <v>#VALUE!</v>
          </cell>
          <cell r="BP383" t="e">
            <v>#VALUE!</v>
          </cell>
          <cell r="BQ383" t="e">
            <v>#VALUE!</v>
          </cell>
          <cell r="BR383" t="e">
            <v>#VALUE!</v>
          </cell>
          <cell r="BS383" t="e">
            <v>#VALUE!</v>
          </cell>
          <cell r="BT383">
            <v>0</v>
          </cell>
          <cell r="BU383" t="str">
            <v/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</row>
        <row r="384">
          <cell r="A384" t="str">
            <v>170Q2</v>
          </cell>
          <cell r="B384" t="str">
            <v>Q2</v>
          </cell>
          <cell r="C384">
            <v>170</v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1</v>
          </cell>
          <cell r="BJ384">
            <v>0</v>
          </cell>
          <cell r="BK384">
            <v>0</v>
          </cell>
          <cell r="BO384" t="e">
            <v>#VALUE!</v>
          </cell>
          <cell r="BP384" t="e">
            <v>#VALUE!</v>
          </cell>
          <cell r="BQ384" t="e">
            <v>#VALUE!</v>
          </cell>
          <cell r="BR384" t="e">
            <v>#VALUE!</v>
          </cell>
          <cell r="BS384" t="e">
            <v>#VALUE!</v>
          </cell>
          <cell r="BT384">
            <v>0</v>
          </cell>
          <cell r="BU384" t="str">
            <v/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</row>
        <row r="385">
          <cell r="A385" t="str">
            <v>171Q2</v>
          </cell>
          <cell r="B385" t="str">
            <v>Q2</v>
          </cell>
          <cell r="C385">
            <v>171</v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1</v>
          </cell>
          <cell r="BJ385">
            <v>0</v>
          </cell>
          <cell r="BK385">
            <v>0</v>
          </cell>
          <cell r="BO385" t="e">
            <v>#VALUE!</v>
          </cell>
          <cell r="BP385" t="e">
            <v>#VALUE!</v>
          </cell>
          <cell r="BQ385" t="e">
            <v>#VALUE!</v>
          </cell>
          <cell r="BR385" t="e">
            <v>#VALUE!</v>
          </cell>
          <cell r="BS385" t="e">
            <v>#VALUE!</v>
          </cell>
          <cell r="BT385">
            <v>0</v>
          </cell>
          <cell r="BU385" t="str">
            <v/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</row>
        <row r="386">
          <cell r="A386" t="str">
            <v>172Q2</v>
          </cell>
          <cell r="B386" t="str">
            <v>Q2</v>
          </cell>
          <cell r="C386">
            <v>172</v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1</v>
          </cell>
          <cell r="BJ386">
            <v>0</v>
          </cell>
          <cell r="BK386">
            <v>0</v>
          </cell>
          <cell r="BO386" t="e">
            <v>#VALUE!</v>
          </cell>
          <cell r="BP386" t="e">
            <v>#VALUE!</v>
          </cell>
          <cell r="BQ386" t="e">
            <v>#VALUE!</v>
          </cell>
          <cell r="BR386" t="e">
            <v>#VALUE!</v>
          </cell>
          <cell r="BS386" t="e">
            <v>#VALUE!</v>
          </cell>
          <cell r="BT386">
            <v>0</v>
          </cell>
          <cell r="BU386" t="str">
            <v/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</row>
        <row r="387">
          <cell r="A387" t="str">
            <v>173Q2</v>
          </cell>
          <cell r="B387" t="str">
            <v>Q2</v>
          </cell>
          <cell r="C387">
            <v>173</v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1</v>
          </cell>
          <cell r="BJ387">
            <v>0</v>
          </cell>
          <cell r="BK387">
            <v>0</v>
          </cell>
          <cell r="BO387" t="e">
            <v>#VALUE!</v>
          </cell>
          <cell r="BP387" t="e">
            <v>#VALUE!</v>
          </cell>
          <cell r="BQ387" t="e">
            <v>#VALUE!</v>
          </cell>
          <cell r="BR387" t="e">
            <v>#VALUE!</v>
          </cell>
          <cell r="BS387" t="e">
            <v>#VALUE!</v>
          </cell>
          <cell r="BT387">
            <v>0</v>
          </cell>
          <cell r="BU387" t="str">
            <v/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</row>
        <row r="388">
          <cell r="A388" t="str">
            <v>174Q2</v>
          </cell>
          <cell r="B388" t="str">
            <v>Q2</v>
          </cell>
          <cell r="C388">
            <v>174</v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1</v>
          </cell>
          <cell r="BJ388">
            <v>0</v>
          </cell>
          <cell r="BK388">
            <v>0</v>
          </cell>
          <cell r="BO388" t="e">
            <v>#VALUE!</v>
          </cell>
          <cell r="BP388" t="e">
            <v>#VALUE!</v>
          </cell>
          <cell r="BQ388" t="e">
            <v>#VALUE!</v>
          </cell>
          <cell r="BR388" t="e">
            <v>#VALUE!</v>
          </cell>
          <cell r="BS388" t="e">
            <v>#VALUE!</v>
          </cell>
          <cell r="BT388">
            <v>0</v>
          </cell>
          <cell r="BU388" t="str">
            <v/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</row>
        <row r="389">
          <cell r="A389" t="str">
            <v>175Q2</v>
          </cell>
          <cell r="B389" t="str">
            <v>Q2</v>
          </cell>
          <cell r="C389">
            <v>175</v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1</v>
          </cell>
          <cell r="BJ389">
            <v>0</v>
          </cell>
          <cell r="BK389">
            <v>0</v>
          </cell>
          <cell r="BO389" t="e">
            <v>#VALUE!</v>
          </cell>
          <cell r="BP389" t="e">
            <v>#VALUE!</v>
          </cell>
          <cell r="BQ389" t="e">
            <v>#VALUE!</v>
          </cell>
          <cell r="BR389" t="e">
            <v>#VALUE!</v>
          </cell>
          <cell r="BS389" t="e">
            <v>#VALUE!</v>
          </cell>
          <cell r="BT389">
            <v>0</v>
          </cell>
          <cell r="BU389" t="str">
            <v/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</row>
        <row r="390">
          <cell r="A390" t="str">
            <v>176Q2</v>
          </cell>
          <cell r="B390" t="str">
            <v>Q2</v>
          </cell>
          <cell r="C390">
            <v>176</v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1</v>
          </cell>
          <cell r="BJ390">
            <v>0</v>
          </cell>
          <cell r="BK390">
            <v>0</v>
          </cell>
          <cell r="BO390" t="e">
            <v>#VALUE!</v>
          </cell>
          <cell r="BP390" t="e">
            <v>#VALUE!</v>
          </cell>
          <cell r="BQ390" t="e">
            <v>#VALUE!</v>
          </cell>
          <cell r="BR390" t="e">
            <v>#VALUE!</v>
          </cell>
          <cell r="BS390" t="e">
            <v>#VALUE!</v>
          </cell>
          <cell r="BT390">
            <v>0</v>
          </cell>
          <cell r="BU390" t="str">
            <v/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</row>
        <row r="391">
          <cell r="A391" t="str">
            <v>177Q2</v>
          </cell>
          <cell r="B391" t="str">
            <v>Q2</v>
          </cell>
          <cell r="C391">
            <v>177</v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1</v>
          </cell>
          <cell r="BJ391">
            <v>0</v>
          </cell>
          <cell r="BK391">
            <v>0</v>
          </cell>
          <cell r="BO391" t="e">
            <v>#VALUE!</v>
          </cell>
          <cell r="BP391" t="e">
            <v>#VALUE!</v>
          </cell>
          <cell r="BQ391" t="e">
            <v>#VALUE!</v>
          </cell>
          <cell r="BR391" t="e">
            <v>#VALUE!</v>
          </cell>
          <cell r="BS391" t="e">
            <v>#VALUE!</v>
          </cell>
          <cell r="BT391">
            <v>0</v>
          </cell>
          <cell r="BU391" t="str">
            <v/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</row>
        <row r="392">
          <cell r="A392" t="str">
            <v>178Q2</v>
          </cell>
          <cell r="B392" t="str">
            <v>Q2</v>
          </cell>
          <cell r="C392">
            <v>178</v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1</v>
          </cell>
          <cell r="BJ392">
            <v>0</v>
          </cell>
          <cell r="BK392">
            <v>0</v>
          </cell>
          <cell r="BO392" t="e">
            <v>#VALUE!</v>
          </cell>
          <cell r="BP392" t="e">
            <v>#VALUE!</v>
          </cell>
          <cell r="BQ392" t="e">
            <v>#VALUE!</v>
          </cell>
          <cell r="BR392" t="e">
            <v>#VALUE!</v>
          </cell>
          <cell r="BS392" t="e">
            <v>#VALUE!</v>
          </cell>
          <cell r="BT392">
            <v>0</v>
          </cell>
          <cell r="BU392" t="str">
            <v/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</row>
        <row r="393">
          <cell r="A393" t="str">
            <v>179Q2</v>
          </cell>
          <cell r="B393" t="str">
            <v>Q2</v>
          </cell>
          <cell r="C393">
            <v>179</v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1</v>
          </cell>
          <cell r="BJ393">
            <v>0</v>
          </cell>
          <cell r="BK393">
            <v>0</v>
          </cell>
          <cell r="BO393" t="e">
            <v>#VALUE!</v>
          </cell>
          <cell r="BP393" t="e">
            <v>#VALUE!</v>
          </cell>
          <cell r="BQ393" t="e">
            <v>#VALUE!</v>
          </cell>
          <cell r="BR393" t="e">
            <v>#VALUE!</v>
          </cell>
          <cell r="BS393" t="e">
            <v>#VALUE!</v>
          </cell>
          <cell r="BT393">
            <v>0</v>
          </cell>
          <cell r="BU393" t="str">
            <v/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</row>
        <row r="394">
          <cell r="A394" t="str">
            <v>180Q2</v>
          </cell>
          <cell r="B394" t="str">
            <v>Q2</v>
          </cell>
          <cell r="C394">
            <v>180</v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1</v>
          </cell>
          <cell r="BJ394">
            <v>0</v>
          </cell>
          <cell r="BK394">
            <v>0</v>
          </cell>
          <cell r="BO394" t="e">
            <v>#VALUE!</v>
          </cell>
          <cell r="BP394" t="e">
            <v>#VALUE!</v>
          </cell>
          <cell r="BQ394" t="e">
            <v>#VALUE!</v>
          </cell>
          <cell r="BR394" t="e">
            <v>#VALUE!</v>
          </cell>
          <cell r="BS394" t="e">
            <v>#VALUE!</v>
          </cell>
          <cell r="BT394">
            <v>0</v>
          </cell>
          <cell r="BU394" t="str">
            <v/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</row>
        <row r="395">
          <cell r="A395" t="str">
            <v>181Q2</v>
          </cell>
          <cell r="B395" t="str">
            <v>Q2</v>
          </cell>
          <cell r="C395">
            <v>181</v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1</v>
          </cell>
          <cell r="BJ395">
            <v>0</v>
          </cell>
          <cell r="BK395">
            <v>0</v>
          </cell>
          <cell r="BO395" t="e">
            <v>#VALUE!</v>
          </cell>
          <cell r="BP395" t="e">
            <v>#VALUE!</v>
          </cell>
          <cell r="BQ395" t="e">
            <v>#VALUE!</v>
          </cell>
          <cell r="BR395" t="e">
            <v>#VALUE!</v>
          </cell>
          <cell r="BS395" t="e">
            <v>#VALUE!</v>
          </cell>
          <cell r="BT395">
            <v>0</v>
          </cell>
          <cell r="BU395" t="str">
            <v/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</row>
        <row r="396">
          <cell r="A396" t="str">
            <v>182Q2</v>
          </cell>
          <cell r="B396" t="str">
            <v>Q2</v>
          </cell>
          <cell r="C396">
            <v>182</v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1</v>
          </cell>
          <cell r="BJ396">
            <v>0</v>
          </cell>
          <cell r="BK396">
            <v>0</v>
          </cell>
          <cell r="BO396" t="e">
            <v>#VALUE!</v>
          </cell>
          <cell r="BP396" t="e">
            <v>#VALUE!</v>
          </cell>
          <cell r="BQ396" t="e">
            <v>#VALUE!</v>
          </cell>
          <cell r="BR396" t="e">
            <v>#VALUE!</v>
          </cell>
          <cell r="BS396" t="e">
            <v>#VALUE!</v>
          </cell>
          <cell r="BT396">
            <v>0</v>
          </cell>
          <cell r="BU396" t="str">
            <v/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</row>
        <row r="397">
          <cell r="A397" t="str">
            <v>183Q2</v>
          </cell>
          <cell r="B397" t="str">
            <v>Q2</v>
          </cell>
          <cell r="C397">
            <v>183</v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1</v>
          </cell>
          <cell r="BJ397">
            <v>0</v>
          </cell>
          <cell r="BK397">
            <v>0</v>
          </cell>
          <cell r="BO397" t="e">
            <v>#VALUE!</v>
          </cell>
          <cell r="BP397" t="e">
            <v>#VALUE!</v>
          </cell>
          <cell r="BQ397" t="e">
            <v>#VALUE!</v>
          </cell>
          <cell r="BR397" t="e">
            <v>#VALUE!</v>
          </cell>
          <cell r="BS397" t="e">
            <v>#VALUE!</v>
          </cell>
          <cell r="BT397">
            <v>0</v>
          </cell>
          <cell r="BU397" t="str">
            <v/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</row>
        <row r="398">
          <cell r="A398" t="str">
            <v>184Q2</v>
          </cell>
          <cell r="B398" t="str">
            <v>Q2</v>
          </cell>
          <cell r="C398">
            <v>184</v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1</v>
          </cell>
          <cell r="BJ398">
            <v>0</v>
          </cell>
          <cell r="BK398">
            <v>0</v>
          </cell>
          <cell r="BO398" t="e">
            <v>#VALUE!</v>
          </cell>
          <cell r="BP398" t="e">
            <v>#VALUE!</v>
          </cell>
          <cell r="BQ398" t="e">
            <v>#VALUE!</v>
          </cell>
          <cell r="BR398" t="e">
            <v>#VALUE!</v>
          </cell>
          <cell r="BS398" t="e">
            <v>#VALUE!</v>
          </cell>
          <cell r="BT398">
            <v>0</v>
          </cell>
          <cell r="BU398" t="str">
            <v/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</row>
        <row r="399">
          <cell r="A399" t="str">
            <v>185Q2</v>
          </cell>
          <cell r="B399" t="str">
            <v>Q2</v>
          </cell>
          <cell r="C399">
            <v>185</v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1</v>
          </cell>
          <cell r="BJ399">
            <v>0</v>
          </cell>
          <cell r="BK399">
            <v>0</v>
          </cell>
          <cell r="BO399" t="e">
            <v>#VALUE!</v>
          </cell>
          <cell r="BP399" t="e">
            <v>#VALUE!</v>
          </cell>
          <cell r="BQ399" t="e">
            <v>#VALUE!</v>
          </cell>
          <cell r="BR399" t="e">
            <v>#VALUE!</v>
          </cell>
          <cell r="BS399" t="e">
            <v>#VALUE!</v>
          </cell>
          <cell r="BT399">
            <v>0</v>
          </cell>
          <cell r="BU399" t="str">
            <v/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</row>
        <row r="400">
          <cell r="A400" t="str">
            <v>186Q2</v>
          </cell>
          <cell r="B400" t="str">
            <v>Q2</v>
          </cell>
          <cell r="C400">
            <v>186</v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1</v>
          </cell>
          <cell r="BJ400">
            <v>0</v>
          </cell>
          <cell r="BK400">
            <v>0</v>
          </cell>
          <cell r="BO400" t="e">
            <v>#VALUE!</v>
          </cell>
          <cell r="BP400" t="e">
            <v>#VALUE!</v>
          </cell>
          <cell r="BQ400" t="e">
            <v>#VALUE!</v>
          </cell>
          <cell r="BR400" t="e">
            <v>#VALUE!</v>
          </cell>
          <cell r="BS400" t="e">
            <v>#VALUE!</v>
          </cell>
          <cell r="BT400">
            <v>0</v>
          </cell>
          <cell r="BU400" t="str">
            <v/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</row>
        <row r="401">
          <cell r="A401" t="str">
            <v>187Q2</v>
          </cell>
          <cell r="B401" t="str">
            <v>Q2</v>
          </cell>
          <cell r="C401">
            <v>187</v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1</v>
          </cell>
          <cell r="BJ401">
            <v>0</v>
          </cell>
          <cell r="BK401">
            <v>0</v>
          </cell>
          <cell r="BO401" t="e">
            <v>#VALUE!</v>
          </cell>
          <cell r="BP401" t="e">
            <v>#VALUE!</v>
          </cell>
          <cell r="BQ401" t="e">
            <v>#VALUE!</v>
          </cell>
          <cell r="BR401" t="e">
            <v>#VALUE!</v>
          </cell>
          <cell r="BS401" t="e">
            <v>#VALUE!</v>
          </cell>
          <cell r="BT401">
            <v>0</v>
          </cell>
          <cell r="BU401" t="str">
            <v/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</row>
        <row r="402">
          <cell r="A402" t="str">
            <v>188Q2</v>
          </cell>
          <cell r="B402" t="str">
            <v>Q2</v>
          </cell>
          <cell r="C402">
            <v>188</v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1</v>
          </cell>
          <cell r="BJ402">
            <v>0</v>
          </cell>
          <cell r="BK402">
            <v>0</v>
          </cell>
          <cell r="BO402" t="e">
            <v>#VALUE!</v>
          </cell>
          <cell r="BP402" t="e">
            <v>#VALUE!</v>
          </cell>
          <cell r="BQ402" t="e">
            <v>#VALUE!</v>
          </cell>
          <cell r="BR402" t="e">
            <v>#VALUE!</v>
          </cell>
          <cell r="BS402" t="e">
            <v>#VALUE!</v>
          </cell>
          <cell r="BT402">
            <v>0</v>
          </cell>
          <cell r="BU402" t="str">
            <v/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</row>
        <row r="403">
          <cell r="A403" t="str">
            <v>189Q2</v>
          </cell>
          <cell r="B403" t="str">
            <v>Q2</v>
          </cell>
          <cell r="C403">
            <v>189</v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1</v>
          </cell>
          <cell r="BJ403">
            <v>0</v>
          </cell>
          <cell r="BK403">
            <v>0</v>
          </cell>
          <cell r="BO403" t="e">
            <v>#VALUE!</v>
          </cell>
          <cell r="BP403" t="e">
            <v>#VALUE!</v>
          </cell>
          <cell r="BQ403" t="e">
            <v>#VALUE!</v>
          </cell>
          <cell r="BR403" t="e">
            <v>#VALUE!</v>
          </cell>
          <cell r="BS403" t="e">
            <v>#VALUE!</v>
          </cell>
          <cell r="BT403">
            <v>0</v>
          </cell>
          <cell r="BU403" t="str">
            <v/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</row>
        <row r="404">
          <cell r="A404" t="str">
            <v>190Q2</v>
          </cell>
          <cell r="B404" t="str">
            <v>Q2</v>
          </cell>
          <cell r="C404">
            <v>190</v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1</v>
          </cell>
          <cell r="BJ404">
            <v>0</v>
          </cell>
          <cell r="BK404">
            <v>0</v>
          </cell>
          <cell r="BO404" t="e">
            <v>#VALUE!</v>
          </cell>
          <cell r="BP404" t="e">
            <v>#VALUE!</v>
          </cell>
          <cell r="BQ404" t="e">
            <v>#VALUE!</v>
          </cell>
          <cell r="BR404" t="e">
            <v>#VALUE!</v>
          </cell>
          <cell r="BS404" t="e">
            <v>#VALUE!</v>
          </cell>
          <cell r="BT404">
            <v>0</v>
          </cell>
          <cell r="BU404" t="str">
            <v/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</row>
        <row r="405">
          <cell r="A405" t="str">
            <v>191Q2</v>
          </cell>
          <cell r="B405" t="str">
            <v>Q2</v>
          </cell>
          <cell r="C405">
            <v>191</v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1</v>
          </cell>
          <cell r="BJ405">
            <v>0</v>
          </cell>
          <cell r="BK405">
            <v>0</v>
          </cell>
          <cell r="BO405" t="e">
            <v>#VALUE!</v>
          </cell>
          <cell r="BP405" t="e">
            <v>#VALUE!</v>
          </cell>
          <cell r="BQ405" t="e">
            <v>#VALUE!</v>
          </cell>
          <cell r="BR405" t="e">
            <v>#VALUE!</v>
          </cell>
          <cell r="BS405" t="e">
            <v>#VALUE!</v>
          </cell>
          <cell r="BT405">
            <v>0</v>
          </cell>
          <cell r="BU405" t="str">
            <v/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</row>
        <row r="406">
          <cell r="A406" t="str">
            <v>192Q2</v>
          </cell>
          <cell r="B406" t="str">
            <v>Q2</v>
          </cell>
          <cell r="C406">
            <v>192</v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1</v>
          </cell>
          <cell r="BJ406">
            <v>0</v>
          </cell>
          <cell r="BK406">
            <v>0</v>
          </cell>
          <cell r="BO406" t="e">
            <v>#VALUE!</v>
          </cell>
          <cell r="BP406" t="e">
            <v>#VALUE!</v>
          </cell>
          <cell r="BQ406" t="e">
            <v>#VALUE!</v>
          </cell>
          <cell r="BR406" t="e">
            <v>#VALUE!</v>
          </cell>
          <cell r="BS406" t="e">
            <v>#VALUE!</v>
          </cell>
          <cell r="BT406">
            <v>0</v>
          </cell>
          <cell r="BU406" t="str">
            <v/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</row>
        <row r="407">
          <cell r="A407" t="str">
            <v>193Q2</v>
          </cell>
          <cell r="B407" t="str">
            <v>Q2</v>
          </cell>
          <cell r="C407">
            <v>193</v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1</v>
          </cell>
          <cell r="BJ407">
            <v>0</v>
          </cell>
          <cell r="BK407">
            <v>0</v>
          </cell>
          <cell r="BO407" t="e">
            <v>#VALUE!</v>
          </cell>
          <cell r="BP407" t="e">
            <v>#VALUE!</v>
          </cell>
          <cell r="BQ407" t="e">
            <v>#VALUE!</v>
          </cell>
          <cell r="BR407" t="e">
            <v>#VALUE!</v>
          </cell>
          <cell r="BS407" t="e">
            <v>#VALUE!</v>
          </cell>
          <cell r="BT407">
            <v>0</v>
          </cell>
          <cell r="BU407" t="str">
            <v/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</row>
        <row r="408">
          <cell r="A408" t="str">
            <v>194Q2</v>
          </cell>
          <cell r="B408" t="str">
            <v>Q2</v>
          </cell>
          <cell r="C408">
            <v>194</v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1</v>
          </cell>
          <cell r="BJ408">
            <v>0</v>
          </cell>
          <cell r="BK408">
            <v>0</v>
          </cell>
          <cell r="BO408" t="e">
            <v>#VALUE!</v>
          </cell>
          <cell r="BP408" t="e">
            <v>#VALUE!</v>
          </cell>
          <cell r="BQ408" t="e">
            <v>#VALUE!</v>
          </cell>
          <cell r="BR408" t="e">
            <v>#VALUE!</v>
          </cell>
          <cell r="BS408" t="e">
            <v>#VALUE!</v>
          </cell>
          <cell r="BT408">
            <v>0</v>
          </cell>
          <cell r="BU408" t="str">
            <v/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</row>
        <row r="409">
          <cell r="A409" t="str">
            <v>195Q2</v>
          </cell>
          <cell r="B409" t="str">
            <v>Q2</v>
          </cell>
          <cell r="C409">
            <v>195</v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1</v>
          </cell>
          <cell r="BJ409">
            <v>0</v>
          </cell>
          <cell r="BK409">
            <v>0</v>
          </cell>
          <cell r="BO409" t="e">
            <v>#VALUE!</v>
          </cell>
          <cell r="BP409" t="e">
            <v>#VALUE!</v>
          </cell>
          <cell r="BQ409" t="e">
            <v>#VALUE!</v>
          </cell>
          <cell r="BR409" t="e">
            <v>#VALUE!</v>
          </cell>
          <cell r="BS409" t="e">
            <v>#VALUE!</v>
          </cell>
          <cell r="BT409">
            <v>0</v>
          </cell>
          <cell r="BU409" t="str">
            <v/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</row>
        <row r="410">
          <cell r="A410" t="str">
            <v>196Q2</v>
          </cell>
          <cell r="B410" t="str">
            <v>Q2</v>
          </cell>
          <cell r="C410">
            <v>196</v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1</v>
          </cell>
          <cell r="BJ410">
            <v>0</v>
          </cell>
          <cell r="BK410">
            <v>0</v>
          </cell>
          <cell r="BO410" t="e">
            <v>#VALUE!</v>
          </cell>
          <cell r="BP410" t="e">
            <v>#VALUE!</v>
          </cell>
          <cell r="BQ410" t="e">
            <v>#VALUE!</v>
          </cell>
          <cell r="BR410" t="e">
            <v>#VALUE!</v>
          </cell>
          <cell r="BS410" t="e">
            <v>#VALUE!</v>
          </cell>
          <cell r="BT410">
            <v>0</v>
          </cell>
          <cell r="BU410" t="str">
            <v/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</row>
        <row r="411">
          <cell r="A411" t="str">
            <v>197Q2</v>
          </cell>
          <cell r="B411" t="str">
            <v>Q2</v>
          </cell>
          <cell r="C411">
            <v>197</v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1</v>
          </cell>
          <cell r="BJ411">
            <v>0</v>
          </cell>
          <cell r="BK411">
            <v>0</v>
          </cell>
          <cell r="BO411" t="e">
            <v>#VALUE!</v>
          </cell>
          <cell r="BP411" t="e">
            <v>#VALUE!</v>
          </cell>
          <cell r="BQ411" t="e">
            <v>#VALUE!</v>
          </cell>
          <cell r="BR411" t="e">
            <v>#VALUE!</v>
          </cell>
          <cell r="BS411" t="e">
            <v>#VALUE!</v>
          </cell>
          <cell r="BT411">
            <v>0</v>
          </cell>
          <cell r="BU411" t="str">
            <v/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</row>
        <row r="412">
          <cell r="A412" t="str">
            <v>198Q2</v>
          </cell>
          <cell r="B412" t="str">
            <v>Q2</v>
          </cell>
          <cell r="C412">
            <v>198</v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1</v>
          </cell>
          <cell r="BJ412">
            <v>0</v>
          </cell>
          <cell r="BK412">
            <v>0</v>
          </cell>
          <cell r="BO412" t="e">
            <v>#VALUE!</v>
          </cell>
          <cell r="BP412" t="e">
            <v>#VALUE!</v>
          </cell>
          <cell r="BQ412" t="e">
            <v>#VALUE!</v>
          </cell>
          <cell r="BR412" t="e">
            <v>#VALUE!</v>
          </cell>
          <cell r="BS412" t="e">
            <v>#VALUE!</v>
          </cell>
          <cell r="BT412">
            <v>0</v>
          </cell>
          <cell r="BU412" t="str">
            <v/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</row>
        <row r="413">
          <cell r="A413" t="str">
            <v>199Q2</v>
          </cell>
          <cell r="B413" t="str">
            <v>Q2</v>
          </cell>
          <cell r="C413">
            <v>199</v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1</v>
          </cell>
          <cell r="BJ413">
            <v>0</v>
          </cell>
          <cell r="BK413">
            <v>0</v>
          </cell>
          <cell r="BO413" t="e">
            <v>#VALUE!</v>
          </cell>
          <cell r="BP413" t="e">
            <v>#VALUE!</v>
          </cell>
          <cell r="BQ413" t="e">
            <v>#VALUE!</v>
          </cell>
          <cell r="BR413" t="e">
            <v>#VALUE!</v>
          </cell>
          <cell r="BS413" t="e">
            <v>#VALUE!</v>
          </cell>
          <cell r="BT413">
            <v>0</v>
          </cell>
          <cell r="BU413" t="str">
            <v/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</row>
        <row r="414">
          <cell r="A414" t="str">
            <v>200Q2</v>
          </cell>
          <cell r="B414" t="str">
            <v>Q2</v>
          </cell>
          <cell r="C414">
            <v>200</v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1</v>
          </cell>
          <cell r="BJ414">
            <v>0</v>
          </cell>
          <cell r="BK414">
            <v>0</v>
          </cell>
          <cell r="BO414" t="e">
            <v>#VALUE!</v>
          </cell>
          <cell r="BP414" t="e">
            <v>#VALUE!</v>
          </cell>
          <cell r="BQ414" t="e">
            <v>#VALUE!</v>
          </cell>
          <cell r="BR414" t="e">
            <v>#VALUE!</v>
          </cell>
          <cell r="BS414" t="e">
            <v>#VALUE!</v>
          </cell>
          <cell r="BT414">
            <v>0</v>
          </cell>
          <cell r="BU414" t="str">
            <v/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</row>
        <row r="415">
          <cell r="BO415">
            <v>42917</v>
          </cell>
          <cell r="BP415">
            <v>43008</v>
          </cell>
          <cell r="BQ415">
            <v>92</v>
          </cell>
        </row>
        <row r="416">
          <cell r="A416" t="str">
            <v>1Q3</v>
          </cell>
          <cell r="B416" t="str">
            <v>Q3</v>
          </cell>
          <cell r="C416">
            <v>1</v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1</v>
          </cell>
          <cell r="BJ416">
            <v>0</v>
          </cell>
          <cell r="BK416">
            <v>0</v>
          </cell>
          <cell r="BM416" t="str">
            <v/>
          </cell>
          <cell r="BO416" t="e">
            <v>#VALUE!</v>
          </cell>
          <cell r="BP416" t="e">
            <v>#VALUE!</v>
          </cell>
          <cell r="BQ416" t="e">
            <v>#VALUE!</v>
          </cell>
          <cell r="BR416" t="e">
            <v>#VALUE!</v>
          </cell>
          <cell r="BS416" t="e">
            <v>#VALUE!</v>
          </cell>
          <cell r="BT416">
            <v>0</v>
          </cell>
          <cell r="BU416" t="str">
            <v/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 t="e">
            <v>#VALUE!</v>
          </cell>
        </row>
        <row r="417">
          <cell r="A417" t="str">
            <v>2Q3</v>
          </cell>
          <cell r="B417" t="str">
            <v>Q3</v>
          </cell>
          <cell r="C417">
            <v>2</v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1</v>
          </cell>
          <cell r="BJ417">
            <v>0</v>
          </cell>
          <cell r="BK417">
            <v>0</v>
          </cell>
          <cell r="BM417" t="str">
            <v/>
          </cell>
          <cell r="BO417" t="e">
            <v>#VALUE!</v>
          </cell>
          <cell r="BP417" t="e">
            <v>#VALUE!</v>
          </cell>
          <cell r="BQ417" t="e">
            <v>#VALUE!</v>
          </cell>
          <cell r="BR417" t="e">
            <v>#VALUE!</v>
          </cell>
          <cell r="BS417" t="e">
            <v>#VALUE!</v>
          </cell>
          <cell r="BT417">
            <v>0</v>
          </cell>
          <cell r="BU417" t="str">
            <v/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 t="e">
            <v>#VALUE!</v>
          </cell>
        </row>
        <row r="418">
          <cell r="A418" t="str">
            <v>3Q3</v>
          </cell>
          <cell r="B418" t="str">
            <v>Q3</v>
          </cell>
          <cell r="C418">
            <v>3</v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1</v>
          </cell>
          <cell r="BJ418">
            <v>0</v>
          </cell>
          <cell r="BK418">
            <v>0</v>
          </cell>
          <cell r="BM418" t="str">
            <v/>
          </cell>
          <cell r="BO418" t="e">
            <v>#VALUE!</v>
          </cell>
          <cell r="BP418" t="e">
            <v>#VALUE!</v>
          </cell>
          <cell r="BQ418" t="e">
            <v>#VALUE!</v>
          </cell>
          <cell r="BR418" t="e">
            <v>#VALUE!</v>
          </cell>
          <cell r="BS418" t="e">
            <v>#VALUE!</v>
          </cell>
          <cell r="BT418">
            <v>0</v>
          </cell>
          <cell r="BU418" t="str">
            <v/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 t="e">
            <v>#VALUE!</v>
          </cell>
        </row>
        <row r="419">
          <cell r="A419" t="str">
            <v>4Q3</v>
          </cell>
          <cell r="B419" t="str">
            <v>Q3</v>
          </cell>
          <cell r="C419">
            <v>4</v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1</v>
          </cell>
          <cell r="BJ419">
            <v>0</v>
          </cell>
          <cell r="BK419">
            <v>0</v>
          </cell>
          <cell r="BM419" t="str">
            <v/>
          </cell>
          <cell r="BO419" t="e">
            <v>#VALUE!</v>
          </cell>
          <cell r="BP419" t="e">
            <v>#VALUE!</v>
          </cell>
          <cell r="BQ419" t="e">
            <v>#VALUE!</v>
          </cell>
          <cell r="BR419" t="e">
            <v>#VALUE!</v>
          </cell>
          <cell r="BS419" t="e">
            <v>#VALUE!</v>
          </cell>
          <cell r="BT419">
            <v>0</v>
          </cell>
          <cell r="BU419" t="str">
            <v/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 t="e">
            <v>#VALUE!</v>
          </cell>
        </row>
        <row r="420">
          <cell r="A420" t="str">
            <v>5Q3</v>
          </cell>
          <cell r="B420" t="str">
            <v>Q3</v>
          </cell>
          <cell r="C420">
            <v>5</v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1</v>
          </cell>
          <cell r="BJ420">
            <v>0</v>
          </cell>
          <cell r="BK420">
            <v>0</v>
          </cell>
          <cell r="BM420" t="str">
            <v/>
          </cell>
          <cell r="BO420" t="e">
            <v>#VALUE!</v>
          </cell>
          <cell r="BP420" t="e">
            <v>#VALUE!</v>
          </cell>
          <cell r="BQ420" t="e">
            <v>#VALUE!</v>
          </cell>
          <cell r="BR420" t="e">
            <v>#VALUE!</v>
          </cell>
          <cell r="BS420" t="e">
            <v>#VALUE!</v>
          </cell>
          <cell r="BT420">
            <v>0</v>
          </cell>
          <cell r="BU420" t="str">
            <v/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 t="e">
            <v>#VALUE!</v>
          </cell>
        </row>
        <row r="421">
          <cell r="A421" t="str">
            <v>6Q3</v>
          </cell>
          <cell r="B421" t="str">
            <v>Q3</v>
          </cell>
          <cell r="C421">
            <v>6</v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1</v>
          </cell>
          <cell r="BJ421">
            <v>0</v>
          </cell>
          <cell r="BK421">
            <v>0</v>
          </cell>
          <cell r="BM421" t="str">
            <v/>
          </cell>
          <cell r="BO421" t="e">
            <v>#VALUE!</v>
          </cell>
          <cell r="BP421" t="e">
            <v>#VALUE!</v>
          </cell>
          <cell r="BQ421" t="e">
            <v>#VALUE!</v>
          </cell>
          <cell r="BR421" t="e">
            <v>#VALUE!</v>
          </cell>
          <cell r="BS421" t="e">
            <v>#VALUE!</v>
          </cell>
          <cell r="BT421">
            <v>0</v>
          </cell>
          <cell r="BU421" t="str">
            <v/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 t="e">
            <v>#VALUE!</v>
          </cell>
        </row>
        <row r="422">
          <cell r="A422" t="str">
            <v>7Q3</v>
          </cell>
          <cell r="B422" t="str">
            <v>Q3</v>
          </cell>
          <cell r="C422">
            <v>7</v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1</v>
          </cell>
          <cell r="BJ422">
            <v>0</v>
          </cell>
          <cell r="BK422">
            <v>0</v>
          </cell>
          <cell r="BM422" t="str">
            <v/>
          </cell>
          <cell r="BO422" t="e">
            <v>#VALUE!</v>
          </cell>
          <cell r="BP422" t="e">
            <v>#VALUE!</v>
          </cell>
          <cell r="BQ422" t="e">
            <v>#VALUE!</v>
          </cell>
          <cell r="BR422" t="e">
            <v>#VALUE!</v>
          </cell>
          <cell r="BS422" t="e">
            <v>#VALUE!</v>
          </cell>
          <cell r="BT422">
            <v>0</v>
          </cell>
          <cell r="BU422" t="str">
            <v/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 t="e">
            <v>#VALUE!</v>
          </cell>
        </row>
        <row r="423">
          <cell r="A423" t="str">
            <v>8Q3</v>
          </cell>
          <cell r="B423" t="str">
            <v>Q3</v>
          </cell>
          <cell r="C423">
            <v>8</v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1</v>
          </cell>
          <cell r="BJ423">
            <v>0</v>
          </cell>
          <cell r="BK423">
            <v>0</v>
          </cell>
          <cell r="BM423" t="str">
            <v/>
          </cell>
          <cell r="BO423" t="e">
            <v>#VALUE!</v>
          </cell>
          <cell r="BP423" t="e">
            <v>#VALUE!</v>
          </cell>
          <cell r="BQ423" t="e">
            <v>#VALUE!</v>
          </cell>
          <cell r="BR423" t="e">
            <v>#VALUE!</v>
          </cell>
          <cell r="BS423" t="e">
            <v>#VALUE!</v>
          </cell>
          <cell r="BT423">
            <v>0</v>
          </cell>
          <cell r="BU423" t="str">
            <v/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 t="e">
            <v>#VALUE!</v>
          </cell>
        </row>
        <row r="424">
          <cell r="A424" t="str">
            <v>9Q3</v>
          </cell>
          <cell r="B424" t="str">
            <v>Q3</v>
          </cell>
          <cell r="C424">
            <v>9</v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1</v>
          </cell>
          <cell r="BJ424">
            <v>0</v>
          </cell>
          <cell r="BK424">
            <v>0</v>
          </cell>
          <cell r="BM424" t="str">
            <v/>
          </cell>
          <cell r="BO424" t="e">
            <v>#VALUE!</v>
          </cell>
          <cell r="BP424" t="e">
            <v>#VALUE!</v>
          </cell>
          <cell r="BQ424" t="e">
            <v>#VALUE!</v>
          </cell>
          <cell r="BR424" t="e">
            <v>#VALUE!</v>
          </cell>
          <cell r="BS424" t="e">
            <v>#VALUE!</v>
          </cell>
          <cell r="BT424">
            <v>0</v>
          </cell>
          <cell r="BU424" t="str">
            <v/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 t="e">
            <v>#VALUE!</v>
          </cell>
        </row>
        <row r="425">
          <cell r="A425" t="str">
            <v>10Q3</v>
          </cell>
          <cell r="B425" t="str">
            <v>Q3</v>
          </cell>
          <cell r="C425">
            <v>10</v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1</v>
          </cell>
          <cell r="BJ425">
            <v>0</v>
          </cell>
          <cell r="BK425">
            <v>0</v>
          </cell>
          <cell r="BM425" t="str">
            <v/>
          </cell>
          <cell r="BO425" t="e">
            <v>#VALUE!</v>
          </cell>
          <cell r="BP425" t="e">
            <v>#VALUE!</v>
          </cell>
          <cell r="BQ425" t="e">
            <v>#VALUE!</v>
          </cell>
          <cell r="BR425" t="e">
            <v>#VALUE!</v>
          </cell>
          <cell r="BS425" t="e">
            <v>#VALUE!</v>
          </cell>
          <cell r="BT425">
            <v>0</v>
          </cell>
          <cell r="BU425" t="str">
            <v/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 t="e">
            <v>#VALUE!</v>
          </cell>
        </row>
        <row r="426">
          <cell r="A426" t="str">
            <v>11Q3</v>
          </cell>
          <cell r="B426" t="str">
            <v>Q3</v>
          </cell>
          <cell r="C426">
            <v>11</v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1</v>
          </cell>
          <cell r="BJ426">
            <v>0</v>
          </cell>
          <cell r="BK426">
            <v>0</v>
          </cell>
          <cell r="BM426" t="str">
            <v/>
          </cell>
          <cell r="BO426" t="e">
            <v>#VALUE!</v>
          </cell>
          <cell r="BP426" t="e">
            <v>#VALUE!</v>
          </cell>
          <cell r="BQ426" t="e">
            <v>#VALUE!</v>
          </cell>
          <cell r="BR426" t="e">
            <v>#VALUE!</v>
          </cell>
          <cell r="BS426" t="e">
            <v>#VALUE!</v>
          </cell>
          <cell r="BT426">
            <v>0</v>
          </cell>
          <cell r="BU426" t="str">
            <v/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 t="e">
            <v>#VALUE!</v>
          </cell>
        </row>
        <row r="427">
          <cell r="A427" t="str">
            <v>12Q3</v>
          </cell>
          <cell r="B427" t="str">
            <v>Q3</v>
          </cell>
          <cell r="C427">
            <v>12</v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1</v>
          </cell>
          <cell r="BJ427">
            <v>0</v>
          </cell>
          <cell r="BK427">
            <v>0</v>
          </cell>
          <cell r="BM427" t="str">
            <v/>
          </cell>
          <cell r="BO427" t="e">
            <v>#VALUE!</v>
          </cell>
          <cell r="BP427" t="e">
            <v>#VALUE!</v>
          </cell>
          <cell r="BQ427" t="e">
            <v>#VALUE!</v>
          </cell>
          <cell r="BR427" t="e">
            <v>#VALUE!</v>
          </cell>
          <cell r="BS427" t="e">
            <v>#VALUE!</v>
          </cell>
          <cell r="BT427">
            <v>0</v>
          </cell>
          <cell r="BU427" t="str">
            <v/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 t="e">
            <v>#VALUE!</v>
          </cell>
        </row>
        <row r="428">
          <cell r="A428" t="str">
            <v>13Q3</v>
          </cell>
          <cell r="B428" t="str">
            <v>Q3</v>
          </cell>
          <cell r="C428">
            <v>13</v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1</v>
          </cell>
          <cell r="BJ428">
            <v>0</v>
          </cell>
          <cell r="BK428">
            <v>0</v>
          </cell>
          <cell r="BM428" t="str">
            <v/>
          </cell>
          <cell r="BO428" t="e">
            <v>#VALUE!</v>
          </cell>
          <cell r="BP428" t="e">
            <v>#VALUE!</v>
          </cell>
          <cell r="BQ428" t="e">
            <v>#VALUE!</v>
          </cell>
          <cell r="BR428" t="e">
            <v>#VALUE!</v>
          </cell>
          <cell r="BS428" t="e">
            <v>#VALUE!</v>
          </cell>
          <cell r="BT428">
            <v>0</v>
          </cell>
          <cell r="BU428" t="str">
            <v/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 t="e">
            <v>#VALUE!</v>
          </cell>
        </row>
        <row r="429">
          <cell r="A429" t="str">
            <v>14Q3</v>
          </cell>
          <cell r="B429" t="str">
            <v>Q3</v>
          </cell>
          <cell r="C429">
            <v>14</v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1</v>
          </cell>
          <cell r="BJ429">
            <v>0</v>
          </cell>
          <cell r="BK429">
            <v>0</v>
          </cell>
          <cell r="BM429" t="str">
            <v/>
          </cell>
          <cell r="BO429" t="e">
            <v>#VALUE!</v>
          </cell>
          <cell r="BP429" t="e">
            <v>#VALUE!</v>
          </cell>
          <cell r="BQ429" t="e">
            <v>#VALUE!</v>
          </cell>
          <cell r="BR429" t="e">
            <v>#VALUE!</v>
          </cell>
          <cell r="BS429" t="e">
            <v>#VALUE!</v>
          </cell>
          <cell r="BT429">
            <v>0</v>
          </cell>
          <cell r="BU429" t="str">
            <v/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 t="e">
            <v>#VALUE!</v>
          </cell>
        </row>
        <row r="430">
          <cell r="A430" t="str">
            <v>15Q3</v>
          </cell>
          <cell r="B430" t="str">
            <v>Q3</v>
          </cell>
          <cell r="C430">
            <v>15</v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1</v>
          </cell>
          <cell r="BJ430">
            <v>0</v>
          </cell>
          <cell r="BK430">
            <v>0</v>
          </cell>
          <cell r="BM430" t="str">
            <v/>
          </cell>
          <cell r="BO430" t="e">
            <v>#VALUE!</v>
          </cell>
          <cell r="BP430" t="e">
            <v>#VALUE!</v>
          </cell>
          <cell r="BQ430" t="e">
            <v>#VALUE!</v>
          </cell>
          <cell r="BR430" t="e">
            <v>#VALUE!</v>
          </cell>
          <cell r="BS430" t="e">
            <v>#VALUE!</v>
          </cell>
          <cell r="BT430">
            <v>0</v>
          </cell>
          <cell r="BU430" t="str">
            <v/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 t="e">
            <v>#VALUE!</v>
          </cell>
        </row>
        <row r="431">
          <cell r="A431" t="str">
            <v>16Q3</v>
          </cell>
          <cell r="B431" t="str">
            <v>Q3</v>
          </cell>
          <cell r="C431">
            <v>16</v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1</v>
          </cell>
          <cell r="BJ431">
            <v>0</v>
          </cell>
          <cell r="BK431">
            <v>0</v>
          </cell>
          <cell r="BM431" t="str">
            <v/>
          </cell>
          <cell r="BO431" t="e">
            <v>#VALUE!</v>
          </cell>
          <cell r="BP431" t="e">
            <v>#VALUE!</v>
          </cell>
          <cell r="BQ431" t="e">
            <v>#VALUE!</v>
          </cell>
          <cell r="BR431" t="e">
            <v>#VALUE!</v>
          </cell>
          <cell r="BS431" t="e">
            <v>#VALUE!</v>
          </cell>
          <cell r="BT431">
            <v>0</v>
          </cell>
          <cell r="BU431" t="str">
            <v/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 t="e">
            <v>#VALUE!</v>
          </cell>
        </row>
        <row r="432">
          <cell r="A432" t="str">
            <v>17Q3</v>
          </cell>
          <cell r="B432" t="str">
            <v>Q3</v>
          </cell>
          <cell r="C432">
            <v>17</v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1</v>
          </cell>
          <cell r="BJ432">
            <v>0</v>
          </cell>
          <cell r="BK432">
            <v>0</v>
          </cell>
          <cell r="BM432" t="str">
            <v/>
          </cell>
          <cell r="BO432" t="e">
            <v>#VALUE!</v>
          </cell>
          <cell r="BP432" t="e">
            <v>#VALUE!</v>
          </cell>
          <cell r="BQ432" t="e">
            <v>#VALUE!</v>
          </cell>
          <cell r="BR432" t="e">
            <v>#VALUE!</v>
          </cell>
          <cell r="BS432" t="e">
            <v>#VALUE!</v>
          </cell>
          <cell r="BT432">
            <v>0</v>
          </cell>
          <cell r="BU432" t="str">
            <v/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 t="e">
            <v>#VALUE!</v>
          </cell>
        </row>
        <row r="433">
          <cell r="A433" t="str">
            <v>18Q3</v>
          </cell>
          <cell r="B433" t="str">
            <v>Q3</v>
          </cell>
          <cell r="C433">
            <v>18</v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1</v>
          </cell>
          <cell r="BJ433">
            <v>0</v>
          </cell>
          <cell r="BK433">
            <v>0</v>
          </cell>
          <cell r="BM433" t="str">
            <v/>
          </cell>
          <cell r="BO433" t="e">
            <v>#VALUE!</v>
          </cell>
          <cell r="BP433" t="e">
            <v>#VALUE!</v>
          </cell>
          <cell r="BQ433" t="e">
            <v>#VALUE!</v>
          </cell>
          <cell r="BR433" t="e">
            <v>#VALUE!</v>
          </cell>
          <cell r="BS433" t="e">
            <v>#VALUE!</v>
          </cell>
          <cell r="BT433">
            <v>0</v>
          </cell>
          <cell r="BU433" t="str">
            <v/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 t="e">
            <v>#VALUE!</v>
          </cell>
        </row>
        <row r="434">
          <cell r="A434" t="str">
            <v>19Q3</v>
          </cell>
          <cell r="B434" t="str">
            <v>Q3</v>
          </cell>
          <cell r="C434">
            <v>19</v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1</v>
          </cell>
          <cell r="BJ434">
            <v>0</v>
          </cell>
          <cell r="BK434">
            <v>0</v>
          </cell>
          <cell r="BM434" t="str">
            <v/>
          </cell>
          <cell r="BO434" t="e">
            <v>#VALUE!</v>
          </cell>
          <cell r="BP434" t="e">
            <v>#VALUE!</v>
          </cell>
          <cell r="BQ434" t="e">
            <v>#VALUE!</v>
          </cell>
          <cell r="BR434" t="e">
            <v>#VALUE!</v>
          </cell>
          <cell r="BS434" t="e">
            <v>#VALUE!</v>
          </cell>
          <cell r="BT434">
            <v>0</v>
          </cell>
          <cell r="BU434" t="str">
            <v/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 t="e">
            <v>#VALUE!</v>
          </cell>
        </row>
        <row r="435">
          <cell r="A435" t="str">
            <v>20Q3</v>
          </cell>
          <cell r="B435" t="str">
            <v>Q3</v>
          </cell>
          <cell r="C435">
            <v>20</v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1</v>
          </cell>
          <cell r="BJ435">
            <v>0</v>
          </cell>
          <cell r="BK435">
            <v>0</v>
          </cell>
          <cell r="BM435" t="str">
            <v/>
          </cell>
          <cell r="BO435" t="e">
            <v>#VALUE!</v>
          </cell>
          <cell r="BP435" t="e">
            <v>#VALUE!</v>
          </cell>
          <cell r="BQ435" t="e">
            <v>#VALUE!</v>
          </cell>
          <cell r="BR435" t="e">
            <v>#VALUE!</v>
          </cell>
          <cell r="BS435" t="e">
            <v>#VALUE!</v>
          </cell>
          <cell r="BT435">
            <v>0</v>
          </cell>
          <cell r="BU435" t="str">
            <v/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 t="e">
            <v>#VALUE!</v>
          </cell>
        </row>
        <row r="436">
          <cell r="A436" t="str">
            <v>21Q3</v>
          </cell>
          <cell r="B436" t="str">
            <v>Q3</v>
          </cell>
          <cell r="C436">
            <v>21</v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1</v>
          </cell>
          <cell r="BJ436">
            <v>0</v>
          </cell>
          <cell r="BK436">
            <v>0</v>
          </cell>
          <cell r="BM436" t="str">
            <v/>
          </cell>
          <cell r="BO436" t="e">
            <v>#VALUE!</v>
          </cell>
          <cell r="BP436" t="e">
            <v>#VALUE!</v>
          </cell>
          <cell r="BQ436" t="e">
            <v>#VALUE!</v>
          </cell>
          <cell r="BR436" t="e">
            <v>#VALUE!</v>
          </cell>
          <cell r="BS436" t="e">
            <v>#VALUE!</v>
          </cell>
          <cell r="BT436">
            <v>0</v>
          </cell>
          <cell r="BU436" t="str">
            <v/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 t="e">
            <v>#VALUE!</v>
          </cell>
        </row>
        <row r="437">
          <cell r="A437" t="str">
            <v>22Q3</v>
          </cell>
          <cell r="B437" t="str">
            <v>Q3</v>
          </cell>
          <cell r="C437">
            <v>22</v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1</v>
          </cell>
          <cell r="BJ437">
            <v>0</v>
          </cell>
          <cell r="BK437">
            <v>0</v>
          </cell>
          <cell r="BM437" t="str">
            <v/>
          </cell>
          <cell r="BO437" t="e">
            <v>#VALUE!</v>
          </cell>
          <cell r="BP437" t="e">
            <v>#VALUE!</v>
          </cell>
          <cell r="BQ437" t="e">
            <v>#VALUE!</v>
          </cell>
          <cell r="BR437" t="e">
            <v>#VALUE!</v>
          </cell>
          <cell r="BS437" t="e">
            <v>#VALUE!</v>
          </cell>
          <cell r="BT437">
            <v>0</v>
          </cell>
          <cell r="BU437" t="str">
            <v/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 t="e">
            <v>#VALUE!</v>
          </cell>
        </row>
        <row r="438">
          <cell r="A438" t="str">
            <v>23Q3</v>
          </cell>
          <cell r="B438" t="str">
            <v>Q3</v>
          </cell>
          <cell r="C438">
            <v>23</v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1</v>
          </cell>
          <cell r="BJ438">
            <v>0</v>
          </cell>
          <cell r="BK438">
            <v>0</v>
          </cell>
          <cell r="BM438" t="str">
            <v/>
          </cell>
          <cell r="BO438" t="e">
            <v>#VALUE!</v>
          </cell>
          <cell r="BP438" t="e">
            <v>#VALUE!</v>
          </cell>
          <cell r="BQ438" t="e">
            <v>#VALUE!</v>
          </cell>
          <cell r="BR438" t="e">
            <v>#VALUE!</v>
          </cell>
          <cell r="BS438" t="e">
            <v>#VALUE!</v>
          </cell>
          <cell r="BT438">
            <v>0</v>
          </cell>
          <cell r="BU438" t="str">
            <v/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 t="e">
            <v>#VALUE!</v>
          </cell>
        </row>
        <row r="439">
          <cell r="A439" t="str">
            <v>24Q3</v>
          </cell>
          <cell r="B439" t="str">
            <v>Q3</v>
          </cell>
          <cell r="C439">
            <v>24</v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1</v>
          </cell>
          <cell r="BJ439">
            <v>0</v>
          </cell>
          <cell r="BK439">
            <v>0</v>
          </cell>
          <cell r="BM439" t="str">
            <v/>
          </cell>
          <cell r="BO439" t="e">
            <v>#VALUE!</v>
          </cell>
          <cell r="BP439" t="e">
            <v>#VALUE!</v>
          </cell>
          <cell r="BQ439" t="e">
            <v>#VALUE!</v>
          </cell>
          <cell r="BR439" t="e">
            <v>#VALUE!</v>
          </cell>
          <cell r="BS439" t="e">
            <v>#VALUE!</v>
          </cell>
          <cell r="BT439">
            <v>0</v>
          </cell>
          <cell r="BU439" t="str">
            <v/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 t="e">
            <v>#VALUE!</v>
          </cell>
        </row>
        <row r="440">
          <cell r="A440" t="str">
            <v>25Q3</v>
          </cell>
          <cell r="B440" t="str">
            <v>Q3</v>
          </cell>
          <cell r="C440">
            <v>25</v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1</v>
          </cell>
          <cell r="BJ440">
            <v>0</v>
          </cell>
          <cell r="BK440">
            <v>0</v>
          </cell>
          <cell r="BM440" t="str">
            <v/>
          </cell>
          <cell r="BO440" t="e">
            <v>#VALUE!</v>
          </cell>
          <cell r="BP440" t="e">
            <v>#VALUE!</v>
          </cell>
          <cell r="BQ440" t="e">
            <v>#VALUE!</v>
          </cell>
          <cell r="BR440" t="e">
            <v>#VALUE!</v>
          </cell>
          <cell r="BS440" t="e">
            <v>#VALUE!</v>
          </cell>
          <cell r="BT440">
            <v>0</v>
          </cell>
          <cell r="BU440" t="str">
            <v/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 t="e">
            <v>#VALUE!</v>
          </cell>
        </row>
        <row r="441">
          <cell r="A441" t="str">
            <v>26Q3</v>
          </cell>
          <cell r="B441" t="str">
            <v>Q3</v>
          </cell>
          <cell r="C441">
            <v>26</v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1</v>
          </cell>
          <cell r="BJ441">
            <v>0</v>
          </cell>
          <cell r="BK441">
            <v>0</v>
          </cell>
          <cell r="BM441" t="str">
            <v/>
          </cell>
          <cell r="BO441" t="e">
            <v>#VALUE!</v>
          </cell>
          <cell r="BP441" t="e">
            <v>#VALUE!</v>
          </cell>
          <cell r="BQ441" t="e">
            <v>#VALUE!</v>
          </cell>
          <cell r="BR441" t="e">
            <v>#VALUE!</v>
          </cell>
          <cell r="BS441" t="e">
            <v>#VALUE!</v>
          </cell>
          <cell r="BT441">
            <v>0</v>
          </cell>
          <cell r="BU441" t="str">
            <v/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 t="e">
            <v>#VALUE!</v>
          </cell>
        </row>
        <row r="442">
          <cell r="A442" t="str">
            <v>27Q3</v>
          </cell>
          <cell r="B442" t="str">
            <v>Q3</v>
          </cell>
          <cell r="C442">
            <v>27</v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1</v>
          </cell>
          <cell r="BJ442">
            <v>0</v>
          </cell>
          <cell r="BK442">
            <v>0</v>
          </cell>
          <cell r="BM442" t="str">
            <v/>
          </cell>
          <cell r="BO442" t="e">
            <v>#VALUE!</v>
          </cell>
          <cell r="BP442" t="e">
            <v>#VALUE!</v>
          </cell>
          <cell r="BQ442" t="e">
            <v>#VALUE!</v>
          </cell>
          <cell r="BR442" t="e">
            <v>#VALUE!</v>
          </cell>
          <cell r="BS442" t="e">
            <v>#VALUE!</v>
          </cell>
          <cell r="BT442">
            <v>0</v>
          </cell>
          <cell r="BU442" t="str">
            <v/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 t="e">
            <v>#VALUE!</v>
          </cell>
        </row>
        <row r="443">
          <cell r="A443" t="str">
            <v>28Q3</v>
          </cell>
          <cell r="B443" t="str">
            <v>Q3</v>
          </cell>
          <cell r="C443">
            <v>28</v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1</v>
          </cell>
          <cell r="BJ443">
            <v>0</v>
          </cell>
          <cell r="BK443">
            <v>0</v>
          </cell>
          <cell r="BM443" t="str">
            <v/>
          </cell>
          <cell r="BO443" t="e">
            <v>#VALUE!</v>
          </cell>
          <cell r="BP443" t="e">
            <v>#VALUE!</v>
          </cell>
          <cell r="BQ443" t="e">
            <v>#VALUE!</v>
          </cell>
          <cell r="BR443" t="e">
            <v>#VALUE!</v>
          </cell>
          <cell r="BS443" t="e">
            <v>#VALUE!</v>
          </cell>
          <cell r="BT443">
            <v>0</v>
          </cell>
          <cell r="BU443" t="str">
            <v/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 t="e">
            <v>#VALUE!</v>
          </cell>
        </row>
        <row r="444">
          <cell r="A444" t="str">
            <v>29Q3</v>
          </cell>
          <cell r="B444" t="str">
            <v>Q3</v>
          </cell>
          <cell r="C444">
            <v>29</v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1</v>
          </cell>
          <cell r="BJ444">
            <v>0</v>
          </cell>
          <cell r="BK444">
            <v>0</v>
          </cell>
          <cell r="BM444" t="str">
            <v/>
          </cell>
          <cell r="BO444" t="e">
            <v>#VALUE!</v>
          </cell>
          <cell r="BP444" t="e">
            <v>#VALUE!</v>
          </cell>
          <cell r="BQ444" t="e">
            <v>#VALUE!</v>
          </cell>
          <cell r="BR444" t="e">
            <v>#VALUE!</v>
          </cell>
          <cell r="BS444" t="e">
            <v>#VALUE!</v>
          </cell>
          <cell r="BT444">
            <v>0</v>
          </cell>
          <cell r="BU444" t="str">
            <v/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 t="e">
            <v>#VALUE!</v>
          </cell>
        </row>
        <row r="445">
          <cell r="A445" t="str">
            <v>30Q3</v>
          </cell>
          <cell r="B445" t="str">
            <v>Q3</v>
          </cell>
          <cell r="C445">
            <v>30</v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1</v>
          </cell>
          <cell r="BJ445">
            <v>0</v>
          </cell>
          <cell r="BK445">
            <v>0</v>
          </cell>
          <cell r="BM445" t="str">
            <v/>
          </cell>
          <cell r="BO445" t="e">
            <v>#VALUE!</v>
          </cell>
          <cell r="BP445" t="e">
            <v>#VALUE!</v>
          </cell>
          <cell r="BQ445" t="e">
            <v>#VALUE!</v>
          </cell>
          <cell r="BR445" t="e">
            <v>#VALUE!</v>
          </cell>
          <cell r="BS445" t="e">
            <v>#VALUE!</v>
          </cell>
          <cell r="BT445">
            <v>0</v>
          </cell>
          <cell r="BU445" t="str">
            <v/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 t="e">
            <v>#VALUE!</v>
          </cell>
        </row>
        <row r="446">
          <cell r="A446" t="str">
            <v>31Q3</v>
          </cell>
          <cell r="B446" t="str">
            <v>Q3</v>
          </cell>
          <cell r="C446">
            <v>31</v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1</v>
          </cell>
          <cell r="BJ446">
            <v>0</v>
          </cell>
          <cell r="BK446">
            <v>0</v>
          </cell>
          <cell r="BM446" t="str">
            <v/>
          </cell>
          <cell r="BO446" t="e">
            <v>#VALUE!</v>
          </cell>
          <cell r="BP446" t="e">
            <v>#VALUE!</v>
          </cell>
          <cell r="BQ446" t="e">
            <v>#VALUE!</v>
          </cell>
          <cell r="BR446" t="e">
            <v>#VALUE!</v>
          </cell>
          <cell r="BS446" t="e">
            <v>#VALUE!</v>
          </cell>
          <cell r="BT446">
            <v>0</v>
          </cell>
          <cell r="BU446" t="str">
            <v/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 t="e">
            <v>#VALUE!</v>
          </cell>
        </row>
        <row r="447">
          <cell r="A447" t="str">
            <v>32Q3</v>
          </cell>
          <cell r="B447" t="str">
            <v>Q3</v>
          </cell>
          <cell r="C447">
            <v>32</v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1</v>
          </cell>
          <cell r="BJ447">
            <v>0</v>
          </cell>
          <cell r="BK447">
            <v>0</v>
          </cell>
          <cell r="BM447" t="str">
            <v/>
          </cell>
          <cell r="BO447" t="e">
            <v>#VALUE!</v>
          </cell>
          <cell r="BP447" t="e">
            <v>#VALUE!</v>
          </cell>
          <cell r="BQ447" t="e">
            <v>#VALUE!</v>
          </cell>
          <cell r="BR447" t="e">
            <v>#VALUE!</v>
          </cell>
          <cell r="BS447" t="e">
            <v>#VALUE!</v>
          </cell>
          <cell r="BT447">
            <v>0</v>
          </cell>
          <cell r="BU447" t="str">
            <v/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 t="e">
            <v>#VALUE!</v>
          </cell>
        </row>
        <row r="448">
          <cell r="A448" t="str">
            <v>33Q3</v>
          </cell>
          <cell r="B448" t="str">
            <v>Q3</v>
          </cell>
          <cell r="C448">
            <v>33</v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1</v>
          </cell>
          <cell r="BJ448">
            <v>0</v>
          </cell>
          <cell r="BK448">
            <v>0</v>
          </cell>
          <cell r="BM448" t="str">
            <v/>
          </cell>
          <cell r="BO448" t="e">
            <v>#VALUE!</v>
          </cell>
          <cell r="BP448" t="e">
            <v>#VALUE!</v>
          </cell>
          <cell r="BQ448" t="e">
            <v>#VALUE!</v>
          </cell>
          <cell r="BR448" t="e">
            <v>#VALUE!</v>
          </cell>
          <cell r="BS448" t="e">
            <v>#VALUE!</v>
          </cell>
          <cell r="BT448">
            <v>0</v>
          </cell>
          <cell r="BU448" t="str">
            <v/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 t="e">
            <v>#VALUE!</v>
          </cell>
        </row>
        <row r="449">
          <cell r="A449" t="str">
            <v>34Q3</v>
          </cell>
          <cell r="B449" t="str">
            <v>Q3</v>
          </cell>
          <cell r="C449">
            <v>34</v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1</v>
          </cell>
          <cell r="BJ449">
            <v>0</v>
          </cell>
          <cell r="BK449">
            <v>0</v>
          </cell>
          <cell r="BM449" t="str">
            <v/>
          </cell>
          <cell r="BO449" t="e">
            <v>#VALUE!</v>
          </cell>
          <cell r="BP449" t="e">
            <v>#VALUE!</v>
          </cell>
          <cell r="BQ449" t="e">
            <v>#VALUE!</v>
          </cell>
          <cell r="BR449" t="e">
            <v>#VALUE!</v>
          </cell>
          <cell r="BS449" t="e">
            <v>#VALUE!</v>
          </cell>
          <cell r="BT449">
            <v>0</v>
          </cell>
          <cell r="BU449" t="str">
            <v/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 t="e">
            <v>#VALUE!</v>
          </cell>
        </row>
        <row r="450">
          <cell r="A450" t="str">
            <v>35Q3</v>
          </cell>
          <cell r="B450" t="str">
            <v>Q3</v>
          </cell>
          <cell r="C450">
            <v>35</v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1</v>
          </cell>
          <cell r="BJ450">
            <v>0</v>
          </cell>
          <cell r="BK450">
            <v>0</v>
          </cell>
          <cell r="BM450" t="str">
            <v/>
          </cell>
          <cell r="BO450" t="e">
            <v>#VALUE!</v>
          </cell>
          <cell r="BP450" t="e">
            <v>#VALUE!</v>
          </cell>
          <cell r="BQ450" t="e">
            <v>#VALUE!</v>
          </cell>
          <cell r="BR450" t="e">
            <v>#VALUE!</v>
          </cell>
          <cell r="BS450" t="e">
            <v>#VALUE!</v>
          </cell>
          <cell r="BT450">
            <v>0</v>
          </cell>
          <cell r="BU450" t="str">
            <v/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 t="e">
            <v>#VALUE!</v>
          </cell>
        </row>
        <row r="451">
          <cell r="A451" t="str">
            <v>36Q3</v>
          </cell>
          <cell r="B451" t="str">
            <v>Q3</v>
          </cell>
          <cell r="C451">
            <v>36</v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1</v>
          </cell>
          <cell r="BJ451">
            <v>0</v>
          </cell>
          <cell r="BK451">
            <v>0</v>
          </cell>
          <cell r="BM451" t="str">
            <v/>
          </cell>
          <cell r="BO451" t="e">
            <v>#VALUE!</v>
          </cell>
          <cell r="BP451" t="e">
            <v>#VALUE!</v>
          </cell>
          <cell r="BQ451" t="e">
            <v>#VALUE!</v>
          </cell>
          <cell r="BR451" t="e">
            <v>#VALUE!</v>
          </cell>
          <cell r="BS451" t="e">
            <v>#VALUE!</v>
          </cell>
          <cell r="BT451">
            <v>0</v>
          </cell>
          <cell r="BU451" t="str">
            <v/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 t="e">
            <v>#VALUE!</v>
          </cell>
        </row>
        <row r="452">
          <cell r="A452" t="str">
            <v>37Q3</v>
          </cell>
          <cell r="B452" t="str">
            <v>Q3</v>
          </cell>
          <cell r="C452">
            <v>37</v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1</v>
          </cell>
          <cell r="BJ452">
            <v>0</v>
          </cell>
          <cell r="BK452">
            <v>0</v>
          </cell>
          <cell r="BM452" t="str">
            <v/>
          </cell>
          <cell r="BO452" t="e">
            <v>#VALUE!</v>
          </cell>
          <cell r="BP452" t="e">
            <v>#VALUE!</v>
          </cell>
          <cell r="BQ452" t="e">
            <v>#VALUE!</v>
          </cell>
          <cell r="BR452" t="e">
            <v>#VALUE!</v>
          </cell>
          <cell r="BS452" t="e">
            <v>#VALUE!</v>
          </cell>
          <cell r="BT452">
            <v>0</v>
          </cell>
          <cell r="BU452" t="str">
            <v/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 t="e">
            <v>#VALUE!</v>
          </cell>
        </row>
        <row r="453">
          <cell r="A453" t="str">
            <v>38Q3</v>
          </cell>
          <cell r="B453" t="str">
            <v>Q3</v>
          </cell>
          <cell r="C453">
            <v>38</v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1</v>
          </cell>
          <cell r="BJ453">
            <v>0</v>
          </cell>
          <cell r="BK453">
            <v>0</v>
          </cell>
          <cell r="BM453" t="str">
            <v/>
          </cell>
          <cell r="BO453" t="e">
            <v>#VALUE!</v>
          </cell>
          <cell r="BP453" t="e">
            <v>#VALUE!</v>
          </cell>
          <cell r="BQ453" t="e">
            <v>#VALUE!</v>
          </cell>
          <cell r="BR453" t="e">
            <v>#VALUE!</v>
          </cell>
          <cell r="BS453" t="e">
            <v>#VALUE!</v>
          </cell>
          <cell r="BT453">
            <v>0</v>
          </cell>
          <cell r="BU453" t="str">
            <v/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 t="e">
            <v>#VALUE!</v>
          </cell>
        </row>
        <row r="454">
          <cell r="A454" t="str">
            <v>39Q3</v>
          </cell>
          <cell r="B454" t="str">
            <v>Q3</v>
          </cell>
          <cell r="C454">
            <v>39</v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1</v>
          </cell>
          <cell r="BJ454">
            <v>0</v>
          </cell>
          <cell r="BK454">
            <v>0</v>
          </cell>
          <cell r="BM454" t="str">
            <v/>
          </cell>
          <cell r="BO454" t="e">
            <v>#VALUE!</v>
          </cell>
          <cell r="BP454" t="e">
            <v>#VALUE!</v>
          </cell>
          <cell r="BQ454" t="e">
            <v>#VALUE!</v>
          </cell>
          <cell r="BR454" t="e">
            <v>#VALUE!</v>
          </cell>
          <cell r="BS454" t="e">
            <v>#VALUE!</v>
          </cell>
          <cell r="BT454">
            <v>0</v>
          </cell>
          <cell r="BU454" t="str">
            <v/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 t="e">
            <v>#VALUE!</v>
          </cell>
        </row>
        <row r="455">
          <cell r="A455" t="str">
            <v>40Q3</v>
          </cell>
          <cell r="B455" t="str">
            <v>Q3</v>
          </cell>
          <cell r="C455">
            <v>40</v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1</v>
          </cell>
          <cell r="BJ455">
            <v>0</v>
          </cell>
          <cell r="BK455">
            <v>0</v>
          </cell>
          <cell r="BM455" t="str">
            <v/>
          </cell>
          <cell r="BO455" t="e">
            <v>#VALUE!</v>
          </cell>
          <cell r="BP455" t="e">
            <v>#VALUE!</v>
          </cell>
          <cell r="BQ455" t="e">
            <v>#VALUE!</v>
          </cell>
          <cell r="BR455" t="e">
            <v>#VALUE!</v>
          </cell>
          <cell r="BS455" t="e">
            <v>#VALUE!</v>
          </cell>
          <cell r="BT455">
            <v>0</v>
          </cell>
          <cell r="BU455" t="str">
            <v/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 t="e">
            <v>#VALUE!</v>
          </cell>
        </row>
        <row r="456">
          <cell r="A456" t="str">
            <v>41Q3</v>
          </cell>
          <cell r="B456" t="str">
            <v>Q3</v>
          </cell>
          <cell r="C456">
            <v>41</v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1</v>
          </cell>
          <cell r="BJ456">
            <v>0</v>
          </cell>
          <cell r="BK456">
            <v>0</v>
          </cell>
          <cell r="BM456" t="str">
            <v/>
          </cell>
          <cell r="BO456" t="e">
            <v>#VALUE!</v>
          </cell>
          <cell r="BP456" t="e">
            <v>#VALUE!</v>
          </cell>
          <cell r="BQ456" t="e">
            <v>#VALUE!</v>
          </cell>
          <cell r="BR456" t="e">
            <v>#VALUE!</v>
          </cell>
          <cell r="BS456" t="e">
            <v>#VALUE!</v>
          </cell>
          <cell r="BT456">
            <v>0</v>
          </cell>
          <cell r="BU456" t="str">
            <v/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 t="e">
            <v>#VALUE!</v>
          </cell>
        </row>
        <row r="457">
          <cell r="A457" t="str">
            <v>42Q3</v>
          </cell>
          <cell r="B457" t="str">
            <v>Q3</v>
          </cell>
          <cell r="C457">
            <v>42</v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1</v>
          </cell>
          <cell r="BJ457">
            <v>0</v>
          </cell>
          <cell r="BK457">
            <v>0</v>
          </cell>
          <cell r="BM457" t="str">
            <v/>
          </cell>
          <cell r="BO457" t="e">
            <v>#VALUE!</v>
          </cell>
          <cell r="BP457" t="e">
            <v>#VALUE!</v>
          </cell>
          <cell r="BQ457" t="e">
            <v>#VALUE!</v>
          </cell>
          <cell r="BR457" t="e">
            <v>#VALUE!</v>
          </cell>
          <cell r="BS457" t="e">
            <v>#VALUE!</v>
          </cell>
          <cell r="BT457">
            <v>0</v>
          </cell>
          <cell r="BU457" t="str">
            <v/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 t="e">
            <v>#VALUE!</v>
          </cell>
        </row>
        <row r="458">
          <cell r="A458" t="str">
            <v>43Q3</v>
          </cell>
          <cell r="B458" t="str">
            <v>Q3</v>
          </cell>
          <cell r="C458">
            <v>43</v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1</v>
          </cell>
          <cell r="BJ458">
            <v>0</v>
          </cell>
          <cell r="BK458">
            <v>0</v>
          </cell>
          <cell r="BM458" t="str">
            <v/>
          </cell>
          <cell r="BO458" t="e">
            <v>#VALUE!</v>
          </cell>
          <cell r="BP458" t="e">
            <v>#VALUE!</v>
          </cell>
          <cell r="BQ458" t="e">
            <v>#VALUE!</v>
          </cell>
          <cell r="BR458" t="e">
            <v>#VALUE!</v>
          </cell>
          <cell r="BS458" t="e">
            <v>#VALUE!</v>
          </cell>
          <cell r="BT458">
            <v>0</v>
          </cell>
          <cell r="BU458" t="str">
            <v/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 t="e">
            <v>#VALUE!</v>
          </cell>
        </row>
        <row r="459">
          <cell r="A459" t="str">
            <v>44Q3</v>
          </cell>
          <cell r="B459" t="str">
            <v>Q3</v>
          </cell>
          <cell r="C459">
            <v>44</v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1</v>
          </cell>
          <cell r="BJ459">
            <v>0</v>
          </cell>
          <cell r="BK459">
            <v>0</v>
          </cell>
          <cell r="BM459" t="str">
            <v/>
          </cell>
          <cell r="BO459" t="e">
            <v>#VALUE!</v>
          </cell>
          <cell r="BP459" t="e">
            <v>#VALUE!</v>
          </cell>
          <cell r="BQ459" t="e">
            <v>#VALUE!</v>
          </cell>
          <cell r="BR459" t="e">
            <v>#VALUE!</v>
          </cell>
          <cell r="BS459" t="e">
            <v>#VALUE!</v>
          </cell>
          <cell r="BT459">
            <v>0</v>
          </cell>
          <cell r="BU459" t="str">
            <v/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 t="e">
            <v>#VALUE!</v>
          </cell>
        </row>
        <row r="460">
          <cell r="A460" t="str">
            <v>45Q3</v>
          </cell>
          <cell r="B460" t="str">
            <v>Q3</v>
          </cell>
          <cell r="C460">
            <v>45</v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1</v>
          </cell>
          <cell r="BJ460">
            <v>0</v>
          </cell>
          <cell r="BK460">
            <v>0</v>
          </cell>
          <cell r="BM460" t="str">
            <v/>
          </cell>
          <cell r="BO460" t="e">
            <v>#VALUE!</v>
          </cell>
          <cell r="BP460" t="e">
            <v>#VALUE!</v>
          </cell>
          <cell r="BQ460" t="e">
            <v>#VALUE!</v>
          </cell>
          <cell r="BR460" t="e">
            <v>#VALUE!</v>
          </cell>
          <cell r="BS460" t="e">
            <v>#VALUE!</v>
          </cell>
          <cell r="BT460">
            <v>0</v>
          </cell>
          <cell r="BU460" t="str">
            <v/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 t="e">
            <v>#VALUE!</v>
          </cell>
        </row>
        <row r="461">
          <cell r="A461" t="str">
            <v>46Q3</v>
          </cell>
          <cell r="B461" t="str">
            <v>Q3</v>
          </cell>
          <cell r="C461">
            <v>46</v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1</v>
          </cell>
          <cell r="BJ461">
            <v>0</v>
          </cell>
          <cell r="BK461">
            <v>0</v>
          </cell>
          <cell r="BM461" t="str">
            <v/>
          </cell>
          <cell r="BO461" t="e">
            <v>#VALUE!</v>
          </cell>
          <cell r="BP461" t="e">
            <v>#VALUE!</v>
          </cell>
          <cell r="BQ461" t="e">
            <v>#VALUE!</v>
          </cell>
          <cell r="BR461" t="e">
            <v>#VALUE!</v>
          </cell>
          <cell r="BS461" t="e">
            <v>#VALUE!</v>
          </cell>
          <cell r="BT461">
            <v>0</v>
          </cell>
          <cell r="BU461" t="str">
            <v/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 t="e">
            <v>#VALUE!</v>
          </cell>
        </row>
        <row r="462">
          <cell r="A462" t="str">
            <v>47Q3</v>
          </cell>
          <cell r="B462" t="str">
            <v>Q3</v>
          </cell>
          <cell r="C462">
            <v>47</v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1</v>
          </cell>
          <cell r="BJ462">
            <v>0</v>
          </cell>
          <cell r="BK462">
            <v>0</v>
          </cell>
          <cell r="BM462" t="str">
            <v/>
          </cell>
          <cell r="BO462" t="e">
            <v>#VALUE!</v>
          </cell>
          <cell r="BP462" t="e">
            <v>#VALUE!</v>
          </cell>
          <cell r="BQ462" t="e">
            <v>#VALUE!</v>
          </cell>
          <cell r="BR462" t="e">
            <v>#VALUE!</v>
          </cell>
          <cell r="BS462" t="e">
            <v>#VALUE!</v>
          </cell>
          <cell r="BT462">
            <v>0</v>
          </cell>
          <cell r="BU462" t="str">
            <v/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 t="e">
            <v>#VALUE!</v>
          </cell>
        </row>
        <row r="463">
          <cell r="A463" t="str">
            <v>48Q3</v>
          </cell>
          <cell r="B463" t="str">
            <v>Q3</v>
          </cell>
          <cell r="C463">
            <v>48</v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1</v>
          </cell>
          <cell r="BJ463">
            <v>0</v>
          </cell>
          <cell r="BK463">
            <v>0</v>
          </cell>
          <cell r="BM463" t="str">
            <v/>
          </cell>
          <cell r="BO463" t="e">
            <v>#VALUE!</v>
          </cell>
          <cell r="BP463" t="e">
            <v>#VALUE!</v>
          </cell>
          <cell r="BQ463" t="e">
            <v>#VALUE!</v>
          </cell>
          <cell r="BR463" t="e">
            <v>#VALUE!</v>
          </cell>
          <cell r="BS463" t="e">
            <v>#VALUE!</v>
          </cell>
          <cell r="BT463">
            <v>0</v>
          </cell>
          <cell r="BU463" t="str">
            <v/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 t="e">
            <v>#VALUE!</v>
          </cell>
        </row>
        <row r="464">
          <cell r="A464" t="str">
            <v>49Q3</v>
          </cell>
          <cell r="B464" t="str">
            <v>Q3</v>
          </cell>
          <cell r="C464">
            <v>49</v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1</v>
          </cell>
          <cell r="BJ464">
            <v>0</v>
          </cell>
          <cell r="BK464">
            <v>0</v>
          </cell>
          <cell r="BM464" t="str">
            <v/>
          </cell>
          <cell r="BO464" t="e">
            <v>#VALUE!</v>
          </cell>
          <cell r="BP464" t="e">
            <v>#VALUE!</v>
          </cell>
          <cell r="BQ464" t="e">
            <v>#VALUE!</v>
          </cell>
          <cell r="BR464" t="e">
            <v>#VALUE!</v>
          </cell>
          <cell r="BS464" t="e">
            <v>#VALUE!</v>
          </cell>
          <cell r="BT464">
            <v>0</v>
          </cell>
          <cell r="BU464" t="str">
            <v/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 t="e">
            <v>#VALUE!</v>
          </cell>
        </row>
        <row r="465">
          <cell r="A465" t="str">
            <v>50Q3</v>
          </cell>
          <cell r="B465" t="str">
            <v>Q3</v>
          </cell>
          <cell r="C465">
            <v>50</v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1</v>
          </cell>
          <cell r="BJ465">
            <v>0</v>
          </cell>
          <cell r="BK465">
            <v>0</v>
          </cell>
          <cell r="BM465" t="str">
            <v/>
          </cell>
          <cell r="BO465" t="e">
            <v>#VALUE!</v>
          </cell>
          <cell r="BP465" t="e">
            <v>#VALUE!</v>
          </cell>
          <cell r="BQ465" t="e">
            <v>#VALUE!</v>
          </cell>
          <cell r="BR465" t="e">
            <v>#VALUE!</v>
          </cell>
          <cell r="BS465" t="e">
            <v>#VALUE!</v>
          </cell>
          <cell r="BT465">
            <v>0</v>
          </cell>
          <cell r="BU465" t="str">
            <v/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 t="e">
            <v>#VALUE!</v>
          </cell>
        </row>
        <row r="466">
          <cell r="A466" t="str">
            <v>51Q3</v>
          </cell>
          <cell r="B466" t="str">
            <v>Q3</v>
          </cell>
          <cell r="C466">
            <v>51</v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1</v>
          </cell>
          <cell r="BJ466">
            <v>0</v>
          </cell>
          <cell r="BK466">
            <v>0</v>
          </cell>
          <cell r="BM466" t="str">
            <v/>
          </cell>
          <cell r="BO466" t="e">
            <v>#VALUE!</v>
          </cell>
          <cell r="BP466" t="e">
            <v>#VALUE!</v>
          </cell>
          <cell r="BQ466" t="e">
            <v>#VALUE!</v>
          </cell>
          <cell r="BR466" t="e">
            <v>#VALUE!</v>
          </cell>
          <cell r="BS466" t="e">
            <v>#VALUE!</v>
          </cell>
          <cell r="BT466">
            <v>0</v>
          </cell>
          <cell r="BU466" t="str">
            <v/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 t="e">
            <v>#VALUE!</v>
          </cell>
        </row>
        <row r="467">
          <cell r="A467" t="str">
            <v>52Q3</v>
          </cell>
          <cell r="B467" t="str">
            <v>Q3</v>
          </cell>
          <cell r="C467">
            <v>52</v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1</v>
          </cell>
          <cell r="BJ467">
            <v>0</v>
          </cell>
          <cell r="BK467">
            <v>0</v>
          </cell>
          <cell r="BM467" t="str">
            <v/>
          </cell>
          <cell r="BO467" t="e">
            <v>#VALUE!</v>
          </cell>
          <cell r="BP467" t="e">
            <v>#VALUE!</v>
          </cell>
          <cell r="BQ467" t="e">
            <v>#VALUE!</v>
          </cell>
          <cell r="BR467" t="e">
            <v>#VALUE!</v>
          </cell>
          <cell r="BS467" t="e">
            <v>#VALUE!</v>
          </cell>
          <cell r="BT467">
            <v>0</v>
          </cell>
          <cell r="BU467" t="str">
            <v/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 t="e">
            <v>#VALUE!</v>
          </cell>
        </row>
        <row r="468">
          <cell r="A468" t="str">
            <v>53Q3</v>
          </cell>
          <cell r="B468" t="str">
            <v>Q3</v>
          </cell>
          <cell r="C468">
            <v>53</v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1</v>
          </cell>
          <cell r="BJ468">
            <v>0</v>
          </cell>
          <cell r="BK468">
            <v>0</v>
          </cell>
          <cell r="BM468" t="str">
            <v/>
          </cell>
          <cell r="BO468" t="e">
            <v>#VALUE!</v>
          </cell>
          <cell r="BP468" t="e">
            <v>#VALUE!</v>
          </cell>
          <cell r="BQ468" t="e">
            <v>#VALUE!</v>
          </cell>
          <cell r="BR468" t="e">
            <v>#VALUE!</v>
          </cell>
          <cell r="BS468" t="e">
            <v>#VALUE!</v>
          </cell>
          <cell r="BT468">
            <v>0</v>
          </cell>
          <cell r="BU468" t="str">
            <v/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 t="e">
            <v>#VALUE!</v>
          </cell>
        </row>
        <row r="469">
          <cell r="A469" t="str">
            <v>54Q3</v>
          </cell>
          <cell r="B469" t="str">
            <v>Q3</v>
          </cell>
          <cell r="C469">
            <v>54</v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1</v>
          </cell>
          <cell r="BJ469">
            <v>0</v>
          </cell>
          <cell r="BK469">
            <v>0</v>
          </cell>
          <cell r="BM469" t="str">
            <v/>
          </cell>
          <cell r="BO469" t="e">
            <v>#VALUE!</v>
          </cell>
          <cell r="BP469" t="e">
            <v>#VALUE!</v>
          </cell>
          <cell r="BQ469" t="e">
            <v>#VALUE!</v>
          </cell>
          <cell r="BR469" t="e">
            <v>#VALUE!</v>
          </cell>
          <cell r="BS469" t="e">
            <v>#VALUE!</v>
          </cell>
          <cell r="BT469">
            <v>0</v>
          </cell>
          <cell r="BU469" t="str">
            <v/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 t="e">
            <v>#VALUE!</v>
          </cell>
        </row>
        <row r="470">
          <cell r="A470" t="str">
            <v>55Q3</v>
          </cell>
          <cell r="B470" t="str">
            <v>Q3</v>
          </cell>
          <cell r="C470">
            <v>55</v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1</v>
          </cell>
          <cell r="BJ470">
            <v>0</v>
          </cell>
          <cell r="BK470">
            <v>0</v>
          </cell>
          <cell r="BM470" t="str">
            <v/>
          </cell>
          <cell r="BO470" t="e">
            <v>#VALUE!</v>
          </cell>
          <cell r="BP470" t="e">
            <v>#VALUE!</v>
          </cell>
          <cell r="BQ470" t="e">
            <v>#VALUE!</v>
          </cell>
          <cell r="BR470" t="e">
            <v>#VALUE!</v>
          </cell>
          <cell r="BS470" t="e">
            <v>#VALUE!</v>
          </cell>
          <cell r="BT470">
            <v>0</v>
          </cell>
          <cell r="BU470" t="str">
            <v/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 t="e">
            <v>#VALUE!</v>
          </cell>
        </row>
        <row r="471">
          <cell r="A471" t="str">
            <v>56Q3</v>
          </cell>
          <cell r="B471" t="str">
            <v>Q3</v>
          </cell>
          <cell r="C471">
            <v>56</v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1</v>
          </cell>
          <cell r="BJ471">
            <v>0</v>
          </cell>
          <cell r="BK471">
            <v>0</v>
          </cell>
          <cell r="BM471" t="str">
            <v/>
          </cell>
          <cell r="BO471" t="e">
            <v>#VALUE!</v>
          </cell>
          <cell r="BP471" t="e">
            <v>#VALUE!</v>
          </cell>
          <cell r="BQ471" t="e">
            <v>#VALUE!</v>
          </cell>
          <cell r="BR471" t="e">
            <v>#VALUE!</v>
          </cell>
          <cell r="BS471" t="e">
            <v>#VALUE!</v>
          </cell>
          <cell r="BT471">
            <v>0</v>
          </cell>
          <cell r="BU471" t="str">
            <v/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 t="e">
            <v>#VALUE!</v>
          </cell>
        </row>
        <row r="472">
          <cell r="A472" t="str">
            <v>57Q3</v>
          </cell>
          <cell r="B472" t="str">
            <v>Q3</v>
          </cell>
          <cell r="C472">
            <v>57</v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1</v>
          </cell>
          <cell r="BJ472">
            <v>0</v>
          </cell>
          <cell r="BK472">
            <v>0</v>
          </cell>
          <cell r="BM472" t="str">
            <v/>
          </cell>
          <cell r="BO472" t="e">
            <v>#VALUE!</v>
          </cell>
          <cell r="BP472" t="e">
            <v>#VALUE!</v>
          </cell>
          <cell r="BQ472" t="e">
            <v>#VALUE!</v>
          </cell>
          <cell r="BR472" t="e">
            <v>#VALUE!</v>
          </cell>
          <cell r="BS472" t="e">
            <v>#VALUE!</v>
          </cell>
          <cell r="BT472">
            <v>0</v>
          </cell>
          <cell r="BU472" t="str">
            <v/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 t="e">
            <v>#VALUE!</v>
          </cell>
        </row>
        <row r="473">
          <cell r="A473" t="str">
            <v>58Q3</v>
          </cell>
          <cell r="B473" t="str">
            <v>Q3</v>
          </cell>
          <cell r="C473">
            <v>58</v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1</v>
          </cell>
          <cell r="BJ473">
            <v>0</v>
          </cell>
          <cell r="BK473">
            <v>0</v>
          </cell>
          <cell r="BM473" t="str">
            <v/>
          </cell>
          <cell r="BO473" t="e">
            <v>#VALUE!</v>
          </cell>
          <cell r="BP473" t="e">
            <v>#VALUE!</v>
          </cell>
          <cell r="BQ473" t="e">
            <v>#VALUE!</v>
          </cell>
          <cell r="BR473" t="e">
            <v>#VALUE!</v>
          </cell>
          <cell r="BS473" t="e">
            <v>#VALUE!</v>
          </cell>
          <cell r="BT473">
            <v>0</v>
          </cell>
          <cell r="BU473" t="str">
            <v/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 t="e">
            <v>#VALUE!</v>
          </cell>
        </row>
        <row r="474">
          <cell r="A474" t="str">
            <v>59Q3</v>
          </cell>
          <cell r="B474" t="str">
            <v>Q3</v>
          </cell>
          <cell r="C474">
            <v>59</v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1</v>
          </cell>
          <cell r="BJ474">
            <v>0</v>
          </cell>
          <cell r="BK474">
            <v>0</v>
          </cell>
          <cell r="BM474" t="str">
            <v/>
          </cell>
          <cell r="BO474" t="e">
            <v>#VALUE!</v>
          </cell>
          <cell r="BP474" t="e">
            <v>#VALUE!</v>
          </cell>
          <cell r="BQ474" t="e">
            <v>#VALUE!</v>
          </cell>
          <cell r="BR474" t="e">
            <v>#VALUE!</v>
          </cell>
          <cell r="BS474" t="e">
            <v>#VALUE!</v>
          </cell>
          <cell r="BT474">
            <v>0</v>
          </cell>
          <cell r="BU474" t="str">
            <v/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 t="e">
            <v>#VALUE!</v>
          </cell>
        </row>
        <row r="475">
          <cell r="A475" t="str">
            <v>60Q3</v>
          </cell>
          <cell r="B475" t="str">
            <v>Q3</v>
          </cell>
          <cell r="C475">
            <v>60</v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1</v>
          </cell>
          <cell r="BJ475">
            <v>0</v>
          </cell>
          <cell r="BK475">
            <v>0</v>
          </cell>
          <cell r="BM475" t="str">
            <v/>
          </cell>
          <cell r="BO475" t="e">
            <v>#VALUE!</v>
          </cell>
          <cell r="BP475" t="e">
            <v>#VALUE!</v>
          </cell>
          <cell r="BQ475" t="e">
            <v>#VALUE!</v>
          </cell>
          <cell r="BR475" t="e">
            <v>#VALUE!</v>
          </cell>
          <cell r="BS475" t="e">
            <v>#VALUE!</v>
          </cell>
          <cell r="BT475">
            <v>0</v>
          </cell>
          <cell r="BU475" t="str">
            <v/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 t="e">
            <v>#VALUE!</v>
          </cell>
        </row>
        <row r="476">
          <cell r="A476" t="str">
            <v>61Q3</v>
          </cell>
          <cell r="B476" t="str">
            <v>Q3</v>
          </cell>
          <cell r="C476">
            <v>61</v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1</v>
          </cell>
          <cell r="BJ476">
            <v>0</v>
          </cell>
          <cell r="BK476">
            <v>0</v>
          </cell>
          <cell r="BM476" t="str">
            <v/>
          </cell>
          <cell r="BO476" t="e">
            <v>#VALUE!</v>
          </cell>
          <cell r="BP476" t="e">
            <v>#VALUE!</v>
          </cell>
          <cell r="BQ476" t="e">
            <v>#VALUE!</v>
          </cell>
          <cell r="BR476" t="e">
            <v>#VALUE!</v>
          </cell>
          <cell r="BS476" t="e">
            <v>#VALUE!</v>
          </cell>
          <cell r="BT476">
            <v>0</v>
          </cell>
          <cell r="BU476" t="str">
            <v/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 t="e">
            <v>#VALUE!</v>
          </cell>
        </row>
        <row r="477">
          <cell r="A477" t="str">
            <v>62Q3</v>
          </cell>
          <cell r="B477" t="str">
            <v>Q3</v>
          </cell>
          <cell r="C477">
            <v>62</v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1</v>
          </cell>
          <cell r="BJ477">
            <v>0</v>
          </cell>
          <cell r="BK477">
            <v>0</v>
          </cell>
          <cell r="BM477" t="str">
            <v/>
          </cell>
          <cell r="BO477" t="e">
            <v>#VALUE!</v>
          </cell>
          <cell r="BP477" t="e">
            <v>#VALUE!</v>
          </cell>
          <cell r="BQ477" t="e">
            <v>#VALUE!</v>
          </cell>
          <cell r="BR477" t="e">
            <v>#VALUE!</v>
          </cell>
          <cell r="BS477" t="e">
            <v>#VALUE!</v>
          </cell>
          <cell r="BT477">
            <v>0</v>
          </cell>
          <cell r="BU477" t="str">
            <v/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 t="e">
            <v>#VALUE!</v>
          </cell>
        </row>
        <row r="478">
          <cell r="A478" t="str">
            <v>63Q3</v>
          </cell>
          <cell r="B478" t="str">
            <v>Q3</v>
          </cell>
          <cell r="C478">
            <v>63</v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1</v>
          </cell>
          <cell r="BJ478">
            <v>0</v>
          </cell>
          <cell r="BK478">
            <v>0</v>
          </cell>
          <cell r="BM478" t="str">
            <v/>
          </cell>
          <cell r="BO478" t="e">
            <v>#VALUE!</v>
          </cell>
          <cell r="BP478" t="e">
            <v>#VALUE!</v>
          </cell>
          <cell r="BQ478" t="e">
            <v>#VALUE!</v>
          </cell>
          <cell r="BR478" t="e">
            <v>#VALUE!</v>
          </cell>
          <cell r="BS478" t="e">
            <v>#VALUE!</v>
          </cell>
          <cell r="BT478">
            <v>0</v>
          </cell>
          <cell r="BU478" t="str">
            <v/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 t="e">
            <v>#VALUE!</v>
          </cell>
        </row>
        <row r="479">
          <cell r="A479" t="str">
            <v>64Q3</v>
          </cell>
          <cell r="B479" t="str">
            <v>Q3</v>
          </cell>
          <cell r="C479">
            <v>64</v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1</v>
          </cell>
          <cell r="BJ479">
            <v>0</v>
          </cell>
          <cell r="BK479">
            <v>0</v>
          </cell>
          <cell r="BM479" t="str">
            <v/>
          </cell>
          <cell r="BO479" t="e">
            <v>#VALUE!</v>
          </cell>
          <cell r="BP479" t="e">
            <v>#VALUE!</v>
          </cell>
          <cell r="BQ479" t="e">
            <v>#VALUE!</v>
          </cell>
          <cell r="BR479" t="e">
            <v>#VALUE!</v>
          </cell>
          <cell r="BS479" t="e">
            <v>#VALUE!</v>
          </cell>
          <cell r="BT479">
            <v>0</v>
          </cell>
          <cell r="BU479" t="str">
            <v/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 t="e">
            <v>#VALUE!</v>
          </cell>
        </row>
        <row r="480">
          <cell r="A480" t="str">
            <v>65Q3</v>
          </cell>
          <cell r="B480" t="str">
            <v>Q3</v>
          </cell>
          <cell r="C480">
            <v>65</v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1</v>
          </cell>
          <cell r="BJ480">
            <v>0</v>
          </cell>
          <cell r="BK480">
            <v>0</v>
          </cell>
          <cell r="BM480" t="str">
            <v/>
          </cell>
          <cell r="BO480" t="e">
            <v>#VALUE!</v>
          </cell>
          <cell r="BP480" t="e">
            <v>#VALUE!</v>
          </cell>
          <cell r="BQ480" t="e">
            <v>#VALUE!</v>
          </cell>
          <cell r="BR480" t="e">
            <v>#VALUE!</v>
          </cell>
          <cell r="BS480" t="e">
            <v>#VALUE!</v>
          </cell>
          <cell r="BT480">
            <v>0</v>
          </cell>
          <cell r="BU480" t="str">
            <v/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 t="e">
            <v>#VALUE!</v>
          </cell>
        </row>
        <row r="481">
          <cell r="A481" t="str">
            <v>66Q3</v>
          </cell>
          <cell r="B481" t="str">
            <v>Q3</v>
          </cell>
          <cell r="C481">
            <v>66</v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1</v>
          </cell>
          <cell r="BJ481">
            <v>0</v>
          </cell>
          <cell r="BK481">
            <v>0</v>
          </cell>
          <cell r="BM481" t="str">
            <v/>
          </cell>
          <cell r="BO481" t="e">
            <v>#VALUE!</v>
          </cell>
          <cell r="BP481" t="e">
            <v>#VALUE!</v>
          </cell>
          <cell r="BQ481" t="e">
            <v>#VALUE!</v>
          </cell>
          <cell r="BR481" t="e">
            <v>#VALUE!</v>
          </cell>
          <cell r="BS481" t="e">
            <v>#VALUE!</v>
          </cell>
          <cell r="BT481">
            <v>0</v>
          </cell>
          <cell r="BU481" t="str">
            <v/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 t="e">
            <v>#VALUE!</v>
          </cell>
        </row>
        <row r="482">
          <cell r="A482" t="str">
            <v>67Q3</v>
          </cell>
          <cell r="B482" t="str">
            <v>Q3</v>
          </cell>
          <cell r="C482">
            <v>67</v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1</v>
          </cell>
          <cell r="BJ482">
            <v>0</v>
          </cell>
          <cell r="BK482">
            <v>0</v>
          </cell>
          <cell r="BM482" t="str">
            <v/>
          </cell>
          <cell r="BO482" t="e">
            <v>#VALUE!</v>
          </cell>
          <cell r="BP482" t="e">
            <v>#VALUE!</v>
          </cell>
          <cell r="BQ482" t="e">
            <v>#VALUE!</v>
          </cell>
          <cell r="BR482" t="e">
            <v>#VALUE!</v>
          </cell>
          <cell r="BS482" t="e">
            <v>#VALUE!</v>
          </cell>
          <cell r="BT482">
            <v>0</v>
          </cell>
          <cell r="BU482" t="str">
            <v/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 t="e">
            <v>#VALUE!</v>
          </cell>
        </row>
        <row r="483">
          <cell r="A483" t="str">
            <v>68Q3</v>
          </cell>
          <cell r="B483" t="str">
            <v>Q3</v>
          </cell>
          <cell r="C483">
            <v>68</v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1</v>
          </cell>
          <cell r="BJ483">
            <v>0</v>
          </cell>
          <cell r="BK483">
            <v>0</v>
          </cell>
          <cell r="BM483" t="str">
            <v/>
          </cell>
          <cell r="BO483" t="e">
            <v>#VALUE!</v>
          </cell>
          <cell r="BP483" t="e">
            <v>#VALUE!</v>
          </cell>
          <cell r="BQ483" t="e">
            <v>#VALUE!</v>
          </cell>
          <cell r="BR483" t="e">
            <v>#VALUE!</v>
          </cell>
          <cell r="BS483" t="e">
            <v>#VALUE!</v>
          </cell>
          <cell r="BT483">
            <v>0</v>
          </cell>
          <cell r="BU483" t="str">
            <v/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 t="e">
            <v>#VALUE!</v>
          </cell>
        </row>
        <row r="484">
          <cell r="A484" t="str">
            <v>69Q3</v>
          </cell>
          <cell r="B484" t="str">
            <v>Q3</v>
          </cell>
          <cell r="C484">
            <v>69</v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1</v>
          </cell>
          <cell r="BJ484">
            <v>0</v>
          </cell>
          <cell r="BK484">
            <v>0</v>
          </cell>
          <cell r="BM484" t="str">
            <v/>
          </cell>
          <cell r="BO484" t="e">
            <v>#VALUE!</v>
          </cell>
          <cell r="BP484" t="e">
            <v>#VALUE!</v>
          </cell>
          <cell r="BQ484" t="e">
            <v>#VALUE!</v>
          </cell>
          <cell r="BR484" t="e">
            <v>#VALUE!</v>
          </cell>
          <cell r="BS484" t="e">
            <v>#VALUE!</v>
          </cell>
          <cell r="BT484">
            <v>0</v>
          </cell>
          <cell r="BU484" t="str">
            <v/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 t="e">
            <v>#VALUE!</v>
          </cell>
        </row>
        <row r="485">
          <cell r="A485" t="str">
            <v>70Q3</v>
          </cell>
          <cell r="B485" t="str">
            <v>Q3</v>
          </cell>
          <cell r="C485">
            <v>70</v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1</v>
          </cell>
          <cell r="BJ485">
            <v>0</v>
          </cell>
          <cell r="BK485">
            <v>0</v>
          </cell>
          <cell r="BM485" t="str">
            <v/>
          </cell>
          <cell r="BO485" t="e">
            <v>#VALUE!</v>
          </cell>
          <cell r="BP485" t="e">
            <v>#VALUE!</v>
          </cell>
          <cell r="BQ485" t="e">
            <v>#VALUE!</v>
          </cell>
          <cell r="BR485" t="e">
            <v>#VALUE!</v>
          </cell>
          <cell r="BS485" t="e">
            <v>#VALUE!</v>
          </cell>
          <cell r="BT485">
            <v>0</v>
          </cell>
          <cell r="BU485" t="str">
            <v/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 t="e">
            <v>#VALUE!</v>
          </cell>
        </row>
        <row r="486">
          <cell r="A486" t="str">
            <v>71Q3</v>
          </cell>
          <cell r="B486" t="str">
            <v>Q3</v>
          </cell>
          <cell r="C486">
            <v>71</v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1</v>
          </cell>
          <cell r="BJ486">
            <v>0</v>
          </cell>
          <cell r="BK486">
            <v>0</v>
          </cell>
          <cell r="BM486" t="str">
            <v/>
          </cell>
          <cell r="BO486" t="e">
            <v>#VALUE!</v>
          </cell>
          <cell r="BP486" t="e">
            <v>#VALUE!</v>
          </cell>
          <cell r="BQ486" t="e">
            <v>#VALUE!</v>
          </cell>
          <cell r="BR486" t="e">
            <v>#VALUE!</v>
          </cell>
          <cell r="BS486" t="e">
            <v>#VALUE!</v>
          </cell>
          <cell r="BT486">
            <v>0</v>
          </cell>
          <cell r="BU486" t="str">
            <v/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 t="e">
            <v>#VALUE!</v>
          </cell>
        </row>
        <row r="487">
          <cell r="A487" t="str">
            <v>72Q3</v>
          </cell>
          <cell r="B487" t="str">
            <v>Q3</v>
          </cell>
          <cell r="C487">
            <v>72</v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1</v>
          </cell>
          <cell r="BJ487">
            <v>0</v>
          </cell>
          <cell r="BK487">
            <v>0</v>
          </cell>
          <cell r="BM487" t="str">
            <v/>
          </cell>
          <cell r="BO487" t="e">
            <v>#VALUE!</v>
          </cell>
          <cell r="BP487" t="e">
            <v>#VALUE!</v>
          </cell>
          <cell r="BQ487" t="e">
            <v>#VALUE!</v>
          </cell>
          <cell r="BR487" t="e">
            <v>#VALUE!</v>
          </cell>
          <cell r="BS487" t="e">
            <v>#VALUE!</v>
          </cell>
          <cell r="BT487">
            <v>0</v>
          </cell>
          <cell r="BU487" t="str">
            <v/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 t="e">
            <v>#VALUE!</v>
          </cell>
        </row>
        <row r="488">
          <cell r="A488" t="str">
            <v>73Q3</v>
          </cell>
          <cell r="B488" t="str">
            <v>Q3</v>
          </cell>
          <cell r="C488">
            <v>73</v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1</v>
          </cell>
          <cell r="BJ488">
            <v>0</v>
          </cell>
          <cell r="BK488">
            <v>0</v>
          </cell>
          <cell r="BM488" t="str">
            <v/>
          </cell>
          <cell r="BO488" t="e">
            <v>#VALUE!</v>
          </cell>
          <cell r="BP488" t="e">
            <v>#VALUE!</v>
          </cell>
          <cell r="BQ488" t="e">
            <v>#VALUE!</v>
          </cell>
          <cell r="BR488" t="e">
            <v>#VALUE!</v>
          </cell>
          <cell r="BS488" t="e">
            <v>#VALUE!</v>
          </cell>
          <cell r="BT488">
            <v>0</v>
          </cell>
          <cell r="BU488" t="str">
            <v/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 t="e">
            <v>#VALUE!</v>
          </cell>
        </row>
        <row r="489">
          <cell r="A489" t="str">
            <v>74Q3</v>
          </cell>
          <cell r="B489" t="str">
            <v>Q3</v>
          </cell>
          <cell r="C489">
            <v>74</v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1</v>
          </cell>
          <cell r="BJ489">
            <v>0</v>
          </cell>
          <cell r="BK489">
            <v>0</v>
          </cell>
          <cell r="BM489" t="str">
            <v/>
          </cell>
          <cell r="BO489" t="e">
            <v>#VALUE!</v>
          </cell>
          <cell r="BP489" t="e">
            <v>#VALUE!</v>
          </cell>
          <cell r="BQ489" t="e">
            <v>#VALUE!</v>
          </cell>
          <cell r="BR489" t="e">
            <v>#VALUE!</v>
          </cell>
          <cell r="BS489" t="e">
            <v>#VALUE!</v>
          </cell>
          <cell r="BT489">
            <v>0</v>
          </cell>
          <cell r="BU489" t="str">
            <v/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 t="e">
            <v>#VALUE!</v>
          </cell>
        </row>
        <row r="490">
          <cell r="A490" t="str">
            <v>75Q3</v>
          </cell>
          <cell r="B490" t="str">
            <v>Q3</v>
          </cell>
          <cell r="C490">
            <v>75</v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1</v>
          </cell>
          <cell r="BJ490">
            <v>0</v>
          </cell>
          <cell r="BK490">
            <v>0</v>
          </cell>
          <cell r="BM490" t="str">
            <v/>
          </cell>
          <cell r="BO490" t="e">
            <v>#VALUE!</v>
          </cell>
          <cell r="BP490" t="e">
            <v>#VALUE!</v>
          </cell>
          <cell r="BQ490" t="e">
            <v>#VALUE!</v>
          </cell>
          <cell r="BR490" t="e">
            <v>#VALUE!</v>
          </cell>
          <cell r="BS490" t="e">
            <v>#VALUE!</v>
          </cell>
          <cell r="BT490">
            <v>0</v>
          </cell>
          <cell r="BU490" t="str">
            <v/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 t="e">
            <v>#VALUE!</v>
          </cell>
        </row>
        <row r="491">
          <cell r="A491" t="str">
            <v>76Q3</v>
          </cell>
          <cell r="B491" t="str">
            <v>Q3</v>
          </cell>
          <cell r="C491">
            <v>76</v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1</v>
          </cell>
          <cell r="BJ491">
            <v>0</v>
          </cell>
          <cell r="BK491">
            <v>0</v>
          </cell>
          <cell r="BM491" t="str">
            <v/>
          </cell>
          <cell r="BO491" t="e">
            <v>#VALUE!</v>
          </cell>
          <cell r="BP491" t="e">
            <v>#VALUE!</v>
          </cell>
          <cell r="BQ491" t="e">
            <v>#VALUE!</v>
          </cell>
          <cell r="BR491" t="e">
            <v>#VALUE!</v>
          </cell>
          <cell r="BS491" t="e">
            <v>#VALUE!</v>
          </cell>
          <cell r="BT491">
            <v>0</v>
          </cell>
          <cell r="BU491" t="str">
            <v/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 t="e">
            <v>#VALUE!</v>
          </cell>
        </row>
        <row r="492">
          <cell r="A492" t="str">
            <v>77Q3</v>
          </cell>
          <cell r="B492" t="str">
            <v>Q3</v>
          </cell>
          <cell r="C492">
            <v>77</v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1</v>
          </cell>
          <cell r="BJ492">
            <v>0</v>
          </cell>
          <cell r="BK492">
            <v>0</v>
          </cell>
          <cell r="BM492" t="str">
            <v/>
          </cell>
          <cell r="BO492" t="e">
            <v>#VALUE!</v>
          </cell>
          <cell r="BP492" t="e">
            <v>#VALUE!</v>
          </cell>
          <cell r="BQ492" t="e">
            <v>#VALUE!</v>
          </cell>
          <cell r="BR492" t="e">
            <v>#VALUE!</v>
          </cell>
          <cell r="BS492" t="e">
            <v>#VALUE!</v>
          </cell>
          <cell r="BT492">
            <v>0</v>
          </cell>
          <cell r="BU492" t="str">
            <v/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 t="e">
            <v>#VALUE!</v>
          </cell>
        </row>
        <row r="493">
          <cell r="A493" t="str">
            <v>78Q3</v>
          </cell>
          <cell r="B493" t="str">
            <v>Q3</v>
          </cell>
          <cell r="C493">
            <v>78</v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1</v>
          </cell>
          <cell r="BJ493">
            <v>0</v>
          </cell>
          <cell r="BK493">
            <v>0</v>
          </cell>
          <cell r="BM493" t="str">
            <v/>
          </cell>
          <cell r="BO493" t="e">
            <v>#VALUE!</v>
          </cell>
          <cell r="BP493" t="e">
            <v>#VALUE!</v>
          </cell>
          <cell r="BQ493" t="e">
            <v>#VALUE!</v>
          </cell>
          <cell r="BR493" t="e">
            <v>#VALUE!</v>
          </cell>
          <cell r="BS493" t="e">
            <v>#VALUE!</v>
          </cell>
          <cell r="BT493">
            <v>0</v>
          </cell>
          <cell r="BU493" t="str">
            <v/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 t="e">
            <v>#VALUE!</v>
          </cell>
        </row>
        <row r="494">
          <cell r="A494" t="str">
            <v>79Q3</v>
          </cell>
          <cell r="B494" t="str">
            <v>Q3</v>
          </cell>
          <cell r="C494">
            <v>79</v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1</v>
          </cell>
          <cell r="BJ494">
            <v>0</v>
          </cell>
          <cell r="BK494">
            <v>0</v>
          </cell>
          <cell r="BM494" t="str">
            <v/>
          </cell>
          <cell r="BO494" t="e">
            <v>#VALUE!</v>
          </cell>
          <cell r="BP494" t="e">
            <v>#VALUE!</v>
          </cell>
          <cell r="BQ494" t="e">
            <v>#VALUE!</v>
          </cell>
          <cell r="BR494" t="e">
            <v>#VALUE!</v>
          </cell>
          <cell r="BS494" t="e">
            <v>#VALUE!</v>
          </cell>
          <cell r="BT494">
            <v>0</v>
          </cell>
          <cell r="BU494" t="str">
            <v/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 t="e">
            <v>#VALUE!</v>
          </cell>
        </row>
        <row r="495">
          <cell r="A495" t="str">
            <v>80Q3</v>
          </cell>
          <cell r="B495" t="str">
            <v>Q3</v>
          </cell>
          <cell r="C495">
            <v>80</v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1</v>
          </cell>
          <cell r="BJ495">
            <v>0</v>
          </cell>
          <cell r="BK495">
            <v>0</v>
          </cell>
          <cell r="BM495" t="str">
            <v/>
          </cell>
          <cell r="BO495" t="e">
            <v>#VALUE!</v>
          </cell>
          <cell r="BP495" t="e">
            <v>#VALUE!</v>
          </cell>
          <cell r="BQ495" t="e">
            <v>#VALUE!</v>
          </cell>
          <cell r="BR495" t="e">
            <v>#VALUE!</v>
          </cell>
          <cell r="BS495" t="e">
            <v>#VALUE!</v>
          </cell>
          <cell r="BT495">
            <v>0</v>
          </cell>
          <cell r="BU495" t="str">
            <v/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 t="e">
            <v>#VALUE!</v>
          </cell>
        </row>
        <row r="496">
          <cell r="A496" t="str">
            <v>81Q3</v>
          </cell>
          <cell r="B496" t="str">
            <v>Q3</v>
          </cell>
          <cell r="C496">
            <v>81</v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1</v>
          </cell>
          <cell r="BJ496">
            <v>0</v>
          </cell>
          <cell r="BK496">
            <v>0</v>
          </cell>
          <cell r="BM496" t="str">
            <v/>
          </cell>
          <cell r="BO496" t="e">
            <v>#VALUE!</v>
          </cell>
          <cell r="BP496" t="e">
            <v>#VALUE!</v>
          </cell>
          <cell r="BQ496" t="e">
            <v>#VALUE!</v>
          </cell>
          <cell r="BR496" t="e">
            <v>#VALUE!</v>
          </cell>
          <cell r="BS496" t="e">
            <v>#VALUE!</v>
          </cell>
          <cell r="BT496">
            <v>0</v>
          </cell>
          <cell r="BU496" t="str">
            <v/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 t="e">
            <v>#VALUE!</v>
          </cell>
        </row>
        <row r="497">
          <cell r="A497" t="str">
            <v>82Q3</v>
          </cell>
          <cell r="B497" t="str">
            <v>Q3</v>
          </cell>
          <cell r="C497">
            <v>82</v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1</v>
          </cell>
          <cell r="BJ497">
            <v>0</v>
          </cell>
          <cell r="BK497">
            <v>0</v>
          </cell>
          <cell r="BM497" t="str">
            <v/>
          </cell>
          <cell r="BO497" t="e">
            <v>#VALUE!</v>
          </cell>
          <cell r="BP497" t="e">
            <v>#VALUE!</v>
          </cell>
          <cell r="BQ497" t="e">
            <v>#VALUE!</v>
          </cell>
          <cell r="BR497" t="e">
            <v>#VALUE!</v>
          </cell>
          <cell r="BS497" t="e">
            <v>#VALUE!</v>
          </cell>
          <cell r="BT497">
            <v>0</v>
          </cell>
          <cell r="BU497" t="str">
            <v/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 t="e">
            <v>#VALUE!</v>
          </cell>
        </row>
        <row r="498">
          <cell r="A498" t="str">
            <v>83Q3</v>
          </cell>
          <cell r="B498" t="str">
            <v>Q3</v>
          </cell>
          <cell r="C498">
            <v>83</v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1</v>
          </cell>
          <cell r="BJ498">
            <v>0</v>
          </cell>
          <cell r="BK498">
            <v>0</v>
          </cell>
          <cell r="BM498" t="str">
            <v/>
          </cell>
          <cell r="BO498" t="e">
            <v>#VALUE!</v>
          </cell>
          <cell r="BP498" t="e">
            <v>#VALUE!</v>
          </cell>
          <cell r="BQ498" t="e">
            <v>#VALUE!</v>
          </cell>
          <cell r="BR498" t="e">
            <v>#VALUE!</v>
          </cell>
          <cell r="BS498" t="e">
            <v>#VALUE!</v>
          </cell>
          <cell r="BT498">
            <v>0</v>
          </cell>
          <cell r="BU498" t="str">
            <v/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 t="e">
            <v>#VALUE!</v>
          </cell>
        </row>
        <row r="499">
          <cell r="A499" t="str">
            <v>84Q3</v>
          </cell>
          <cell r="B499" t="str">
            <v>Q3</v>
          </cell>
          <cell r="C499">
            <v>84</v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1</v>
          </cell>
          <cell r="BJ499">
            <v>0</v>
          </cell>
          <cell r="BK499">
            <v>0</v>
          </cell>
          <cell r="BM499" t="str">
            <v/>
          </cell>
          <cell r="BO499" t="e">
            <v>#VALUE!</v>
          </cell>
          <cell r="BP499" t="e">
            <v>#VALUE!</v>
          </cell>
          <cell r="BQ499" t="e">
            <v>#VALUE!</v>
          </cell>
          <cell r="BR499" t="e">
            <v>#VALUE!</v>
          </cell>
          <cell r="BS499" t="e">
            <v>#VALUE!</v>
          </cell>
          <cell r="BT499">
            <v>0</v>
          </cell>
          <cell r="BU499" t="str">
            <v/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 t="e">
            <v>#VALUE!</v>
          </cell>
        </row>
        <row r="500">
          <cell r="A500" t="str">
            <v>85Q3</v>
          </cell>
          <cell r="B500" t="str">
            <v>Q3</v>
          </cell>
          <cell r="C500">
            <v>85</v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1</v>
          </cell>
          <cell r="BJ500">
            <v>0</v>
          </cell>
          <cell r="BK500">
            <v>0</v>
          </cell>
          <cell r="BM500" t="str">
            <v/>
          </cell>
          <cell r="BO500" t="e">
            <v>#VALUE!</v>
          </cell>
          <cell r="BP500" t="e">
            <v>#VALUE!</v>
          </cell>
          <cell r="BQ500" t="e">
            <v>#VALUE!</v>
          </cell>
          <cell r="BR500" t="e">
            <v>#VALUE!</v>
          </cell>
          <cell r="BS500" t="e">
            <v>#VALUE!</v>
          </cell>
          <cell r="BT500">
            <v>0</v>
          </cell>
          <cell r="BU500" t="str">
            <v/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 t="e">
            <v>#VALUE!</v>
          </cell>
        </row>
        <row r="501">
          <cell r="A501" t="str">
            <v>86Q3</v>
          </cell>
          <cell r="B501" t="str">
            <v>Q3</v>
          </cell>
          <cell r="C501">
            <v>86</v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1</v>
          </cell>
          <cell r="BJ501">
            <v>0</v>
          </cell>
          <cell r="BK501">
            <v>0</v>
          </cell>
          <cell r="BM501" t="str">
            <v/>
          </cell>
          <cell r="BO501" t="e">
            <v>#VALUE!</v>
          </cell>
          <cell r="BP501" t="e">
            <v>#VALUE!</v>
          </cell>
          <cell r="BQ501" t="e">
            <v>#VALUE!</v>
          </cell>
          <cell r="BR501" t="e">
            <v>#VALUE!</v>
          </cell>
          <cell r="BS501" t="e">
            <v>#VALUE!</v>
          </cell>
          <cell r="BT501">
            <v>0</v>
          </cell>
          <cell r="BU501" t="str">
            <v/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 t="e">
            <v>#VALUE!</v>
          </cell>
        </row>
        <row r="502">
          <cell r="A502" t="str">
            <v>87Q3</v>
          </cell>
          <cell r="B502" t="str">
            <v>Q3</v>
          </cell>
          <cell r="C502">
            <v>87</v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1</v>
          </cell>
          <cell r="BJ502">
            <v>0</v>
          </cell>
          <cell r="BK502">
            <v>0</v>
          </cell>
          <cell r="BM502" t="str">
            <v/>
          </cell>
          <cell r="BO502" t="e">
            <v>#VALUE!</v>
          </cell>
          <cell r="BP502" t="e">
            <v>#VALUE!</v>
          </cell>
          <cell r="BQ502" t="e">
            <v>#VALUE!</v>
          </cell>
          <cell r="BR502" t="e">
            <v>#VALUE!</v>
          </cell>
          <cell r="BS502" t="e">
            <v>#VALUE!</v>
          </cell>
          <cell r="BT502">
            <v>0</v>
          </cell>
          <cell r="BU502" t="str">
            <v/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 t="e">
            <v>#VALUE!</v>
          </cell>
        </row>
        <row r="503">
          <cell r="A503" t="str">
            <v>88Q3</v>
          </cell>
          <cell r="B503" t="str">
            <v>Q3</v>
          </cell>
          <cell r="C503">
            <v>88</v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1</v>
          </cell>
          <cell r="BJ503">
            <v>0</v>
          </cell>
          <cell r="BK503">
            <v>0</v>
          </cell>
          <cell r="BM503" t="str">
            <v/>
          </cell>
          <cell r="BO503" t="e">
            <v>#VALUE!</v>
          </cell>
          <cell r="BP503" t="e">
            <v>#VALUE!</v>
          </cell>
          <cell r="BQ503" t="e">
            <v>#VALUE!</v>
          </cell>
          <cell r="BR503" t="e">
            <v>#VALUE!</v>
          </cell>
          <cell r="BS503" t="e">
            <v>#VALUE!</v>
          </cell>
          <cell r="BT503">
            <v>0</v>
          </cell>
          <cell r="BU503" t="str">
            <v/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 t="e">
            <v>#VALUE!</v>
          </cell>
        </row>
        <row r="504">
          <cell r="A504" t="str">
            <v>89Q3</v>
          </cell>
          <cell r="B504" t="str">
            <v>Q3</v>
          </cell>
          <cell r="C504">
            <v>89</v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1</v>
          </cell>
          <cell r="BJ504">
            <v>0</v>
          </cell>
          <cell r="BK504">
            <v>0</v>
          </cell>
          <cell r="BM504" t="str">
            <v/>
          </cell>
          <cell r="BO504" t="e">
            <v>#VALUE!</v>
          </cell>
          <cell r="BP504" t="e">
            <v>#VALUE!</v>
          </cell>
          <cell r="BQ504" t="e">
            <v>#VALUE!</v>
          </cell>
          <cell r="BR504" t="e">
            <v>#VALUE!</v>
          </cell>
          <cell r="BS504" t="e">
            <v>#VALUE!</v>
          </cell>
          <cell r="BT504">
            <v>0</v>
          </cell>
          <cell r="BU504" t="str">
            <v/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 t="e">
            <v>#VALUE!</v>
          </cell>
        </row>
        <row r="505">
          <cell r="A505" t="str">
            <v>90Q3</v>
          </cell>
          <cell r="B505" t="str">
            <v>Q3</v>
          </cell>
          <cell r="C505">
            <v>90</v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1</v>
          </cell>
          <cell r="BJ505">
            <v>0</v>
          </cell>
          <cell r="BK505">
            <v>0</v>
          </cell>
          <cell r="BM505" t="str">
            <v/>
          </cell>
          <cell r="BO505" t="e">
            <v>#VALUE!</v>
          </cell>
          <cell r="BP505" t="e">
            <v>#VALUE!</v>
          </cell>
          <cell r="BQ505" t="e">
            <v>#VALUE!</v>
          </cell>
          <cell r="BR505" t="e">
            <v>#VALUE!</v>
          </cell>
          <cell r="BS505" t="e">
            <v>#VALUE!</v>
          </cell>
          <cell r="BT505">
            <v>0</v>
          </cell>
          <cell r="BU505" t="str">
            <v/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 t="e">
            <v>#VALUE!</v>
          </cell>
        </row>
        <row r="506">
          <cell r="A506" t="str">
            <v>91Q3</v>
          </cell>
          <cell r="B506" t="str">
            <v>Q3</v>
          </cell>
          <cell r="C506">
            <v>91</v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1</v>
          </cell>
          <cell r="BJ506">
            <v>0</v>
          </cell>
          <cell r="BK506">
            <v>0</v>
          </cell>
          <cell r="BM506" t="str">
            <v/>
          </cell>
          <cell r="BO506" t="e">
            <v>#VALUE!</v>
          </cell>
          <cell r="BP506" t="e">
            <v>#VALUE!</v>
          </cell>
          <cell r="BQ506" t="e">
            <v>#VALUE!</v>
          </cell>
          <cell r="BR506" t="e">
            <v>#VALUE!</v>
          </cell>
          <cell r="BS506" t="e">
            <v>#VALUE!</v>
          </cell>
          <cell r="BT506">
            <v>0</v>
          </cell>
          <cell r="BU506" t="str">
            <v/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 t="e">
            <v>#VALUE!</v>
          </cell>
        </row>
        <row r="507">
          <cell r="A507" t="str">
            <v>92Q3</v>
          </cell>
          <cell r="B507" t="str">
            <v>Q3</v>
          </cell>
          <cell r="C507">
            <v>92</v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1</v>
          </cell>
          <cell r="BJ507">
            <v>0</v>
          </cell>
          <cell r="BK507">
            <v>0</v>
          </cell>
          <cell r="BM507" t="str">
            <v/>
          </cell>
          <cell r="BO507" t="e">
            <v>#VALUE!</v>
          </cell>
          <cell r="BP507" t="e">
            <v>#VALUE!</v>
          </cell>
          <cell r="BQ507" t="e">
            <v>#VALUE!</v>
          </cell>
          <cell r="BR507" t="e">
            <v>#VALUE!</v>
          </cell>
          <cell r="BS507" t="e">
            <v>#VALUE!</v>
          </cell>
          <cell r="BT507">
            <v>0</v>
          </cell>
          <cell r="BU507" t="str">
            <v/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 t="e">
            <v>#VALUE!</v>
          </cell>
        </row>
        <row r="508">
          <cell r="A508" t="str">
            <v>93Q3</v>
          </cell>
          <cell r="B508" t="str">
            <v>Q3</v>
          </cell>
          <cell r="C508">
            <v>93</v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1</v>
          </cell>
          <cell r="BJ508">
            <v>0</v>
          </cell>
          <cell r="BK508">
            <v>0</v>
          </cell>
          <cell r="BM508" t="str">
            <v/>
          </cell>
          <cell r="BO508" t="e">
            <v>#VALUE!</v>
          </cell>
          <cell r="BP508" t="e">
            <v>#VALUE!</v>
          </cell>
          <cell r="BQ508" t="e">
            <v>#VALUE!</v>
          </cell>
          <cell r="BR508" t="e">
            <v>#VALUE!</v>
          </cell>
          <cell r="BS508" t="e">
            <v>#VALUE!</v>
          </cell>
          <cell r="BT508">
            <v>0</v>
          </cell>
          <cell r="BU508" t="str">
            <v/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 t="e">
            <v>#VALUE!</v>
          </cell>
        </row>
        <row r="509">
          <cell r="A509" t="str">
            <v>94Q3</v>
          </cell>
          <cell r="B509" t="str">
            <v>Q3</v>
          </cell>
          <cell r="C509">
            <v>94</v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1</v>
          </cell>
          <cell r="BJ509">
            <v>0</v>
          </cell>
          <cell r="BK509">
            <v>0</v>
          </cell>
          <cell r="BM509" t="str">
            <v/>
          </cell>
          <cell r="BO509" t="e">
            <v>#VALUE!</v>
          </cell>
          <cell r="BP509" t="e">
            <v>#VALUE!</v>
          </cell>
          <cell r="BQ509" t="e">
            <v>#VALUE!</v>
          </cell>
          <cell r="BR509" t="e">
            <v>#VALUE!</v>
          </cell>
          <cell r="BS509" t="e">
            <v>#VALUE!</v>
          </cell>
          <cell r="BT509">
            <v>0</v>
          </cell>
          <cell r="BU509" t="str">
            <v/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 t="e">
            <v>#VALUE!</v>
          </cell>
        </row>
        <row r="510">
          <cell r="A510" t="str">
            <v>95Q3</v>
          </cell>
          <cell r="B510" t="str">
            <v>Q3</v>
          </cell>
          <cell r="C510">
            <v>95</v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1</v>
          </cell>
          <cell r="BJ510">
            <v>0</v>
          </cell>
          <cell r="BK510">
            <v>0</v>
          </cell>
          <cell r="BM510" t="str">
            <v/>
          </cell>
          <cell r="BO510" t="e">
            <v>#VALUE!</v>
          </cell>
          <cell r="BP510" t="e">
            <v>#VALUE!</v>
          </cell>
          <cell r="BQ510" t="e">
            <v>#VALUE!</v>
          </cell>
          <cell r="BR510" t="e">
            <v>#VALUE!</v>
          </cell>
          <cell r="BS510" t="e">
            <v>#VALUE!</v>
          </cell>
          <cell r="BT510">
            <v>0</v>
          </cell>
          <cell r="BU510" t="str">
            <v/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 t="e">
            <v>#VALUE!</v>
          </cell>
        </row>
        <row r="511">
          <cell r="A511" t="str">
            <v>96Q3</v>
          </cell>
          <cell r="B511" t="str">
            <v>Q3</v>
          </cell>
          <cell r="C511">
            <v>96</v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1</v>
          </cell>
          <cell r="BJ511">
            <v>0</v>
          </cell>
          <cell r="BK511">
            <v>0</v>
          </cell>
          <cell r="BM511" t="str">
            <v/>
          </cell>
          <cell r="BO511" t="e">
            <v>#VALUE!</v>
          </cell>
          <cell r="BP511" t="e">
            <v>#VALUE!</v>
          </cell>
          <cell r="BQ511" t="e">
            <v>#VALUE!</v>
          </cell>
          <cell r="BR511" t="e">
            <v>#VALUE!</v>
          </cell>
          <cell r="BS511" t="e">
            <v>#VALUE!</v>
          </cell>
          <cell r="BT511">
            <v>0</v>
          </cell>
          <cell r="BU511" t="str">
            <v/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 t="e">
            <v>#VALUE!</v>
          </cell>
        </row>
        <row r="512">
          <cell r="A512" t="str">
            <v>97Q3</v>
          </cell>
          <cell r="B512" t="str">
            <v>Q3</v>
          </cell>
          <cell r="C512">
            <v>97</v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1</v>
          </cell>
          <cell r="BJ512">
            <v>0</v>
          </cell>
          <cell r="BK512">
            <v>0</v>
          </cell>
          <cell r="BM512" t="str">
            <v/>
          </cell>
          <cell r="BO512" t="e">
            <v>#VALUE!</v>
          </cell>
          <cell r="BP512" t="e">
            <v>#VALUE!</v>
          </cell>
          <cell r="BQ512" t="e">
            <v>#VALUE!</v>
          </cell>
          <cell r="BR512" t="e">
            <v>#VALUE!</v>
          </cell>
          <cell r="BS512" t="e">
            <v>#VALUE!</v>
          </cell>
          <cell r="BT512">
            <v>0</v>
          </cell>
          <cell r="BU512" t="str">
            <v/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 t="e">
            <v>#VALUE!</v>
          </cell>
        </row>
        <row r="513">
          <cell r="A513" t="str">
            <v>98Q3</v>
          </cell>
          <cell r="B513" t="str">
            <v>Q3</v>
          </cell>
          <cell r="C513">
            <v>98</v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1</v>
          </cell>
          <cell r="BJ513">
            <v>0</v>
          </cell>
          <cell r="BK513">
            <v>0</v>
          </cell>
          <cell r="BM513" t="str">
            <v/>
          </cell>
          <cell r="BO513" t="e">
            <v>#VALUE!</v>
          </cell>
          <cell r="BP513" t="e">
            <v>#VALUE!</v>
          </cell>
          <cell r="BQ513" t="e">
            <v>#VALUE!</v>
          </cell>
          <cell r="BR513" t="e">
            <v>#VALUE!</v>
          </cell>
          <cell r="BS513" t="e">
            <v>#VALUE!</v>
          </cell>
          <cell r="BT513">
            <v>0</v>
          </cell>
          <cell r="BU513" t="str">
            <v/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 t="e">
            <v>#VALUE!</v>
          </cell>
        </row>
        <row r="514">
          <cell r="A514" t="str">
            <v>99Q3</v>
          </cell>
          <cell r="B514" t="str">
            <v>Q3</v>
          </cell>
          <cell r="C514">
            <v>99</v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1</v>
          </cell>
          <cell r="BJ514">
            <v>0</v>
          </cell>
          <cell r="BK514">
            <v>0</v>
          </cell>
          <cell r="BM514" t="str">
            <v/>
          </cell>
          <cell r="BO514" t="e">
            <v>#VALUE!</v>
          </cell>
          <cell r="BP514" t="e">
            <v>#VALUE!</v>
          </cell>
          <cell r="BQ514" t="e">
            <v>#VALUE!</v>
          </cell>
          <cell r="BR514" t="e">
            <v>#VALUE!</v>
          </cell>
          <cell r="BS514" t="e">
            <v>#VALUE!</v>
          </cell>
          <cell r="BT514">
            <v>0</v>
          </cell>
          <cell r="BU514" t="str">
            <v/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 t="e">
            <v>#VALUE!</v>
          </cell>
        </row>
        <row r="515">
          <cell r="A515" t="str">
            <v>100Q3</v>
          </cell>
          <cell r="B515" t="str">
            <v>Q3</v>
          </cell>
          <cell r="C515">
            <v>100</v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1</v>
          </cell>
          <cell r="BJ515">
            <v>0</v>
          </cell>
          <cell r="BK515">
            <v>0</v>
          </cell>
          <cell r="BM515" t="str">
            <v/>
          </cell>
          <cell r="BO515" t="e">
            <v>#VALUE!</v>
          </cell>
          <cell r="BP515" t="e">
            <v>#VALUE!</v>
          </cell>
          <cell r="BQ515" t="e">
            <v>#VALUE!</v>
          </cell>
          <cell r="BR515" t="e">
            <v>#VALUE!</v>
          </cell>
          <cell r="BS515" t="e">
            <v>#VALUE!</v>
          </cell>
          <cell r="BT515">
            <v>0</v>
          </cell>
          <cell r="BU515" t="str">
            <v/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 t="e">
            <v>#VALUE!</v>
          </cell>
        </row>
        <row r="516">
          <cell r="A516" t="str">
            <v>101Q3</v>
          </cell>
          <cell r="B516" t="str">
            <v>Q3</v>
          </cell>
          <cell r="C516">
            <v>101</v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1</v>
          </cell>
          <cell r="BJ516">
            <v>0</v>
          </cell>
          <cell r="BK516">
            <v>0</v>
          </cell>
          <cell r="BM516" t="str">
            <v/>
          </cell>
          <cell r="BO516" t="e">
            <v>#VALUE!</v>
          </cell>
          <cell r="BP516" t="e">
            <v>#VALUE!</v>
          </cell>
          <cell r="BQ516" t="e">
            <v>#VALUE!</v>
          </cell>
          <cell r="BR516" t="e">
            <v>#VALUE!</v>
          </cell>
          <cell r="BS516" t="e">
            <v>#VALUE!</v>
          </cell>
          <cell r="BT516">
            <v>0</v>
          </cell>
          <cell r="BU516" t="str">
            <v/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 t="e">
            <v>#VALUE!</v>
          </cell>
        </row>
        <row r="517">
          <cell r="A517" t="str">
            <v>102Q3</v>
          </cell>
          <cell r="B517" t="str">
            <v>Q3</v>
          </cell>
          <cell r="C517">
            <v>102</v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1</v>
          </cell>
          <cell r="BJ517">
            <v>0</v>
          </cell>
          <cell r="BK517">
            <v>0</v>
          </cell>
          <cell r="BM517" t="str">
            <v/>
          </cell>
          <cell r="BO517" t="e">
            <v>#VALUE!</v>
          </cell>
          <cell r="BP517" t="e">
            <v>#VALUE!</v>
          </cell>
          <cell r="BQ517" t="e">
            <v>#VALUE!</v>
          </cell>
          <cell r="BR517" t="e">
            <v>#VALUE!</v>
          </cell>
          <cell r="BS517" t="e">
            <v>#VALUE!</v>
          </cell>
          <cell r="BT517">
            <v>0</v>
          </cell>
          <cell r="BU517" t="str">
            <v/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 t="e">
            <v>#VALUE!</v>
          </cell>
        </row>
        <row r="518">
          <cell r="A518" t="str">
            <v>103Q3</v>
          </cell>
          <cell r="B518" t="str">
            <v>Q3</v>
          </cell>
          <cell r="C518">
            <v>103</v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1</v>
          </cell>
          <cell r="BJ518">
            <v>0</v>
          </cell>
          <cell r="BK518">
            <v>0</v>
          </cell>
          <cell r="BM518" t="str">
            <v/>
          </cell>
          <cell r="BO518" t="e">
            <v>#VALUE!</v>
          </cell>
          <cell r="BP518" t="e">
            <v>#VALUE!</v>
          </cell>
          <cell r="BQ518" t="e">
            <v>#VALUE!</v>
          </cell>
          <cell r="BR518" t="e">
            <v>#VALUE!</v>
          </cell>
          <cell r="BS518" t="e">
            <v>#VALUE!</v>
          </cell>
          <cell r="BT518">
            <v>0</v>
          </cell>
          <cell r="BU518" t="str">
            <v/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 t="e">
            <v>#VALUE!</v>
          </cell>
        </row>
        <row r="519">
          <cell r="A519" t="str">
            <v>104Q3</v>
          </cell>
          <cell r="B519" t="str">
            <v>Q3</v>
          </cell>
          <cell r="C519">
            <v>104</v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1</v>
          </cell>
          <cell r="BJ519">
            <v>0</v>
          </cell>
          <cell r="BK519">
            <v>0</v>
          </cell>
          <cell r="BM519" t="str">
            <v/>
          </cell>
          <cell r="BO519" t="e">
            <v>#VALUE!</v>
          </cell>
          <cell r="BP519" t="e">
            <v>#VALUE!</v>
          </cell>
          <cell r="BQ519" t="e">
            <v>#VALUE!</v>
          </cell>
          <cell r="BR519" t="e">
            <v>#VALUE!</v>
          </cell>
          <cell r="BS519" t="e">
            <v>#VALUE!</v>
          </cell>
          <cell r="BT519">
            <v>0</v>
          </cell>
          <cell r="BU519" t="str">
            <v/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 t="e">
            <v>#VALUE!</v>
          </cell>
        </row>
        <row r="520">
          <cell r="A520" t="str">
            <v>105Q3</v>
          </cell>
          <cell r="B520" t="str">
            <v>Q3</v>
          </cell>
          <cell r="C520">
            <v>105</v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1</v>
          </cell>
          <cell r="BJ520">
            <v>0</v>
          </cell>
          <cell r="BK520">
            <v>0</v>
          </cell>
          <cell r="BM520" t="str">
            <v/>
          </cell>
          <cell r="BO520" t="e">
            <v>#VALUE!</v>
          </cell>
          <cell r="BP520" t="e">
            <v>#VALUE!</v>
          </cell>
          <cell r="BQ520" t="e">
            <v>#VALUE!</v>
          </cell>
          <cell r="BR520" t="e">
            <v>#VALUE!</v>
          </cell>
          <cell r="BS520" t="e">
            <v>#VALUE!</v>
          </cell>
          <cell r="BT520">
            <v>0</v>
          </cell>
          <cell r="BU520" t="str">
            <v/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 t="e">
            <v>#VALUE!</v>
          </cell>
        </row>
        <row r="521">
          <cell r="A521" t="str">
            <v>106Q3</v>
          </cell>
          <cell r="B521" t="str">
            <v>Q3</v>
          </cell>
          <cell r="C521">
            <v>106</v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1</v>
          </cell>
          <cell r="BJ521">
            <v>0</v>
          </cell>
          <cell r="BK521">
            <v>0</v>
          </cell>
          <cell r="BM521" t="str">
            <v/>
          </cell>
          <cell r="BO521" t="e">
            <v>#VALUE!</v>
          </cell>
          <cell r="BP521" t="e">
            <v>#VALUE!</v>
          </cell>
          <cell r="BQ521" t="e">
            <v>#VALUE!</v>
          </cell>
          <cell r="BR521" t="e">
            <v>#VALUE!</v>
          </cell>
          <cell r="BS521" t="e">
            <v>#VALUE!</v>
          </cell>
          <cell r="BT521">
            <v>0</v>
          </cell>
          <cell r="BU521" t="str">
            <v/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 t="e">
            <v>#VALUE!</v>
          </cell>
        </row>
        <row r="522">
          <cell r="A522" t="str">
            <v>107Q3</v>
          </cell>
          <cell r="B522" t="str">
            <v>Q3</v>
          </cell>
          <cell r="C522">
            <v>107</v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1</v>
          </cell>
          <cell r="BJ522">
            <v>0</v>
          </cell>
          <cell r="BK522">
            <v>0</v>
          </cell>
          <cell r="BM522" t="str">
            <v/>
          </cell>
          <cell r="BO522" t="e">
            <v>#VALUE!</v>
          </cell>
          <cell r="BP522" t="e">
            <v>#VALUE!</v>
          </cell>
          <cell r="BQ522" t="e">
            <v>#VALUE!</v>
          </cell>
          <cell r="BR522" t="e">
            <v>#VALUE!</v>
          </cell>
          <cell r="BS522" t="e">
            <v>#VALUE!</v>
          </cell>
          <cell r="BT522">
            <v>0</v>
          </cell>
          <cell r="BU522" t="str">
            <v/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 t="e">
            <v>#VALUE!</v>
          </cell>
        </row>
        <row r="523">
          <cell r="A523" t="str">
            <v>108Q3</v>
          </cell>
          <cell r="B523" t="str">
            <v>Q3</v>
          </cell>
          <cell r="C523">
            <v>108</v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1</v>
          </cell>
          <cell r="BJ523">
            <v>0</v>
          </cell>
          <cell r="BK523">
            <v>0</v>
          </cell>
          <cell r="BM523" t="str">
            <v/>
          </cell>
          <cell r="BO523" t="e">
            <v>#VALUE!</v>
          </cell>
          <cell r="BP523" t="e">
            <v>#VALUE!</v>
          </cell>
          <cell r="BQ523" t="e">
            <v>#VALUE!</v>
          </cell>
          <cell r="BR523" t="e">
            <v>#VALUE!</v>
          </cell>
          <cell r="BS523" t="e">
            <v>#VALUE!</v>
          </cell>
          <cell r="BT523">
            <v>0</v>
          </cell>
          <cell r="BU523" t="str">
            <v/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 t="e">
            <v>#VALUE!</v>
          </cell>
        </row>
        <row r="524">
          <cell r="A524" t="str">
            <v>109Q3</v>
          </cell>
          <cell r="B524" t="str">
            <v>Q3</v>
          </cell>
          <cell r="C524">
            <v>109</v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1</v>
          </cell>
          <cell r="BJ524">
            <v>0</v>
          </cell>
          <cell r="BK524">
            <v>0</v>
          </cell>
          <cell r="BM524" t="str">
            <v/>
          </cell>
          <cell r="BO524" t="e">
            <v>#VALUE!</v>
          </cell>
          <cell r="BP524" t="e">
            <v>#VALUE!</v>
          </cell>
          <cell r="BQ524" t="e">
            <v>#VALUE!</v>
          </cell>
          <cell r="BR524" t="e">
            <v>#VALUE!</v>
          </cell>
          <cell r="BS524" t="e">
            <v>#VALUE!</v>
          </cell>
          <cell r="BT524">
            <v>0</v>
          </cell>
          <cell r="BU524" t="str">
            <v/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 t="e">
            <v>#VALUE!</v>
          </cell>
        </row>
        <row r="525">
          <cell r="A525" t="str">
            <v>110Q3</v>
          </cell>
          <cell r="B525" t="str">
            <v>Q3</v>
          </cell>
          <cell r="C525">
            <v>110</v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1</v>
          </cell>
          <cell r="BJ525">
            <v>0</v>
          </cell>
          <cell r="BK525">
            <v>0</v>
          </cell>
          <cell r="BM525" t="str">
            <v/>
          </cell>
          <cell r="BO525" t="e">
            <v>#VALUE!</v>
          </cell>
          <cell r="BP525" t="e">
            <v>#VALUE!</v>
          </cell>
          <cell r="BQ525" t="e">
            <v>#VALUE!</v>
          </cell>
          <cell r="BR525" t="e">
            <v>#VALUE!</v>
          </cell>
          <cell r="BS525" t="e">
            <v>#VALUE!</v>
          </cell>
          <cell r="BT525">
            <v>0</v>
          </cell>
          <cell r="BU525" t="str">
            <v/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 t="e">
            <v>#VALUE!</v>
          </cell>
        </row>
        <row r="526">
          <cell r="A526" t="str">
            <v>111Q3</v>
          </cell>
          <cell r="B526" t="str">
            <v>Q3</v>
          </cell>
          <cell r="C526">
            <v>111</v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1</v>
          </cell>
          <cell r="BJ526">
            <v>0</v>
          </cell>
          <cell r="BK526">
            <v>0</v>
          </cell>
          <cell r="BM526" t="str">
            <v/>
          </cell>
          <cell r="BO526" t="e">
            <v>#VALUE!</v>
          </cell>
          <cell r="BP526" t="e">
            <v>#VALUE!</v>
          </cell>
          <cell r="BQ526" t="e">
            <v>#VALUE!</v>
          </cell>
          <cell r="BR526" t="e">
            <v>#VALUE!</v>
          </cell>
          <cell r="BS526" t="e">
            <v>#VALUE!</v>
          </cell>
          <cell r="BT526">
            <v>0</v>
          </cell>
          <cell r="BU526" t="str">
            <v/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 t="e">
            <v>#VALUE!</v>
          </cell>
        </row>
        <row r="527">
          <cell r="A527" t="str">
            <v>112Q3</v>
          </cell>
          <cell r="B527" t="str">
            <v>Q3</v>
          </cell>
          <cell r="C527">
            <v>112</v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1</v>
          </cell>
          <cell r="BJ527">
            <v>0</v>
          </cell>
          <cell r="BK527">
            <v>0</v>
          </cell>
          <cell r="BM527" t="str">
            <v/>
          </cell>
          <cell r="BO527" t="e">
            <v>#VALUE!</v>
          </cell>
          <cell r="BP527" t="e">
            <v>#VALUE!</v>
          </cell>
          <cell r="BQ527" t="e">
            <v>#VALUE!</v>
          </cell>
          <cell r="BR527" t="e">
            <v>#VALUE!</v>
          </cell>
          <cell r="BS527" t="e">
            <v>#VALUE!</v>
          </cell>
          <cell r="BT527">
            <v>0</v>
          </cell>
          <cell r="BU527" t="str">
            <v/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 t="e">
            <v>#VALUE!</v>
          </cell>
        </row>
        <row r="528">
          <cell r="A528" t="str">
            <v>113Q3</v>
          </cell>
          <cell r="B528" t="str">
            <v>Q3</v>
          </cell>
          <cell r="C528">
            <v>113</v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1</v>
          </cell>
          <cell r="BJ528">
            <v>0</v>
          </cell>
          <cell r="BK528">
            <v>0</v>
          </cell>
          <cell r="BM528" t="str">
            <v/>
          </cell>
          <cell r="BO528" t="e">
            <v>#VALUE!</v>
          </cell>
          <cell r="BP528" t="e">
            <v>#VALUE!</v>
          </cell>
          <cell r="BQ528" t="e">
            <v>#VALUE!</v>
          </cell>
          <cell r="BR528" t="e">
            <v>#VALUE!</v>
          </cell>
          <cell r="BS528" t="e">
            <v>#VALUE!</v>
          </cell>
          <cell r="BT528">
            <v>0</v>
          </cell>
          <cell r="BU528" t="str">
            <v/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 t="e">
            <v>#VALUE!</v>
          </cell>
        </row>
        <row r="529">
          <cell r="A529" t="str">
            <v>114Q3</v>
          </cell>
          <cell r="B529" t="str">
            <v>Q3</v>
          </cell>
          <cell r="C529">
            <v>114</v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1</v>
          </cell>
          <cell r="BJ529">
            <v>0</v>
          </cell>
          <cell r="BK529">
            <v>0</v>
          </cell>
          <cell r="BM529" t="str">
            <v/>
          </cell>
          <cell r="BO529" t="e">
            <v>#VALUE!</v>
          </cell>
          <cell r="BP529" t="e">
            <v>#VALUE!</v>
          </cell>
          <cell r="BQ529" t="e">
            <v>#VALUE!</v>
          </cell>
          <cell r="BR529" t="e">
            <v>#VALUE!</v>
          </cell>
          <cell r="BS529" t="e">
            <v>#VALUE!</v>
          </cell>
          <cell r="BT529">
            <v>0</v>
          </cell>
          <cell r="BU529" t="str">
            <v/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 t="e">
            <v>#VALUE!</v>
          </cell>
        </row>
        <row r="530">
          <cell r="A530" t="str">
            <v>115Q3</v>
          </cell>
          <cell r="B530" t="str">
            <v>Q3</v>
          </cell>
          <cell r="C530">
            <v>115</v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1</v>
          </cell>
          <cell r="BJ530">
            <v>0</v>
          </cell>
          <cell r="BK530">
            <v>0</v>
          </cell>
          <cell r="BM530" t="str">
            <v/>
          </cell>
          <cell r="BO530" t="e">
            <v>#VALUE!</v>
          </cell>
          <cell r="BP530" t="e">
            <v>#VALUE!</v>
          </cell>
          <cell r="BQ530" t="e">
            <v>#VALUE!</v>
          </cell>
          <cell r="BR530" t="e">
            <v>#VALUE!</v>
          </cell>
          <cell r="BS530" t="e">
            <v>#VALUE!</v>
          </cell>
          <cell r="BT530">
            <v>0</v>
          </cell>
          <cell r="BU530" t="str">
            <v/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 t="e">
            <v>#VALUE!</v>
          </cell>
        </row>
        <row r="531">
          <cell r="A531" t="str">
            <v>116Q3</v>
          </cell>
          <cell r="B531" t="str">
            <v>Q3</v>
          </cell>
          <cell r="C531">
            <v>116</v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1</v>
          </cell>
          <cell r="BJ531">
            <v>0</v>
          </cell>
          <cell r="BK531">
            <v>0</v>
          </cell>
          <cell r="BM531" t="str">
            <v/>
          </cell>
          <cell r="BO531" t="e">
            <v>#VALUE!</v>
          </cell>
          <cell r="BP531" t="e">
            <v>#VALUE!</v>
          </cell>
          <cell r="BQ531" t="e">
            <v>#VALUE!</v>
          </cell>
          <cell r="BR531" t="e">
            <v>#VALUE!</v>
          </cell>
          <cell r="BS531" t="e">
            <v>#VALUE!</v>
          </cell>
          <cell r="BT531">
            <v>0</v>
          </cell>
          <cell r="BU531" t="str">
            <v/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 t="e">
            <v>#VALUE!</v>
          </cell>
        </row>
        <row r="532">
          <cell r="A532" t="str">
            <v>117Q3</v>
          </cell>
          <cell r="B532" t="str">
            <v>Q3</v>
          </cell>
          <cell r="C532">
            <v>117</v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1</v>
          </cell>
          <cell r="BJ532">
            <v>0</v>
          </cell>
          <cell r="BK532">
            <v>0</v>
          </cell>
          <cell r="BM532" t="str">
            <v/>
          </cell>
          <cell r="BO532" t="e">
            <v>#VALUE!</v>
          </cell>
          <cell r="BP532" t="e">
            <v>#VALUE!</v>
          </cell>
          <cell r="BQ532" t="e">
            <v>#VALUE!</v>
          </cell>
          <cell r="BR532" t="e">
            <v>#VALUE!</v>
          </cell>
          <cell r="BS532" t="e">
            <v>#VALUE!</v>
          </cell>
          <cell r="BT532">
            <v>0</v>
          </cell>
          <cell r="BU532" t="str">
            <v/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 t="e">
            <v>#VALUE!</v>
          </cell>
        </row>
        <row r="533">
          <cell r="A533" t="str">
            <v>118Q3</v>
          </cell>
          <cell r="B533" t="str">
            <v>Q3</v>
          </cell>
          <cell r="C533">
            <v>118</v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1</v>
          </cell>
          <cell r="BJ533">
            <v>0</v>
          </cell>
          <cell r="BK533">
            <v>0</v>
          </cell>
          <cell r="BM533" t="str">
            <v/>
          </cell>
          <cell r="BO533" t="e">
            <v>#VALUE!</v>
          </cell>
          <cell r="BP533" t="e">
            <v>#VALUE!</v>
          </cell>
          <cell r="BQ533" t="e">
            <v>#VALUE!</v>
          </cell>
          <cell r="BR533" t="e">
            <v>#VALUE!</v>
          </cell>
          <cell r="BS533" t="e">
            <v>#VALUE!</v>
          </cell>
          <cell r="BT533">
            <v>0</v>
          </cell>
          <cell r="BU533" t="str">
            <v/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 t="e">
            <v>#VALUE!</v>
          </cell>
        </row>
        <row r="534">
          <cell r="A534" t="str">
            <v>119Q3</v>
          </cell>
          <cell r="B534" t="str">
            <v>Q3</v>
          </cell>
          <cell r="C534">
            <v>119</v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1</v>
          </cell>
          <cell r="BJ534">
            <v>0</v>
          </cell>
          <cell r="BK534">
            <v>0</v>
          </cell>
          <cell r="BM534" t="str">
            <v/>
          </cell>
          <cell r="BO534" t="e">
            <v>#VALUE!</v>
          </cell>
          <cell r="BP534" t="e">
            <v>#VALUE!</v>
          </cell>
          <cell r="BQ534" t="e">
            <v>#VALUE!</v>
          </cell>
          <cell r="BR534" t="e">
            <v>#VALUE!</v>
          </cell>
          <cell r="BS534" t="e">
            <v>#VALUE!</v>
          </cell>
          <cell r="BT534">
            <v>0</v>
          </cell>
          <cell r="BU534" t="str">
            <v/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 t="e">
            <v>#VALUE!</v>
          </cell>
        </row>
        <row r="535">
          <cell r="A535" t="str">
            <v>120Q3</v>
          </cell>
          <cell r="B535" t="str">
            <v>Q3</v>
          </cell>
          <cell r="C535">
            <v>120</v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1</v>
          </cell>
          <cell r="BJ535">
            <v>0</v>
          </cell>
          <cell r="BK535">
            <v>0</v>
          </cell>
          <cell r="BM535" t="str">
            <v/>
          </cell>
          <cell r="BO535" t="e">
            <v>#VALUE!</v>
          </cell>
          <cell r="BP535" t="e">
            <v>#VALUE!</v>
          </cell>
          <cell r="BQ535" t="e">
            <v>#VALUE!</v>
          </cell>
          <cell r="BR535" t="e">
            <v>#VALUE!</v>
          </cell>
          <cell r="BS535" t="e">
            <v>#VALUE!</v>
          </cell>
          <cell r="BT535">
            <v>0</v>
          </cell>
          <cell r="BU535" t="str">
            <v/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 t="e">
            <v>#VALUE!</v>
          </cell>
        </row>
        <row r="536">
          <cell r="A536" t="str">
            <v>121Q3</v>
          </cell>
          <cell r="B536" t="str">
            <v>Q3</v>
          </cell>
          <cell r="C536">
            <v>121</v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1</v>
          </cell>
          <cell r="BJ536">
            <v>0</v>
          </cell>
          <cell r="BK536">
            <v>0</v>
          </cell>
          <cell r="BM536" t="str">
            <v/>
          </cell>
          <cell r="BO536" t="e">
            <v>#VALUE!</v>
          </cell>
          <cell r="BP536" t="e">
            <v>#VALUE!</v>
          </cell>
          <cell r="BQ536" t="e">
            <v>#VALUE!</v>
          </cell>
          <cell r="BR536" t="e">
            <v>#VALUE!</v>
          </cell>
          <cell r="BS536" t="e">
            <v>#VALUE!</v>
          </cell>
          <cell r="BT536">
            <v>0</v>
          </cell>
          <cell r="BU536" t="str">
            <v/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 t="e">
            <v>#VALUE!</v>
          </cell>
        </row>
        <row r="537">
          <cell r="A537" t="str">
            <v>122Q3</v>
          </cell>
          <cell r="B537" t="str">
            <v>Q3</v>
          </cell>
          <cell r="C537">
            <v>122</v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1</v>
          </cell>
          <cell r="BJ537">
            <v>0</v>
          </cell>
          <cell r="BK537">
            <v>0</v>
          </cell>
          <cell r="BM537" t="str">
            <v/>
          </cell>
          <cell r="BO537" t="e">
            <v>#VALUE!</v>
          </cell>
          <cell r="BP537" t="e">
            <v>#VALUE!</v>
          </cell>
          <cell r="BQ537" t="e">
            <v>#VALUE!</v>
          </cell>
          <cell r="BR537" t="e">
            <v>#VALUE!</v>
          </cell>
          <cell r="BS537" t="e">
            <v>#VALUE!</v>
          </cell>
          <cell r="BT537">
            <v>0</v>
          </cell>
          <cell r="BU537" t="str">
            <v/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 t="e">
            <v>#VALUE!</v>
          </cell>
        </row>
        <row r="538">
          <cell r="A538" t="str">
            <v>123Q3</v>
          </cell>
          <cell r="B538" t="str">
            <v>Q3</v>
          </cell>
          <cell r="C538">
            <v>123</v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1</v>
          </cell>
          <cell r="BJ538">
            <v>0</v>
          </cell>
          <cell r="BK538">
            <v>0</v>
          </cell>
          <cell r="BM538" t="str">
            <v/>
          </cell>
          <cell r="BO538" t="e">
            <v>#VALUE!</v>
          </cell>
          <cell r="BP538" t="e">
            <v>#VALUE!</v>
          </cell>
          <cell r="BQ538" t="e">
            <v>#VALUE!</v>
          </cell>
          <cell r="BR538" t="e">
            <v>#VALUE!</v>
          </cell>
          <cell r="BS538" t="e">
            <v>#VALUE!</v>
          </cell>
          <cell r="BT538">
            <v>0</v>
          </cell>
          <cell r="BU538" t="str">
            <v/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 t="e">
            <v>#VALUE!</v>
          </cell>
        </row>
        <row r="539">
          <cell r="A539" t="str">
            <v>124Q3</v>
          </cell>
          <cell r="B539" t="str">
            <v>Q3</v>
          </cell>
          <cell r="C539">
            <v>124</v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1</v>
          </cell>
          <cell r="BJ539">
            <v>0</v>
          </cell>
          <cell r="BK539">
            <v>0</v>
          </cell>
          <cell r="BM539" t="str">
            <v/>
          </cell>
          <cell r="BO539" t="e">
            <v>#VALUE!</v>
          </cell>
          <cell r="BP539" t="e">
            <v>#VALUE!</v>
          </cell>
          <cell r="BQ539" t="e">
            <v>#VALUE!</v>
          </cell>
          <cell r="BR539" t="e">
            <v>#VALUE!</v>
          </cell>
          <cell r="BS539" t="e">
            <v>#VALUE!</v>
          </cell>
          <cell r="BT539">
            <v>0</v>
          </cell>
          <cell r="BU539" t="str">
            <v/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 t="e">
            <v>#VALUE!</v>
          </cell>
        </row>
        <row r="540">
          <cell r="A540" t="str">
            <v>125Q3</v>
          </cell>
          <cell r="B540" t="str">
            <v>Q3</v>
          </cell>
          <cell r="C540">
            <v>125</v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1</v>
          </cell>
          <cell r="BJ540">
            <v>0</v>
          </cell>
          <cell r="BK540">
            <v>0</v>
          </cell>
          <cell r="BM540" t="str">
            <v/>
          </cell>
          <cell r="BO540" t="e">
            <v>#VALUE!</v>
          </cell>
          <cell r="BP540" t="e">
            <v>#VALUE!</v>
          </cell>
          <cell r="BQ540" t="e">
            <v>#VALUE!</v>
          </cell>
          <cell r="BR540" t="e">
            <v>#VALUE!</v>
          </cell>
          <cell r="BS540" t="e">
            <v>#VALUE!</v>
          </cell>
          <cell r="BT540">
            <v>0</v>
          </cell>
          <cell r="BU540" t="str">
            <v/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 t="e">
            <v>#VALUE!</v>
          </cell>
        </row>
        <row r="541">
          <cell r="A541" t="str">
            <v>126Q3</v>
          </cell>
          <cell r="B541" t="str">
            <v>Q3</v>
          </cell>
          <cell r="C541">
            <v>126</v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1</v>
          </cell>
          <cell r="BJ541">
            <v>0</v>
          </cell>
          <cell r="BK541">
            <v>0</v>
          </cell>
          <cell r="BM541" t="str">
            <v/>
          </cell>
          <cell r="BO541" t="e">
            <v>#VALUE!</v>
          </cell>
          <cell r="BP541" t="e">
            <v>#VALUE!</v>
          </cell>
          <cell r="BQ541" t="e">
            <v>#VALUE!</v>
          </cell>
          <cell r="BR541" t="e">
            <v>#VALUE!</v>
          </cell>
          <cell r="BS541" t="e">
            <v>#VALUE!</v>
          </cell>
          <cell r="BT541">
            <v>0</v>
          </cell>
          <cell r="BU541" t="str">
            <v/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 t="e">
            <v>#VALUE!</v>
          </cell>
        </row>
        <row r="542">
          <cell r="A542" t="str">
            <v>127Q3</v>
          </cell>
          <cell r="B542" t="str">
            <v>Q3</v>
          </cell>
          <cell r="C542">
            <v>127</v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1</v>
          </cell>
          <cell r="BJ542">
            <v>0</v>
          </cell>
          <cell r="BK542">
            <v>0</v>
          </cell>
          <cell r="BM542" t="str">
            <v/>
          </cell>
          <cell r="BO542" t="e">
            <v>#VALUE!</v>
          </cell>
          <cell r="BP542" t="e">
            <v>#VALUE!</v>
          </cell>
          <cell r="BQ542" t="e">
            <v>#VALUE!</v>
          </cell>
          <cell r="BR542" t="e">
            <v>#VALUE!</v>
          </cell>
          <cell r="BS542" t="e">
            <v>#VALUE!</v>
          </cell>
          <cell r="BT542">
            <v>0</v>
          </cell>
          <cell r="BU542" t="str">
            <v/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 t="e">
            <v>#VALUE!</v>
          </cell>
        </row>
        <row r="543">
          <cell r="A543" t="str">
            <v>128Q3</v>
          </cell>
          <cell r="B543" t="str">
            <v>Q3</v>
          </cell>
          <cell r="C543">
            <v>128</v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1</v>
          </cell>
          <cell r="BJ543">
            <v>0</v>
          </cell>
          <cell r="BK543">
            <v>0</v>
          </cell>
          <cell r="BM543" t="str">
            <v/>
          </cell>
          <cell r="BO543" t="e">
            <v>#VALUE!</v>
          </cell>
          <cell r="BP543" t="e">
            <v>#VALUE!</v>
          </cell>
          <cell r="BQ543" t="e">
            <v>#VALUE!</v>
          </cell>
          <cell r="BR543" t="e">
            <v>#VALUE!</v>
          </cell>
          <cell r="BS543" t="e">
            <v>#VALUE!</v>
          </cell>
          <cell r="BT543">
            <v>0</v>
          </cell>
          <cell r="BU543" t="str">
            <v/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 t="e">
            <v>#VALUE!</v>
          </cell>
        </row>
        <row r="544">
          <cell r="A544" t="str">
            <v>129Q3</v>
          </cell>
          <cell r="B544" t="str">
            <v>Q3</v>
          </cell>
          <cell r="C544">
            <v>129</v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1</v>
          </cell>
          <cell r="BJ544">
            <v>0</v>
          </cell>
          <cell r="BK544">
            <v>0</v>
          </cell>
          <cell r="BM544" t="str">
            <v/>
          </cell>
          <cell r="BO544" t="e">
            <v>#VALUE!</v>
          </cell>
          <cell r="BP544" t="e">
            <v>#VALUE!</v>
          </cell>
          <cell r="BQ544" t="e">
            <v>#VALUE!</v>
          </cell>
          <cell r="BR544" t="e">
            <v>#VALUE!</v>
          </cell>
          <cell r="BS544" t="e">
            <v>#VALUE!</v>
          </cell>
          <cell r="BT544">
            <v>0</v>
          </cell>
          <cell r="BU544" t="str">
            <v/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 t="e">
            <v>#VALUE!</v>
          </cell>
        </row>
        <row r="545">
          <cell r="A545" t="str">
            <v>130Q3</v>
          </cell>
          <cell r="B545" t="str">
            <v>Q3</v>
          </cell>
          <cell r="C545">
            <v>130</v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1</v>
          </cell>
          <cell r="BJ545">
            <v>0</v>
          </cell>
          <cell r="BK545">
            <v>0</v>
          </cell>
          <cell r="BM545" t="str">
            <v/>
          </cell>
          <cell r="BO545" t="e">
            <v>#VALUE!</v>
          </cell>
          <cell r="BP545" t="e">
            <v>#VALUE!</v>
          </cell>
          <cell r="BQ545" t="e">
            <v>#VALUE!</v>
          </cell>
          <cell r="BR545" t="e">
            <v>#VALUE!</v>
          </cell>
          <cell r="BS545" t="e">
            <v>#VALUE!</v>
          </cell>
          <cell r="BT545">
            <v>0</v>
          </cell>
          <cell r="BU545" t="str">
            <v/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 t="e">
            <v>#VALUE!</v>
          </cell>
        </row>
        <row r="546">
          <cell r="A546" t="str">
            <v>131Q3</v>
          </cell>
          <cell r="B546" t="str">
            <v>Q3</v>
          </cell>
          <cell r="C546">
            <v>131</v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1</v>
          </cell>
          <cell r="BJ546">
            <v>0</v>
          </cell>
          <cell r="BK546">
            <v>0</v>
          </cell>
          <cell r="BM546" t="str">
            <v/>
          </cell>
          <cell r="BO546" t="e">
            <v>#VALUE!</v>
          </cell>
          <cell r="BP546" t="e">
            <v>#VALUE!</v>
          </cell>
          <cell r="BQ546" t="e">
            <v>#VALUE!</v>
          </cell>
          <cell r="BR546" t="e">
            <v>#VALUE!</v>
          </cell>
          <cell r="BS546" t="e">
            <v>#VALUE!</v>
          </cell>
          <cell r="BT546">
            <v>0</v>
          </cell>
          <cell r="BU546" t="str">
            <v/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 t="e">
            <v>#VALUE!</v>
          </cell>
        </row>
        <row r="547">
          <cell r="A547" t="str">
            <v>132Q3</v>
          </cell>
          <cell r="B547" t="str">
            <v>Q3</v>
          </cell>
          <cell r="C547">
            <v>132</v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1</v>
          </cell>
          <cell r="BJ547">
            <v>0</v>
          </cell>
          <cell r="BK547">
            <v>0</v>
          </cell>
          <cell r="BM547" t="str">
            <v/>
          </cell>
          <cell r="BO547" t="e">
            <v>#VALUE!</v>
          </cell>
          <cell r="BP547" t="e">
            <v>#VALUE!</v>
          </cell>
          <cell r="BQ547" t="e">
            <v>#VALUE!</v>
          </cell>
          <cell r="BR547" t="e">
            <v>#VALUE!</v>
          </cell>
          <cell r="BS547" t="e">
            <v>#VALUE!</v>
          </cell>
          <cell r="BT547">
            <v>0</v>
          </cell>
          <cell r="BU547" t="str">
            <v/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 t="e">
            <v>#VALUE!</v>
          </cell>
        </row>
        <row r="548">
          <cell r="A548" t="str">
            <v>133Q3</v>
          </cell>
          <cell r="B548" t="str">
            <v>Q3</v>
          </cell>
          <cell r="C548">
            <v>133</v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1</v>
          </cell>
          <cell r="BJ548">
            <v>0</v>
          </cell>
          <cell r="BK548">
            <v>0</v>
          </cell>
          <cell r="BM548" t="str">
            <v/>
          </cell>
          <cell r="BO548" t="e">
            <v>#VALUE!</v>
          </cell>
          <cell r="BP548" t="e">
            <v>#VALUE!</v>
          </cell>
          <cell r="BQ548" t="e">
            <v>#VALUE!</v>
          </cell>
          <cell r="BR548" t="e">
            <v>#VALUE!</v>
          </cell>
          <cell r="BS548" t="e">
            <v>#VALUE!</v>
          </cell>
          <cell r="BT548">
            <v>0</v>
          </cell>
          <cell r="BU548" t="str">
            <v/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 t="e">
            <v>#VALUE!</v>
          </cell>
        </row>
        <row r="549">
          <cell r="A549" t="str">
            <v>134Q3</v>
          </cell>
          <cell r="B549" t="str">
            <v>Q3</v>
          </cell>
          <cell r="C549">
            <v>134</v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1</v>
          </cell>
          <cell r="BJ549">
            <v>0</v>
          </cell>
          <cell r="BK549">
            <v>0</v>
          </cell>
          <cell r="BM549" t="str">
            <v/>
          </cell>
          <cell r="BO549" t="e">
            <v>#VALUE!</v>
          </cell>
          <cell r="BP549" t="e">
            <v>#VALUE!</v>
          </cell>
          <cell r="BQ549" t="e">
            <v>#VALUE!</v>
          </cell>
          <cell r="BR549" t="e">
            <v>#VALUE!</v>
          </cell>
          <cell r="BS549" t="e">
            <v>#VALUE!</v>
          </cell>
          <cell r="BT549">
            <v>0</v>
          </cell>
          <cell r="BU549" t="str">
            <v/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 t="e">
            <v>#VALUE!</v>
          </cell>
        </row>
        <row r="550">
          <cell r="A550" t="str">
            <v>135Q3</v>
          </cell>
          <cell r="B550" t="str">
            <v>Q3</v>
          </cell>
          <cell r="C550">
            <v>135</v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1</v>
          </cell>
          <cell r="BJ550">
            <v>0</v>
          </cell>
          <cell r="BK550">
            <v>0</v>
          </cell>
          <cell r="BM550" t="str">
            <v/>
          </cell>
          <cell r="BO550" t="e">
            <v>#VALUE!</v>
          </cell>
          <cell r="BP550" t="e">
            <v>#VALUE!</v>
          </cell>
          <cell r="BQ550" t="e">
            <v>#VALUE!</v>
          </cell>
          <cell r="BR550" t="e">
            <v>#VALUE!</v>
          </cell>
          <cell r="BS550" t="e">
            <v>#VALUE!</v>
          </cell>
          <cell r="BT550">
            <v>0</v>
          </cell>
          <cell r="BU550" t="str">
            <v/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 t="e">
            <v>#VALUE!</v>
          </cell>
        </row>
        <row r="551">
          <cell r="A551" t="str">
            <v>136Q3</v>
          </cell>
          <cell r="B551" t="str">
            <v>Q3</v>
          </cell>
          <cell r="C551">
            <v>136</v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1</v>
          </cell>
          <cell r="BJ551">
            <v>0</v>
          </cell>
          <cell r="BK551">
            <v>0</v>
          </cell>
          <cell r="BM551" t="str">
            <v/>
          </cell>
          <cell r="BO551" t="e">
            <v>#VALUE!</v>
          </cell>
          <cell r="BP551" t="e">
            <v>#VALUE!</v>
          </cell>
          <cell r="BQ551" t="e">
            <v>#VALUE!</v>
          </cell>
          <cell r="BR551" t="e">
            <v>#VALUE!</v>
          </cell>
          <cell r="BS551" t="e">
            <v>#VALUE!</v>
          </cell>
          <cell r="BT551">
            <v>0</v>
          </cell>
          <cell r="BU551" t="str">
            <v/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 t="e">
            <v>#VALUE!</v>
          </cell>
        </row>
        <row r="552">
          <cell r="A552" t="str">
            <v>137Q3</v>
          </cell>
          <cell r="B552" t="str">
            <v>Q3</v>
          </cell>
          <cell r="C552">
            <v>137</v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1</v>
          </cell>
          <cell r="BJ552">
            <v>0</v>
          </cell>
          <cell r="BK552">
            <v>0</v>
          </cell>
          <cell r="BM552" t="str">
            <v/>
          </cell>
          <cell r="BO552" t="e">
            <v>#VALUE!</v>
          </cell>
          <cell r="BP552" t="e">
            <v>#VALUE!</v>
          </cell>
          <cell r="BQ552" t="e">
            <v>#VALUE!</v>
          </cell>
          <cell r="BR552" t="e">
            <v>#VALUE!</v>
          </cell>
          <cell r="BS552" t="e">
            <v>#VALUE!</v>
          </cell>
          <cell r="BT552">
            <v>0</v>
          </cell>
          <cell r="BU552" t="str">
            <v/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 t="e">
            <v>#VALUE!</v>
          </cell>
        </row>
        <row r="553">
          <cell r="A553" t="str">
            <v>138Q3</v>
          </cell>
          <cell r="B553" t="str">
            <v>Q3</v>
          </cell>
          <cell r="C553">
            <v>138</v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1</v>
          </cell>
          <cell r="BJ553">
            <v>0</v>
          </cell>
          <cell r="BK553">
            <v>0</v>
          </cell>
          <cell r="BM553" t="str">
            <v/>
          </cell>
          <cell r="BO553" t="e">
            <v>#VALUE!</v>
          </cell>
          <cell r="BP553" t="e">
            <v>#VALUE!</v>
          </cell>
          <cell r="BQ553" t="e">
            <v>#VALUE!</v>
          </cell>
          <cell r="BR553" t="e">
            <v>#VALUE!</v>
          </cell>
          <cell r="BS553" t="e">
            <v>#VALUE!</v>
          </cell>
          <cell r="BT553">
            <v>0</v>
          </cell>
          <cell r="BU553" t="str">
            <v/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 t="e">
            <v>#VALUE!</v>
          </cell>
        </row>
        <row r="554">
          <cell r="A554" t="str">
            <v>139Q3</v>
          </cell>
          <cell r="B554" t="str">
            <v>Q3</v>
          </cell>
          <cell r="C554">
            <v>139</v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1</v>
          </cell>
          <cell r="BJ554">
            <v>0</v>
          </cell>
          <cell r="BK554">
            <v>0</v>
          </cell>
          <cell r="BM554" t="str">
            <v/>
          </cell>
          <cell r="BO554" t="e">
            <v>#VALUE!</v>
          </cell>
          <cell r="BP554" t="e">
            <v>#VALUE!</v>
          </cell>
          <cell r="BQ554" t="e">
            <v>#VALUE!</v>
          </cell>
          <cell r="BR554" t="e">
            <v>#VALUE!</v>
          </cell>
          <cell r="BS554" t="e">
            <v>#VALUE!</v>
          </cell>
          <cell r="BT554">
            <v>0</v>
          </cell>
          <cell r="BU554" t="str">
            <v/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 t="e">
            <v>#VALUE!</v>
          </cell>
        </row>
        <row r="555">
          <cell r="A555" t="str">
            <v>140Q3</v>
          </cell>
          <cell r="B555" t="str">
            <v>Q3</v>
          </cell>
          <cell r="C555">
            <v>140</v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1</v>
          </cell>
          <cell r="BJ555">
            <v>0</v>
          </cell>
          <cell r="BK555">
            <v>0</v>
          </cell>
          <cell r="BM555" t="str">
            <v/>
          </cell>
          <cell r="BO555" t="e">
            <v>#VALUE!</v>
          </cell>
          <cell r="BP555" t="e">
            <v>#VALUE!</v>
          </cell>
          <cell r="BQ555" t="e">
            <v>#VALUE!</v>
          </cell>
          <cell r="BR555" t="e">
            <v>#VALUE!</v>
          </cell>
          <cell r="BS555" t="e">
            <v>#VALUE!</v>
          </cell>
          <cell r="BT555">
            <v>0</v>
          </cell>
          <cell r="BU555" t="str">
            <v/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 t="e">
            <v>#VALUE!</v>
          </cell>
        </row>
        <row r="556">
          <cell r="A556" t="str">
            <v>141Q3</v>
          </cell>
          <cell r="B556" t="str">
            <v>Q3</v>
          </cell>
          <cell r="C556">
            <v>141</v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1</v>
          </cell>
          <cell r="BJ556">
            <v>0</v>
          </cell>
          <cell r="BK556">
            <v>0</v>
          </cell>
          <cell r="BM556" t="str">
            <v/>
          </cell>
          <cell r="BO556" t="e">
            <v>#VALUE!</v>
          </cell>
          <cell r="BP556" t="e">
            <v>#VALUE!</v>
          </cell>
          <cell r="BQ556" t="e">
            <v>#VALUE!</v>
          </cell>
          <cell r="BR556" t="e">
            <v>#VALUE!</v>
          </cell>
          <cell r="BS556" t="e">
            <v>#VALUE!</v>
          </cell>
          <cell r="BT556">
            <v>0</v>
          </cell>
          <cell r="BU556" t="str">
            <v/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 t="e">
            <v>#VALUE!</v>
          </cell>
        </row>
        <row r="557">
          <cell r="A557" t="str">
            <v>142Q3</v>
          </cell>
          <cell r="B557" t="str">
            <v>Q3</v>
          </cell>
          <cell r="C557">
            <v>142</v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1</v>
          </cell>
          <cell r="BJ557">
            <v>0</v>
          </cell>
          <cell r="BK557">
            <v>0</v>
          </cell>
          <cell r="BM557" t="str">
            <v/>
          </cell>
          <cell r="BO557" t="e">
            <v>#VALUE!</v>
          </cell>
          <cell r="BP557" t="e">
            <v>#VALUE!</v>
          </cell>
          <cell r="BQ557" t="e">
            <v>#VALUE!</v>
          </cell>
          <cell r="BR557" t="e">
            <v>#VALUE!</v>
          </cell>
          <cell r="BS557" t="e">
            <v>#VALUE!</v>
          </cell>
          <cell r="BT557">
            <v>0</v>
          </cell>
          <cell r="BU557" t="str">
            <v/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 t="e">
            <v>#VALUE!</v>
          </cell>
        </row>
        <row r="558">
          <cell r="A558" t="str">
            <v>143Q3</v>
          </cell>
          <cell r="B558" t="str">
            <v>Q3</v>
          </cell>
          <cell r="C558">
            <v>143</v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1</v>
          </cell>
          <cell r="BJ558">
            <v>0</v>
          </cell>
          <cell r="BK558">
            <v>0</v>
          </cell>
          <cell r="BM558" t="str">
            <v/>
          </cell>
          <cell r="BO558" t="e">
            <v>#VALUE!</v>
          </cell>
          <cell r="BP558" t="e">
            <v>#VALUE!</v>
          </cell>
          <cell r="BQ558" t="e">
            <v>#VALUE!</v>
          </cell>
          <cell r="BR558" t="e">
            <v>#VALUE!</v>
          </cell>
          <cell r="BS558" t="e">
            <v>#VALUE!</v>
          </cell>
          <cell r="BT558">
            <v>0</v>
          </cell>
          <cell r="BU558" t="str">
            <v/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 t="e">
            <v>#VALUE!</v>
          </cell>
        </row>
        <row r="559">
          <cell r="A559" t="str">
            <v>144Q3</v>
          </cell>
          <cell r="B559" t="str">
            <v>Q3</v>
          </cell>
          <cell r="C559">
            <v>144</v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1</v>
          </cell>
          <cell r="BJ559">
            <v>0</v>
          </cell>
          <cell r="BK559">
            <v>0</v>
          </cell>
          <cell r="BM559" t="str">
            <v/>
          </cell>
          <cell r="BO559" t="e">
            <v>#VALUE!</v>
          </cell>
          <cell r="BP559" t="e">
            <v>#VALUE!</v>
          </cell>
          <cell r="BQ559" t="e">
            <v>#VALUE!</v>
          </cell>
          <cell r="BR559" t="e">
            <v>#VALUE!</v>
          </cell>
          <cell r="BS559" t="e">
            <v>#VALUE!</v>
          </cell>
          <cell r="BT559">
            <v>0</v>
          </cell>
          <cell r="BU559" t="str">
            <v/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 t="e">
            <v>#VALUE!</v>
          </cell>
        </row>
        <row r="560">
          <cell r="A560" t="str">
            <v>145Q3</v>
          </cell>
          <cell r="B560" t="str">
            <v>Q3</v>
          </cell>
          <cell r="C560">
            <v>145</v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1</v>
          </cell>
          <cell r="BJ560">
            <v>0</v>
          </cell>
          <cell r="BK560">
            <v>0</v>
          </cell>
          <cell r="BM560" t="str">
            <v/>
          </cell>
          <cell r="BO560" t="e">
            <v>#VALUE!</v>
          </cell>
          <cell r="BP560" t="e">
            <v>#VALUE!</v>
          </cell>
          <cell r="BQ560" t="e">
            <v>#VALUE!</v>
          </cell>
          <cell r="BR560" t="e">
            <v>#VALUE!</v>
          </cell>
          <cell r="BS560" t="e">
            <v>#VALUE!</v>
          </cell>
          <cell r="BT560">
            <v>0</v>
          </cell>
          <cell r="BU560" t="str">
            <v/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 t="e">
            <v>#VALUE!</v>
          </cell>
        </row>
        <row r="561">
          <cell r="A561" t="str">
            <v>146Q3</v>
          </cell>
          <cell r="B561" t="str">
            <v>Q3</v>
          </cell>
          <cell r="C561">
            <v>146</v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1</v>
          </cell>
          <cell r="BJ561">
            <v>0</v>
          </cell>
          <cell r="BK561">
            <v>0</v>
          </cell>
          <cell r="BM561" t="str">
            <v/>
          </cell>
          <cell r="BO561" t="e">
            <v>#VALUE!</v>
          </cell>
          <cell r="BP561" t="e">
            <v>#VALUE!</v>
          </cell>
          <cell r="BQ561" t="e">
            <v>#VALUE!</v>
          </cell>
          <cell r="BR561" t="e">
            <v>#VALUE!</v>
          </cell>
          <cell r="BS561" t="e">
            <v>#VALUE!</v>
          </cell>
          <cell r="BT561">
            <v>0</v>
          </cell>
          <cell r="BU561" t="str">
            <v/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 t="e">
            <v>#VALUE!</v>
          </cell>
        </row>
        <row r="562">
          <cell r="A562" t="str">
            <v>147Q3</v>
          </cell>
          <cell r="B562" t="str">
            <v>Q3</v>
          </cell>
          <cell r="C562">
            <v>147</v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1</v>
          </cell>
          <cell r="BJ562">
            <v>0</v>
          </cell>
          <cell r="BK562">
            <v>0</v>
          </cell>
          <cell r="BM562" t="str">
            <v/>
          </cell>
          <cell r="BO562" t="e">
            <v>#VALUE!</v>
          </cell>
          <cell r="BP562" t="e">
            <v>#VALUE!</v>
          </cell>
          <cell r="BQ562" t="e">
            <v>#VALUE!</v>
          </cell>
          <cell r="BR562" t="e">
            <v>#VALUE!</v>
          </cell>
          <cell r="BS562" t="e">
            <v>#VALUE!</v>
          </cell>
          <cell r="BT562">
            <v>0</v>
          </cell>
          <cell r="BU562" t="str">
            <v/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 t="e">
            <v>#VALUE!</v>
          </cell>
        </row>
        <row r="563">
          <cell r="A563" t="str">
            <v>148Q3</v>
          </cell>
          <cell r="B563" t="str">
            <v>Q3</v>
          </cell>
          <cell r="C563">
            <v>148</v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1</v>
          </cell>
          <cell r="BJ563">
            <v>0</v>
          </cell>
          <cell r="BK563">
            <v>0</v>
          </cell>
          <cell r="BM563" t="str">
            <v/>
          </cell>
          <cell r="BO563" t="e">
            <v>#VALUE!</v>
          </cell>
          <cell r="BP563" t="e">
            <v>#VALUE!</v>
          </cell>
          <cell r="BQ563" t="e">
            <v>#VALUE!</v>
          </cell>
          <cell r="BR563" t="e">
            <v>#VALUE!</v>
          </cell>
          <cell r="BS563" t="e">
            <v>#VALUE!</v>
          </cell>
          <cell r="BT563">
            <v>0</v>
          </cell>
          <cell r="BU563" t="str">
            <v/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 t="e">
            <v>#VALUE!</v>
          </cell>
        </row>
        <row r="564">
          <cell r="A564" t="str">
            <v>149Q3</v>
          </cell>
          <cell r="B564" t="str">
            <v>Q3</v>
          </cell>
          <cell r="C564">
            <v>149</v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1</v>
          </cell>
          <cell r="BJ564">
            <v>0</v>
          </cell>
          <cell r="BK564">
            <v>0</v>
          </cell>
          <cell r="BM564" t="str">
            <v/>
          </cell>
          <cell r="BO564" t="e">
            <v>#VALUE!</v>
          </cell>
          <cell r="BP564" t="e">
            <v>#VALUE!</v>
          </cell>
          <cell r="BQ564" t="e">
            <v>#VALUE!</v>
          </cell>
          <cell r="BR564" t="e">
            <v>#VALUE!</v>
          </cell>
          <cell r="BS564" t="e">
            <v>#VALUE!</v>
          </cell>
          <cell r="BT564">
            <v>0</v>
          </cell>
          <cell r="BU564" t="str">
            <v/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 t="e">
            <v>#VALUE!</v>
          </cell>
        </row>
        <row r="565">
          <cell r="A565" t="str">
            <v>150Q3</v>
          </cell>
          <cell r="B565" t="str">
            <v>Q3</v>
          </cell>
          <cell r="C565">
            <v>150</v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1</v>
          </cell>
          <cell r="BJ565">
            <v>0</v>
          </cell>
          <cell r="BK565">
            <v>0</v>
          </cell>
          <cell r="BM565" t="str">
            <v/>
          </cell>
          <cell r="BO565" t="e">
            <v>#VALUE!</v>
          </cell>
          <cell r="BP565" t="e">
            <v>#VALUE!</v>
          </cell>
          <cell r="BQ565" t="e">
            <v>#VALUE!</v>
          </cell>
          <cell r="BR565" t="e">
            <v>#VALUE!</v>
          </cell>
          <cell r="BS565" t="e">
            <v>#VALUE!</v>
          </cell>
          <cell r="BT565">
            <v>0</v>
          </cell>
          <cell r="BU565" t="str">
            <v/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 t="e">
            <v>#VALUE!</v>
          </cell>
        </row>
        <row r="566">
          <cell r="A566" t="str">
            <v>151Q3</v>
          </cell>
          <cell r="B566" t="str">
            <v>Q3</v>
          </cell>
          <cell r="C566">
            <v>151</v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1</v>
          </cell>
          <cell r="BJ566">
            <v>0</v>
          </cell>
          <cell r="BK566">
            <v>0</v>
          </cell>
          <cell r="BM566" t="str">
            <v/>
          </cell>
          <cell r="BO566" t="e">
            <v>#VALUE!</v>
          </cell>
          <cell r="BP566" t="e">
            <v>#VALUE!</v>
          </cell>
          <cell r="BQ566" t="e">
            <v>#VALUE!</v>
          </cell>
          <cell r="BR566" t="e">
            <v>#VALUE!</v>
          </cell>
          <cell r="BS566" t="e">
            <v>#VALUE!</v>
          </cell>
          <cell r="BT566">
            <v>0</v>
          </cell>
          <cell r="BU566" t="str">
            <v/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 t="e">
            <v>#VALUE!</v>
          </cell>
        </row>
        <row r="567">
          <cell r="A567" t="str">
            <v>152Q3</v>
          </cell>
          <cell r="B567" t="str">
            <v>Q3</v>
          </cell>
          <cell r="C567">
            <v>152</v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1</v>
          </cell>
          <cell r="BJ567">
            <v>0</v>
          </cell>
          <cell r="BK567">
            <v>0</v>
          </cell>
          <cell r="BM567" t="str">
            <v/>
          </cell>
          <cell r="BO567" t="e">
            <v>#VALUE!</v>
          </cell>
          <cell r="BP567" t="e">
            <v>#VALUE!</v>
          </cell>
          <cell r="BQ567" t="e">
            <v>#VALUE!</v>
          </cell>
          <cell r="BR567" t="e">
            <v>#VALUE!</v>
          </cell>
          <cell r="BS567" t="e">
            <v>#VALUE!</v>
          </cell>
          <cell r="BT567">
            <v>0</v>
          </cell>
          <cell r="BU567" t="str">
            <v/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 t="e">
            <v>#VALUE!</v>
          </cell>
        </row>
        <row r="568">
          <cell r="A568" t="str">
            <v>153Q3</v>
          </cell>
          <cell r="B568" t="str">
            <v>Q3</v>
          </cell>
          <cell r="C568">
            <v>153</v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1</v>
          </cell>
          <cell r="BJ568">
            <v>0</v>
          </cell>
          <cell r="BK568">
            <v>0</v>
          </cell>
          <cell r="BM568" t="str">
            <v/>
          </cell>
          <cell r="BO568" t="e">
            <v>#VALUE!</v>
          </cell>
          <cell r="BP568" t="e">
            <v>#VALUE!</v>
          </cell>
          <cell r="BQ568" t="e">
            <v>#VALUE!</v>
          </cell>
          <cell r="BR568" t="e">
            <v>#VALUE!</v>
          </cell>
          <cell r="BS568" t="e">
            <v>#VALUE!</v>
          </cell>
          <cell r="BT568">
            <v>0</v>
          </cell>
          <cell r="BU568" t="str">
            <v/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 t="e">
            <v>#VALUE!</v>
          </cell>
        </row>
        <row r="569">
          <cell r="A569" t="str">
            <v>154Q3</v>
          </cell>
          <cell r="B569" t="str">
            <v>Q3</v>
          </cell>
          <cell r="C569">
            <v>154</v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1</v>
          </cell>
          <cell r="BJ569">
            <v>0</v>
          </cell>
          <cell r="BK569">
            <v>0</v>
          </cell>
          <cell r="BM569" t="str">
            <v/>
          </cell>
          <cell r="BO569" t="e">
            <v>#VALUE!</v>
          </cell>
          <cell r="BP569" t="e">
            <v>#VALUE!</v>
          </cell>
          <cell r="BQ569" t="e">
            <v>#VALUE!</v>
          </cell>
          <cell r="BR569" t="e">
            <v>#VALUE!</v>
          </cell>
          <cell r="BS569" t="e">
            <v>#VALUE!</v>
          </cell>
          <cell r="BT569">
            <v>0</v>
          </cell>
          <cell r="BU569" t="str">
            <v/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 t="e">
            <v>#VALUE!</v>
          </cell>
        </row>
        <row r="570">
          <cell r="A570" t="str">
            <v>155Q3</v>
          </cell>
          <cell r="B570" t="str">
            <v>Q3</v>
          </cell>
          <cell r="C570">
            <v>155</v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1</v>
          </cell>
          <cell r="BJ570">
            <v>0</v>
          </cell>
          <cell r="BK570">
            <v>0</v>
          </cell>
          <cell r="BM570" t="str">
            <v/>
          </cell>
          <cell r="BO570" t="e">
            <v>#VALUE!</v>
          </cell>
          <cell r="BP570" t="e">
            <v>#VALUE!</v>
          </cell>
          <cell r="BQ570" t="e">
            <v>#VALUE!</v>
          </cell>
          <cell r="BR570" t="e">
            <v>#VALUE!</v>
          </cell>
          <cell r="BS570" t="e">
            <v>#VALUE!</v>
          </cell>
          <cell r="BT570">
            <v>0</v>
          </cell>
          <cell r="BU570" t="str">
            <v/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 t="e">
            <v>#VALUE!</v>
          </cell>
        </row>
        <row r="571">
          <cell r="A571" t="str">
            <v>156Q3</v>
          </cell>
          <cell r="B571" t="str">
            <v>Q3</v>
          </cell>
          <cell r="C571">
            <v>156</v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1</v>
          </cell>
          <cell r="BJ571">
            <v>0</v>
          </cell>
          <cell r="BK571">
            <v>0</v>
          </cell>
          <cell r="BM571" t="str">
            <v/>
          </cell>
          <cell r="BO571" t="e">
            <v>#VALUE!</v>
          </cell>
          <cell r="BP571" t="e">
            <v>#VALUE!</v>
          </cell>
          <cell r="BQ571" t="e">
            <v>#VALUE!</v>
          </cell>
          <cell r="BR571" t="e">
            <v>#VALUE!</v>
          </cell>
          <cell r="BS571" t="e">
            <v>#VALUE!</v>
          </cell>
          <cell r="BT571">
            <v>0</v>
          </cell>
          <cell r="BU571" t="str">
            <v/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 t="e">
            <v>#VALUE!</v>
          </cell>
        </row>
        <row r="572">
          <cell r="A572" t="str">
            <v>157Q3</v>
          </cell>
          <cell r="B572" t="str">
            <v>Q3</v>
          </cell>
          <cell r="C572">
            <v>157</v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1</v>
          </cell>
          <cell r="BJ572">
            <v>0</v>
          </cell>
          <cell r="BK572">
            <v>0</v>
          </cell>
          <cell r="BM572" t="str">
            <v/>
          </cell>
          <cell r="BO572" t="e">
            <v>#VALUE!</v>
          </cell>
          <cell r="BP572" t="e">
            <v>#VALUE!</v>
          </cell>
          <cell r="BQ572" t="e">
            <v>#VALUE!</v>
          </cell>
          <cell r="BR572" t="e">
            <v>#VALUE!</v>
          </cell>
          <cell r="BS572" t="e">
            <v>#VALUE!</v>
          </cell>
          <cell r="BT572">
            <v>0</v>
          </cell>
          <cell r="BU572" t="str">
            <v/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 t="e">
            <v>#VALUE!</v>
          </cell>
        </row>
        <row r="573">
          <cell r="A573" t="str">
            <v>158Q3</v>
          </cell>
          <cell r="B573" t="str">
            <v>Q3</v>
          </cell>
          <cell r="C573">
            <v>158</v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1</v>
          </cell>
          <cell r="BJ573">
            <v>0</v>
          </cell>
          <cell r="BK573">
            <v>0</v>
          </cell>
          <cell r="BM573" t="str">
            <v/>
          </cell>
          <cell r="BO573" t="e">
            <v>#VALUE!</v>
          </cell>
          <cell r="BP573" t="e">
            <v>#VALUE!</v>
          </cell>
          <cell r="BQ573" t="e">
            <v>#VALUE!</v>
          </cell>
          <cell r="BR573" t="e">
            <v>#VALUE!</v>
          </cell>
          <cell r="BS573" t="e">
            <v>#VALUE!</v>
          </cell>
          <cell r="BT573">
            <v>0</v>
          </cell>
          <cell r="BU573" t="str">
            <v/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 t="e">
            <v>#VALUE!</v>
          </cell>
        </row>
        <row r="574">
          <cell r="A574" t="str">
            <v>159Q3</v>
          </cell>
          <cell r="B574" t="str">
            <v>Q3</v>
          </cell>
          <cell r="C574">
            <v>159</v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1</v>
          </cell>
          <cell r="BJ574">
            <v>0</v>
          </cell>
          <cell r="BK574">
            <v>0</v>
          </cell>
          <cell r="BM574" t="str">
            <v/>
          </cell>
          <cell r="BO574" t="e">
            <v>#VALUE!</v>
          </cell>
          <cell r="BP574" t="e">
            <v>#VALUE!</v>
          </cell>
          <cell r="BQ574" t="e">
            <v>#VALUE!</v>
          </cell>
          <cell r="BR574" t="e">
            <v>#VALUE!</v>
          </cell>
          <cell r="BS574" t="e">
            <v>#VALUE!</v>
          </cell>
          <cell r="BT574">
            <v>0</v>
          </cell>
          <cell r="BU574" t="str">
            <v/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 t="e">
            <v>#VALUE!</v>
          </cell>
        </row>
        <row r="575">
          <cell r="A575" t="str">
            <v>160Q3</v>
          </cell>
          <cell r="B575" t="str">
            <v>Q3</v>
          </cell>
          <cell r="C575">
            <v>160</v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1</v>
          </cell>
          <cell r="BJ575">
            <v>0</v>
          </cell>
          <cell r="BK575">
            <v>0</v>
          </cell>
          <cell r="BM575" t="str">
            <v/>
          </cell>
          <cell r="BO575" t="e">
            <v>#VALUE!</v>
          </cell>
          <cell r="BP575" t="e">
            <v>#VALUE!</v>
          </cell>
          <cell r="BQ575" t="e">
            <v>#VALUE!</v>
          </cell>
          <cell r="BR575" t="e">
            <v>#VALUE!</v>
          </cell>
          <cell r="BS575" t="e">
            <v>#VALUE!</v>
          </cell>
          <cell r="BT575">
            <v>0</v>
          </cell>
          <cell r="BU575" t="str">
            <v/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 t="e">
            <v>#VALUE!</v>
          </cell>
        </row>
        <row r="576">
          <cell r="A576" t="str">
            <v>161Q3</v>
          </cell>
          <cell r="B576" t="str">
            <v>Q3</v>
          </cell>
          <cell r="C576">
            <v>161</v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1</v>
          </cell>
          <cell r="BJ576">
            <v>0</v>
          </cell>
          <cell r="BK576">
            <v>0</v>
          </cell>
          <cell r="BM576" t="str">
            <v/>
          </cell>
          <cell r="BO576" t="e">
            <v>#VALUE!</v>
          </cell>
          <cell r="BP576" t="e">
            <v>#VALUE!</v>
          </cell>
          <cell r="BQ576" t="e">
            <v>#VALUE!</v>
          </cell>
          <cell r="BR576" t="e">
            <v>#VALUE!</v>
          </cell>
          <cell r="BS576" t="e">
            <v>#VALUE!</v>
          </cell>
          <cell r="BT576">
            <v>0</v>
          </cell>
          <cell r="BU576" t="str">
            <v/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 t="e">
            <v>#VALUE!</v>
          </cell>
        </row>
        <row r="577">
          <cell r="A577" t="str">
            <v>162Q3</v>
          </cell>
          <cell r="B577" t="str">
            <v>Q3</v>
          </cell>
          <cell r="C577">
            <v>162</v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1</v>
          </cell>
          <cell r="BJ577">
            <v>0</v>
          </cell>
          <cell r="BK577">
            <v>0</v>
          </cell>
          <cell r="BM577" t="str">
            <v/>
          </cell>
          <cell r="BO577" t="e">
            <v>#VALUE!</v>
          </cell>
          <cell r="BP577" t="e">
            <v>#VALUE!</v>
          </cell>
          <cell r="BQ577" t="e">
            <v>#VALUE!</v>
          </cell>
          <cell r="BR577" t="e">
            <v>#VALUE!</v>
          </cell>
          <cell r="BS577" t="e">
            <v>#VALUE!</v>
          </cell>
          <cell r="BT577">
            <v>0</v>
          </cell>
          <cell r="BU577" t="str">
            <v/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 t="e">
            <v>#VALUE!</v>
          </cell>
        </row>
        <row r="578">
          <cell r="A578" t="str">
            <v>163Q3</v>
          </cell>
          <cell r="B578" t="str">
            <v>Q3</v>
          </cell>
          <cell r="C578">
            <v>163</v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1</v>
          </cell>
          <cell r="BJ578">
            <v>0</v>
          </cell>
          <cell r="BK578">
            <v>0</v>
          </cell>
          <cell r="BM578" t="str">
            <v/>
          </cell>
          <cell r="BO578" t="e">
            <v>#VALUE!</v>
          </cell>
          <cell r="BP578" t="e">
            <v>#VALUE!</v>
          </cell>
          <cell r="BQ578" t="e">
            <v>#VALUE!</v>
          </cell>
          <cell r="BR578" t="e">
            <v>#VALUE!</v>
          </cell>
          <cell r="BS578" t="e">
            <v>#VALUE!</v>
          </cell>
          <cell r="BT578">
            <v>0</v>
          </cell>
          <cell r="BU578" t="str">
            <v/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 t="e">
            <v>#VALUE!</v>
          </cell>
        </row>
        <row r="579">
          <cell r="A579" t="str">
            <v>164Q3</v>
          </cell>
          <cell r="B579" t="str">
            <v>Q3</v>
          </cell>
          <cell r="C579">
            <v>164</v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1</v>
          </cell>
          <cell r="BJ579">
            <v>0</v>
          </cell>
          <cell r="BK579">
            <v>0</v>
          </cell>
          <cell r="BM579" t="str">
            <v/>
          </cell>
          <cell r="BO579" t="e">
            <v>#VALUE!</v>
          </cell>
          <cell r="BP579" t="e">
            <v>#VALUE!</v>
          </cell>
          <cell r="BQ579" t="e">
            <v>#VALUE!</v>
          </cell>
          <cell r="BR579" t="e">
            <v>#VALUE!</v>
          </cell>
          <cell r="BS579" t="e">
            <v>#VALUE!</v>
          </cell>
          <cell r="BT579">
            <v>0</v>
          </cell>
          <cell r="BU579" t="str">
            <v/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 t="e">
            <v>#VALUE!</v>
          </cell>
        </row>
        <row r="580">
          <cell r="A580" t="str">
            <v>165Q3</v>
          </cell>
          <cell r="B580" t="str">
            <v>Q3</v>
          </cell>
          <cell r="C580">
            <v>165</v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1</v>
          </cell>
          <cell r="BJ580">
            <v>0</v>
          </cell>
          <cell r="BK580">
            <v>0</v>
          </cell>
          <cell r="BM580" t="str">
            <v/>
          </cell>
          <cell r="BO580" t="e">
            <v>#VALUE!</v>
          </cell>
          <cell r="BP580" t="e">
            <v>#VALUE!</v>
          </cell>
          <cell r="BQ580" t="e">
            <v>#VALUE!</v>
          </cell>
          <cell r="BR580" t="e">
            <v>#VALUE!</v>
          </cell>
          <cell r="BS580" t="e">
            <v>#VALUE!</v>
          </cell>
          <cell r="BT580">
            <v>0</v>
          </cell>
          <cell r="BU580" t="str">
            <v/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 t="e">
            <v>#VALUE!</v>
          </cell>
        </row>
        <row r="581">
          <cell r="A581" t="str">
            <v>166Q3</v>
          </cell>
          <cell r="B581" t="str">
            <v>Q3</v>
          </cell>
          <cell r="C581">
            <v>166</v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1</v>
          </cell>
          <cell r="BJ581">
            <v>0</v>
          </cell>
          <cell r="BK581">
            <v>0</v>
          </cell>
          <cell r="BM581" t="str">
            <v/>
          </cell>
          <cell r="BO581" t="e">
            <v>#VALUE!</v>
          </cell>
          <cell r="BP581" t="e">
            <v>#VALUE!</v>
          </cell>
          <cell r="BQ581" t="e">
            <v>#VALUE!</v>
          </cell>
          <cell r="BR581" t="e">
            <v>#VALUE!</v>
          </cell>
          <cell r="BS581" t="e">
            <v>#VALUE!</v>
          </cell>
          <cell r="BT581">
            <v>0</v>
          </cell>
          <cell r="BU581" t="str">
            <v/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 t="e">
            <v>#VALUE!</v>
          </cell>
        </row>
        <row r="582">
          <cell r="A582" t="str">
            <v>167Q3</v>
          </cell>
          <cell r="B582" t="str">
            <v>Q3</v>
          </cell>
          <cell r="C582">
            <v>167</v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1</v>
          </cell>
          <cell r="BJ582">
            <v>0</v>
          </cell>
          <cell r="BK582">
            <v>0</v>
          </cell>
          <cell r="BM582" t="str">
            <v/>
          </cell>
          <cell r="BO582" t="e">
            <v>#VALUE!</v>
          </cell>
          <cell r="BP582" t="e">
            <v>#VALUE!</v>
          </cell>
          <cell r="BQ582" t="e">
            <v>#VALUE!</v>
          </cell>
          <cell r="BR582" t="e">
            <v>#VALUE!</v>
          </cell>
          <cell r="BS582" t="e">
            <v>#VALUE!</v>
          </cell>
          <cell r="BT582">
            <v>0</v>
          </cell>
          <cell r="BU582" t="str">
            <v/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 t="e">
            <v>#VALUE!</v>
          </cell>
        </row>
        <row r="583">
          <cell r="A583" t="str">
            <v>168Q3</v>
          </cell>
          <cell r="B583" t="str">
            <v>Q3</v>
          </cell>
          <cell r="C583">
            <v>168</v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1</v>
          </cell>
          <cell r="BJ583">
            <v>0</v>
          </cell>
          <cell r="BK583">
            <v>0</v>
          </cell>
          <cell r="BM583" t="str">
            <v/>
          </cell>
          <cell r="BO583" t="e">
            <v>#VALUE!</v>
          </cell>
          <cell r="BP583" t="e">
            <v>#VALUE!</v>
          </cell>
          <cell r="BQ583" t="e">
            <v>#VALUE!</v>
          </cell>
          <cell r="BR583" t="e">
            <v>#VALUE!</v>
          </cell>
          <cell r="BS583" t="e">
            <v>#VALUE!</v>
          </cell>
          <cell r="BT583">
            <v>0</v>
          </cell>
          <cell r="BU583" t="str">
            <v/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 t="e">
            <v>#VALUE!</v>
          </cell>
        </row>
        <row r="584">
          <cell r="A584" t="str">
            <v>169Q3</v>
          </cell>
          <cell r="B584" t="str">
            <v>Q3</v>
          </cell>
          <cell r="C584">
            <v>169</v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1</v>
          </cell>
          <cell r="BJ584">
            <v>0</v>
          </cell>
          <cell r="BK584">
            <v>0</v>
          </cell>
          <cell r="BM584" t="str">
            <v/>
          </cell>
          <cell r="BO584" t="e">
            <v>#VALUE!</v>
          </cell>
          <cell r="BP584" t="e">
            <v>#VALUE!</v>
          </cell>
          <cell r="BQ584" t="e">
            <v>#VALUE!</v>
          </cell>
          <cell r="BR584" t="e">
            <v>#VALUE!</v>
          </cell>
          <cell r="BS584" t="e">
            <v>#VALUE!</v>
          </cell>
          <cell r="BT584">
            <v>0</v>
          </cell>
          <cell r="BU584" t="str">
            <v/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 t="e">
            <v>#VALUE!</v>
          </cell>
        </row>
        <row r="585">
          <cell r="A585" t="str">
            <v>170Q3</v>
          </cell>
          <cell r="B585" t="str">
            <v>Q3</v>
          </cell>
          <cell r="C585">
            <v>170</v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1</v>
          </cell>
          <cell r="BJ585">
            <v>0</v>
          </cell>
          <cell r="BK585">
            <v>0</v>
          </cell>
          <cell r="BM585" t="str">
            <v/>
          </cell>
          <cell r="BO585" t="e">
            <v>#VALUE!</v>
          </cell>
          <cell r="BP585" t="e">
            <v>#VALUE!</v>
          </cell>
          <cell r="BQ585" t="e">
            <v>#VALUE!</v>
          </cell>
          <cell r="BR585" t="e">
            <v>#VALUE!</v>
          </cell>
          <cell r="BS585" t="e">
            <v>#VALUE!</v>
          </cell>
          <cell r="BT585">
            <v>0</v>
          </cell>
          <cell r="BU585" t="str">
            <v/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 t="e">
            <v>#VALUE!</v>
          </cell>
        </row>
        <row r="586">
          <cell r="A586" t="str">
            <v>171Q3</v>
          </cell>
          <cell r="B586" t="str">
            <v>Q3</v>
          </cell>
          <cell r="C586">
            <v>171</v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1</v>
          </cell>
          <cell r="BJ586">
            <v>0</v>
          </cell>
          <cell r="BK586">
            <v>0</v>
          </cell>
          <cell r="BM586" t="str">
            <v/>
          </cell>
          <cell r="BO586" t="e">
            <v>#VALUE!</v>
          </cell>
          <cell r="BP586" t="e">
            <v>#VALUE!</v>
          </cell>
          <cell r="BQ586" t="e">
            <v>#VALUE!</v>
          </cell>
          <cell r="BR586" t="e">
            <v>#VALUE!</v>
          </cell>
          <cell r="BS586" t="e">
            <v>#VALUE!</v>
          </cell>
          <cell r="BT586">
            <v>0</v>
          </cell>
          <cell r="BU586" t="str">
            <v/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 t="e">
            <v>#VALUE!</v>
          </cell>
        </row>
        <row r="587">
          <cell r="A587" t="str">
            <v>172Q3</v>
          </cell>
          <cell r="B587" t="str">
            <v>Q3</v>
          </cell>
          <cell r="C587">
            <v>172</v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1</v>
          </cell>
          <cell r="BJ587">
            <v>0</v>
          </cell>
          <cell r="BK587">
            <v>0</v>
          </cell>
          <cell r="BM587" t="str">
            <v/>
          </cell>
          <cell r="BO587" t="e">
            <v>#VALUE!</v>
          </cell>
          <cell r="BP587" t="e">
            <v>#VALUE!</v>
          </cell>
          <cell r="BQ587" t="e">
            <v>#VALUE!</v>
          </cell>
          <cell r="BR587" t="e">
            <v>#VALUE!</v>
          </cell>
          <cell r="BS587" t="e">
            <v>#VALUE!</v>
          </cell>
          <cell r="BT587">
            <v>0</v>
          </cell>
          <cell r="BU587" t="str">
            <v/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 t="e">
            <v>#VALUE!</v>
          </cell>
        </row>
        <row r="588">
          <cell r="A588" t="str">
            <v>173Q3</v>
          </cell>
          <cell r="B588" t="str">
            <v>Q3</v>
          </cell>
          <cell r="C588">
            <v>173</v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1</v>
          </cell>
          <cell r="BJ588">
            <v>0</v>
          </cell>
          <cell r="BK588">
            <v>0</v>
          </cell>
          <cell r="BM588" t="str">
            <v/>
          </cell>
          <cell r="BO588" t="e">
            <v>#VALUE!</v>
          </cell>
          <cell r="BP588" t="e">
            <v>#VALUE!</v>
          </cell>
          <cell r="BQ588" t="e">
            <v>#VALUE!</v>
          </cell>
          <cell r="BR588" t="e">
            <v>#VALUE!</v>
          </cell>
          <cell r="BS588" t="e">
            <v>#VALUE!</v>
          </cell>
          <cell r="BT588">
            <v>0</v>
          </cell>
          <cell r="BU588" t="str">
            <v/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 t="e">
            <v>#VALUE!</v>
          </cell>
        </row>
        <row r="589">
          <cell r="A589" t="str">
            <v>174Q3</v>
          </cell>
          <cell r="B589" t="str">
            <v>Q3</v>
          </cell>
          <cell r="C589">
            <v>174</v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1</v>
          </cell>
          <cell r="BJ589">
            <v>0</v>
          </cell>
          <cell r="BK589">
            <v>0</v>
          </cell>
          <cell r="BM589" t="str">
            <v/>
          </cell>
          <cell r="BO589" t="e">
            <v>#VALUE!</v>
          </cell>
          <cell r="BP589" t="e">
            <v>#VALUE!</v>
          </cell>
          <cell r="BQ589" t="e">
            <v>#VALUE!</v>
          </cell>
          <cell r="BR589" t="e">
            <v>#VALUE!</v>
          </cell>
          <cell r="BS589" t="e">
            <v>#VALUE!</v>
          </cell>
          <cell r="BT589">
            <v>0</v>
          </cell>
          <cell r="BU589" t="str">
            <v/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 t="e">
            <v>#VALUE!</v>
          </cell>
        </row>
        <row r="590">
          <cell r="A590" t="str">
            <v>175Q3</v>
          </cell>
          <cell r="B590" t="str">
            <v>Q3</v>
          </cell>
          <cell r="C590">
            <v>175</v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1</v>
          </cell>
          <cell r="BJ590">
            <v>0</v>
          </cell>
          <cell r="BK590">
            <v>0</v>
          </cell>
          <cell r="BM590" t="str">
            <v/>
          </cell>
          <cell r="BO590" t="e">
            <v>#VALUE!</v>
          </cell>
          <cell r="BP590" t="e">
            <v>#VALUE!</v>
          </cell>
          <cell r="BQ590" t="e">
            <v>#VALUE!</v>
          </cell>
          <cell r="BR590" t="e">
            <v>#VALUE!</v>
          </cell>
          <cell r="BS590" t="e">
            <v>#VALUE!</v>
          </cell>
          <cell r="BT590">
            <v>0</v>
          </cell>
          <cell r="BU590" t="str">
            <v/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 t="e">
            <v>#VALUE!</v>
          </cell>
        </row>
        <row r="591">
          <cell r="A591" t="str">
            <v>176Q3</v>
          </cell>
          <cell r="B591" t="str">
            <v>Q3</v>
          </cell>
          <cell r="C591">
            <v>176</v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1</v>
          </cell>
          <cell r="BJ591">
            <v>0</v>
          </cell>
          <cell r="BK591">
            <v>0</v>
          </cell>
          <cell r="BM591" t="str">
            <v/>
          </cell>
          <cell r="BO591" t="e">
            <v>#VALUE!</v>
          </cell>
          <cell r="BP591" t="e">
            <v>#VALUE!</v>
          </cell>
          <cell r="BQ591" t="e">
            <v>#VALUE!</v>
          </cell>
          <cell r="BR591" t="e">
            <v>#VALUE!</v>
          </cell>
          <cell r="BS591" t="e">
            <v>#VALUE!</v>
          </cell>
          <cell r="BT591">
            <v>0</v>
          </cell>
          <cell r="BU591" t="str">
            <v/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 t="e">
            <v>#VALUE!</v>
          </cell>
        </row>
        <row r="592">
          <cell r="A592" t="str">
            <v>177Q3</v>
          </cell>
          <cell r="B592" t="str">
            <v>Q3</v>
          </cell>
          <cell r="C592">
            <v>177</v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1</v>
          </cell>
          <cell r="BJ592">
            <v>0</v>
          </cell>
          <cell r="BK592">
            <v>0</v>
          </cell>
          <cell r="BM592" t="str">
            <v/>
          </cell>
          <cell r="BO592" t="e">
            <v>#VALUE!</v>
          </cell>
          <cell r="BP592" t="e">
            <v>#VALUE!</v>
          </cell>
          <cell r="BQ592" t="e">
            <v>#VALUE!</v>
          </cell>
          <cell r="BR592" t="e">
            <v>#VALUE!</v>
          </cell>
          <cell r="BS592" t="e">
            <v>#VALUE!</v>
          </cell>
          <cell r="BT592">
            <v>0</v>
          </cell>
          <cell r="BU592" t="str">
            <v/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 t="e">
            <v>#VALUE!</v>
          </cell>
        </row>
        <row r="593">
          <cell r="A593" t="str">
            <v>178Q3</v>
          </cell>
          <cell r="B593" t="str">
            <v>Q3</v>
          </cell>
          <cell r="C593">
            <v>178</v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1</v>
          </cell>
          <cell r="BJ593">
            <v>0</v>
          </cell>
          <cell r="BK593">
            <v>0</v>
          </cell>
          <cell r="BM593" t="str">
            <v/>
          </cell>
          <cell r="BO593" t="e">
            <v>#VALUE!</v>
          </cell>
          <cell r="BP593" t="e">
            <v>#VALUE!</v>
          </cell>
          <cell r="BQ593" t="e">
            <v>#VALUE!</v>
          </cell>
          <cell r="BR593" t="e">
            <v>#VALUE!</v>
          </cell>
          <cell r="BS593" t="e">
            <v>#VALUE!</v>
          </cell>
          <cell r="BT593">
            <v>0</v>
          </cell>
          <cell r="BU593" t="str">
            <v/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 t="e">
            <v>#VALUE!</v>
          </cell>
        </row>
        <row r="594">
          <cell r="A594" t="str">
            <v>179Q3</v>
          </cell>
          <cell r="B594" t="str">
            <v>Q3</v>
          </cell>
          <cell r="C594">
            <v>179</v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1</v>
          </cell>
          <cell r="BJ594">
            <v>0</v>
          </cell>
          <cell r="BK594">
            <v>0</v>
          </cell>
          <cell r="BM594" t="str">
            <v/>
          </cell>
          <cell r="BO594" t="e">
            <v>#VALUE!</v>
          </cell>
          <cell r="BP594" t="e">
            <v>#VALUE!</v>
          </cell>
          <cell r="BQ594" t="e">
            <v>#VALUE!</v>
          </cell>
          <cell r="BR594" t="e">
            <v>#VALUE!</v>
          </cell>
          <cell r="BS594" t="e">
            <v>#VALUE!</v>
          </cell>
          <cell r="BT594">
            <v>0</v>
          </cell>
          <cell r="BU594" t="str">
            <v/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 t="e">
            <v>#VALUE!</v>
          </cell>
        </row>
        <row r="595">
          <cell r="A595" t="str">
            <v>180Q3</v>
          </cell>
          <cell r="B595" t="str">
            <v>Q3</v>
          </cell>
          <cell r="C595">
            <v>180</v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1</v>
          </cell>
          <cell r="BJ595">
            <v>0</v>
          </cell>
          <cell r="BK595">
            <v>0</v>
          </cell>
          <cell r="BM595" t="str">
            <v/>
          </cell>
          <cell r="BO595" t="e">
            <v>#VALUE!</v>
          </cell>
          <cell r="BP595" t="e">
            <v>#VALUE!</v>
          </cell>
          <cell r="BQ595" t="e">
            <v>#VALUE!</v>
          </cell>
          <cell r="BR595" t="e">
            <v>#VALUE!</v>
          </cell>
          <cell r="BS595" t="e">
            <v>#VALUE!</v>
          </cell>
          <cell r="BT595">
            <v>0</v>
          </cell>
          <cell r="BU595" t="str">
            <v/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 t="e">
            <v>#VALUE!</v>
          </cell>
        </row>
        <row r="596">
          <cell r="A596" t="str">
            <v>181Q3</v>
          </cell>
          <cell r="B596" t="str">
            <v>Q3</v>
          </cell>
          <cell r="C596">
            <v>181</v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1</v>
          </cell>
          <cell r="BJ596">
            <v>0</v>
          </cell>
          <cell r="BK596">
            <v>0</v>
          </cell>
          <cell r="BM596" t="str">
            <v/>
          </cell>
          <cell r="BO596" t="e">
            <v>#VALUE!</v>
          </cell>
          <cell r="BP596" t="e">
            <v>#VALUE!</v>
          </cell>
          <cell r="BQ596" t="e">
            <v>#VALUE!</v>
          </cell>
          <cell r="BR596" t="e">
            <v>#VALUE!</v>
          </cell>
          <cell r="BS596" t="e">
            <v>#VALUE!</v>
          </cell>
          <cell r="BT596">
            <v>0</v>
          </cell>
          <cell r="BU596" t="str">
            <v/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 t="e">
            <v>#VALUE!</v>
          </cell>
        </row>
        <row r="597">
          <cell r="A597" t="str">
            <v>182Q3</v>
          </cell>
          <cell r="B597" t="str">
            <v>Q3</v>
          </cell>
          <cell r="C597">
            <v>182</v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1</v>
          </cell>
          <cell r="BJ597">
            <v>0</v>
          </cell>
          <cell r="BK597">
            <v>0</v>
          </cell>
          <cell r="BM597" t="str">
            <v/>
          </cell>
          <cell r="BO597" t="e">
            <v>#VALUE!</v>
          </cell>
          <cell r="BP597" t="e">
            <v>#VALUE!</v>
          </cell>
          <cell r="BQ597" t="e">
            <v>#VALUE!</v>
          </cell>
          <cell r="BR597" t="e">
            <v>#VALUE!</v>
          </cell>
          <cell r="BS597" t="e">
            <v>#VALUE!</v>
          </cell>
          <cell r="BT597">
            <v>0</v>
          </cell>
          <cell r="BU597" t="str">
            <v/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 t="e">
            <v>#VALUE!</v>
          </cell>
        </row>
        <row r="598">
          <cell r="A598" t="str">
            <v>183Q3</v>
          </cell>
          <cell r="B598" t="str">
            <v>Q3</v>
          </cell>
          <cell r="C598">
            <v>183</v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1</v>
          </cell>
          <cell r="BJ598">
            <v>0</v>
          </cell>
          <cell r="BK598">
            <v>0</v>
          </cell>
          <cell r="BM598" t="str">
            <v/>
          </cell>
          <cell r="BO598" t="e">
            <v>#VALUE!</v>
          </cell>
          <cell r="BP598" t="e">
            <v>#VALUE!</v>
          </cell>
          <cell r="BQ598" t="e">
            <v>#VALUE!</v>
          </cell>
          <cell r="BR598" t="e">
            <v>#VALUE!</v>
          </cell>
          <cell r="BS598" t="e">
            <v>#VALUE!</v>
          </cell>
          <cell r="BT598">
            <v>0</v>
          </cell>
          <cell r="BU598" t="str">
            <v/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 t="e">
            <v>#VALUE!</v>
          </cell>
        </row>
        <row r="599">
          <cell r="A599" t="str">
            <v>184Q3</v>
          </cell>
          <cell r="B599" t="str">
            <v>Q3</v>
          </cell>
          <cell r="C599">
            <v>184</v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1</v>
          </cell>
          <cell r="BJ599">
            <v>0</v>
          </cell>
          <cell r="BK599">
            <v>0</v>
          </cell>
          <cell r="BM599" t="str">
            <v/>
          </cell>
          <cell r="BO599" t="e">
            <v>#VALUE!</v>
          </cell>
          <cell r="BP599" t="e">
            <v>#VALUE!</v>
          </cell>
          <cell r="BQ599" t="e">
            <v>#VALUE!</v>
          </cell>
          <cell r="BR599" t="e">
            <v>#VALUE!</v>
          </cell>
          <cell r="BS599" t="e">
            <v>#VALUE!</v>
          </cell>
          <cell r="BT599">
            <v>0</v>
          </cell>
          <cell r="BU599" t="str">
            <v/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 t="e">
            <v>#VALUE!</v>
          </cell>
        </row>
        <row r="600">
          <cell r="A600" t="str">
            <v>185Q3</v>
          </cell>
          <cell r="B600" t="str">
            <v>Q3</v>
          </cell>
          <cell r="C600">
            <v>185</v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1</v>
          </cell>
          <cell r="BJ600">
            <v>0</v>
          </cell>
          <cell r="BK600">
            <v>0</v>
          </cell>
          <cell r="BM600" t="str">
            <v/>
          </cell>
          <cell r="BO600" t="e">
            <v>#VALUE!</v>
          </cell>
          <cell r="BP600" t="e">
            <v>#VALUE!</v>
          </cell>
          <cell r="BQ600" t="e">
            <v>#VALUE!</v>
          </cell>
          <cell r="BR600" t="e">
            <v>#VALUE!</v>
          </cell>
          <cell r="BS600" t="e">
            <v>#VALUE!</v>
          </cell>
          <cell r="BT600">
            <v>0</v>
          </cell>
          <cell r="BU600" t="str">
            <v/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 t="e">
            <v>#VALUE!</v>
          </cell>
        </row>
        <row r="601">
          <cell r="A601" t="str">
            <v>186Q3</v>
          </cell>
          <cell r="B601" t="str">
            <v>Q3</v>
          </cell>
          <cell r="C601">
            <v>186</v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1</v>
          </cell>
          <cell r="BJ601">
            <v>0</v>
          </cell>
          <cell r="BK601">
            <v>0</v>
          </cell>
          <cell r="BM601" t="str">
            <v/>
          </cell>
          <cell r="BO601" t="e">
            <v>#VALUE!</v>
          </cell>
          <cell r="BP601" t="e">
            <v>#VALUE!</v>
          </cell>
          <cell r="BQ601" t="e">
            <v>#VALUE!</v>
          </cell>
          <cell r="BR601" t="e">
            <v>#VALUE!</v>
          </cell>
          <cell r="BS601" t="e">
            <v>#VALUE!</v>
          </cell>
          <cell r="BT601">
            <v>0</v>
          </cell>
          <cell r="BU601" t="str">
            <v/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 t="e">
            <v>#VALUE!</v>
          </cell>
        </row>
        <row r="602">
          <cell r="A602" t="str">
            <v>187Q3</v>
          </cell>
          <cell r="B602" t="str">
            <v>Q3</v>
          </cell>
          <cell r="C602">
            <v>187</v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1</v>
          </cell>
          <cell r="BJ602">
            <v>0</v>
          </cell>
          <cell r="BK602">
            <v>0</v>
          </cell>
          <cell r="BM602" t="str">
            <v/>
          </cell>
          <cell r="BO602" t="e">
            <v>#VALUE!</v>
          </cell>
          <cell r="BP602" t="e">
            <v>#VALUE!</v>
          </cell>
          <cell r="BQ602" t="e">
            <v>#VALUE!</v>
          </cell>
          <cell r="BR602" t="e">
            <v>#VALUE!</v>
          </cell>
          <cell r="BS602" t="e">
            <v>#VALUE!</v>
          </cell>
          <cell r="BT602">
            <v>0</v>
          </cell>
          <cell r="BU602" t="str">
            <v/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 t="e">
            <v>#VALUE!</v>
          </cell>
        </row>
        <row r="603">
          <cell r="A603" t="str">
            <v>188Q3</v>
          </cell>
          <cell r="B603" t="str">
            <v>Q3</v>
          </cell>
          <cell r="C603">
            <v>188</v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1</v>
          </cell>
          <cell r="BJ603">
            <v>0</v>
          </cell>
          <cell r="BK603">
            <v>0</v>
          </cell>
          <cell r="BM603" t="str">
            <v/>
          </cell>
          <cell r="BO603" t="e">
            <v>#VALUE!</v>
          </cell>
          <cell r="BP603" t="e">
            <v>#VALUE!</v>
          </cell>
          <cell r="BQ603" t="e">
            <v>#VALUE!</v>
          </cell>
          <cell r="BR603" t="e">
            <v>#VALUE!</v>
          </cell>
          <cell r="BS603" t="e">
            <v>#VALUE!</v>
          </cell>
          <cell r="BT603">
            <v>0</v>
          </cell>
          <cell r="BU603" t="str">
            <v/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 t="e">
            <v>#VALUE!</v>
          </cell>
        </row>
        <row r="604">
          <cell r="A604" t="str">
            <v>189Q3</v>
          </cell>
          <cell r="B604" t="str">
            <v>Q3</v>
          </cell>
          <cell r="C604">
            <v>189</v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1</v>
          </cell>
          <cell r="BJ604">
            <v>0</v>
          </cell>
          <cell r="BK604">
            <v>0</v>
          </cell>
          <cell r="BM604" t="str">
            <v/>
          </cell>
          <cell r="BO604" t="e">
            <v>#VALUE!</v>
          </cell>
          <cell r="BP604" t="e">
            <v>#VALUE!</v>
          </cell>
          <cell r="BQ604" t="e">
            <v>#VALUE!</v>
          </cell>
          <cell r="BR604" t="e">
            <v>#VALUE!</v>
          </cell>
          <cell r="BS604" t="e">
            <v>#VALUE!</v>
          </cell>
          <cell r="BT604">
            <v>0</v>
          </cell>
          <cell r="BU604" t="str">
            <v/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 t="e">
            <v>#VALUE!</v>
          </cell>
        </row>
        <row r="605">
          <cell r="A605" t="str">
            <v>190Q3</v>
          </cell>
          <cell r="B605" t="str">
            <v>Q3</v>
          </cell>
          <cell r="C605">
            <v>190</v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1</v>
          </cell>
          <cell r="BJ605">
            <v>0</v>
          </cell>
          <cell r="BK605">
            <v>0</v>
          </cell>
          <cell r="BM605" t="str">
            <v/>
          </cell>
          <cell r="BO605" t="e">
            <v>#VALUE!</v>
          </cell>
          <cell r="BP605" t="e">
            <v>#VALUE!</v>
          </cell>
          <cell r="BQ605" t="e">
            <v>#VALUE!</v>
          </cell>
          <cell r="BR605" t="e">
            <v>#VALUE!</v>
          </cell>
          <cell r="BS605" t="e">
            <v>#VALUE!</v>
          </cell>
          <cell r="BT605">
            <v>0</v>
          </cell>
          <cell r="BU605" t="str">
            <v/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 t="e">
            <v>#VALUE!</v>
          </cell>
        </row>
        <row r="606">
          <cell r="A606" t="str">
            <v>191Q3</v>
          </cell>
          <cell r="B606" t="str">
            <v>Q3</v>
          </cell>
          <cell r="C606">
            <v>191</v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1</v>
          </cell>
          <cell r="BJ606">
            <v>0</v>
          </cell>
          <cell r="BK606">
            <v>0</v>
          </cell>
          <cell r="BM606" t="str">
            <v/>
          </cell>
          <cell r="BO606" t="e">
            <v>#VALUE!</v>
          </cell>
          <cell r="BP606" t="e">
            <v>#VALUE!</v>
          </cell>
          <cell r="BQ606" t="e">
            <v>#VALUE!</v>
          </cell>
          <cell r="BR606" t="e">
            <v>#VALUE!</v>
          </cell>
          <cell r="BS606" t="e">
            <v>#VALUE!</v>
          </cell>
          <cell r="BT606">
            <v>0</v>
          </cell>
          <cell r="BU606" t="str">
            <v/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 t="e">
            <v>#VALUE!</v>
          </cell>
        </row>
        <row r="607">
          <cell r="A607" t="str">
            <v>192Q3</v>
          </cell>
          <cell r="B607" t="str">
            <v>Q3</v>
          </cell>
          <cell r="C607">
            <v>192</v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1</v>
          </cell>
          <cell r="BJ607">
            <v>0</v>
          </cell>
          <cell r="BK607">
            <v>0</v>
          </cell>
          <cell r="BM607" t="str">
            <v/>
          </cell>
          <cell r="BO607" t="e">
            <v>#VALUE!</v>
          </cell>
          <cell r="BP607" t="e">
            <v>#VALUE!</v>
          </cell>
          <cell r="BQ607" t="e">
            <v>#VALUE!</v>
          </cell>
          <cell r="BR607" t="e">
            <v>#VALUE!</v>
          </cell>
          <cell r="BS607" t="e">
            <v>#VALUE!</v>
          </cell>
          <cell r="BT607">
            <v>0</v>
          </cell>
          <cell r="BU607" t="str">
            <v/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 t="e">
            <v>#VALUE!</v>
          </cell>
        </row>
        <row r="608">
          <cell r="A608" t="str">
            <v>193Q3</v>
          </cell>
          <cell r="B608" t="str">
            <v>Q3</v>
          </cell>
          <cell r="C608">
            <v>193</v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1</v>
          </cell>
          <cell r="BJ608">
            <v>0</v>
          </cell>
          <cell r="BK608">
            <v>0</v>
          </cell>
          <cell r="BM608" t="str">
            <v/>
          </cell>
          <cell r="BO608" t="e">
            <v>#VALUE!</v>
          </cell>
          <cell r="BP608" t="e">
            <v>#VALUE!</v>
          </cell>
          <cell r="BQ608" t="e">
            <v>#VALUE!</v>
          </cell>
          <cell r="BR608" t="e">
            <v>#VALUE!</v>
          </cell>
          <cell r="BS608" t="e">
            <v>#VALUE!</v>
          </cell>
          <cell r="BT608">
            <v>0</v>
          </cell>
          <cell r="BU608" t="str">
            <v/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 t="e">
            <v>#VALUE!</v>
          </cell>
        </row>
        <row r="609">
          <cell r="A609" t="str">
            <v>194Q3</v>
          </cell>
          <cell r="B609" t="str">
            <v>Q3</v>
          </cell>
          <cell r="C609">
            <v>194</v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1</v>
          </cell>
          <cell r="BJ609">
            <v>0</v>
          </cell>
          <cell r="BK609">
            <v>0</v>
          </cell>
          <cell r="BM609" t="str">
            <v/>
          </cell>
          <cell r="BO609" t="e">
            <v>#VALUE!</v>
          </cell>
          <cell r="BP609" t="e">
            <v>#VALUE!</v>
          </cell>
          <cell r="BQ609" t="e">
            <v>#VALUE!</v>
          </cell>
          <cell r="BR609" t="e">
            <v>#VALUE!</v>
          </cell>
          <cell r="BS609" t="e">
            <v>#VALUE!</v>
          </cell>
          <cell r="BT609">
            <v>0</v>
          </cell>
          <cell r="BU609" t="str">
            <v/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 t="e">
            <v>#VALUE!</v>
          </cell>
        </row>
        <row r="610">
          <cell r="A610" t="str">
            <v>195Q3</v>
          </cell>
          <cell r="B610" t="str">
            <v>Q3</v>
          </cell>
          <cell r="C610">
            <v>195</v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1</v>
          </cell>
          <cell r="BJ610">
            <v>0</v>
          </cell>
          <cell r="BK610">
            <v>0</v>
          </cell>
          <cell r="BM610" t="str">
            <v/>
          </cell>
          <cell r="BO610" t="e">
            <v>#VALUE!</v>
          </cell>
          <cell r="BP610" t="e">
            <v>#VALUE!</v>
          </cell>
          <cell r="BQ610" t="e">
            <v>#VALUE!</v>
          </cell>
          <cell r="BR610" t="e">
            <v>#VALUE!</v>
          </cell>
          <cell r="BS610" t="e">
            <v>#VALUE!</v>
          </cell>
          <cell r="BT610">
            <v>0</v>
          </cell>
          <cell r="BU610" t="str">
            <v/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 t="e">
            <v>#VALUE!</v>
          </cell>
        </row>
        <row r="611">
          <cell r="A611" t="str">
            <v>196Q3</v>
          </cell>
          <cell r="B611" t="str">
            <v>Q3</v>
          </cell>
          <cell r="C611">
            <v>196</v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1</v>
          </cell>
          <cell r="BJ611">
            <v>0</v>
          </cell>
          <cell r="BK611">
            <v>0</v>
          </cell>
          <cell r="BM611" t="str">
            <v/>
          </cell>
          <cell r="BO611" t="e">
            <v>#VALUE!</v>
          </cell>
          <cell r="BP611" t="e">
            <v>#VALUE!</v>
          </cell>
          <cell r="BQ611" t="e">
            <v>#VALUE!</v>
          </cell>
          <cell r="BR611" t="e">
            <v>#VALUE!</v>
          </cell>
          <cell r="BS611" t="e">
            <v>#VALUE!</v>
          </cell>
          <cell r="BT611">
            <v>0</v>
          </cell>
          <cell r="BU611" t="str">
            <v/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 t="e">
            <v>#VALUE!</v>
          </cell>
        </row>
        <row r="612">
          <cell r="A612" t="str">
            <v>197Q3</v>
          </cell>
          <cell r="B612" t="str">
            <v>Q3</v>
          </cell>
          <cell r="C612">
            <v>197</v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1</v>
          </cell>
          <cell r="BJ612">
            <v>0</v>
          </cell>
          <cell r="BK612">
            <v>0</v>
          </cell>
          <cell r="BM612" t="str">
            <v/>
          </cell>
          <cell r="BO612" t="e">
            <v>#VALUE!</v>
          </cell>
          <cell r="BP612" t="e">
            <v>#VALUE!</v>
          </cell>
          <cell r="BQ612" t="e">
            <v>#VALUE!</v>
          </cell>
          <cell r="BR612" t="e">
            <v>#VALUE!</v>
          </cell>
          <cell r="BS612" t="e">
            <v>#VALUE!</v>
          </cell>
          <cell r="BT612">
            <v>0</v>
          </cell>
          <cell r="BU612" t="str">
            <v/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 t="e">
            <v>#VALUE!</v>
          </cell>
        </row>
        <row r="613">
          <cell r="A613" t="str">
            <v>198Q3</v>
          </cell>
          <cell r="B613" t="str">
            <v>Q3</v>
          </cell>
          <cell r="C613">
            <v>198</v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1</v>
          </cell>
          <cell r="BJ613">
            <v>0</v>
          </cell>
          <cell r="BK613">
            <v>0</v>
          </cell>
          <cell r="BM613" t="str">
            <v/>
          </cell>
          <cell r="BO613" t="e">
            <v>#VALUE!</v>
          </cell>
          <cell r="BP613" t="e">
            <v>#VALUE!</v>
          </cell>
          <cell r="BQ613" t="e">
            <v>#VALUE!</v>
          </cell>
          <cell r="BR613" t="e">
            <v>#VALUE!</v>
          </cell>
          <cell r="BS613" t="e">
            <v>#VALUE!</v>
          </cell>
          <cell r="BT613">
            <v>0</v>
          </cell>
          <cell r="BU613" t="str">
            <v/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 t="e">
            <v>#VALUE!</v>
          </cell>
        </row>
        <row r="614">
          <cell r="A614" t="str">
            <v>199Q3</v>
          </cell>
          <cell r="B614" t="str">
            <v>Q3</v>
          </cell>
          <cell r="C614">
            <v>199</v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1</v>
          </cell>
          <cell r="BJ614">
            <v>0</v>
          </cell>
          <cell r="BK614">
            <v>0</v>
          </cell>
          <cell r="BM614" t="str">
            <v/>
          </cell>
          <cell r="BO614" t="e">
            <v>#VALUE!</v>
          </cell>
          <cell r="BP614" t="e">
            <v>#VALUE!</v>
          </cell>
          <cell r="BQ614" t="e">
            <v>#VALUE!</v>
          </cell>
          <cell r="BR614" t="e">
            <v>#VALUE!</v>
          </cell>
          <cell r="BS614" t="e">
            <v>#VALUE!</v>
          </cell>
          <cell r="BT614">
            <v>0</v>
          </cell>
          <cell r="BU614" t="str">
            <v/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 t="e">
            <v>#VALUE!</v>
          </cell>
        </row>
        <row r="615">
          <cell r="A615" t="str">
            <v>200Q3</v>
          </cell>
          <cell r="B615" t="str">
            <v>Q3</v>
          </cell>
          <cell r="C615">
            <v>200</v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1</v>
          </cell>
          <cell r="BJ615">
            <v>0</v>
          </cell>
          <cell r="BK615">
            <v>0</v>
          </cell>
          <cell r="BM615" t="str">
            <v/>
          </cell>
          <cell r="BO615" t="e">
            <v>#VALUE!</v>
          </cell>
          <cell r="BP615" t="e">
            <v>#VALUE!</v>
          </cell>
          <cell r="BQ615" t="e">
            <v>#VALUE!</v>
          </cell>
          <cell r="BR615" t="e">
            <v>#VALUE!</v>
          </cell>
          <cell r="BS615" t="e">
            <v>#VALUE!</v>
          </cell>
          <cell r="BT615">
            <v>0</v>
          </cell>
          <cell r="BU615" t="str">
            <v/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 t="e">
            <v>#VALUE!</v>
          </cell>
        </row>
        <row r="617">
          <cell r="BO617">
            <v>43009</v>
          </cell>
          <cell r="BP617">
            <v>43100</v>
          </cell>
          <cell r="BQ617">
            <v>92</v>
          </cell>
        </row>
        <row r="618">
          <cell r="A618" t="str">
            <v>1Q4</v>
          </cell>
          <cell r="B618" t="str">
            <v>Q4</v>
          </cell>
          <cell r="C618">
            <v>1</v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1</v>
          </cell>
          <cell r="BJ618">
            <v>0</v>
          </cell>
          <cell r="BK618">
            <v>0</v>
          </cell>
          <cell r="BM618" t="str">
            <v/>
          </cell>
          <cell r="BO618" t="e">
            <v>#VALUE!</v>
          </cell>
          <cell r="BP618" t="e">
            <v>#VALUE!</v>
          </cell>
          <cell r="BQ618" t="e">
            <v>#VALUE!</v>
          </cell>
          <cell r="BR618" t="e">
            <v>#VALUE!</v>
          </cell>
          <cell r="BS618" t="e">
            <v>#VALUE!</v>
          </cell>
          <cell r="BT618">
            <v>0</v>
          </cell>
          <cell r="BU618" t="str">
            <v/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 t="e">
            <v>#VALUE!</v>
          </cell>
        </row>
        <row r="619">
          <cell r="A619" t="str">
            <v>2Q4</v>
          </cell>
          <cell r="B619" t="str">
            <v>Q4</v>
          </cell>
          <cell r="C619">
            <v>2</v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1</v>
          </cell>
          <cell r="BJ619">
            <v>0</v>
          </cell>
          <cell r="BK619">
            <v>0</v>
          </cell>
          <cell r="BM619" t="str">
            <v/>
          </cell>
          <cell r="BO619" t="e">
            <v>#VALUE!</v>
          </cell>
          <cell r="BP619" t="e">
            <v>#VALUE!</v>
          </cell>
          <cell r="BQ619" t="e">
            <v>#VALUE!</v>
          </cell>
          <cell r="BR619" t="e">
            <v>#VALUE!</v>
          </cell>
          <cell r="BS619" t="e">
            <v>#VALUE!</v>
          </cell>
          <cell r="BT619">
            <v>0</v>
          </cell>
          <cell r="BU619" t="str">
            <v/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 t="e">
            <v>#VALUE!</v>
          </cell>
        </row>
        <row r="620">
          <cell r="A620" t="str">
            <v>3Q4</v>
          </cell>
          <cell r="B620" t="str">
            <v>Q4</v>
          </cell>
          <cell r="C620">
            <v>3</v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1</v>
          </cell>
          <cell r="BJ620">
            <v>0</v>
          </cell>
          <cell r="BK620">
            <v>0</v>
          </cell>
          <cell r="BM620" t="str">
            <v/>
          </cell>
          <cell r="BO620" t="e">
            <v>#VALUE!</v>
          </cell>
          <cell r="BP620" t="e">
            <v>#VALUE!</v>
          </cell>
          <cell r="BQ620" t="e">
            <v>#VALUE!</v>
          </cell>
          <cell r="BR620" t="e">
            <v>#VALUE!</v>
          </cell>
          <cell r="BS620" t="e">
            <v>#VALUE!</v>
          </cell>
          <cell r="BT620">
            <v>0</v>
          </cell>
          <cell r="BU620" t="str">
            <v/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 t="e">
            <v>#VALUE!</v>
          </cell>
        </row>
        <row r="621">
          <cell r="A621" t="str">
            <v>4Q4</v>
          </cell>
          <cell r="B621" t="str">
            <v>Q4</v>
          </cell>
          <cell r="C621">
            <v>4</v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1</v>
          </cell>
          <cell r="BJ621">
            <v>0</v>
          </cell>
          <cell r="BK621">
            <v>0</v>
          </cell>
          <cell r="BM621" t="str">
            <v/>
          </cell>
          <cell r="BO621" t="e">
            <v>#VALUE!</v>
          </cell>
          <cell r="BP621" t="e">
            <v>#VALUE!</v>
          </cell>
          <cell r="BQ621" t="e">
            <v>#VALUE!</v>
          </cell>
          <cell r="BR621" t="e">
            <v>#VALUE!</v>
          </cell>
          <cell r="BS621" t="e">
            <v>#VALUE!</v>
          </cell>
          <cell r="BT621">
            <v>0</v>
          </cell>
          <cell r="BU621" t="str">
            <v/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 t="e">
            <v>#VALUE!</v>
          </cell>
        </row>
        <row r="622">
          <cell r="A622" t="str">
            <v>5Q4</v>
          </cell>
          <cell r="B622" t="str">
            <v>Q4</v>
          </cell>
          <cell r="C622">
            <v>5</v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1</v>
          </cell>
          <cell r="BJ622">
            <v>0</v>
          </cell>
          <cell r="BK622">
            <v>0</v>
          </cell>
          <cell r="BM622" t="str">
            <v/>
          </cell>
          <cell r="BO622" t="e">
            <v>#VALUE!</v>
          </cell>
          <cell r="BP622" t="e">
            <v>#VALUE!</v>
          </cell>
          <cell r="BQ622" t="e">
            <v>#VALUE!</v>
          </cell>
          <cell r="BR622" t="e">
            <v>#VALUE!</v>
          </cell>
          <cell r="BS622" t="e">
            <v>#VALUE!</v>
          </cell>
          <cell r="BT622">
            <v>0</v>
          </cell>
          <cell r="BU622" t="str">
            <v/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 t="e">
            <v>#VALUE!</v>
          </cell>
        </row>
        <row r="623">
          <cell r="A623" t="str">
            <v>6Q4</v>
          </cell>
          <cell r="B623" t="str">
            <v>Q4</v>
          </cell>
          <cell r="C623">
            <v>6</v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1</v>
          </cell>
          <cell r="BJ623">
            <v>0</v>
          </cell>
          <cell r="BK623">
            <v>0</v>
          </cell>
          <cell r="BM623" t="str">
            <v/>
          </cell>
          <cell r="BO623" t="e">
            <v>#VALUE!</v>
          </cell>
          <cell r="BP623" t="e">
            <v>#VALUE!</v>
          </cell>
          <cell r="BQ623" t="e">
            <v>#VALUE!</v>
          </cell>
          <cell r="BR623" t="e">
            <v>#VALUE!</v>
          </cell>
          <cell r="BS623" t="e">
            <v>#VALUE!</v>
          </cell>
          <cell r="BT623">
            <v>0</v>
          </cell>
          <cell r="BU623" t="str">
            <v/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 t="e">
            <v>#VALUE!</v>
          </cell>
        </row>
        <row r="624">
          <cell r="A624" t="str">
            <v>7Q4</v>
          </cell>
          <cell r="B624" t="str">
            <v>Q4</v>
          </cell>
          <cell r="C624">
            <v>7</v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1</v>
          </cell>
          <cell r="BJ624">
            <v>0</v>
          </cell>
          <cell r="BK624">
            <v>0</v>
          </cell>
          <cell r="BM624" t="str">
            <v/>
          </cell>
          <cell r="BO624" t="e">
            <v>#VALUE!</v>
          </cell>
          <cell r="BP624" t="e">
            <v>#VALUE!</v>
          </cell>
          <cell r="BQ624" t="e">
            <v>#VALUE!</v>
          </cell>
          <cell r="BR624" t="e">
            <v>#VALUE!</v>
          </cell>
          <cell r="BS624" t="e">
            <v>#VALUE!</v>
          </cell>
          <cell r="BT624">
            <v>0</v>
          </cell>
          <cell r="BU624" t="str">
            <v/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 t="e">
            <v>#VALUE!</v>
          </cell>
        </row>
        <row r="625">
          <cell r="A625" t="str">
            <v>8Q4</v>
          </cell>
          <cell r="B625" t="str">
            <v>Q4</v>
          </cell>
          <cell r="C625">
            <v>8</v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1</v>
          </cell>
          <cell r="BJ625">
            <v>0</v>
          </cell>
          <cell r="BK625">
            <v>0</v>
          </cell>
          <cell r="BM625" t="str">
            <v/>
          </cell>
          <cell r="BO625" t="e">
            <v>#VALUE!</v>
          </cell>
          <cell r="BP625" t="e">
            <v>#VALUE!</v>
          </cell>
          <cell r="BQ625" t="e">
            <v>#VALUE!</v>
          </cell>
          <cell r="BR625" t="e">
            <v>#VALUE!</v>
          </cell>
          <cell r="BS625" t="e">
            <v>#VALUE!</v>
          </cell>
          <cell r="BT625">
            <v>0</v>
          </cell>
          <cell r="BU625" t="str">
            <v/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 t="e">
            <v>#VALUE!</v>
          </cell>
        </row>
        <row r="626">
          <cell r="A626" t="str">
            <v>9Q4</v>
          </cell>
          <cell r="B626" t="str">
            <v>Q4</v>
          </cell>
          <cell r="C626">
            <v>9</v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1</v>
          </cell>
          <cell r="BJ626">
            <v>0</v>
          </cell>
          <cell r="BK626">
            <v>0</v>
          </cell>
          <cell r="BM626" t="str">
            <v/>
          </cell>
          <cell r="BO626" t="e">
            <v>#VALUE!</v>
          </cell>
          <cell r="BP626" t="e">
            <v>#VALUE!</v>
          </cell>
          <cell r="BQ626" t="e">
            <v>#VALUE!</v>
          </cell>
          <cell r="BR626" t="e">
            <v>#VALUE!</v>
          </cell>
          <cell r="BS626" t="e">
            <v>#VALUE!</v>
          </cell>
          <cell r="BT626">
            <v>0</v>
          </cell>
          <cell r="BU626" t="str">
            <v/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 t="e">
            <v>#VALUE!</v>
          </cell>
        </row>
        <row r="627">
          <cell r="A627" t="str">
            <v>10Q4</v>
          </cell>
          <cell r="B627" t="str">
            <v>Q4</v>
          </cell>
          <cell r="C627">
            <v>10</v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1</v>
          </cell>
          <cell r="BJ627">
            <v>0</v>
          </cell>
          <cell r="BK627">
            <v>0</v>
          </cell>
          <cell r="BM627" t="str">
            <v/>
          </cell>
          <cell r="BO627" t="e">
            <v>#VALUE!</v>
          </cell>
          <cell r="BP627" t="e">
            <v>#VALUE!</v>
          </cell>
          <cell r="BQ627" t="e">
            <v>#VALUE!</v>
          </cell>
          <cell r="BR627" t="e">
            <v>#VALUE!</v>
          </cell>
          <cell r="BS627" t="e">
            <v>#VALUE!</v>
          </cell>
          <cell r="BT627">
            <v>0</v>
          </cell>
          <cell r="BU627" t="str">
            <v/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 t="e">
            <v>#VALUE!</v>
          </cell>
        </row>
        <row r="628">
          <cell r="A628" t="str">
            <v>11Q4</v>
          </cell>
          <cell r="B628" t="str">
            <v>Q4</v>
          </cell>
          <cell r="C628">
            <v>11</v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1</v>
          </cell>
          <cell r="BJ628">
            <v>0</v>
          </cell>
          <cell r="BK628">
            <v>0</v>
          </cell>
          <cell r="BM628" t="str">
            <v/>
          </cell>
          <cell r="BO628" t="e">
            <v>#VALUE!</v>
          </cell>
          <cell r="BP628" t="e">
            <v>#VALUE!</v>
          </cell>
          <cell r="BQ628" t="e">
            <v>#VALUE!</v>
          </cell>
          <cell r="BR628" t="e">
            <v>#VALUE!</v>
          </cell>
          <cell r="BS628" t="e">
            <v>#VALUE!</v>
          </cell>
          <cell r="BT628">
            <v>0</v>
          </cell>
          <cell r="BU628" t="str">
            <v/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 t="e">
            <v>#VALUE!</v>
          </cell>
        </row>
        <row r="629">
          <cell r="A629" t="str">
            <v>12Q4</v>
          </cell>
          <cell r="B629" t="str">
            <v>Q4</v>
          </cell>
          <cell r="C629">
            <v>12</v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1</v>
          </cell>
          <cell r="BJ629">
            <v>0</v>
          </cell>
          <cell r="BK629">
            <v>0</v>
          </cell>
          <cell r="BM629" t="str">
            <v/>
          </cell>
          <cell r="BO629" t="e">
            <v>#VALUE!</v>
          </cell>
          <cell r="BP629" t="e">
            <v>#VALUE!</v>
          </cell>
          <cell r="BQ629" t="e">
            <v>#VALUE!</v>
          </cell>
          <cell r="BR629" t="e">
            <v>#VALUE!</v>
          </cell>
          <cell r="BS629" t="e">
            <v>#VALUE!</v>
          </cell>
          <cell r="BT629">
            <v>0</v>
          </cell>
          <cell r="BU629" t="str">
            <v/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 t="e">
            <v>#VALUE!</v>
          </cell>
        </row>
        <row r="630">
          <cell r="A630" t="str">
            <v>13Q4</v>
          </cell>
          <cell r="B630" t="str">
            <v>Q4</v>
          </cell>
          <cell r="C630">
            <v>13</v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1</v>
          </cell>
          <cell r="BJ630">
            <v>0</v>
          </cell>
          <cell r="BK630">
            <v>0</v>
          </cell>
          <cell r="BM630" t="str">
            <v/>
          </cell>
          <cell r="BO630" t="e">
            <v>#VALUE!</v>
          </cell>
          <cell r="BP630" t="e">
            <v>#VALUE!</v>
          </cell>
          <cell r="BQ630" t="e">
            <v>#VALUE!</v>
          </cell>
          <cell r="BR630" t="e">
            <v>#VALUE!</v>
          </cell>
          <cell r="BS630" t="e">
            <v>#VALUE!</v>
          </cell>
          <cell r="BT630">
            <v>0</v>
          </cell>
          <cell r="BU630" t="str">
            <v/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 t="e">
            <v>#VALUE!</v>
          </cell>
        </row>
        <row r="631">
          <cell r="A631" t="str">
            <v>14Q4</v>
          </cell>
          <cell r="B631" t="str">
            <v>Q4</v>
          </cell>
          <cell r="C631">
            <v>14</v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1</v>
          </cell>
          <cell r="BJ631">
            <v>0</v>
          </cell>
          <cell r="BK631">
            <v>0</v>
          </cell>
          <cell r="BM631" t="str">
            <v/>
          </cell>
          <cell r="BO631" t="e">
            <v>#VALUE!</v>
          </cell>
          <cell r="BP631" t="e">
            <v>#VALUE!</v>
          </cell>
          <cell r="BQ631" t="e">
            <v>#VALUE!</v>
          </cell>
          <cell r="BR631" t="e">
            <v>#VALUE!</v>
          </cell>
          <cell r="BS631" t="e">
            <v>#VALUE!</v>
          </cell>
          <cell r="BT631">
            <v>0</v>
          </cell>
          <cell r="BU631" t="str">
            <v/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 t="e">
            <v>#VALUE!</v>
          </cell>
        </row>
        <row r="632">
          <cell r="A632" t="str">
            <v>15Q4</v>
          </cell>
          <cell r="B632" t="str">
            <v>Q4</v>
          </cell>
          <cell r="C632">
            <v>15</v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1</v>
          </cell>
          <cell r="BJ632">
            <v>0</v>
          </cell>
          <cell r="BK632">
            <v>0</v>
          </cell>
          <cell r="BM632" t="str">
            <v/>
          </cell>
          <cell r="BO632" t="e">
            <v>#VALUE!</v>
          </cell>
          <cell r="BP632" t="e">
            <v>#VALUE!</v>
          </cell>
          <cell r="BQ632" t="e">
            <v>#VALUE!</v>
          </cell>
          <cell r="BR632" t="e">
            <v>#VALUE!</v>
          </cell>
          <cell r="BS632" t="e">
            <v>#VALUE!</v>
          </cell>
          <cell r="BT632">
            <v>0</v>
          </cell>
          <cell r="BU632" t="str">
            <v/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 t="e">
            <v>#VALUE!</v>
          </cell>
        </row>
        <row r="633">
          <cell r="A633" t="str">
            <v>16Q4</v>
          </cell>
          <cell r="B633" t="str">
            <v>Q4</v>
          </cell>
          <cell r="C633">
            <v>16</v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1</v>
          </cell>
          <cell r="BJ633">
            <v>0</v>
          </cell>
          <cell r="BK633">
            <v>0</v>
          </cell>
          <cell r="BM633" t="str">
            <v/>
          </cell>
          <cell r="BO633" t="e">
            <v>#VALUE!</v>
          </cell>
          <cell r="BP633" t="e">
            <v>#VALUE!</v>
          </cell>
          <cell r="BQ633" t="e">
            <v>#VALUE!</v>
          </cell>
          <cell r="BR633" t="e">
            <v>#VALUE!</v>
          </cell>
          <cell r="BS633" t="e">
            <v>#VALUE!</v>
          </cell>
          <cell r="BT633">
            <v>0</v>
          </cell>
          <cell r="BU633" t="str">
            <v/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 t="e">
            <v>#VALUE!</v>
          </cell>
        </row>
        <row r="634">
          <cell r="A634" t="str">
            <v>17Q4</v>
          </cell>
          <cell r="B634" t="str">
            <v>Q4</v>
          </cell>
          <cell r="C634">
            <v>17</v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1</v>
          </cell>
          <cell r="BJ634">
            <v>0</v>
          </cell>
          <cell r="BK634">
            <v>0</v>
          </cell>
          <cell r="BM634" t="str">
            <v/>
          </cell>
          <cell r="BO634" t="e">
            <v>#VALUE!</v>
          </cell>
          <cell r="BP634" t="e">
            <v>#VALUE!</v>
          </cell>
          <cell r="BQ634" t="e">
            <v>#VALUE!</v>
          </cell>
          <cell r="BR634" t="e">
            <v>#VALUE!</v>
          </cell>
          <cell r="BS634" t="e">
            <v>#VALUE!</v>
          </cell>
          <cell r="BT634">
            <v>0</v>
          </cell>
          <cell r="BU634" t="str">
            <v/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 t="e">
            <v>#VALUE!</v>
          </cell>
        </row>
        <row r="635">
          <cell r="A635" t="str">
            <v>18Q4</v>
          </cell>
          <cell r="B635" t="str">
            <v>Q4</v>
          </cell>
          <cell r="C635">
            <v>18</v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1</v>
          </cell>
          <cell r="BJ635">
            <v>0</v>
          </cell>
          <cell r="BK635">
            <v>0</v>
          </cell>
          <cell r="BM635" t="str">
            <v/>
          </cell>
          <cell r="BO635" t="e">
            <v>#VALUE!</v>
          </cell>
          <cell r="BP635" t="e">
            <v>#VALUE!</v>
          </cell>
          <cell r="BQ635" t="e">
            <v>#VALUE!</v>
          </cell>
          <cell r="BR635" t="e">
            <v>#VALUE!</v>
          </cell>
          <cell r="BS635" t="e">
            <v>#VALUE!</v>
          </cell>
          <cell r="BT635">
            <v>0</v>
          </cell>
          <cell r="BU635" t="str">
            <v/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 t="e">
            <v>#VALUE!</v>
          </cell>
        </row>
        <row r="636">
          <cell r="A636" t="str">
            <v>19Q4</v>
          </cell>
          <cell r="B636" t="str">
            <v>Q4</v>
          </cell>
          <cell r="C636">
            <v>19</v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1</v>
          </cell>
          <cell r="BJ636">
            <v>0</v>
          </cell>
          <cell r="BK636">
            <v>0</v>
          </cell>
          <cell r="BM636" t="str">
            <v/>
          </cell>
          <cell r="BO636" t="e">
            <v>#VALUE!</v>
          </cell>
          <cell r="BP636" t="e">
            <v>#VALUE!</v>
          </cell>
          <cell r="BQ636" t="e">
            <v>#VALUE!</v>
          </cell>
          <cell r="BR636" t="e">
            <v>#VALUE!</v>
          </cell>
          <cell r="BS636" t="e">
            <v>#VALUE!</v>
          </cell>
          <cell r="BT636">
            <v>0</v>
          </cell>
          <cell r="BU636" t="str">
            <v/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 t="e">
            <v>#VALUE!</v>
          </cell>
        </row>
        <row r="637">
          <cell r="A637" t="str">
            <v>20Q4</v>
          </cell>
          <cell r="B637" t="str">
            <v>Q4</v>
          </cell>
          <cell r="C637">
            <v>20</v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1</v>
          </cell>
          <cell r="BJ637">
            <v>0</v>
          </cell>
          <cell r="BK637">
            <v>0</v>
          </cell>
          <cell r="BM637" t="str">
            <v/>
          </cell>
          <cell r="BO637" t="e">
            <v>#VALUE!</v>
          </cell>
          <cell r="BP637" t="e">
            <v>#VALUE!</v>
          </cell>
          <cell r="BQ637" t="e">
            <v>#VALUE!</v>
          </cell>
          <cell r="BR637" t="e">
            <v>#VALUE!</v>
          </cell>
          <cell r="BS637" t="e">
            <v>#VALUE!</v>
          </cell>
          <cell r="BT637">
            <v>0</v>
          </cell>
          <cell r="BU637" t="str">
            <v/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 t="e">
            <v>#VALUE!</v>
          </cell>
        </row>
        <row r="638">
          <cell r="A638" t="str">
            <v>21Q4</v>
          </cell>
          <cell r="B638" t="str">
            <v>Q4</v>
          </cell>
          <cell r="C638">
            <v>21</v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1</v>
          </cell>
          <cell r="BJ638">
            <v>0</v>
          </cell>
          <cell r="BK638">
            <v>0</v>
          </cell>
          <cell r="BM638" t="str">
            <v/>
          </cell>
          <cell r="BO638" t="e">
            <v>#VALUE!</v>
          </cell>
          <cell r="BP638" t="e">
            <v>#VALUE!</v>
          </cell>
          <cell r="BQ638" t="e">
            <v>#VALUE!</v>
          </cell>
          <cell r="BR638" t="e">
            <v>#VALUE!</v>
          </cell>
          <cell r="BS638" t="e">
            <v>#VALUE!</v>
          </cell>
          <cell r="BT638">
            <v>0</v>
          </cell>
          <cell r="BU638" t="str">
            <v/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 t="e">
            <v>#VALUE!</v>
          </cell>
        </row>
        <row r="639">
          <cell r="A639" t="str">
            <v>22Q4</v>
          </cell>
          <cell r="B639" t="str">
            <v>Q4</v>
          </cell>
          <cell r="C639">
            <v>22</v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1</v>
          </cell>
          <cell r="BJ639">
            <v>0</v>
          </cell>
          <cell r="BK639">
            <v>0</v>
          </cell>
          <cell r="BM639" t="str">
            <v/>
          </cell>
          <cell r="BO639" t="e">
            <v>#VALUE!</v>
          </cell>
          <cell r="BP639" t="e">
            <v>#VALUE!</v>
          </cell>
          <cell r="BQ639" t="e">
            <v>#VALUE!</v>
          </cell>
          <cell r="BR639" t="e">
            <v>#VALUE!</v>
          </cell>
          <cell r="BS639" t="e">
            <v>#VALUE!</v>
          </cell>
          <cell r="BT639">
            <v>0</v>
          </cell>
          <cell r="BU639" t="str">
            <v/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 t="e">
            <v>#VALUE!</v>
          </cell>
        </row>
        <row r="640">
          <cell r="A640" t="str">
            <v>23Q4</v>
          </cell>
          <cell r="B640" t="str">
            <v>Q4</v>
          </cell>
          <cell r="C640">
            <v>23</v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1</v>
          </cell>
          <cell r="BJ640">
            <v>0</v>
          </cell>
          <cell r="BK640">
            <v>0</v>
          </cell>
          <cell r="BM640" t="str">
            <v/>
          </cell>
          <cell r="BO640" t="e">
            <v>#VALUE!</v>
          </cell>
          <cell r="BP640" t="e">
            <v>#VALUE!</v>
          </cell>
          <cell r="BQ640" t="e">
            <v>#VALUE!</v>
          </cell>
          <cell r="BR640" t="e">
            <v>#VALUE!</v>
          </cell>
          <cell r="BS640" t="e">
            <v>#VALUE!</v>
          </cell>
          <cell r="BT640">
            <v>0</v>
          </cell>
          <cell r="BU640" t="str">
            <v/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 t="e">
            <v>#VALUE!</v>
          </cell>
        </row>
        <row r="641">
          <cell r="A641" t="str">
            <v>24Q4</v>
          </cell>
          <cell r="B641" t="str">
            <v>Q4</v>
          </cell>
          <cell r="C641">
            <v>24</v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1</v>
          </cell>
          <cell r="BJ641">
            <v>0</v>
          </cell>
          <cell r="BK641">
            <v>0</v>
          </cell>
          <cell r="BM641" t="str">
            <v/>
          </cell>
          <cell r="BO641" t="e">
            <v>#VALUE!</v>
          </cell>
          <cell r="BP641" t="e">
            <v>#VALUE!</v>
          </cell>
          <cell r="BQ641" t="e">
            <v>#VALUE!</v>
          </cell>
          <cell r="BR641" t="e">
            <v>#VALUE!</v>
          </cell>
          <cell r="BS641" t="e">
            <v>#VALUE!</v>
          </cell>
          <cell r="BT641">
            <v>0</v>
          </cell>
          <cell r="BU641" t="str">
            <v/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 t="e">
            <v>#VALUE!</v>
          </cell>
        </row>
        <row r="642">
          <cell r="A642" t="str">
            <v>25Q4</v>
          </cell>
          <cell r="B642" t="str">
            <v>Q4</v>
          </cell>
          <cell r="C642">
            <v>25</v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1</v>
          </cell>
          <cell r="BJ642">
            <v>0</v>
          </cell>
          <cell r="BK642">
            <v>0</v>
          </cell>
          <cell r="BM642" t="str">
            <v/>
          </cell>
          <cell r="BO642" t="e">
            <v>#VALUE!</v>
          </cell>
          <cell r="BP642" t="e">
            <v>#VALUE!</v>
          </cell>
          <cell r="BQ642" t="e">
            <v>#VALUE!</v>
          </cell>
          <cell r="BR642" t="e">
            <v>#VALUE!</v>
          </cell>
          <cell r="BS642" t="e">
            <v>#VALUE!</v>
          </cell>
          <cell r="BT642">
            <v>0</v>
          </cell>
          <cell r="BU642" t="str">
            <v/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 t="e">
            <v>#VALUE!</v>
          </cell>
        </row>
        <row r="643">
          <cell r="A643" t="str">
            <v>26Q4</v>
          </cell>
          <cell r="B643" t="str">
            <v>Q4</v>
          </cell>
          <cell r="C643">
            <v>26</v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1</v>
          </cell>
          <cell r="BJ643">
            <v>0</v>
          </cell>
          <cell r="BK643">
            <v>0</v>
          </cell>
          <cell r="BM643" t="str">
            <v/>
          </cell>
          <cell r="BO643" t="e">
            <v>#VALUE!</v>
          </cell>
          <cell r="BP643" t="e">
            <v>#VALUE!</v>
          </cell>
          <cell r="BQ643" t="e">
            <v>#VALUE!</v>
          </cell>
          <cell r="BR643" t="e">
            <v>#VALUE!</v>
          </cell>
          <cell r="BS643" t="e">
            <v>#VALUE!</v>
          </cell>
          <cell r="BT643">
            <v>0</v>
          </cell>
          <cell r="BU643" t="str">
            <v/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 t="e">
            <v>#VALUE!</v>
          </cell>
        </row>
        <row r="644">
          <cell r="A644" t="str">
            <v>27Q4</v>
          </cell>
          <cell r="B644" t="str">
            <v>Q4</v>
          </cell>
          <cell r="C644">
            <v>27</v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1</v>
          </cell>
          <cell r="BJ644">
            <v>0</v>
          </cell>
          <cell r="BK644">
            <v>0</v>
          </cell>
          <cell r="BM644" t="str">
            <v/>
          </cell>
          <cell r="BO644" t="e">
            <v>#VALUE!</v>
          </cell>
          <cell r="BP644" t="e">
            <v>#VALUE!</v>
          </cell>
          <cell r="BQ644" t="e">
            <v>#VALUE!</v>
          </cell>
          <cell r="BR644" t="e">
            <v>#VALUE!</v>
          </cell>
          <cell r="BS644" t="e">
            <v>#VALUE!</v>
          </cell>
          <cell r="BT644">
            <v>0</v>
          </cell>
          <cell r="BU644" t="str">
            <v/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 t="e">
            <v>#VALUE!</v>
          </cell>
        </row>
        <row r="645">
          <cell r="A645" t="str">
            <v>28Q4</v>
          </cell>
          <cell r="B645" t="str">
            <v>Q4</v>
          </cell>
          <cell r="C645">
            <v>28</v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1</v>
          </cell>
          <cell r="BJ645">
            <v>0</v>
          </cell>
          <cell r="BK645">
            <v>0</v>
          </cell>
          <cell r="BM645" t="str">
            <v/>
          </cell>
          <cell r="BO645" t="e">
            <v>#VALUE!</v>
          </cell>
          <cell r="BP645" t="e">
            <v>#VALUE!</v>
          </cell>
          <cell r="BQ645" t="e">
            <v>#VALUE!</v>
          </cell>
          <cell r="BR645" t="e">
            <v>#VALUE!</v>
          </cell>
          <cell r="BS645" t="e">
            <v>#VALUE!</v>
          </cell>
          <cell r="BT645">
            <v>0</v>
          </cell>
          <cell r="BU645" t="str">
            <v/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 t="e">
            <v>#VALUE!</v>
          </cell>
        </row>
        <row r="646">
          <cell r="A646" t="str">
            <v>29Q4</v>
          </cell>
          <cell r="B646" t="str">
            <v>Q4</v>
          </cell>
          <cell r="C646">
            <v>29</v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1</v>
          </cell>
          <cell r="BJ646">
            <v>0</v>
          </cell>
          <cell r="BK646">
            <v>0</v>
          </cell>
          <cell r="BM646" t="str">
            <v/>
          </cell>
          <cell r="BO646" t="e">
            <v>#VALUE!</v>
          </cell>
          <cell r="BP646" t="e">
            <v>#VALUE!</v>
          </cell>
          <cell r="BQ646" t="e">
            <v>#VALUE!</v>
          </cell>
          <cell r="BR646" t="e">
            <v>#VALUE!</v>
          </cell>
          <cell r="BS646" t="e">
            <v>#VALUE!</v>
          </cell>
          <cell r="BT646">
            <v>0</v>
          </cell>
          <cell r="BU646" t="str">
            <v/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 t="e">
            <v>#VALUE!</v>
          </cell>
        </row>
        <row r="647">
          <cell r="A647" t="str">
            <v>30Q4</v>
          </cell>
          <cell r="B647" t="str">
            <v>Q4</v>
          </cell>
          <cell r="C647">
            <v>30</v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1</v>
          </cell>
          <cell r="BJ647">
            <v>0</v>
          </cell>
          <cell r="BK647">
            <v>0</v>
          </cell>
          <cell r="BM647" t="str">
            <v/>
          </cell>
          <cell r="BO647" t="e">
            <v>#VALUE!</v>
          </cell>
          <cell r="BP647" t="e">
            <v>#VALUE!</v>
          </cell>
          <cell r="BQ647" t="e">
            <v>#VALUE!</v>
          </cell>
          <cell r="BR647" t="e">
            <v>#VALUE!</v>
          </cell>
          <cell r="BS647" t="e">
            <v>#VALUE!</v>
          </cell>
          <cell r="BT647">
            <v>0</v>
          </cell>
          <cell r="BU647" t="str">
            <v/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 t="e">
            <v>#VALUE!</v>
          </cell>
        </row>
        <row r="648">
          <cell r="A648" t="str">
            <v>31Q4</v>
          </cell>
          <cell r="B648" t="str">
            <v>Q4</v>
          </cell>
          <cell r="C648">
            <v>31</v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1</v>
          </cell>
          <cell r="BJ648">
            <v>0</v>
          </cell>
          <cell r="BK648">
            <v>0</v>
          </cell>
          <cell r="BM648" t="str">
            <v/>
          </cell>
          <cell r="BO648" t="e">
            <v>#VALUE!</v>
          </cell>
          <cell r="BP648" t="e">
            <v>#VALUE!</v>
          </cell>
          <cell r="BQ648" t="e">
            <v>#VALUE!</v>
          </cell>
          <cell r="BR648" t="e">
            <v>#VALUE!</v>
          </cell>
          <cell r="BS648" t="e">
            <v>#VALUE!</v>
          </cell>
          <cell r="BT648">
            <v>0</v>
          </cell>
          <cell r="BU648" t="str">
            <v/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 t="e">
            <v>#VALUE!</v>
          </cell>
        </row>
        <row r="649">
          <cell r="A649" t="str">
            <v>32Q4</v>
          </cell>
          <cell r="B649" t="str">
            <v>Q4</v>
          </cell>
          <cell r="C649">
            <v>32</v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1</v>
          </cell>
          <cell r="BJ649">
            <v>0</v>
          </cell>
          <cell r="BK649">
            <v>0</v>
          </cell>
          <cell r="BM649" t="str">
            <v/>
          </cell>
          <cell r="BO649" t="e">
            <v>#VALUE!</v>
          </cell>
          <cell r="BP649" t="e">
            <v>#VALUE!</v>
          </cell>
          <cell r="BQ649" t="e">
            <v>#VALUE!</v>
          </cell>
          <cell r="BR649" t="e">
            <v>#VALUE!</v>
          </cell>
          <cell r="BS649" t="e">
            <v>#VALUE!</v>
          </cell>
          <cell r="BT649">
            <v>0</v>
          </cell>
          <cell r="BU649" t="str">
            <v/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 t="e">
            <v>#VALUE!</v>
          </cell>
        </row>
        <row r="650">
          <cell r="A650" t="str">
            <v>33Q4</v>
          </cell>
          <cell r="B650" t="str">
            <v>Q4</v>
          </cell>
          <cell r="C650">
            <v>33</v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1</v>
          </cell>
          <cell r="BJ650">
            <v>0</v>
          </cell>
          <cell r="BK650">
            <v>0</v>
          </cell>
          <cell r="BM650" t="str">
            <v/>
          </cell>
          <cell r="BO650" t="e">
            <v>#VALUE!</v>
          </cell>
          <cell r="BP650" t="e">
            <v>#VALUE!</v>
          </cell>
          <cell r="BQ650" t="e">
            <v>#VALUE!</v>
          </cell>
          <cell r="BR650" t="e">
            <v>#VALUE!</v>
          </cell>
          <cell r="BS650" t="e">
            <v>#VALUE!</v>
          </cell>
          <cell r="BT650">
            <v>0</v>
          </cell>
          <cell r="BU650" t="str">
            <v/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 t="e">
            <v>#VALUE!</v>
          </cell>
        </row>
        <row r="651">
          <cell r="A651" t="str">
            <v>34Q4</v>
          </cell>
          <cell r="B651" t="str">
            <v>Q4</v>
          </cell>
          <cell r="C651">
            <v>34</v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1</v>
          </cell>
          <cell r="BJ651">
            <v>0</v>
          </cell>
          <cell r="BK651">
            <v>0</v>
          </cell>
          <cell r="BM651" t="str">
            <v/>
          </cell>
          <cell r="BO651" t="e">
            <v>#VALUE!</v>
          </cell>
          <cell r="BP651" t="e">
            <v>#VALUE!</v>
          </cell>
          <cell r="BQ651" t="e">
            <v>#VALUE!</v>
          </cell>
          <cell r="BR651" t="e">
            <v>#VALUE!</v>
          </cell>
          <cell r="BS651" t="e">
            <v>#VALUE!</v>
          </cell>
          <cell r="BT651">
            <v>0</v>
          </cell>
          <cell r="BU651" t="str">
            <v/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 t="e">
            <v>#VALUE!</v>
          </cell>
        </row>
        <row r="652">
          <cell r="A652" t="str">
            <v>35Q4</v>
          </cell>
          <cell r="B652" t="str">
            <v>Q4</v>
          </cell>
          <cell r="C652">
            <v>35</v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1</v>
          </cell>
          <cell r="BJ652">
            <v>0</v>
          </cell>
          <cell r="BK652">
            <v>0</v>
          </cell>
          <cell r="BM652" t="str">
            <v/>
          </cell>
          <cell r="BO652" t="e">
            <v>#VALUE!</v>
          </cell>
          <cell r="BP652" t="e">
            <v>#VALUE!</v>
          </cell>
          <cell r="BQ652" t="e">
            <v>#VALUE!</v>
          </cell>
          <cell r="BR652" t="e">
            <v>#VALUE!</v>
          </cell>
          <cell r="BS652" t="e">
            <v>#VALUE!</v>
          </cell>
          <cell r="BT652">
            <v>0</v>
          </cell>
          <cell r="BU652" t="str">
            <v/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 t="e">
            <v>#VALUE!</v>
          </cell>
        </row>
        <row r="653">
          <cell r="A653" t="str">
            <v>36Q4</v>
          </cell>
          <cell r="B653" t="str">
            <v>Q4</v>
          </cell>
          <cell r="C653">
            <v>36</v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1</v>
          </cell>
          <cell r="BJ653">
            <v>0</v>
          </cell>
          <cell r="BK653">
            <v>0</v>
          </cell>
          <cell r="BM653" t="str">
            <v/>
          </cell>
          <cell r="BO653" t="e">
            <v>#VALUE!</v>
          </cell>
          <cell r="BP653" t="e">
            <v>#VALUE!</v>
          </cell>
          <cell r="BQ653" t="e">
            <v>#VALUE!</v>
          </cell>
          <cell r="BR653" t="e">
            <v>#VALUE!</v>
          </cell>
          <cell r="BS653" t="e">
            <v>#VALUE!</v>
          </cell>
          <cell r="BT653">
            <v>0</v>
          </cell>
          <cell r="BU653" t="str">
            <v/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 t="e">
            <v>#VALUE!</v>
          </cell>
        </row>
        <row r="654">
          <cell r="A654" t="str">
            <v>37Q4</v>
          </cell>
          <cell r="B654" t="str">
            <v>Q4</v>
          </cell>
          <cell r="C654">
            <v>37</v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1</v>
          </cell>
          <cell r="BJ654">
            <v>0</v>
          </cell>
          <cell r="BK654">
            <v>0</v>
          </cell>
          <cell r="BM654" t="str">
            <v/>
          </cell>
          <cell r="BO654" t="e">
            <v>#VALUE!</v>
          </cell>
          <cell r="BP654" t="e">
            <v>#VALUE!</v>
          </cell>
          <cell r="BQ654" t="e">
            <v>#VALUE!</v>
          </cell>
          <cell r="BR654" t="e">
            <v>#VALUE!</v>
          </cell>
          <cell r="BS654" t="e">
            <v>#VALUE!</v>
          </cell>
          <cell r="BT654">
            <v>0</v>
          </cell>
          <cell r="BU654" t="str">
            <v/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 t="e">
            <v>#VALUE!</v>
          </cell>
        </row>
        <row r="655">
          <cell r="A655" t="str">
            <v>38Q4</v>
          </cell>
          <cell r="B655" t="str">
            <v>Q4</v>
          </cell>
          <cell r="C655">
            <v>38</v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1</v>
          </cell>
          <cell r="BJ655">
            <v>0</v>
          </cell>
          <cell r="BK655">
            <v>0</v>
          </cell>
          <cell r="BM655" t="str">
            <v/>
          </cell>
          <cell r="BO655" t="e">
            <v>#VALUE!</v>
          </cell>
          <cell r="BP655" t="e">
            <v>#VALUE!</v>
          </cell>
          <cell r="BQ655" t="e">
            <v>#VALUE!</v>
          </cell>
          <cell r="BR655" t="e">
            <v>#VALUE!</v>
          </cell>
          <cell r="BS655" t="e">
            <v>#VALUE!</v>
          </cell>
          <cell r="BT655">
            <v>0</v>
          </cell>
          <cell r="BU655" t="str">
            <v/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 t="e">
            <v>#VALUE!</v>
          </cell>
        </row>
        <row r="656">
          <cell r="A656" t="str">
            <v>39Q4</v>
          </cell>
          <cell r="B656" t="str">
            <v>Q4</v>
          </cell>
          <cell r="C656">
            <v>39</v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1</v>
          </cell>
          <cell r="BJ656">
            <v>0</v>
          </cell>
          <cell r="BK656">
            <v>0</v>
          </cell>
          <cell r="BM656" t="str">
            <v/>
          </cell>
          <cell r="BO656" t="e">
            <v>#VALUE!</v>
          </cell>
          <cell r="BP656" t="e">
            <v>#VALUE!</v>
          </cell>
          <cell r="BQ656" t="e">
            <v>#VALUE!</v>
          </cell>
          <cell r="BR656" t="e">
            <v>#VALUE!</v>
          </cell>
          <cell r="BS656" t="e">
            <v>#VALUE!</v>
          </cell>
          <cell r="BT656">
            <v>0</v>
          </cell>
          <cell r="BU656" t="str">
            <v/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 t="e">
            <v>#VALUE!</v>
          </cell>
        </row>
        <row r="657">
          <cell r="A657" t="str">
            <v>40Q4</v>
          </cell>
          <cell r="B657" t="str">
            <v>Q4</v>
          </cell>
          <cell r="C657">
            <v>40</v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1</v>
          </cell>
          <cell r="BJ657">
            <v>0</v>
          </cell>
          <cell r="BK657">
            <v>0</v>
          </cell>
          <cell r="BM657" t="str">
            <v/>
          </cell>
          <cell r="BO657" t="e">
            <v>#VALUE!</v>
          </cell>
          <cell r="BP657" t="e">
            <v>#VALUE!</v>
          </cell>
          <cell r="BQ657" t="e">
            <v>#VALUE!</v>
          </cell>
          <cell r="BR657" t="e">
            <v>#VALUE!</v>
          </cell>
          <cell r="BS657" t="e">
            <v>#VALUE!</v>
          </cell>
          <cell r="BT657">
            <v>0</v>
          </cell>
          <cell r="BU657" t="str">
            <v/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 t="e">
            <v>#VALUE!</v>
          </cell>
        </row>
        <row r="658">
          <cell r="A658" t="str">
            <v>41Q4</v>
          </cell>
          <cell r="B658" t="str">
            <v>Q4</v>
          </cell>
          <cell r="C658">
            <v>41</v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1</v>
          </cell>
          <cell r="BJ658">
            <v>0</v>
          </cell>
          <cell r="BK658">
            <v>0</v>
          </cell>
          <cell r="BM658" t="str">
            <v/>
          </cell>
          <cell r="BO658" t="e">
            <v>#VALUE!</v>
          </cell>
          <cell r="BP658" t="e">
            <v>#VALUE!</v>
          </cell>
          <cell r="BQ658" t="e">
            <v>#VALUE!</v>
          </cell>
          <cell r="BR658" t="e">
            <v>#VALUE!</v>
          </cell>
          <cell r="BS658" t="e">
            <v>#VALUE!</v>
          </cell>
          <cell r="BT658">
            <v>0</v>
          </cell>
          <cell r="BU658" t="str">
            <v/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 t="e">
            <v>#VALUE!</v>
          </cell>
        </row>
        <row r="659">
          <cell r="A659" t="str">
            <v>42Q4</v>
          </cell>
          <cell r="B659" t="str">
            <v>Q4</v>
          </cell>
          <cell r="C659">
            <v>42</v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1</v>
          </cell>
          <cell r="BJ659">
            <v>0</v>
          </cell>
          <cell r="BK659">
            <v>0</v>
          </cell>
          <cell r="BM659" t="str">
            <v/>
          </cell>
          <cell r="BO659" t="e">
            <v>#VALUE!</v>
          </cell>
          <cell r="BP659" t="e">
            <v>#VALUE!</v>
          </cell>
          <cell r="BQ659" t="e">
            <v>#VALUE!</v>
          </cell>
          <cell r="BR659" t="e">
            <v>#VALUE!</v>
          </cell>
          <cell r="BS659" t="e">
            <v>#VALUE!</v>
          </cell>
          <cell r="BT659">
            <v>0</v>
          </cell>
          <cell r="BU659" t="str">
            <v/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 t="e">
            <v>#VALUE!</v>
          </cell>
        </row>
        <row r="660">
          <cell r="A660" t="str">
            <v>43Q4</v>
          </cell>
          <cell r="B660" t="str">
            <v>Q4</v>
          </cell>
          <cell r="C660">
            <v>43</v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1</v>
          </cell>
          <cell r="BJ660">
            <v>0</v>
          </cell>
          <cell r="BK660">
            <v>0</v>
          </cell>
          <cell r="BM660" t="str">
            <v/>
          </cell>
          <cell r="BO660" t="e">
            <v>#VALUE!</v>
          </cell>
          <cell r="BP660" t="e">
            <v>#VALUE!</v>
          </cell>
          <cell r="BQ660" t="e">
            <v>#VALUE!</v>
          </cell>
          <cell r="BR660" t="e">
            <v>#VALUE!</v>
          </cell>
          <cell r="BS660" t="e">
            <v>#VALUE!</v>
          </cell>
          <cell r="BT660">
            <v>0</v>
          </cell>
          <cell r="BU660" t="str">
            <v/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 t="e">
            <v>#VALUE!</v>
          </cell>
        </row>
        <row r="661">
          <cell r="A661" t="str">
            <v>44Q4</v>
          </cell>
          <cell r="B661" t="str">
            <v>Q4</v>
          </cell>
          <cell r="C661">
            <v>44</v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1</v>
          </cell>
          <cell r="BJ661">
            <v>0</v>
          </cell>
          <cell r="BK661">
            <v>0</v>
          </cell>
          <cell r="BM661" t="str">
            <v/>
          </cell>
          <cell r="BO661" t="e">
            <v>#VALUE!</v>
          </cell>
          <cell r="BP661" t="e">
            <v>#VALUE!</v>
          </cell>
          <cell r="BQ661" t="e">
            <v>#VALUE!</v>
          </cell>
          <cell r="BR661" t="e">
            <v>#VALUE!</v>
          </cell>
          <cell r="BS661" t="e">
            <v>#VALUE!</v>
          </cell>
          <cell r="BT661">
            <v>0</v>
          </cell>
          <cell r="BU661" t="str">
            <v/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 t="e">
            <v>#VALUE!</v>
          </cell>
        </row>
        <row r="662">
          <cell r="A662" t="str">
            <v>45Q4</v>
          </cell>
          <cell r="B662" t="str">
            <v>Q4</v>
          </cell>
          <cell r="C662">
            <v>45</v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1</v>
          </cell>
          <cell r="BJ662">
            <v>0</v>
          </cell>
          <cell r="BK662">
            <v>0</v>
          </cell>
          <cell r="BM662" t="str">
            <v/>
          </cell>
          <cell r="BO662" t="e">
            <v>#VALUE!</v>
          </cell>
          <cell r="BP662" t="e">
            <v>#VALUE!</v>
          </cell>
          <cell r="BQ662" t="e">
            <v>#VALUE!</v>
          </cell>
          <cell r="BR662" t="e">
            <v>#VALUE!</v>
          </cell>
          <cell r="BS662" t="e">
            <v>#VALUE!</v>
          </cell>
          <cell r="BT662">
            <v>0</v>
          </cell>
          <cell r="BU662" t="str">
            <v/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 t="e">
            <v>#VALUE!</v>
          </cell>
        </row>
        <row r="663">
          <cell r="A663" t="str">
            <v>46Q4</v>
          </cell>
          <cell r="B663" t="str">
            <v>Q4</v>
          </cell>
          <cell r="C663">
            <v>46</v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1</v>
          </cell>
          <cell r="BJ663">
            <v>0</v>
          </cell>
          <cell r="BK663">
            <v>0</v>
          </cell>
          <cell r="BM663" t="str">
            <v/>
          </cell>
          <cell r="BO663" t="e">
            <v>#VALUE!</v>
          </cell>
          <cell r="BP663" t="e">
            <v>#VALUE!</v>
          </cell>
          <cell r="BQ663" t="e">
            <v>#VALUE!</v>
          </cell>
          <cell r="BR663" t="e">
            <v>#VALUE!</v>
          </cell>
          <cell r="BS663" t="e">
            <v>#VALUE!</v>
          </cell>
          <cell r="BT663">
            <v>0</v>
          </cell>
          <cell r="BU663" t="str">
            <v/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 t="e">
            <v>#VALUE!</v>
          </cell>
        </row>
        <row r="664">
          <cell r="A664" t="str">
            <v>47Q4</v>
          </cell>
          <cell r="B664" t="str">
            <v>Q4</v>
          </cell>
          <cell r="C664">
            <v>47</v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1</v>
          </cell>
          <cell r="BJ664">
            <v>0</v>
          </cell>
          <cell r="BK664">
            <v>0</v>
          </cell>
          <cell r="BM664" t="str">
            <v/>
          </cell>
          <cell r="BO664" t="e">
            <v>#VALUE!</v>
          </cell>
          <cell r="BP664" t="e">
            <v>#VALUE!</v>
          </cell>
          <cell r="BQ664" t="e">
            <v>#VALUE!</v>
          </cell>
          <cell r="BR664" t="e">
            <v>#VALUE!</v>
          </cell>
          <cell r="BS664" t="e">
            <v>#VALUE!</v>
          </cell>
          <cell r="BT664">
            <v>0</v>
          </cell>
          <cell r="BU664" t="str">
            <v/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 t="e">
            <v>#VALUE!</v>
          </cell>
        </row>
        <row r="665">
          <cell r="A665" t="str">
            <v>48Q4</v>
          </cell>
          <cell r="B665" t="str">
            <v>Q4</v>
          </cell>
          <cell r="C665">
            <v>48</v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1</v>
          </cell>
          <cell r="BJ665">
            <v>0</v>
          </cell>
          <cell r="BK665">
            <v>0</v>
          </cell>
          <cell r="BM665" t="str">
            <v/>
          </cell>
          <cell r="BO665" t="e">
            <v>#VALUE!</v>
          </cell>
          <cell r="BP665" t="e">
            <v>#VALUE!</v>
          </cell>
          <cell r="BQ665" t="e">
            <v>#VALUE!</v>
          </cell>
          <cell r="BR665" t="e">
            <v>#VALUE!</v>
          </cell>
          <cell r="BS665" t="e">
            <v>#VALUE!</v>
          </cell>
          <cell r="BT665">
            <v>0</v>
          </cell>
          <cell r="BU665" t="str">
            <v/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 t="e">
            <v>#VALUE!</v>
          </cell>
        </row>
        <row r="666">
          <cell r="A666" t="str">
            <v>49Q4</v>
          </cell>
          <cell r="B666" t="str">
            <v>Q4</v>
          </cell>
          <cell r="C666">
            <v>49</v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1</v>
          </cell>
          <cell r="BJ666">
            <v>0</v>
          </cell>
          <cell r="BK666">
            <v>0</v>
          </cell>
          <cell r="BM666" t="str">
            <v/>
          </cell>
          <cell r="BO666" t="e">
            <v>#VALUE!</v>
          </cell>
          <cell r="BP666" t="e">
            <v>#VALUE!</v>
          </cell>
          <cell r="BQ666" t="e">
            <v>#VALUE!</v>
          </cell>
          <cell r="BR666" t="e">
            <v>#VALUE!</v>
          </cell>
          <cell r="BS666" t="e">
            <v>#VALUE!</v>
          </cell>
          <cell r="BT666">
            <v>0</v>
          </cell>
          <cell r="BU666" t="str">
            <v/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 t="e">
            <v>#VALUE!</v>
          </cell>
        </row>
        <row r="667">
          <cell r="A667" t="str">
            <v>50Q4</v>
          </cell>
          <cell r="B667" t="str">
            <v>Q4</v>
          </cell>
          <cell r="C667">
            <v>50</v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1</v>
          </cell>
          <cell r="BJ667">
            <v>0</v>
          </cell>
          <cell r="BK667">
            <v>0</v>
          </cell>
          <cell r="BM667" t="str">
            <v/>
          </cell>
          <cell r="BO667" t="e">
            <v>#VALUE!</v>
          </cell>
          <cell r="BP667" t="e">
            <v>#VALUE!</v>
          </cell>
          <cell r="BQ667" t="e">
            <v>#VALUE!</v>
          </cell>
          <cell r="BR667" t="e">
            <v>#VALUE!</v>
          </cell>
          <cell r="BS667" t="e">
            <v>#VALUE!</v>
          </cell>
          <cell r="BT667">
            <v>0</v>
          </cell>
          <cell r="BU667" t="str">
            <v/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 t="e">
            <v>#VALUE!</v>
          </cell>
        </row>
        <row r="668">
          <cell r="A668" t="str">
            <v>51Q4</v>
          </cell>
          <cell r="B668" t="str">
            <v>Q4</v>
          </cell>
          <cell r="C668">
            <v>51</v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1</v>
          </cell>
          <cell r="BJ668">
            <v>0</v>
          </cell>
          <cell r="BK668">
            <v>0</v>
          </cell>
          <cell r="BM668" t="str">
            <v/>
          </cell>
          <cell r="BO668" t="e">
            <v>#VALUE!</v>
          </cell>
          <cell r="BP668" t="e">
            <v>#VALUE!</v>
          </cell>
          <cell r="BQ668" t="e">
            <v>#VALUE!</v>
          </cell>
          <cell r="BR668" t="e">
            <v>#VALUE!</v>
          </cell>
          <cell r="BS668" t="e">
            <v>#VALUE!</v>
          </cell>
          <cell r="BT668">
            <v>0</v>
          </cell>
          <cell r="BU668" t="str">
            <v/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 t="e">
            <v>#VALUE!</v>
          </cell>
        </row>
        <row r="669">
          <cell r="A669" t="str">
            <v>52Q4</v>
          </cell>
          <cell r="B669" t="str">
            <v>Q4</v>
          </cell>
          <cell r="C669">
            <v>52</v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1</v>
          </cell>
          <cell r="BJ669">
            <v>0</v>
          </cell>
          <cell r="BK669">
            <v>0</v>
          </cell>
          <cell r="BM669" t="str">
            <v/>
          </cell>
          <cell r="BO669" t="e">
            <v>#VALUE!</v>
          </cell>
          <cell r="BP669" t="e">
            <v>#VALUE!</v>
          </cell>
          <cell r="BQ669" t="e">
            <v>#VALUE!</v>
          </cell>
          <cell r="BR669" t="e">
            <v>#VALUE!</v>
          </cell>
          <cell r="BS669" t="e">
            <v>#VALUE!</v>
          </cell>
          <cell r="BT669">
            <v>0</v>
          </cell>
          <cell r="BU669" t="str">
            <v/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 t="e">
            <v>#VALUE!</v>
          </cell>
        </row>
        <row r="670">
          <cell r="A670" t="str">
            <v>53Q4</v>
          </cell>
          <cell r="B670" t="str">
            <v>Q4</v>
          </cell>
          <cell r="C670">
            <v>53</v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1</v>
          </cell>
          <cell r="BJ670">
            <v>0</v>
          </cell>
          <cell r="BK670">
            <v>0</v>
          </cell>
          <cell r="BM670" t="str">
            <v/>
          </cell>
          <cell r="BO670" t="e">
            <v>#VALUE!</v>
          </cell>
          <cell r="BP670" t="e">
            <v>#VALUE!</v>
          </cell>
          <cell r="BQ670" t="e">
            <v>#VALUE!</v>
          </cell>
          <cell r="BR670" t="e">
            <v>#VALUE!</v>
          </cell>
          <cell r="BS670" t="e">
            <v>#VALUE!</v>
          </cell>
          <cell r="BT670">
            <v>0</v>
          </cell>
          <cell r="BU670" t="str">
            <v/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 t="e">
            <v>#VALUE!</v>
          </cell>
        </row>
        <row r="671">
          <cell r="A671" t="str">
            <v>54Q4</v>
          </cell>
          <cell r="B671" t="str">
            <v>Q4</v>
          </cell>
          <cell r="C671">
            <v>54</v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1</v>
          </cell>
          <cell r="BJ671">
            <v>0</v>
          </cell>
          <cell r="BK671">
            <v>0</v>
          </cell>
          <cell r="BM671" t="str">
            <v/>
          </cell>
          <cell r="BO671" t="e">
            <v>#VALUE!</v>
          </cell>
          <cell r="BP671" t="e">
            <v>#VALUE!</v>
          </cell>
          <cell r="BQ671" t="e">
            <v>#VALUE!</v>
          </cell>
          <cell r="BR671" t="e">
            <v>#VALUE!</v>
          </cell>
          <cell r="BS671" t="e">
            <v>#VALUE!</v>
          </cell>
          <cell r="BT671">
            <v>0</v>
          </cell>
          <cell r="BU671" t="str">
            <v/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 t="e">
            <v>#VALUE!</v>
          </cell>
        </row>
        <row r="672">
          <cell r="A672" t="str">
            <v>55Q4</v>
          </cell>
          <cell r="B672" t="str">
            <v>Q4</v>
          </cell>
          <cell r="C672">
            <v>55</v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1</v>
          </cell>
          <cell r="BJ672">
            <v>0</v>
          </cell>
          <cell r="BK672">
            <v>0</v>
          </cell>
          <cell r="BM672" t="str">
            <v/>
          </cell>
          <cell r="BO672" t="e">
            <v>#VALUE!</v>
          </cell>
          <cell r="BP672" t="e">
            <v>#VALUE!</v>
          </cell>
          <cell r="BQ672" t="e">
            <v>#VALUE!</v>
          </cell>
          <cell r="BR672" t="e">
            <v>#VALUE!</v>
          </cell>
          <cell r="BS672" t="e">
            <v>#VALUE!</v>
          </cell>
          <cell r="BT672">
            <v>0</v>
          </cell>
          <cell r="BU672" t="str">
            <v/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 t="e">
            <v>#VALUE!</v>
          </cell>
        </row>
        <row r="673">
          <cell r="A673" t="str">
            <v>56Q4</v>
          </cell>
          <cell r="B673" t="str">
            <v>Q4</v>
          </cell>
          <cell r="C673">
            <v>56</v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1</v>
          </cell>
          <cell r="BJ673">
            <v>0</v>
          </cell>
          <cell r="BK673">
            <v>0</v>
          </cell>
          <cell r="BM673" t="str">
            <v/>
          </cell>
          <cell r="BO673" t="e">
            <v>#VALUE!</v>
          </cell>
          <cell r="BP673" t="e">
            <v>#VALUE!</v>
          </cell>
          <cell r="BQ673" t="e">
            <v>#VALUE!</v>
          </cell>
          <cell r="BR673" t="e">
            <v>#VALUE!</v>
          </cell>
          <cell r="BS673" t="e">
            <v>#VALUE!</v>
          </cell>
          <cell r="BT673">
            <v>0</v>
          </cell>
          <cell r="BU673" t="str">
            <v/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 t="e">
            <v>#VALUE!</v>
          </cell>
        </row>
        <row r="674">
          <cell r="A674" t="str">
            <v>57Q4</v>
          </cell>
          <cell r="B674" t="str">
            <v>Q4</v>
          </cell>
          <cell r="C674">
            <v>57</v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1</v>
          </cell>
          <cell r="BJ674">
            <v>0</v>
          </cell>
          <cell r="BK674">
            <v>0</v>
          </cell>
          <cell r="BM674" t="str">
            <v/>
          </cell>
          <cell r="BO674" t="e">
            <v>#VALUE!</v>
          </cell>
          <cell r="BP674" t="e">
            <v>#VALUE!</v>
          </cell>
          <cell r="BQ674" t="e">
            <v>#VALUE!</v>
          </cell>
          <cell r="BR674" t="e">
            <v>#VALUE!</v>
          </cell>
          <cell r="BS674" t="e">
            <v>#VALUE!</v>
          </cell>
          <cell r="BT674">
            <v>0</v>
          </cell>
          <cell r="BU674" t="str">
            <v/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 t="e">
            <v>#VALUE!</v>
          </cell>
        </row>
        <row r="675">
          <cell r="A675" t="str">
            <v>58Q4</v>
          </cell>
          <cell r="B675" t="str">
            <v>Q4</v>
          </cell>
          <cell r="C675">
            <v>58</v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1</v>
          </cell>
          <cell r="BJ675">
            <v>0</v>
          </cell>
          <cell r="BK675">
            <v>0</v>
          </cell>
          <cell r="BM675" t="str">
            <v/>
          </cell>
          <cell r="BO675" t="e">
            <v>#VALUE!</v>
          </cell>
          <cell r="BP675" t="e">
            <v>#VALUE!</v>
          </cell>
          <cell r="BQ675" t="e">
            <v>#VALUE!</v>
          </cell>
          <cell r="BR675" t="e">
            <v>#VALUE!</v>
          </cell>
          <cell r="BS675" t="e">
            <v>#VALUE!</v>
          </cell>
          <cell r="BT675">
            <v>0</v>
          </cell>
          <cell r="BU675" t="str">
            <v/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 t="e">
            <v>#VALUE!</v>
          </cell>
        </row>
        <row r="676">
          <cell r="A676" t="str">
            <v>59Q4</v>
          </cell>
          <cell r="B676" t="str">
            <v>Q4</v>
          </cell>
          <cell r="C676">
            <v>59</v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1</v>
          </cell>
          <cell r="BJ676">
            <v>0</v>
          </cell>
          <cell r="BK676">
            <v>0</v>
          </cell>
          <cell r="BM676" t="str">
            <v/>
          </cell>
          <cell r="BO676" t="e">
            <v>#VALUE!</v>
          </cell>
          <cell r="BP676" t="e">
            <v>#VALUE!</v>
          </cell>
          <cell r="BQ676" t="e">
            <v>#VALUE!</v>
          </cell>
          <cell r="BR676" t="e">
            <v>#VALUE!</v>
          </cell>
          <cell r="BS676" t="e">
            <v>#VALUE!</v>
          </cell>
          <cell r="BT676">
            <v>0</v>
          </cell>
          <cell r="BU676" t="str">
            <v/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 t="e">
            <v>#VALUE!</v>
          </cell>
        </row>
        <row r="677">
          <cell r="A677" t="str">
            <v>60Q4</v>
          </cell>
          <cell r="B677" t="str">
            <v>Q4</v>
          </cell>
          <cell r="C677">
            <v>60</v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1</v>
          </cell>
          <cell r="BJ677">
            <v>0</v>
          </cell>
          <cell r="BK677">
            <v>0</v>
          </cell>
          <cell r="BM677" t="str">
            <v/>
          </cell>
          <cell r="BO677" t="e">
            <v>#VALUE!</v>
          </cell>
          <cell r="BP677" t="e">
            <v>#VALUE!</v>
          </cell>
          <cell r="BQ677" t="e">
            <v>#VALUE!</v>
          </cell>
          <cell r="BR677" t="e">
            <v>#VALUE!</v>
          </cell>
          <cell r="BS677" t="e">
            <v>#VALUE!</v>
          </cell>
          <cell r="BT677">
            <v>0</v>
          </cell>
          <cell r="BU677" t="str">
            <v/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 t="e">
            <v>#VALUE!</v>
          </cell>
        </row>
        <row r="678">
          <cell r="A678" t="str">
            <v>61Q4</v>
          </cell>
          <cell r="B678" t="str">
            <v>Q4</v>
          </cell>
          <cell r="C678">
            <v>61</v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1</v>
          </cell>
          <cell r="BJ678">
            <v>0</v>
          </cell>
          <cell r="BK678">
            <v>0</v>
          </cell>
          <cell r="BM678" t="str">
            <v/>
          </cell>
          <cell r="BO678" t="e">
            <v>#VALUE!</v>
          </cell>
          <cell r="BP678" t="e">
            <v>#VALUE!</v>
          </cell>
          <cell r="BQ678" t="e">
            <v>#VALUE!</v>
          </cell>
          <cell r="BR678" t="e">
            <v>#VALUE!</v>
          </cell>
          <cell r="BS678" t="e">
            <v>#VALUE!</v>
          </cell>
          <cell r="BT678">
            <v>0</v>
          </cell>
          <cell r="BU678" t="str">
            <v/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 t="e">
            <v>#VALUE!</v>
          </cell>
        </row>
        <row r="679">
          <cell r="A679" t="str">
            <v>62Q4</v>
          </cell>
          <cell r="B679" t="str">
            <v>Q4</v>
          </cell>
          <cell r="C679">
            <v>62</v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1</v>
          </cell>
          <cell r="BJ679">
            <v>0</v>
          </cell>
          <cell r="BK679">
            <v>0</v>
          </cell>
          <cell r="BM679" t="str">
            <v/>
          </cell>
          <cell r="BO679" t="e">
            <v>#VALUE!</v>
          </cell>
          <cell r="BP679" t="e">
            <v>#VALUE!</v>
          </cell>
          <cell r="BQ679" t="e">
            <v>#VALUE!</v>
          </cell>
          <cell r="BR679" t="e">
            <v>#VALUE!</v>
          </cell>
          <cell r="BS679" t="e">
            <v>#VALUE!</v>
          </cell>
          <cell r="BT679">
            <v>0</v>
          </cell>
          <cell r="BU679" t="str">
            <v/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 t="e">
            <v>#VALUE!</v>
          </cell>
        </row>
        <row r="680">
          <cell r="A680" t="str">
            <v>63Q4</v>
          </cell>
          <cell r="B680" t="str">
            <v>Q4</v>
          </cell>
          <cell r="C680">
            <v>63</v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1</v>
          </cell>
          <cell r="BJ680">
            <v>0</v>
          </cell>
          <cell r="BK680">
            <v>0</v>
          </cell>
          <cell r="BM680" t="str">
            <v/>
          </cell>
          <cell r="BO680" t="e">
            <v>#VALUE!</v>
          </cell>
          <cell r="BP680" t="e">
            <v>#VALUE!</v>
          </cell>
          <cell r="BQ680" t="e">
            <v>#VALUE!</v>
          </cell>
          <cell r="BR680" t="e">
            <v>#VALUE!</v>
          </cell>
          <cell r="BS680" t="e">
            <v>#VALUE!</v>
          </cell>
          <cell r="BT680">
            <v>0</v>
          </cell>
          <cell r="BU680" t="str">
            <v/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 t="e">
            <v>#VALUE!</v>
          </cell>
        </row>
        <row r="681">
          <cell r="A681" t="str">
            <v>64Q4</v>
          </cell>
          <cell r="B681" t="str">
            <v>Q4</v>
          </cell>
          <cell r="C681">
            <v>64</v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1</v>
          </cell>
          <cell r="BJ681">
            <v>0</v>
          </cell>
          <cell r="BK681">
            <v>0</v>
          </cell>
          <cell r="BM681" t="str">
            <v/>
          </cell>
          <cell r="BO681" t="e">
            <v>#VALUE!</v>
          </cell>
          <cell r="BP681" t="e">
            <v>#VALUE!</v>
          </cell>
          <cell r="BQ681" t="e">
            <v>#VALUE!</v>
          </cell>
          <cell r="BR681" t="e">
            <v>#VALUE!</v>
          </cell>
          <cell r="BS681" t="e">
            <v>#VALUE!</v>
          </cell>
          <cell r="BT681">
            <v>0</v>
          </cell>
          <cell r="BU681" t="str">
            <v/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 t="e">
            <v>#VALUE!</v>
          </cell>
        </row>
        <row r="682">
          <cell r="A682" t="str">
            <v>65Q4</v>
          </cell>
          <cell r="B682" t="str">
            <v>Q4</v>
          </cell>
          <cell r="C682">
            <v>65</v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1</v>
          </cell>
          <cell r="BJ682">
            <v>0</v>
          </cell>
          <cell r="BK682">
            <v>0</v>
          </cell>
          <cell r="BM682" t="str">
            <v/>
          </cell>
          <cell r="BO682" t="e">
            <v>#VALUE!</v>
          </cell>
          <cell r="BP682" t="e">
            <v>#VALUE!</v>
          </cell>
          <cell r="BQ682" t="e">
            <v>#VALUE!</v>
          </cell>
          <cell r="BR682" t="e">
            <v>#VALUE!</v>
          </cell>
          <cell r="BS682" t="e">
            <v>#VALUE!</v>
          </cell>
          <cell r="BT682">
            <v>0</v>
          </cell>
          <cell r="BU682" t="str">
            <v/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 t="e">
            <v>#VALUE!</v>
          </cell>
        </row>
        <row r="683">
          <cell r="A683" t="str">
            <v>66Q4</v>
          </cell>
          <cell r="B683" t="str">
            <v>Q4</v>
          </cell>
          <cell r="C683">
            <v>66</v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1</v>
          </cell>
          <cell r="BJ683">
            <v>0</v>
          </cell>
          <cell r="BK683">
            <v>0</v>
          </cell>
          <cell r="BM683" t="str">
            <v/>
          </cell>
          <cell r="BO683" t="e">
            <v>#VALUE!</v>
          </cell>
          <cell r="BP683" t="e">
            <v>#VALUE!</v>
          </cell>
          <cell r="BQ683" t="e">
            <v>#VALUE!</v>
          </cell>
          <cell r="BR683" t="e">
            <v>#VALUE!</v>
          </cell>
          <cell r="BS683" t="e">
            <v>#VALUE!</v>
          </cell>
          <cell r="BT683">
            <v>0</v>
          </cell>
          <cell r="BU683" t="str">
            <v/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 t="e">
            <v>#VALUE!</v>
          </cell>
        </row>
        <row r="684">
          <cell r="A684" t="str">
            <v>67Q4</v>
          </cell>
          <cell r="B684" t="str">
            <v>Q4</v>
          </cell>
          <cell r="C684">
            <v>67</v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1</v>
          </cell>
          <cell r="BJ684">
            <v>0</v>
          </cell>
          <cell r="BK684">
            <v>0</v>
          </cell>
          <cell r="BM684" t="str">
            <v/>
          </cell>
          <cell r="BO684" t="e">
            <v>#VALUE!</v>
          </cell>
          <cell r="BP684" t="e">
            <v>#VALUE!</v>
          </cell>
          <cell r="BQ684" t="e">
            <v>#VALUE!</v>
          </cell>
          <cell r="BR684" t="e">
            <v>#VALUE!</v>
          </cell>
          <cell r="BS684" t="e">
            <v>#VALUE!</v>
          </cell>
          <cell r="BT684">
            <v>0</v>
          </cell>
          <cell r="BU684" t="str">
            <v/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 t="e">
            <v>#VALUE!</v>
          </cell>
        </row>
        <row r="685">
          <cell r="A685" t="str">
            <v>68Q4</v>
          </cell>
          <cell r="B685" t="str">
            <v>Q4</v>
          </cell>
          <cell r="C685">
            <v>68</v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1</v>
          </cell>
          <cell r="BJ685">
            <v>0</v>
          </cell>
          <cell r="BK685">
            <v>0</v>
          </cell>
          <cell r="BM685" t="str">
            <v/>
          </cell>
          <cell r="BO685" t="e">
            <v>#VALUE!</v>
          </cell>
          <cell r="BP685" t="e">
            <v>#VALUE!</v>
          </cell>
          <cell r="BQ685" t="e">
            <v>#VALUE!</v>
          </cell>
          <cell r="BR685" t="e">
            <v>#VALUE!</v>
          </cell>
          <cell r="BS685" t="e">
            <v>#VALUE!</v>
          </cell>
          <cell r="BT685">
            <v>0</v>
          </cell>
          <cell r="BU685" t="str">
            <v/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 t="e">
            <v>#VALUE!</v>
          </cell>
        </row>
        <row r="686">
          <cell r="A686" t="str">
            <v>69Q4</v>
          </cell>
          <cell r="B686" t="str">
            <v>Q4</v>
          </cell>
          <cell r="C686">
            <v>69</v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1</v>
          </cell>
          <cell r="BJ686">
            <v>0</v>
          </cell>
          <cell r="BK686">
            <v>0</v>
          </cell>
          <cell r="BM686" t="str">
            <v/>
          </cell>
          <cell r="BO686" t="e">
            <v>#VALUE!</v>
          </cell>
          <cell r="BP686" t="e">
            <v>#VALUE!</v>
          </cell>
          <cell r="BQ686" t="e">
            <v>#VALUE!</v>
          </cell>
          <cell r="BR686" t="e">
            <v>#VALUE!</v>
          </cell>
          <cell r="BS686" t="e">
            <v>#VALUE!</v>
          </cell>
          <cell r="BT686">
            <v>0</v>
          </cell>
          <cell r="BU686" t="str">
            <v/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 t="e">
            <v>#VALUE!</v>
          </cell>
        </row>
        <row r="687">
          <cell r="A687" t="str">
            <v>70Q4</v>
          </cell>
          <cell r="B687" t="str">
            <v>Q4</v>
          </cell>
          <cell r="C687">
            <v>70</v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1</v>
          </cell>
          <cell r="BJ687">
            <v>0</v>
          </cell>
          <cell r="BK687">
            <v>0</v>
          </cell>
          <cell r="BM687" t="str">
            <v/>
          </cell>
          <cell r="BO687" t="e">
            <v>#VALUE!</v>
          </cell>
          <cell r="BP687" t="e">
            <v>#VALUE!</v>
          </cell>
          <cell r="BQ687" t="e">
            <v>#VALUE!</v>
          </cell>
          <cell r="BR687" t="e">
            <v>#VALUE!</v>
          </cell>
          <cell r="BS687" t="e">
            <v>#VALUE!</v>
          </cell>
          <cell r="BT687">
            <v>0</v>
          </cell>
          <cell r="BU687" t="str">
            <v/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 t="e">
            <v>#VALUE!</v>
          </cell>
        </row>
        <row r="688">
          <cell r="A688" t="str">
            <v>71Q4</v>
          </cell>
          <cell r="B688" t="str">
            <v>Q4</v>
          </cell>
          <cell r="C688">
            <v>71</v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1</v>
          </cell>
          <cell r="BJ688">
            <v>0</v>
          </cell>
          <cell r="BK688">
            <v>0</v>
          </cell>
          <cell r="BM688" t="str">
            <v/>
          </cell>
          <cell r="BO688" t="e">
            <v>#VALUE!</v>
          </cell>
          <cell r="BP688" t="e">
            <v>#VALUE!</v>
          </cell>
          <cell r="BQ688" t="e">
            <v>#VALUE!</v>
          </cell>
          <cell r="BR688" t="e">
            <v>#VALUE!</v>
          </cell>
          <cell r="BS688" t="e">
            <v>#VALUE!</v>
          </cell>
          <cell r="BT688">
            <v>0</v>
          </cell>
          <cell r="BU688" t="str">
            <v/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 t="e">
            <v>#VALUE!</v>
          </cell>
        </row>
        <row r="689">
          <cell r="A689" t="str">
            <v>72Q4</v>
          </cell>
          <cell r="B689" t="str">
            <v>Q4</v>
          </cell>
          <cell r="C689">
            <v>72</v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1</v>
          </cell>
          <cell r="BJ689">
            <v>0</v>
          </cell>
          <cell r="BK689">
            <v>0</v>
          </cell>
          <cell r="BM689" t="str">
            <v/>
          </cell>
          <cell r="BO689" t="e">
            <v>#VALUE!</v>
          </cell>
          <cell r="BP689" t="e">
            <v>#VALUE!</v>
          </cell>
          <cell r="BQ689" t="e">
            <v>#VALUE!</v>
          </cell>
          <cell r="BR689" t="e">
            <v>#VALUE!</v>
          </cell>
          <cell r="BS689" t="e">
            <v>#VALUE!</v>
          </cell>
          <cell r="BT689">
            <v>0</v>
          </cell>
          <cell r="BU689" t="str">
            <v/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 t="e">
            <v>#VALUE!</v>
          </cell>
        </row>
        <row r="690">
          <cell r="A690" t="str">
            <v>73Q4</v>
          </cell>
          <cell r="B690" t="str">
            <v>Q4</v>
          </cell>
          <cell r="C690">
            <v>73</v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1</v>
          </cell>
          <cell r="BJ690">
            <v>0</v>
          </cell>
          <cell r="BK690">
            <v>0</v>
          </cell>
          <cell r="BM690" t="str">
            <v/>
          </cell>
          <cell r="BO690" t="e">
            <v>#VALUE!</v>
          </cell>
          <cell r="BP690" t="e">
            <v>#VALUE!</v>
          </cell>
          <cell r="BQ690" t="e">
            <v>#VALUE!</v>
          </cell>
          <cell r="BR690" t="e">
            <v>#VALUE!</v>
          </cell>
          <cell r="BS690" t="e">
            <v>#VALUE!</v>
          </cell>
          <cell r="BT690">
            <v>0</v>
          </cell>
          <cell r="BU690" t="str">
            <v/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 t="e">
            <v>#VALUE!</v>
          </cell>
        </row>
        <row r="691">
          <cell r="A691" t="str">
            <v>74Q4</v>
          </cell>
          <cell r="B691" t="str">
            <v>Q4</v>
          </cell>
          <cell r="C691">
            <v>74</v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1</v>
          </cell>
          <cell r="BJ691">
            <v>0</v>
          </cell>
          <cell r="BK691">
            <v>0</v>
          </cell>
          <cell r="BM691" t="str">
            <v/>
          </cell>
          <cell r="BO691" t="e">
            <v>#VALUE!</v>
          </cell>
          <cell r="BP691" t="e">
            <v>#VALUE!</v>
          </cell>
          <cell r="BQ691" t="e">
            <v>#VALUE!</v>
          </cell>
          <cell r="BR691" t="e">
            <v>#VALUE!</v>
          </cell>
          <cell r="BS691" t="e">
            <v>#VALUE!</v>
          </cell>
          <cell r="BT691">
            <v>0</v>
          </cell>
          <cell r="BU691" t="str">
            <v/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 t="e">
            <v>#VALUE!</v>
          </cell>
        </row>
        <row r="692">
          <cell r="A692" t="str">
            <v>75Q4</v>
          </cell>
          <cell r="B692" t="str">
            <v>Q4</v>
          </cell>
          <cell r="C692">
            <v>75</v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1</v>
          </cell>
          <cell r="BJ692">
            <v>0</v>
          </cell>
          <cell r="BK692">
            <v>0</v>
          </cell>
          <cell r="BM692" t="str">
            <v/>
          </cell>
          <cell r="BO692" t="e">
            <v>#VALUE!</v>
          </cell>
          <cell r="BP692" t="e">
            <v>#VALUE!</v>
          </cell>
          <cell r="BQ692" t="e">
            <v>#VALUE!</v>
          </cell>
          <cell r="BR692" t="e">
            <v>#VALUE!</v>
          </cell>
          <cell r="BS692" t="e">
            <v>#VALUE!</v>
          </cell>
          <cell r="BT692">
            <v>0</v>
          </cell>
          <cell r="BU692" t="str">
            <v/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 t="e">
            <v>#VALUE!</v>
          </cell>
        </row>
        <row r="693">
          <cell r="A693" t="str">
            <v>76Q4</v>
          </cell>
          <cell r="B693" t="str">
            <v>Q4</v>
          </cell>
          <cell r="C693">
            <v>76</v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1</v>
          </cell>
          <cell r="BJ693">
            <v>0</v>
          </cell>
          <cell r="BK693">
            <v>0</v>
          </cell>
          <cell r="BM693" t="str">
            <v/>
          </cell>
          <cell r="BO693" t="e">
            <v>#VALUE!</v>
          </cell>
          <cell r="BP693" t="e">
            <v>#VALUE!</v>
          </cell>
          <cell r="BQ693" t="e">
            <v>#VALUE!</v>
          </cell>
          <cell r="BR693" t="e">
            <v>#VALUE!</v>
          </cell>
          <cell r="BS693" t="e">
            <v>#VALUE!</v>
          </cell>
          <cell r="BT693">
            <v>0</v>
          </cell>
          <cell r="BU693" t="str">
            <v/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 t="e">
            <v>#VALUE!</v>
          </cell>
        </row>
        <row r="694">
          <cell r="A694" t="str">
            <v>77Q4</v>
          </cell>
          <cell r="B694" t="str">
            <v>Q4</v>
          </cell>
          <cell r="C694">
            <v>77</v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1</v>
          </cell>
          <cell r="BJ694">
            <v>0</v>
          </cell>
          <cell r="BK694">
            <v>0</v>
          </cell>
          <cell r="BM694" t="str">
            <v/>
          </cell>
          <cell r="BO694" t="e">
            <v>#VALUE!</v>
          </cell>
          <cell r="BP694" t="e">
            <v>#VALUE!</v>
          </cell>
          <cell r="BQ694" t="e">
            <v>#VALUE!</v>
          </cell>
          <cell r="BR694" t="e">
            <v>#VALUE!</v>
          </cell>
          <cell r="BS694" t="e">
            <v>#VALUE!</v>
          </cell>
          <cell r="BT694">
            <v>0</v>
          </cell>
          <cell r="BU694" t="str">
            <v/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 t="e">
            <v>#VALUE!</v>
          </cell>
        </row>
        <row r="695">
          <cell r="A695" t="str">
            <v>78Q4</v>
          </cell>
          <cell r="B695" t="str">
            <v>Q4</v>
          </cell>
          <cell r="C695">
            <v>78</v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1</v>
          </cell>
          <cell r="BJ695">
            <v>0</v>
          </cell>
          <cell r="BK695">
            <v>0</v>
          </cell>
          <cell r="BM695" t="str">
            <v/>
          </cell>
          <cell r="BO695" t="e">
            <v>#VALUE!</v>
          </cell>
          <cell r="BP695" t="e">
            <v>#VALUE!</v>
          </cell>
          <cell r="BQ695" t="e">
            <v>#VALUE!</v>
          </cell>
          <cell r="BR695" t="e">
            <v>#VALUE!</v>
          </cell>
          <cell r="BS695" t="e">
            <v>#VALUE!</v>
          </cell>
          <cell r="BT695">
            <v>0</v>
          </cell>
          <cell r="BU695" t="str">
            <v/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 t="e">
            <v>#VALUE!</v>
          </cell>
        </row>
        <row r="696">
          <cell r="A696" t="str">
            <v>79Q4</v>
          </cell>
          <cell r="B696" t="str">
            <v>Q4</v>
          </cell>
          <cell r="C696">
            <v>79</v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1</v>
          </cell>
          <cell r="BJ696">
            <v>0</v>
          </cell>
          <cell r="BK696">
            <v>0</v>
          </cell>
          <cell r="BM696" t="str">
            <v/>
          </cell>
          <cell r="BO696" t="e">
            <v>#VALUE!</v>
          </cell>
          <cell r="BP696" t="e">
            <v>#VALUE!</v>
          </cell>
          <cell r="BQ696" t="e">
            <v>#VALUE!</v>
          </cell>
          <cell r="BR696" t="e">
            <v>#VALUE!</v>
          </cell>
          <cell r="BS696" t="e">
            <v>#VALUE!</v>
          </cell>
          <cell r="BT696">
            <v>0</v>
          </cell>
          <cell r="BU696" t="str">
            <v/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 t="e">
            <v>#VALUE!</v>
          </cell>
        </row>
        <row r="697">
          <cell r="A697" t="str">
            <v>80Q4</v>
          </cell>
          <cell r="B697" t="str">
            <v>Q4</v>
          </cell>
          <cell r="C697">
            <v>80</v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1</v>
          </cell>
          <cell r="BJ697">
            <v>0</v>
          </cell>
          <cell r="BK697">
            <v>0</v>
          </cell>
          <cell r="BM697" t="str">
            <v/>
          </cell>
          <cell r="BO697" t="e">
            <v>#VALUE!</v>
          </cell>
          <cell r="BP697" t="e">
            <v>#VALUE!</v>
          </cell>
          <cell r="BQ697" t="e">
            <v>#VALUE!</v>
          </cell>
          <cell r="BR697" t="e">
            <v>#VALUE!</v>
          </cell>
          <cell r="BS697" t="e">
            <v>#VALUE!</v>
          </cell>
          <cell r="BT697">
            <v>0</v>
          </cell>
          <cell r="BU697" t="str">
            <v/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 t="e">
            <v>#VALUE!</v>
          </cell>
        </row>
        <row r="698">
          <cell r="A698" t="str">
            <v>81Q4</v>
          </cell>
          <cell r="B698" t="str">
            <v>Q4</v>
          </cell>
          <cell r="C698">
            <v>81</v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1</v>
          </cell>
          <cell r="BJ698">
            <v>0</v>
          </cell>
          <cell r="BK698">
            <v>0</v>
          </cell>
          <cell r="BM698" t="str">
            <v/>
          </cell>
          <cell r="BO698" t="e">
            <v>#VALUE!</v>
          </cell>
          <cell r="BP698" t="e">
            <v>#VALUE!</v>
          </cell>
          <cell r="BQ698" t="e">
            <v>#VALUE!</v>
          </cell>
          <cell r="BR698" t="e">
            <v>#VALUE!</v>
          </cell>
          <cell r="BS698" t="e">
            <v>#VALUE!</v>
          </cell>
          <cell r="BT698">
            <v>0</v>
          </cell>
          <cell r="BU698" t="str">
            <v/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 t="e">
            <v>#VALUE!</v>
          </cell>
        </row>
        <row r="699">
          <cell r="A699" t="str">
            <v>82Q4</v>
          </cell>
          <cell r="B699" t="str">
            <v>Q4</v>
          </cell>
          <cell r="C699">
            <v>82</v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1</v>
          </cell>
          <cell r="BJ699">
            <v>0</v>
          </cell>
          <cell r="BK699">
            <v>0</v>
          </cell>
          <cell r="BM699" t="str">
            <v/>
          </cell>
          <cell r="BO699" t="e">
            <v>#VALUE!</v>
          </cell>
          <cell r="BP699" t="e">
            <v>#VALUE!</v>
          </cell>
          <cell r="BQ699" t="e">
            <v>#VALUE!</v>
          </cell>
          <cell r="BR699" t="e">
            <v>#VALUE!</v>
          </cell>
          <cell r="BS699" t="e">
            <v>#VALUE!</v>
          </cell>
          <cell r="BT699">
            <v>0</v>
          </cell>
          <cell r="BU699" t="str">
            <v/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 t="e">
            <v>#VALUE!</v>
          </cell>
        </row>
        <row r="700">
          <cell r="A700" t="str">
            <v>83Q4</v>
          </cell>
          <cell r="B700" t="str">
            <v>Q4</v>
          </cell>
          <cell r="C700">
            <v>83</v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1</v>
          </cell>
          <cell r="BJ700">
            <v>0</v>
          </cell>
          <cell r="BK700">
            <v>0</v>
          </cell>
          <cell r="BM700" t="str">
            <v/>
          </cell>
          <cell r="BO700" t="e">
            <v>#VALUE!</v>
          </cell>
          <cell r="BP700" t="e">
            <v>#VALUE!</v>
          </cell>
          <cell r="BQ700" t="e">
            <v>#VALUE!</v>
          </cell>
          <cell r="BR700" t="e">
            <v>#VALUE!</v>
          </cell>
          <cell r="BS700" t="e">
            <v>#VALUE!</v>
          </cell>
          <cell r="BT700">
            <v>0</v>
          </cell>
          <cell r="BU700" t="str">
            <v/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 t="e">
            <v>#VALUE!</v>
          </cell>
        </row>
        <row r="701">
          <cell r="A701" t="str">
            <v>84Q4</v>
          </cell>
          <cell r="B701" t="str">
            <v>Q4</v>
          </cell>
          <cell r="C701">
            <v>84</v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1</v>
          </cell>
          <cell r="BJ701">
            <v>0</v>
          </cell>
          <cell r="BK701">
            <v>0</v>
          </cell>
          <cell r="BM701" t="str">
            <v/>
          </cell>
          <cell r="BO701" t="e">
            <v>#VALUE!</v>
          </cell>
          <cell r="BP701" t="e">
            <v>#VALUE!</v>
          </cell>
          <cell r="BQ701" t="e">
            <v>#VALUE!</v>
          </cell>
          <cell r="BR701" t="e">
            <v>#VALUE!</v>
          </cell>
          <cell r="BS701" t="e">
            <v>#VALUE!</v>
          </cell>
          <cell r="BT701">
            <v>0</v>
          </cell>
          <cell r="BU701" t="str">
            <v/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 t="e">
            <v>#VALUE!</v>
          </cell>
        </row>
        <row r="702">
          <cell r="A702" t="str">
            <v>85Q4</v>
          </cell>
          <cell r="B702" t="str">
            <v>Q4</v>
          </cell>
          <cell r="C702">
            <v>85</v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1</v>
          </cell>
          <cell r="BJ702">
            <v>0</v>
          </cell>
          <cell r="BK702">
            <v>0</v>
          </cell>
          <cell r="BM702" t="str">
            <v/>
          </cell>
          <cell r="BO702" t="e">
            <v>#VALUE!</v>
          </cell>
          <cell r="BP702" t="e">
            <v>#VALUE!</v>
          </cell>
          <cell r="BQ702" t="e">
            <v>#VALUE!</v>
          </cell>
          <cell r="BR702" t="e">
            <v>#VALUE!</v>
          </cell>
          <cell r="BS702" t="e">
            <v>#VALUE!</v>
          </cell>
          <cell r="BT702">
            <v>0</v>
          </cell>
          <cell r="BU702" t="str">
            <v/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 t="e">
            <v>#VALUE!</v>
          </cell>
        </row>
        <row r="703">
          <cell r="A703" t="str">
            <v>86Q4</v>
          </cell>
          <cell r="B703" t="str">
            <v>Q4</v>
          </cell>
          <cell r="C703">
            <v>86</v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1</v>
          </cell>
          <cell r="BJ703">
            <v>0</v>
          </cell>
          <cell r="BK703">
            <v>0</v>
          </cell>
          <cell r="BM703" t="str">
            <v/>
          </cell>
          <cell r="BO703" t="e">
            <v>#VALUE!</v>
          </cell>
          <cell r="BP703" t="e">
            <v>#VALUE!</v>
          </cell>
          <cell r="BQ703" t="e">
            <v>#VALUE!</v>
          </cell>
          <cell r="BR703" t="e">
            <v>#VALUE!</v>
          </cell>
          <cell r="BS703" t="e">
            <v>#VALUE!</v>
          </cell>
          <cell r="BT703">
            <v>0</v>
          </cell>
          <cell r="BU703" t="str">
            <v/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 t="e">
            <v>#VALUE!</v>
          </cell>
        </row>
        <row r="704">
          <cell r="A704" t="str">
            <v>87Q4</v>
          </cell>
          <cell r="B704" t="str">
            <v>Q4</v>
          </cell>
          <cell r="C704">
            <v>87</v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1</v>
          </cell>
          <cell r="BJ704">
            <v>0</v>
          </cell>
          <cell r="BK704">
            <v>0</v>
          </cell>
          <cell r="BM704" t="str">
            <v/>
          </cell>
          <cell r="BO704" t="e">
            <v>#VALUE!</v>
          </cell>
          <cell r="BP704" t="e">
            <v>#VALUE!</v>
          </cell>
          <cell r="BQ704" t="e">
            <v>#VALUE!</v>
          </cell>
          <cell r="BR704" t="e">
            <v>#VALUE!</v>
          </cell>
          <cell r="BS704" t="e">
            <v>#VALUE!</v>
          </cell>
          <cell r="BT704">
            <v>0</v>
          </cell>
          <cell r="BU704" t="str">
            <v/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 t="e">
            <v>#VALUE!</v>
          </cell>
        </row>
        <row r="705">
          <cell r="A705" t="str">
            <v>88Q4</v>
          </cell>
          <cell r="B705" t="str">
            <v>Q4</v>
          </cell>
          <cell r="C705">
            <v>88</v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1</v>
          </cell>
          <cell r="BJ705">
            <v>0</v>
          </cell>
          <cell r="BK705">
            <v>0</v>
          </cell>
          <cell r="BM705" t="str">
            <v/>
          </cell>
          <cell r="BO705" t="e">
            <v>#VALUE!</v>
          </cell>
          <cell r="BP705" t="e">
            <v>#VALUE!</v>
          </cell>
          <cell r="BQ705" t="e">
            <v>#VALUE!</v>
          </cell>
          <cell r="BR705" t="e">
            <v>#VALUE!</v>
          </cell>
          <cell r="BS705" t="e">
            <v>#VALUE!</v>
          </cell>
          <cell r="BT705">
            <v>0</v>
          </cell>
          <cell r="BU705" t="str">
            <v/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 t="e">
            <v>#VALUE!</v>
          </cell>
        </row>
        <row r="706">
          <cell r="A706" t="str">
            <v>89Q4</v>
          </cell>
          <cell r="B706" t="str">
            <v>Q4</v>
          </cell>
          <cell r="C706">
            <v>89</v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1</v>
          </cell>
          <cell r="BJ706">
            <v>0</v>
          </cell>
          <cell r="BK706">
            <v>0</v>
          </cell>
          <cell r="BM706" t="str">
            <v/>
          </cell>
          <cell r="BO706" t="e">
            <v>#VALUE!</v>
          </cell>
          <cell r="BP706" t="e">
            <v>#VALUE!</v>
          </cell>
          <cell r="BQ706" t="e">
            <v>#VALUE!</v>
          </cell>
          <cell r="BR706" t="e">
            <v>#VALUE!</v>
          </cell>
          <cell r="BS706" t="e">
            <v>#VALUE!</v>
          </cell>
          <cell r="BT706">
            <v>0</v>
          </cell>
          <cell r="BU706" t="str">
            <v/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 t="e">
            <v>#VALUE!</v>
          </cell>
        </row>
        <row r="707">
          <cell r="A707" t="str">
            <v>90Q4</v>
          </cell>
          <cell r="B707" t="str">
            <v>Q4</v>
          </cell>
          <cell r="C707">
            <v>90</v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1</v>
          </cell>
          <cell r="BJ707">
            <v>0</v>
          </cell>
          <cell r="BK707">
            <v>0</v>
          </cell>
          <cell r="BM707" t="str">
            <v/>
          </cell>
          <cell r="BO707" t="e">
            <v>#VALUE!</v>
          </cell>
          <cell r="BP707" t="e">
            <v>#VALUE!</v>
          </cell>
          <cell r="BQ707" t="e">
            <v>#VALUE!</v>
          </cell>
          <cell r="BR707" t="e">
            <v>#VALUE!</v>
          </cell>
          <cell r="BS707" t="e">
            <v>#VALUE!</v>
          </cell>
          <cell r="BT707">
            <v>0</v>
          </cell>
          <cell r="BU707" t="str">
            <v/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 t="e">
            <v>#VALUE!</v>
          </cell>
        </row>
        <row r="708">
          <cell r="A708" t="str">
            <v>91Q4</v>
          </cell>
          <cell r="B708" t="str">
            <v>Q4</v>
          </cell>
          <cell r="C708">
            <v>91</v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1</v>
          </cell>
          <cell r="BJ708">
            <v>0</v>
          </cell>
          <cell r="BK708">
            <v>0</v>
          </cell>
          <cell r="BM708" t="str">
            <v/>
          </cell>
          <cell r="BO708" t="e">
            <v>#VALUE!</v>
          </cell>
          <cell r="BP708" t="e">
            <v>#VALUE!</v>
          </cell>
          <cell r="BQ708" t="e">
            <v>#VALUE!</v>
          </cell>
          <cell r="BR708" t="e">
            <v>#VALUE!</v>
          </cell>
          <cell r="BS708" t="e">
            <v>#VALUE!</v>
          </cell>
          <cell r="BT708">
            <v>0</v>
          </cell>
          <cell r="BU708" t="str">
            <v/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 t="e">
            <v>#VALUE!</v>
          </cell>
        </row>
        <row r="709">
          <cell r="A709" t="str">
            <v>92Q4</v>
          </cell>
          <cell r="B709" t="str">
            <v>Q4</v>
          </cell>
          <cell r="C709">
            <v>92</v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1</v>
          </cell>
          <cell r="BJ709">
            <v>0</v>
          </cell>
          <cell r="BK709">
            <v>0</v>
          </cell>
          <cell r="BM709" t="str">
            <v/>
          </cell>
          <cell r="BO709" t="e">
            <v>#VALUE!</v>
          </cell>
          <cell r="BP709" t="e">
            <v>#VALUE!</v>
          </cell>
          <cell r="BQ709" t="e">
            <v>#VALUE!</v>
          </cell>
          <cell r="BR709" t="e">
            <v>#VALUE!</v>
          </cell>
          <cell r="BS709" t="e">
            <v>#VALUE!</v>
          </cell>
          <cell r="BT709">
            <v>0</v>
          </cell>
          <cell r="BU709" t="str">
            <v/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 t="e">
            <v>#VALUE!</v>
          </cell>
        </row>
        <row r="710">
          <cell r="A710" t="str">
            <v>93Q4</v>
          </cell>
          <cell r="B710" t="str">
            <v>Q4</v>
          </cell>
          <cell r="C710">
            <v>93</v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1</v>
          </cell>
          <cell r="BJ710">
            <v>0</v>
          </cell>
          <cell r="BK710">
            <v>0</v>
          </cell>
          <cell r="BM710" t="str">
            <v/>
          </cell>
          <cell r="BO710" t="e">
            <v>#VALUE!</v>
          </cell>
          <cell r="BP710" t="e">
            <v>#VALUE!</v>
          </cell>
          <cell r="BQ710" t="e">
            <v>#VALUE!</v>
          </cell>
          <cell r="BR710" t="e">
            <v>#VALUE!</v>
          </cell>
          <cell r="BS710" t="e">
            <v>#VALUE!</v>
          </cell>
          <cell r="BT710">
            <v>0</v>
          </cell>
          <cell r="BU710" t="str">
            <v/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 t="e">
            <v>#VALUE!</v>
          </cell>
        </row>
        <row r="711">
          <cell r="A711" t="str">
            <v>94Q4</v>
          </cell>
          <cell r="B711" t="str">
            <v>Q4</v>
          </cell>
          <cell r="C711">
            <v>94</v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1</v>
          </cell>
          <cell r="BJ711">
            <v>0</v>
          </cell>
          <cell r="BK711">
            <v>0</v>
          </cell>
          <cell r="BM711" t="str">
            <v/>
          </cell>
          <cell r="BO711" t="e">
            <v>#VALUE!</v>
          </cell>
          <cell r="BP711" t="e">
            <v>#VALUE!</v>
          </cell>
          <cell r="BQ711" t="e">
            <v>#VALUE!</v>
          </cell>
          <cell r="BR711" t="e">
            <v>#VALUE!</v>
          </cell>
          <cell r="BS711" t="e">
            <v>#VALUE!</v>
          </cell>
          <cell r="BT711">
            <v>0</v>
          </cell>
          <cell r="BU711" t="str">
            <v/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 t="e">
            <v>#VALUE!</v>
          </cell>
        </row>
        <row r="712">
          <cell r="A712" t="str">
            <v>95Q4</v>
          </cell>
          <cell r="B712" t="str">
            <v>Q4</v>
          </cell>
          <cell r="C712">
            <v>95</v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1</v>
          </cell>
          <cell r="BJ712">
            <v>0</v>
          </cell>
          <cell r="BK712">
            <v>0</v>
          </cell>
          <cell r="BM712" t="str">
            <v/>
          </cell>
          <cell r="BO712" t="e">
            <v>#VALUE!</v>
          </cell>
          <cell r="BP712" t="e">
            <v>#VALUE!</v>
          </cell>
          <cell r="BQ712" t="e">
            <v>#VALUE!</v>
          </cell>
          <cell r="BR712" t="e">
            <v>#VALUE!</v>
          </cell>
          <cell r="BS712" t="e">
            <v>#VALUE!</v>
          </cell>
          <cell r="BT712">
            <v>0</v>
          </cell>
          <cell r="BU712" t="str">
            <v/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 t="e">
            <v>#VALUE!</v>
          </cell>
        </row>
        <row r="713">
          <cell r="A713" t="str">
            <v>96Q4</v>
          </cell>
          <cell r="B713" t="str">
            <v>Q4</v>
          </cell>
          <cell r="C713">
            <v>96</v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1</v>
          </cell>
          <cell r="BJ713">
            <v>0</v>
          </cell>
          <cell r="BK713">
            <v>0</v>
          </cell>
          <cell r="BM713" t="str">
            <v/>
          </cell>
          <cell r="BO713" t="e">
            <v>#VALUE!</v>
          </cell>
          <cell r="BP713" t="e">
            <v>#VALUE!</v>
          </cell>
          <cell r="BQ713" t="e">
            <v>#VALUE!</v>
          </cell>
          <cell r="BR713" t="e">
            <v>#VALUE!</v>
          </cell>
          <cell r="BS713" t="e">
            <v>#VALUE!</v>
          </cell>
          <cell r="BT713">
            <v>0</v>
          </cell>
          <cell r="BU713" t="str">
            <v/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 t="e">
            <v>#VALUE!</v>
          </cell>
        </row>
        <row r="714">
          <cell r="A714" t="str">
            <v>97Q4</v>
          </cell>
          <cell r="B714" t="str">
            <v>Q4</v>
          </cell>
          <cell r="C714">
            <v>97</v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1</v>
          </cell>
          <cell r="BJ714">
            <v>0</v>
          </cell>
          <cell r="BK714">
            <v>0</v>
          </cell>
          <cell r="BM714" t="str">
            <v/>
          </cell>
          <cell r="BO714" t="e">
            <v>#VALUE!</v>
          </cell>
          <cell r="BP714" t="e">
            <v>#VALUE!</v>
          </cell>
          <cell r="BQ714" t="e">
            <v>#VALUE!</v>
          </cell>
          <cell r="BR714" t="e">
            <v>#VALUE!</v>
          </cell>
          <cell r="BS714" t="e">
            <v>#VALUE!</v>
          </cell>
          <cell r="BT714">
            <v>0</v>
          </cell>
          <cell r="BU714" t="str">
            <v/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 t="e">
            <v>#VALUE!</v>
          </cell>
        </row>
        <row r="715">
          <cell r="A715" t="str">
            <v>98Q4</v>
          </cell>
          <cell r="B715" t="str">
            <v>Q4</v>
          </cell>
          <cell r="C715">
            <v>98</v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1</v>
          </cell>
          <cell r="BJ715">
            <v>0</v>
          </cell>
          <cell r="BK715">
            <v>0</v>
          </cell>
          <cell r="BM715" t="str">
            <v/>
          </cell>
          <cell r="BO715" t="e">
            <v>#VALUE!</v>
          </cell>
          <cell r="BP715" t="e">
            <v>#VALUE!</v>
          </cell>
          <cell r="BQ715" t="e">
            <v>#VALUE!</v>
          </cell>
          <cell r="BR715" t="e">
            <v>#VALUE!</v>
          </cell>
          <cell r="BS715" t="e">
            <v>#VALUE!</v>
          </cell>
          <cell r="BT715">
            <v>0</v>
          </cell>
          <cell r="BU715" t="str">
            <v/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 t="e">
            <v>#VALUE!</v>
          </cell>
        </row>
        <row r="716">
          <cell r="A716" t="str">
            <v>99Q4</v>
          </cell>
          <cell r="B716" t="str">
            <v>Q4</v>
          </cell>
          <cell r="C716">
            <v>99</v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1</v>
          </cell>
          <cell r="BJ716">
            <v>0</v>
          </cell>
          <cell r="BK716">
            <v>0</v>
          </cell>
          <cell r="BM716" t="str">
            <v/>
          </cell>
          <cell r="BO716" t="e">
            <v>#VALUE!</v>
          </cell>
          <cell r="BP716" t="e">
            <v>#VALUE!</v>
          </cell>
          <cell r="BQ716" t="e">
            <v>#VALUE!</v>
          </cell>
          <cell r="BR716" t="e">
            <v>#VALUE!</v>
          </cell>
          <cell r="BS716" t="e">
            <v>#VALUE!</v>
          </cell>
          <cell r="BT716">
            <v>0</v>
          </cell>
          <cell r="BU716" t="str">
            <v/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 t="e">
            <v>#VALUE!</v>
          </cell>
        </row>
        <row r="717">
          <cell r="A717" t="str">
            <v>100Q4</v>
          </cell>
          <cell r="B717" t="str">
            <v>Q4</v>
          </cell>
          <cell r="C717">
            <v>100</v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1</v>
          </cell>
          <cell r="BJ717">
            <v>0</v>
          </cell>
          <cell r="BK717">
            <v>0</v>
          </cell>
          <cell r="BM717" t="str">
            <v/>
          </cell>
          <cell r="BO717" t="e">
            <v>#VALUE!</v>
          </cell>
          <cell r="BP717" t="e">
            <v>#VALUE!</v>
          </cell>
          <cell r="BQ717" t="e">
            <v>#VALUE!</v>
          </cell>
          <cell r="BR717" t="e">
            <v>#VALUE!</v>
          </cell>
          <cell r="BS717" t="e">
            <v>#VALUE!</v>
          </cell>
          <cell r="BT717">
            <v>0</v>
          </cell>
          <cell r="BU717" t="str">
            <v/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 t="e">
            <v>#VALUE!</v>
          </cell>
        </row>
        <row r="718">
          <cell r="A718" t="str">
            <v>101Q4</v>
          </cell>
          <cell r="B718" t="str">
            <v>Q4</v>
          </cell>
          <cell r="C718">
            <v>101</v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1</v>
          </cell>
          <cell r="BJ718">
            <v>0</v>
          </cell>
          <cell r="BK718">
            <v>0</v>
          </cell>
          <cell r="BM718" t="str">
            <v/>
          </cell>
          <cell r="BO718" t="e">
            <v>#VALUE!</v>
          </cell>
          <cell r="BP718" t="e">
            <v>#VALUE!</v>
          </cell>
          <cell r="BQ718" t="e">
            <v>#VALUE!</v>
          </cell>
          <cell r="BR718" t="e">
            <v>#VALUE!</v>
          </cell>
          <cell r="BS718" t="e">
            <v>#VALUE!</v>
          </cell>
          <cell r="BT718">
            <v>0</v>
          </cell>
          <cell r="BU718" t="str">
            <v/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 t="e">
            <v>#VALUE!</v>
          </cell>
        </row>
        <row r="719">
          <cell r="A719" t="str">
            <v>102Q4</v>
          </cell>
          <cell r="B719" t="str">
            <v>Q4</v>
          </cell>
          <cell r="C719">
            <v>102</v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1</v>
          </cell>
          <cell r="BJ719">
            <v>0</v>
          </cell>
          <cell r="BK719">
            <v>0</v>
          </cell>
          <cell r="BM719" t="str">
            <v/>
          </cell>
          <cell r="BO719" t="e">
            <v>#VALUE!</v>
          </cell>
          <cell r="BP719" t="e">
            <v>#VALUE!</v>
          </cell>
          <cell r="BQ719" t="e">
            <v>#VALUE!</v>
          </cell>
          <cell r="BR719" t="e">
            <v>#VALUE!</v>
          </cell>
          <cell r="BS719" t="e">
            <v>#VALUE!</v>
          </cell>
          <cell r="BT719">
            <v>0</v>
          </cell>
          <cell r="BU719" t="str">
            <v/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 t="e">
            <v>#VALUE!</v>
          </cell>
        </row>
        <row r="720">
          <cell r="A720" t="str">
            <v>103Q4</v>
          </cell>
          <cell r="B720" t="str">
            <v>Q4</v>
          </cell>
          <cell r="C720">
            <v>103</v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1</v>
          </cell>
          <cell r="BJ720">
            <v>0</v>
          </cell>
          <cell r="BK720">
            <v>0</v>
          </cell>
          <cell r="BM720" t="str">
            <v/>
          </cell>
          <cell r="BO720" t="e">
            <v>#VALUE!</v>
          </cell>
          <cell r="BP720" t="e">
            <v>#VALUE!</v>
          </cell>
          <cell r="BQ720" t="e">
            <v>#VALUE!</v>
          </cell>
          <cell r="BR720" t="e">
            <v>#VALUE!</v>
          </cell>
          <cell r="BS720" t="e">
            <v>#VALUE!</v>
          </cell>
          <cell r="BT720">
            <v>0</v>
          </cell>
          <cell r="BU720" t="str">
            <v/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 t="e">
            <v>#VALUE!</v>
          </cell>
        </row>
        <row r="721">
          <cell r="A721" t="str">
            <v>104Q4</v>
          </cell>
          <cell r="B721" t="str">
            <v>Q4</v>
          </cell>
          <cell r="C721">
            <v>104</v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1</v>
          </cell>
          <cell r="BJ721">
            <v>0</v>
          </cell>
          <cell r="BK721">
            <v>0</v>
          </cell>
          <cell r="BM721" t="str">
            <v/>
          </cell>
          <cell r="BO721" t="e">
            <v>#VALUE!</v>
          </cell>
          <cell r="BP721" t="e">
            <v>#VALUE!</v>
          </cell>
          <cell r="BQ721" t="e">
            <v>#VALUE!</v>
          </cell>
          <cell r="BR721" t="e">
            <v>#VALUE!</v>
          </cell>
          <cell r="BS721" t="e">
            <v>#VALUE!</v>
          </cell>
          <cell r="BT721">
            <v>0</v>
          </cell>
          <cell r="BU721" t="str">
            <v/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 t="e">
            <v>#VALUE!</v>
          </cell>
        </row>
        <row r="722">
          <cell r="A722" t="str">
            <v>105Q4</v>
          </cell>
          <cell r="B722" t="str">
            <v>Q4</v>
          </cell>
          <cell r="C722">
            <v>105</v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1</v>
          </cell>
          <cell r="BJ722">
            <v>0</v>
          </cell>
          <cell r="BK722">
            <v>0</v>
          </cell>
          <cell r="BM722" t="str">
            <v/>
          </cell>
          <cell r="BO722" t="e">
            <v>#VALUE!</v>
          </cell>
          <cell r="BP722" t="e">
            <v>#VALUE!</v>
          </cell>
          <cell r="BQ722" t="e">
            <v>#VALUE!</v>
          </cell>
          <cell r="BR722" t="e">
            <v>#VALUE!</v>
          </cell>
          <cell r="BS722" t="e">
            <v>#VALUE!</v>
          </cell>
          <cell r="BT722">
            <v>0</v>
          </cell>
          <cell r="BU722" t="str">
            <v/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 t="e">
            <v>#VALUE!</v>
          </cell>
        </row>
        <row r="723">
          <cell r="A723" t="str">
            <v>106Q4</v>
          </cell>
          <cell r="B723" t="str">
            <v>Q4</v>
          </cell>
          <cell r="C723">
            <v>106</v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1</v>
          </cell>
          <cell r="BJ723">
            <v>0</v>
          </cell>
          <cell r="BK723">
            <v>0</v>
          </cell>
          <cell r="BM723" t="str">
            <v/>
          </cell>
          <cell r="BO723" t="e">
            <v>#VALUE!</v>
          </cell>
          <cell r="BP723" t="e">
            <v>#VALUE!</v>
          </cell>
          <cell r="BQ723" t="e">
            <v>#VALUE!</v>
          </cell>
          <cell r="BR723" t="e">
            <v>#VALUE!</v>
          </cell>
          <cell r="BS723" t="e">
            <v>#VALUE!</v>
          </cell>
          <cell r="BT723">
            <v>0</v>
          </cell>
          <cell r="BU723" t="str">
            <v/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 t="e">
            <v>#VALUE!</v>
          </cell>
        </row>
        <row r="724">
          <cell r="A724" t="str">
            <v>107Q4</v>
          </cell>
          <cell r="B724" t="str">
            <v>Q4</v>
          </cell>
          <cell r="C724">
            <v>107</v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1</v>
          </cell>
          <cell r="BJ724">
            <v>0</v>
          </cell>
          <cell r="BK724">
            <v>0</v>
          </cell>
          <cell r="BM724" t="str">
            <v/>
          </cell>
          <cell r="BO724" t="e">
            <v>#VALUE!</v>
          </cell>
          <cell r="BP724" t="e">
            <v>#VALUE!</v>
          </cell>
          <cell r="BQ724" t="e">
            <v>#VALUE!</v>
          </cell>
          <cell r="BR724" t="e">
            <v>#VALUE!</v>
          </cell>
          <cell r="BS724" t="e">
            <v>#VALUE!</v>
          </cell>
          <cell r="BT724">
            <v>0</v>
          </cell>
          <cell r="BU724" t="str">
            <v/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 t="e">
            <v>#VALUE!</v>
          </cell>
        </row>
        <row r="725">
          <cell r="A725" t="str">
            <v>108Q4</v>
          </cell>
          <cell r="B725" t="str">
            <v>Q4</v>
          </cell>
          <cell r="C725">
            <v>108</v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1</v>
          </cell>
          <cell r="BJ725">
            <v>0</v>
          </cell>
          <cell r="BK725">
            <v>0</v>
          </cell>
          <cell r="BM725" t="str">
            <v/>
          </cell>
          <cell r="BO725" t="e">
            <v>#VALUE!</v>
          </cell>
          <cell r="BP725" t="e">
            <v>#VALUE!</v>
          </cell>
          <cell r="BQ725" t="e">
            <v>#VALUE!</v>
          </cell>
          <cell r="BR725" t="e">
            <v>#VALUE!</v>
          </cell>
          <cell r="BS725" t="e">
            <v>#VALUE!</v>
          </cell>
          <cell r="BT725">
            <v>0</v>
          </cell>
          <cell r="BU725" t="str">
            <v/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 t="e">
            <v>#VALUE!</v>
          </cell>
        </row>
        <row r="726">
          <cell r="A726" t="str">
            <v>109Q4</v>
          </cell>
          <cell r="B726" t="str">
            <v>Q4</v>
          </cell>
          <cell r="C726">
            <v>109</v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1</v>
          </cell>
          <cell r="BJ726">
            <v>0</v>
          </cell>
          <cell r="BK726">
            <v>0</v>
          </cell>
          <cell r="BM726" t="str">
            <v/>
          </cell>
          <cell r="BO726" t="e">
            <v>#VALUE!</v>
          </cell>
          <cell r="BP726" t="e">
            <v>#VALUE!</v>
          </cell>
          <cell r="BQ726" t="e">
            <v>#VALUE!</v>
          </cell>
          <cell r="BR726" t="e">
            <v>#VALUE!</v>
          </cell>
          <cell r="BS726" t="e">
            <v>#VALUE!</v>
          </cell>
          <cell r="BT726">
            <v>0</v>
          </cell>
          <cell r="BU726" t="str">
            <v/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 t="e">
            <v>#VALUE!</v>
          </cell>
        </row>
        <row r="727">
          <cell r="A727" t="str">
            <v>110Q4</v>
          </cell>
          <cell r="B727" t="str">
            <v>Q4</v>
          </cell>
          <cell r="C727">
            <v>110</v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1</v>
          </cell>
          <cell r="BJ727">
            <v>0</v>
          </cell>
          <cell r="BK727">
            <v>0</v>
          </cell>
          <cell r="BM727" t="str">
            <v/>
          </cell>
          <cell r="BO727" t="e">
            <v>#VALUE!</v>
          </cell>
          <cell r="BP727" t="e">
            <v>#VALUE!</v>
          </cell>
          <cell r="BQ727" t="e">
            <v>#VALUE!</v>
          </cell>
          <cell r="BR727" t="e">
            <v>#VALUE!</v>
          </cell>
          <cell r="BS727" t="e">
            <v>#VALUE!</v>
          </cell>
          <cell r="BT727">
            <v>0</v>
          </cell>
          <cell r="BU727" t="str">
            <v/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 t="e">
            <v>#VALUE!</v>
          </cell>
        </row>
        <row r="728">
          <cell r="A728" t="str">
            <v>111Q4</v>
          </cell>
          <cell r="B728" t="str">
            <v>Q4</v>
          </cell>
          <cell r="C728">
            <v>111</v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1</v>
          </cell>
          <cell r="BJ728">
            <v>0</v>
          </cell>
          <cell r="BK728">
            <v>0</v>
          </cell>
          <cell r="BM728" t="str">
            <v/>
          </cell>
          <cell r="BO728" t="e">
            <v>#VALUE!</v>
          </cell>
          <cell r="BP728" t="e">
            <v>#VALUE!</v>
          </cell>
          <cell r="BQ728" t="e">
            <v>#VALUE!</v>
          </cell>
          <cell r="BR728" t="e">
            <v>#VALUE!</v>
          </cell>
          <cell r="BS728" t="e">
            <v>#VALUE!</v>
          </cell>
          <cell r="BT728">
            <v>0</v>
          </cell>
          <cell r="BU728" t="str">
            <v/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 t="e">
            <v>#VALUE!</v>
          </cell>
        </row>
        <row r="729">
          <cell r="A729" t="str">
            <v>112Q4</v>
          </cell>
          <cell r="B729" t="str">
            <v>Q4</v>
          </cell>
          <cell r="C729">
            <v>112</v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1</v>
          </cell>
          <cell r="BJ729">
            <v>0</v>
          </cell>
          <cell r="BK729">
            <v>0</v>
          </cell>
          <cell r="BM729" t="str">
            <v/>
          </cell>
          <cell r="BO729" t="e">
            <v>#VALUE!</v>
          </cell>
          <cell r="BP729" t="e">
            <v>#VALUE!</v>
          </cell>
          <cell r="BQ729" t="e">
            <v>#VALUE!</v>
          </cell>
          <cell r="BR729" t="e">
            <v>#VALUE!</v>
          </cell>
          <cell r="BS729" t="e">
            <v>#VALUE!</v>
          </cell>
          <cell r="BT729">
            <v>0</v>
          </cell>
          <cell r="BU729" t="str">
            <v/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 t="e">
            <v>#VALUE!</v>
          </cell>
        </row>
        <row r="730">
          <cell r="A730" t="str">
            <v>113Q4</v>
          </cell>
          <cell r="B730" t="str">
            <v>Q4</v>
          </cell>
          <cell r="C730">
            <v>113</v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1</v>
          </cell>
          <cell r="BJ730">
            <v>0</v>
          </cell>
          <cell r="BK730">
            <v>0</v>
          </cell>
          <cell r="BM730" t="str">
            <v/>
          </cell>
          <cell r="BO730" t="e">
            <v>#VALUE!</v>
          </cell>
          <cell r="BP730" t="e">
            <v>#VALUE!</v>
          </cell>
          <cell r="BQ730" t="e">
            <v>#VALUE!</v>
          </cell>
          <cell r="BR730" t="e">
            <v>#VALUE!</v>
          </cell>
          <cell r="BS730" t="e">
            <v>#VALUE!</v>
          </cell>
          <cell r="BT730">
            <v>0</v>
          </cell>
          <cell r="BU730" t="str">
            <v/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 t="e">
            <v>#VALUE!</v>
          </cell>
        </row>
        <row r="731">
          <cell r="A731" t="str">
            <v>114Q4</v>
          </cell>
          <cell r="B731" t="str">
            <v>Q4</v>
          </cell>
          <cell r="C731">
            <v>114</v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1</v>
          </cell>
          <cell r="BJ731">
            <v>0</v>
          </cell>
          <cell r="BK731">
            <v>0</v>
          </cell>
          <cell r="BM731" t="str">
            <v/>
          </cell>
          <cell r="BO731" t="e">
            <v>#VALUE!</v>
          </cell>
          <cell r="BP731" t="e">
            <v>#VALUE!</v>
          </cell>
          <cell r="BQ731" t="e">
            <v>#VALUE!</v>
          </cell>
          <cell r="BR731" t="e">
            <v>#VALUE!</v>
          </cell>
          <cell r="BS731" t="e">
            <v>#VALUE!</v>
          </cell>
          <cell r="BT731">
            <v>0</v>
          </cell>
          <cell r="BU731" t="str">
            <v/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 t="e">
            <v>#VALUE!</v>
          </cell>
        </row>
        <row r="732">
          <cell r="A732" t="str">
            <v>115Q4</v>
          </cell>
          <cell r="B732" t="str">
            <v>Q4</v>
          </cell>
          <cell r="C732">
            <v>115</v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1</v>
          </cell>
          <cell r="BJ732">
            <v>0</v>
          </cell>
          <cell r="BK732">
            <v>0</v>
          </cell>
          <cell r="BM732" t="str">
            <v/>
          </cell>
          <cell r="BO732" t="e">
            <v>#VALUE!</v>
          </cell>
          <cell r="BP732" t="e">
            <v>#VALUE!</v>
          </cell>
          <cell r="BQ732" t="e">
            <v>#VALUE!</v>
          </cell>
          <cell r="BR732" t="e">
            <v>#VALUE!</v>
          </cell>
          <cell r="BS732" t="e">
            <v>#VALUE!</v>
          </cell>
          <cell r="BT732">
            <v>0</v>
          </cell>
          <cell r="BU732" t="str">
            <v/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 t="e">
            <v>#VALUE!</v>
          </cell>
        </row>
        <row r="733">
          <cell r="A733" t="str">
            <v>116Q4</v>
          </cell>
          <cell r="B733" t="str">
            <v>Q4</v>
          </cell>
          <cell r="C733">
            <v>116</v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1</v>
          </cell>
          <cell r="BJ733">
            <v>0</v>
          </cell>
          <cell r="BK733">
            <v>0</v>
          </cell>
          <cell r="BM733" t="str">
            <v/>
          </cell>
          <cell r="BO733" t="e">
            <v>#VALUE!</v>
          </cell>
          <cell r="BP733" t="e">
            <v>#VALUE!</v>
          </cell>
          <cell r="BQ733" t="e">
            <v>#VALUE!</v>
          </cell>
          <cell r="BR733" t="e">
            <v>#VALUE!</v>
          </cell>
          <cell r="BS733" t="e">
            <v>#VALUE!</v>
          </cell>
          <cell r="BT733">
            <v>0</v>
          </cell>
          <cell r="BU733" t="str">
            <v/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 t="e">
            <v>#VALUE!</v>
          </cell>
        </row>
        <row r="734">
          <cell r="A734" t="str">
            <v>117Q4</v>
          </cell>
          <cell r="B734" t="str">
            <v>Q4</v>
          </cell>
          <cell r="C734">
            <v>117</v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1</v>
          </cell>
          <cell r="BJ734">
            <v>0</v>
          </cell>
          <cell r="BK734">
            <v>0</v>
          </cell>
          <cell r="BM734" t="str">
            <v/>
          </cell>
          <cell r="BO734" t="e">
            <v>#VALUE!</v>
          </cell>
          <cell r="BP734" t="e">
            <v>#VALUE!</v>
          </cell>
          <cell r="BQ734" t="e">
            <v>#VALUE!</v>
          </cell>
          <cell r="BR734" t="e">
            <v>#VALUE!</v>
          </cell>
          <cell r="BS734" t="e">
            <v>#VALUE!</v>
          </cell>
          <cell r="BT734">
            <v>0</v>
          </cell>
          <cell r="BU734" t="str">
            <v/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 t="e">
            <v>#VALUE!</v>
          </cell>
        </row>
        <row r="735">
          <cell r="A735" t="str">
            <v>118Q4</v>
          </cell>
          <cell r="B735" t="str">
            <v>Q4</v>
          </cell>
          <cell r="C735">
            <v>118</v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1</v>
          </cell>
          <cell r="BJ735">
            <v>0</v>
          </cell>
          <cell r="BK735">
            <v>0</v>
          </cell>
          <cell r="BM735" t="str">
            <v/>
          </cell>
          <cell r="BO735" t="e">
            <v>#VALUE!</v>
          </cell>
          <cell r="BP735" t="e">
            <v>#VALUE!</v>
          </cell>
          <cell r="BQ735" t="e">
            <v>#VALUE!</v>
          </cell>
          <cell r="BR735" t="e">
            <v>#VALUE!</v>
          </cell>
          <cell r="BS735" t="e">
            <v>#VALUE!</v>
          </cell>
          <cell r="BT735">
            <v>0</v>
          </cell>
          <cell r="BU735" t="str">
            <v/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 t="e">
            <v>#VALUE!</v>
          </cell>
        </row>
        <row r="736">
          <cell r="A736" t="str">
            <v>119Q4</v>
          </cell>
          <cell r="B736" t="str">
            <v>Q4</v>
          </cell>
          <cell r="C736">
            <v>119</v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1</v>
          </cell>
          <cell r="BJ736">
            <v>0</v>
          </cell>
          <cell r="BK736">
            <v>0</v>
          </cell>
          <cell r="BM736" t="str">
            <v/>
          </cell>
          <cell r="BO736" t="e">
            <v>#VALUE!</v>
          </cell>
          <cell r="BP736" t="e">
            <v>#VALUE!</v>
          </cell>
          <cell r="BQ736" t="e">
            <v>#VALUE!</v>
          </cell>
          <cell r="BR736" t="e">
            <v>#VALUE!</v>
          </cell>
          <cell r="BS736" t="e">
            <v>#VALUE!</v>
          </cell>
          <cell r="BT736">
            <v>0</v>
          </cell>
          <cell r="BU736" t="str">
            <v/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 t="e">
            <v>#VALUE!</v>
          </cell>
        </row>
        <row r="737">
          <cell r="A737" t="str">
            <v>120Q4</v>
          </cell>
          <cell r="B737" t="str">
            <v>Q4</v>
          </cell>
          <cell r="C737">
            <v>120</v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1</v>
          </cell>
          <cell r="BJ737">
            <v>0</v>
          </cell>
          <cell r="BK737">
            <v>0</v>
          </cell>
          <cell r="BM737" t="str">
            <v/>
          </cell>
          <cell r="BO737" t="e">
            <v>#VALUE!</v>
          </cell>
          <cell r="BP737" t="e">
            <v>#VALUE!</v>
          </cell>
          <cell r="BQ737" t="e">
            <v>#VALUE!</v>
          </cell>
          <cell r="BR737" t="e">
            <v>#VALUE!</v>
          </cell>
          <cell r="BS737" t="e">
            <v>#VALUE!</v>
          </cell>
          <cell r="BT737">
            <v>0</v>
          </cell>
          <cell r="BU737" t="str">
            <v/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 t="e">
            <v>#VALUE!</v>
          </cell>
        </row>
        <row r="738">
          <cell r="A738" t="str">
            <v>121Q4</v>
          </cell>
          <cell r="B738" t="str">
            <v>Q4</v>
          </cell>
          <cell r="C738">
            <v>121</v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1</v>
          </cell>
          <cell r="BJ738">
            <v>0</v>
          </cell>
          <cell r="BK738">
            <v>0</v>
          </cell>
          <cell r="BM738" t="str">
            <v/>
          </cell>
          <cell r="BO738" t="e">
            <v>#VALUE!</v>
          </cell>
          <cell r="BP738" t="e">
            <v>#VALUE!</v>
          </cell>
          <cell r="BQ738" t="e">
            <v>#VALUE!</v>
          </cell>
          <cell r="BR738" t="e">
            <v>#VALUE!</v>
          </cell>
          <cell r="BS738" t="e">
            <v>#VALUE!</v>
          </cell>
          <cell r="BT738">
            <v>0</v>
          </cell>
          <cell r="BU738" t="str">
            <v/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 t="e">
            <v>#VALUE!</v>
          </cell>
        </row>
        <row r="739">
          <cell r="A739" t="str">
            <v>122Q4</v>
          </cell>
          <cell r="B739" t="str">
            <v>Q4</v>
          </cell>
          <cell r="C739">
            <v>122</v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1</v>
          </cell>
          <cell r="BJ739">
            <v>0</v>
          </cell>
          <cell r="BK739">
            <v>0</v>
          </cell>
          <cell r="BM739" t="str">
            <v/>
          </cell>
          <cell r="BO739" t="e">
            <v>#VALUE!</v>
          </cell>
          <cell r="BP739" t="e">
            <v>#VALUE!</v>
          </cell>
          <cell r="BQ739" t="e">
            <v>#VALUE!</v>
          </cell>
          <cell r="BR739" t="e">
            <v>#VALUE!</v>
          </cell>
          <cell r="BS739" t="e">
            <v>#VALUE!</v>
          </cell>
          <cell r="BT739">
            <v>0</v>
          </cell>
          <cell r="BU739" t="str">
            <v/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 t="e">
            <v>#VALUE!</v>
          </cell>
        </row>
        <row r="740">
          <cell r="A740" t="str">
            <v>123Q4</v>
          </cell>
          <cell r="B740" t="str">
            <v>Q4</v>
          </cell>
          <cell r="C740">
            <v>123</v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1</v>
          </cell>
          <cell r="BJ740">
            <v>0</v>
          </cell>
          <cell r="BK740">
            <v>0</v>
          </cell>
          <cell r="BM740" t="str">
            <v/>
          </cell>
          <cell r="BO740" t="e">
            <v>#VALUE!</v>
          </cell>
          <cell r="BP740" t="e">
            <v>#VALUE!</v>
          </cell>
          <cell r="BQ740" t="e">
            <v>#VALUE!</v>
          </cell>
          <cell r="BR740" t="e">
            <v>#VALUE!</v>
          </cell>
          <cell r="BS740" t="e">
            <v>#VALUE!</v>
          </cell>
          <cell r="BT740">
            <v>0</v>
          </cell>
          <cell r="BU740" t="str">
            <v/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 t="e">
            <v>#VALUE!</v>
          </cell>
        </row>
        <row r="741">
          <cell r="A741" t="str">
            <v>124Q4</v>
          </cell>
          <cell r="B741" t="str">
            <v>Q4</v>
          </cell>
          <cell r="C741">
            <v>124</v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1</v>
          </cell>
          <cell r="BJ741">
            <v>0</v>
          </cell>
          <cell r="BK741">
            <v>0</v>
          </cell>
          <cell r="BM741" t="str">
            <v/>
          </cell>
          <cell r="BO741" t="e">
            <v>#VALUE!</v>
          </cell>
          <cell r="BP741" t="e">
            <v>#VALUE!</v>
          </cell>
          <cell r="BQ741" t="e">
            <v>#VALUE!</v>
          </cell>
          <cell r="BR741" t="e">
            <v>#VALUE!</v>
          </cell>
          <cell r="BS741" t="e">
            <v>#VALUE!</v>
          </cell>
          <cell r="BT741">
            <v>0</v>
          </cell>
          <cell r="BU741" t="str">
            <v/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 t="e">
            <v>#VALUE!</v>
          </cell>
        </row>
        <row r="742">
          <cell r="A742" t="str">
            <v>125Q4</v>
          </cell>
          <cell r="B742" t="str">
            <v>Q4</v>
          </cell>
          <cell r="C742">
            <v>125</v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1</v>
          </cell>
          <cell r="BJ742">
            <v>0</v>
          </cell>
          <cell r="BK742">
            <v>0</v>
          </cell>
          <cell r="BM742" t="str">
            <v/>
          </cell>
          <cell r="BO742" t="e">
            <v>#VALUE!</v>
          </cell>
          <cell r="BP742" t="e">
            <v>#VALUE!</v>
          </cell>
          <cell r="BQ742" t="e">
            <v>#VALUE!</v>
          </cell>
          <cell r="BR742" t="e">
            <v>#VALUE!</v>
          </cell>
          <cell r="BS742" t="e">
            <v>#VALUE!</v>
          </cell>
          <cell r="BT742">
            <v>0</v>
          </cell>
          <cell r="BU742" t="str">
            <v/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 t="e">
            <v>#VALUE!</v>
          </cell>
        </row>
        <row r="743">
          <cell r="A743" t="str">
            <v>126Q4</v>
          </cell>
          <cell r="B743" t="str">
            <v>Q4</v>
          </cell>
          <cell r="C743">
            <v>126</v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1</v>
          </cell>
          <cell r="BJ743">
            <v>0</v>
          </cell>
          <cell r="BK743">
            <v>0</v>
          </cell>
          <cell r="BM743" t="str">
            <v/>
          </cell>
          <cell r="BO743" t="e">
            <v>#VALUE!</v>
          </cell>
          <cell r="BP743" t="e">
            <v>#VALUE!</v>
          </cell>
          <cell r="BQ743" t="e">
            <v>#VALUE!</v>
          </cell>
          <cell r="BR743" t="e">
            <v>#VALUE!</v>
          </cell>
          <cell r="BS743" t="e">
            <v>#VALUE!</v>
          </cell>
          <cell r="BT743">
            <v>0</v>
          </cell>
          <cell r="BU743" t="str">
            <v/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 t="e">
            <v>#VALUE!</v>
          </cell>
        </row>
        <row r="744">
          <cell r="A744" t="str">
            <v>127Q4</v>
          </cell>
          <cell r="B744" t="str">
            <v>Q4</v>
          </cell>
          <cell r="C744">
            <v>127</v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1</v>
          </cell>
          <cell r="BJ744">
            <v>0</v>
          </cell>
          <cell r="BK744">
            <v>0</v>
          </cell>
          <cell r="BM744" t="str">
            <v/>
          </cell>
          <cell r="BO744" t="e">
            <v>#VALUE!</v>
          </cell>
          <cell r="BP744" t="e">
            <v>#VALUE!</v>
          </cell>
          <cell r="BQ744" t="e">
            <v>#VALUE!</v>
          </cell>
          <cell r="BR744" t="e">
            <v>#VALUE!</v>
          </cell>
          <cell r="BS744" t="e">
            <v>#VALUE!</v>
          </cell>
          <cell r="BT744">
            <v>0</v>
          </cell>
          <cell r="BU744" t="str">
            <v/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 t="e">
            <v>#VALUE!</v>
          </cell>
        </row>
        <row r="745">
          <cell r="A745" t="str">
            <v>128Q4</v>
          </cell>
          <cell r="B745" t="str">
            <v>Q4</v>
          </cell>
          <cell r="C745">
            <v>128</v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1</v>
          </cell>
          <cell r="BJ745">
            <v>0</v>
          </cell>
          <cell r="BK745">
            <v>0</v>
          </cell>
          <cell r="BM745" t="str">
            <v/>
          </cell>
          <cell r="BO745" t="e">
            <v>#VALUE!</v>
          </cell>
          <cell r="BP745" t="e">
            <v>#VALUE!</v>
          </cell>
          <cell r="BQ745" t="e">
            <v>#VALUE!</v>
          </cell>
          <cell r="BR745" t="e">
            <v>#VALUE!</v>
          </cell>
          <cell r="BS745" t="e">
            <v>#VALUE!</v>
          </cell>
          <cell r="BT745">
            <v>0</v>
          </cell>
          <cell r="BU745" t="str">
            <v/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 t="e">
            <v>#VALUE!</v>
          </cell>
        </row>
        <row r="746">
          <cell r="A746" t="str">
            <v>129Q4</v>
          </cell>
          <cell r="B746" t="str">
            <v>Q4</v>
          </cell>
          <cell r="C746">
            <v>129</v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1</v>
          </cell>
          <cell r="BJ746">
            <v>0</v>
          </cell>
          <cell r="BK746">
            <v>0</v>
          </cell>
          <cell r="BM746" t="str">
            <v/>
          </cell>
          <cell r="BO746" t="e">
            <v>#VALUE!</v>
          </cell>
          <cell r="BP746" t="e">
            <v>#VALUE!</v>
          </cell>
          <cell r="BQ746" t="e">
            <v>#VALUE!</v>
          </cell>
          <cell r="BR746" t="e">
            <v>#VALUE!</v>
          </cell>
          <cell r="BS746" t="e">
            <v>#VALUE!</v>
          </cell>
          <cell r="BT746">
            <v>0</v>
          </cell>
          <cell r="BU746" t="str">
            <v/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 t="e">
            <v>#VALUE!</v>
          </cell>
        </row>
        <row r="747">
          <cell r="A747" t="str">
            <v>130Q4</v>
          </cell>
          <cell r="B747" t="str">
            <v>Q4</v>
          </cell>
          <cell r="C747">
            <v>130</v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1</v>
          </cell>
          <cell r="BJ747">
            <v>0</v>
          </cell>
          <cell r="BK747">
            <v>0</v>
          </cell>
          <cell r="BM747" t="str">
            <v/>
          </cell>
          <cell r="BO747" t="e">
            <v>#VALUE!</v>
          </cell>
          <cell r="BP747" t="e">
            <v>#VALUE!</v>
          </cell>
          <cell r="BQ747" t="e">
            <v>#VALUE!</v>
          </cell>
          <cell r="BR747" t="e">
            <v>#VALUE!</v>
          </cell>
          <cell r="BS747" t="e">
            <v>#VALUE!</v>
          </cell>
          <cell r="BT747">
            <v>0</v>
          </cell>
          <cell r="BU747" t="str">
            <v/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 t="e">
            <v>#VALUE!</v>
          </cell>
        </row>
        <row r="748">
          <cell r="A748" t="str">
            <v>131Q4</v>
          </cell>
          <cell r="B748" t="str">
            <v>Q4</v>
          </cell>
          <cell r="C748">
            <v>131</v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1</v>
          </cell>
          <cell r="BJ748">
            <v>0</v>
          </cell>
          <cell r="BK748">
            <v>0</v>
          </cell>
          <cell r="BM748" t="str">
            <v/>
          </cell>
          <cell r="BO748" t="e">
            <v>#VALUE!</v>
          </cell>
          <cell r="BP748" t="e">
            <v>#VALUE!</v>
          </cell>
          <cell r="BQ748" t="e">
            <v>#VALUE!</v>
          </cell>
          <cell r="BR748" t="e">
            <v>#VALUE!</v>
          </cell>
          <cell r="BS748" t="e">
            <v>#VALUE!</v>
          </cell>
          <cell r="BT748">
            <v>0</v>
          </cell>
          <cell r="BU748" t="str">
            <v/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 t="e">
            <v>#VALUE!</v>
          </cell>
        </row>
        <row r="749">
          <cell r="A749" t="str">
            <v>132Q4</v>
          </cell>
          <cell r="B749" t="str">
            <v>Q4</v>
          </cell>
          <cell r="C749">
            <v>132</v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1</v>
          </cell>
          <cell r="BJ749">
            <v>0</v>
          </cell>
          <cell r="BK749">
            <v>0</v>
          </cell>
          <cell r="BM749" t="str">
            <v/>
          </cell>
          <cell r="BO749" t="e">
            <v>#VALUE!</v>
          </cell>
          <cell r="BP749" t="e">
            <v>#VALUE!</v>
          </cell>
          <cell r="BQ749" t="e">
            <v>#VALUE!</v>
          </cell>
          <cell r="BR749" t="e">
            <v>#VALUE!</v>
          </cell>
          <cell r="BS749" t="e">
            <v>#VALUE!</v>
          </cell>
          <cell r="BT749">
            <v>0</v>
          </cell>
          <cell r="BU749" t="str">
            <v/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 t="e">
            <v>#VALUE!</v>
          </cell>
        </row>
        <row r="750">
          <cell r="A750" t="str">
            <v>133Q4</v>
          </cell>
          <cell r="B750" t="str">
            <v>Q4</v>
          </cell>
          <cell r="C750">
            <v>133</v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1</v>
          </cell>
          <cell r="BJ750">
            <v>0</v>
          </cell>
          <cell r="BK750">
            <v>0</v>
          </cell>
          <cell r="BM750" t="str">
            <v/>
          </cell>
          <cell r="BO750" t="e">
            <v>#VALUE!</v>
          </cell>
          <cell r="BP750" t="e">
            <v>#VALUE!</v>
          </cell>
          <cell r="BQ750" t="e">
            <v>#VALUE!</v>
          </cell>
          <cell r="BR750" t="e">
            <v>#VALUE!</v>
          </cell>
          <cell r="BS750" t="e">
            <v>#VALUE!</v>
          </cell>
          <cell r="BT750">
            <v>0</v>
          </cell>
          <cell r="BU750" t="str">
            <v/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 t="e">
            <v>#VALUE!</v>
          </cell>
        </row>
        <row r="751">
          <cell r="A751" t="str">
            <v>134Q4</v>
          </cell>
          <cell r="B751" t="str">
            <v>Q4</v>
          </cell>
          <cell r="C751">
            <v>134</v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1</v>
          </cell>
          <cell r="BJ751">
            <v>0</v>
          </cell>
          <cell r="BK751">
            <v>0</v>
          </cell>
          <cell r="BM751" t="str">
            <v/>
          </cell>
          <cell r="BO751" t="e">
            <v>#VALUE!</v>
          </cell>
          <cell r="BP751" t="e">
            <v>#VALUE!</v>
          </cell>
          <cell r="BQ751" t="e">
            <v>#VALUE!</v>
          </cell>
          <cell r="BR751" t="e">
            <v>#VALUE!</v>
          </cell>
          <cell r="BS751" t="e">
            <v>#VALUE!</v>
          </cell>
          <cell r="BT751">
            <v>0</v>
          </cell>
          <cell r="BU751" t="str">
            <v/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 t="e">
            <v>#VALUE!</v>
          </cell>
        </row>
        <row r="752">
          <cell r="A752" t="str">
            <v>135Q4</v>
          </cell>
          <cell r="B752" t="str">
            <v>Q4</v>
          </cell>
          <cell r="C752">
            <v>135</v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1</v>
          </cell>
          <cell r="BJ752">
            <v>0</v>
          </cell>
          <cell r="BK752">
            <v>0</v>
          </cell>
          <cell r="BM752" t="str">
            <v/>
          </cell>
          <cell r="BO752" t="e">
            <v>#VALUE!</v>
          </cell>
          <cell r="BP752" t="e">
            <v>#VALUE!</v>
          </cell>
          <cell r="BQ752" t="e">
            <v>#VALUE!</v>
          </cell>
          <cell r="BR752" t="e">
            <v>#VALUE!</v>
          </cell>
          <cell r="BS752" t="e">
            <v>#VALUE!</v>
          </cell>
          <cell r="BT752">
            <v>0</v>
          </cell>
          <cell r="BU752" t="str">
            <v/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 t="e">
            <v>#VALUE!</v>
          </cell>
        </row>
        <row r="753">
          <cell r="A753" t="str">
            <v>136Q4</v>
          </cell>
          <cell r="B753" t="str">
            <v>Q4</v>
          </cell>
          <cell r="C753">
            <v>136</v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1</v>
          </cell>
          <cell r="BJ753">
            <v>0</v>
          </cell>
          <cell r="BK753">
            <v>0</v>
          </cell>
          <cell r="BM753" t="str">
            <v/>
          </cell>
          <cell r="BO753" t="e">
            <v>#VALUE!</v>
          </cell>
          <cell r="BP753" t="e">
            <v>#VALUE!</v>
          </cell>
          <cell r="BQ753" t="e">
            <v>#VALUE!</v>
          </cell>
          <cell r="BR753" t="e">
            <v>#VALUE!</v>
          </cell>
          <cell r="BS753" t="e">
            <v>#VALUE!</v>
          </cell>
          <cell r="BT753">
            <v>0</v>
          </cell>
          <cell r="BU753" t="str">
            <v/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 t="e">
            <v>#VALUE!</v>
          </cell>
        </row>
        <row r="754">
          <cell r="A754" t="str">
            <v>137Q4</v>
          </cell>
          <cell r="B754" t="str">
            <v>Q4</v>
          </cell>
          <cell r="C754">
            <v>137</v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1</v>
          </cell>
          <cell r="BJ754">
            <v>0</v>
          </cell>
          <cell r="BK754">
            <v>0</v>
          </cell>
          <cell r="BM754" t="str">
            <v/>
          </cell>
          <cell r="BO754" t="e">
            <v>#VALUE!</v>
          </cell>
          <cell r="BP754" t="e">
            <v>#VALUE!</v>
          </cell>
          <cell r="BQ754" t="e">
            <v>#VALUE!</v>
          </cell>
          <cell r="BR754" t="e">
            <v>#VALUE!</v>
          </cell>
          <cell r="BS754" t="e">
            <v>#VALUE!</v>
          </cell>
          <cell r="BT754">
            <v>0</v>
          </cell>
          <cell r="BU754" t="str">
            <v/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 t="e">
            <v>#VALUE!</v>
          </cell>
        </row>
        <row r="755">
          <cell r="A755" t="str">
            <v>138Q4</v>
          </cell>
          <cell r="B755" t="str">
            <v>Q4</v>
          </cell>
          <cell r="C755">
            <v>138</v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1</v>
          </cell>
          <cell r="BJ755">
            <v>0</v>
          </cell>
          <cell r="BK755">
            <v>0</v>
          </cell>
          <cell r="BM755" t="str">
            <v/>
          </cell>
          <cell r="BO755" t="e">
            <v>#VALUE!</v>
          </cell>
          <cell r="BP755" t="e">
            <v>#VALUE!</v>
          </cell>
          <cell r="BQ755" t="e">
            <v>#VALUE!</v>
          </cell>
          <cell r="BR755" t="e">
            <v>#VALUE!</v>
          </cell>
          <cell r="BS755" t="e">
            <v>#VALUE!</v>
          </cell>
          <cell r="BT755">
            <v>0</v>
          </cell>
          <cell r="BU755" t="str">
            <v/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 t="e">
            <v>#VALUE!</v>
          </cell>
        </row>
        <row r="756">
          <cell r="A756" t="str">
            <v>139Q4</v>
          </cell>
          <cell r="B756" t="str">
            <v>Q4</v>
          </cell>
          <cell r="C756">
            <v>139</v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1</v>
          </cell>
          <cell r="BJ756">
            <v>0</v>
          </cell>
          <cell r="BK756">
            <v>0</v>
          </cell>
          <cell r="BM756" t="str">
            <v/>
          </cell>
          <cell r="BO756" t="e">
            <v>#VALUE!</v>
          </cell>
          <cell r="BP756" t="e">
            <v>#VALUE!</v>
          </cell>
          <cell r="BQ756" t="e">
            <v>#VALUE!</v>
          </cell>
          <cell r="BR756" t="e">
            <v>#VALUE!</v>
          </cell>
          <cell r="BS756" t="e">
            <v>#VALUE!</v>
          </cell>
          <cell r="BT756">
            <v>0</v>
          </cell>
          <cell r="BU756" t="str">
            <v/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 t="e">
            <v>#VALUE!</v>
          </cell>
        </row>
        <row r="757">
          <cell r="A757" t="str">
            <v>140Q4</v>
          </cell>
          <cell r="B757" t="str">
            <v>Q4</v>
          </cell>
          <cell r="C757">
            <v>140</v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1</v>
          </cell>
          <cell r="BJ757">
            <v>0</v>
          </cell>
          <cell r="BK757">
            <v>0</v>
          </cell>
          <cell r="BM757" t="str">
            <v/>
          </cell>
          <cell r="BO757" t="e">
            <v>#VALUE!</v>
          </cell>
          <cell r="BP757" t="e">
            <v>#VALUE!</v>
          </cell>
          <cell r="BQ757" t="e">
            <v>#VALUE!</v>
          </cell>
          <cell r="BR757" t="e">
            <v>#VALUE!</v>
          </cell>
          <cell r="BS757" t="e">
            <v>#VALUE!</v>
          </cell>
          <cell r="BT757">
            <v>0</v>
          </cell>
          <cell r="BU757" t="str">
            <v/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 t="e">
            <v>#VALUE!</v>
          </cell>
        </row>
        <row r="758">
          <cell r="A758" t="str">
            <v>141Q4</v>
          </cell>
          <cell r="B758" t="str">
            <v>Q4</v>
          </cell>
          <cell r="C758">
            <v>141</v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1</v>
          </cell>
          <cell r="BJ758">
            <v>0</v>
          </cell>
          <cell r="BK758">
            <v>0</v>
          </cell>
          <cell r="BM758" t="str">
            <v/>
          </cell>
          <cell r="BO758" t="e">
            <v>#VALUE!</v>
          </cell>
          <cell r="BP758" t="e">
            <v>#VALUE!</v>
          </cell>
          <cell r="BQ758" t="e">
            <v>#VALUE!</v>
          </cell>
          <cell r="BR758" t="e">
            <v>#VALUE!</v>
          </cell>
          <cell r="BS758" t="e">
            <v>#VALUE!</v>
          </cell>
          <cell r="BT758">
            <v>0</v>
          </cell>
          <cell r="BU758" t="str">
            <v/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 t="e">
            <v>#VALUE!</v>
          </cell>
        </row>
        <row r="759">
          <cell r="A759" t="str">
            <v>142Q4</v>
          </cell>
          <cell r="B759" t="str">
            <v>Q4</v>
          </cell>
          <cell r="C759">
            <v>142</v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1</v>
          </cell>
          <cell r="BJ759">
            <v>0</v>
          </cell>
          <cell r="BK759">
            <v>0</v>
          </cell>
          <cell r="BM759" t="str">
            <v/>
          </cell>
          <cell r="BO759" t="e">
            <v>#VALUE!</v>
          </cell>
          <cell r="BP759" t="e">
            <v>#VALUE!</v>
          </cell>
          <cell r="BQ759" t="e">
            <v>#VALUE!</v>
          </cell>
          <cell r="BR759" t="e">
            <v>#VALUE!</v>
          </cell>
          <cell r="BS759" t="e">
            <v>#VALUE!</v>
          </cell>
          <cell r="BT759">
            <v>0</v>
          </cell>
          <cell r="BU759" t="str">
            <v/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 t="e">
            <v>#VALUE!</v>
          </cell>
        </row>
        <row r="760">
          <cell r="A760" t="str">
            <v>143Q4</v>
          </cell>
          <cell r="B760" t="str">
            <v>Q4</v>
          </cell>
          <cell r="C760">
            <v>143</v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1</v>
          </cell>
          <cell r="BJ760">
            <v>0</v>
          </cell>
          <cell r="BK760">
            <v>0</v>
          </cell>
          <cell r="BM760" t="str">
            <v/>
          </cell>
          <cell r="BO760" t="e">
            <v>#VALUE!</v>
          </cell>
          <cell r="BP760" t="e">
            <v>#VALUE!</v>
          </cell>
          <cell r="BQ760" t="e">
            <v>#VALUE!</v>
          </cell>
          <cell r="BR760" t="e">
            <v>#VALUE!</v>
          </cell>
          <cell r="BS760" t="e">
            <v>#VALUE!</v>
          </cell>
          <cell r="BT760">
            <v>0</v>
          </cell>
          <cell r="BU760" t="str">
            <v/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 t="e">
            <v>#VALUE!</v>
          </cell>
        </row>
        <row r="761">
          <cell r="A761" t="str">
            <v>144Q4</v>
          </cell>
          <cell r="B761" t="str">
            <v>Q4</v>
          </cell>
          <cell r="C761">
            <v>144</v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1</v>
          </cell>
          <cell r="BJ761">
            <v>0</v>
          </cell>
          <cell r="BK761">
            <v>0</v>
          </cell>
          <cell r="BM761" t="str">
            <v/>
          </cell>
          <cell r="BO761" t="e">
            <v>#VALUE!</v>
          </cell>
          <cell r="BP761" t="e">
            <v>#VALUE!</v>
          </cell>
          <cell r="BQ761" t="e">
            <v>#VALUE!</v>
          </cell>
          <cell r="BR761" t="e">
            <v>#VALUE!</v>
          </cell>
          <cell r="BS761" t="e">
            <v>#VALUE!</v>
          </cell>
          <cell r="BT761">
            <v>0</v>
          </cell>
          <cell r="BU761" t="str">
            <v/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 t="e">
            <v>#VALUE!</v>
          </cell>
        </row>
        <row r="762">
          <cell r="A762" t="str">
            <v>145Q4</v>
          </cell>
          <cell r="B762" t="str">
            <v>Q4</v>
          </cell>
          <cell r="C762">
            <v>145</v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1</v>
          </cell>
          <cell r="BJ762">
            <v>0</v>
          </cell>
          <cell r="BK762">
            <v>0</v>
          </cell>
          <cell r="BM762" t="str">
            <v/>
          </cell>
          <cell r="BO762" t="e">
            <v>#VALUE!</v>
          </cell>
          <cell r="BP762" t="e">
            <v>#VALUE!</v>
          </cell>
          <cell r="BQ762" t="e">
            <v>#VALUE!</v>
          </cell>
          <cell r="BR762" t="e">
            <v>#VALUE!</v>
          </cell>
          <cell r="BS762" t="e">
            <v>#VALUE!</v>
          </cell>
          <cell r="BT762">
            <v>0</v>
          </cell>
          <cell r="BU762" t="str">
            <v/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 t="e">
            <v>#VALUE!</v>
          </cell>
        </row>
        <row r="763">
          <cell r="A763" t="str">
            <v>146Q4</v>
          </cell>
          <cell r="B763" t="str">
            <v>Q4</v>
          </cell>
          <cell r="C763">
            <v>146</v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1</v>
          </cell>
          <cell r="BJ763">
            <v>0</v>
          </cell>
          <cell r="BK763">
            <v>0</v>
          </cell>
          <cell r="BM763" t="str">
            <v/>
          </cell>
          <cell r="BO763" t="e">
            <v>#VALUE!</v>
          </cell>
          <cell r="BP763" t="e">
            <v>#VALUE!</v>
          </cell>
          <cell r="BQ763" t="e">
            <v>#VALUE!</v>
          </cell>
          <cell r="BR763" t="e">
            <v>#VALUE!</v>
          </cell>
          <cell r="BS763" t="e">
            <v>#VALUE!</v>
          </cell>
          <cell r="BT763">
            <v>0</v>
          </cell>
          <cell r="BU763" t="str">
            <v/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 t="e">
            <v>#VALUE!</v>
          </cell>
        </row>
        <row r="764">
          <cell r="A764" t="str">
            <v>147Q4</v>
          </cell>
          <cell r="B764" t="str">
            <v>Q4</v>
          </cell>
          <cell r="C764">
            <v>147</v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1</v>
          </cell>
          <cell r="BJ764">
            <v>0</v>
          </cell>
          <cell r="BK764">
            <v>0</v>
          </cell>
          <cell r="BM764" t="str">
            <v/>
          </cell>
          <cell r="BO764" t="e">
            <v>#VALUE!</v>
          </cell>
          <cell r="BP764" t="e">
            <v>#VALUE!</v>
          </cell>
          <cell r="BQ764" t="e">
            <v>#VALUE!</v>
          </cell>
          <cell r="BR764" t="e">
            <v>#VALUE!</v>
          </cell>
          <cell r="BS764" t="e">
            <v>#VALUE!</v>
          </cell>
          <cell r="BT764">
            <v>0</v>
          </cell>
          <cell r="BU764" t="str">
            <v/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 t="e">
            <v>#VALUE!</v>
          </cell>
        </row>
        <row r="765">
          <cell r="A765" t="str">
            <v>148Q4</v>
          </cell>
          <cell r="B765" t="str">
            <v>Q4</v>
          </cell>
          <cell r="C765">
            <v>148</v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1</v>
          </cell>
          <cell r="BJ765">
            <v>0</v>
          </cell>
          <cell r="BK765">
            <v>0</v>
          </cell>
          <cell r="BM765" t="str">
            <v/>
          </cell>
          <cell r="BO765" t="e">
            <v>#VALUE!</v>
          </cell>
          <cell r="BP765" t="e">
            <v>#VALUE!</v>
          </cell>
          <cell r="BQ765" t="e">
            <v>#VALUE!</v>
          </cell>
          <cell r="BR765" t="e">
            <v>#VALUE!</v>
          </cell>
          <cell r="BS765" t="e">
            <v>#VALUE!</v>
          </cell>
          <cell r="BT765">
            <v>0</v>
          </cell>
          <cell r="BU765" t="str">
            <v/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 t="e">
            <v>#VALUE!</v>
          </cell>
        </row>
        <row r="766">
          <cell r="A766" t="str">
            <v>149Q4</v>
          </cell>
          <cell r="B766" t="str">
            <v>Q4</v>
          </cell>
          <cell r="C766">
            <v>149</v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1</v>
          </cell>
          <cell r="BJ766">
            <v>0</v>
          </cell>
          <cell r="BK766">
            <v>0</v>
          </cell>
          <cell r="BM766" t="str">
            <v/>
          </cell>
          <cell r="BO766" t="e">
            <v>#VALUE!</v>
          </cell>
          <cell r="BP766" t="e">
            <v>#VALUE!</v>
          </cell>
          <cell r="BQ766" t="e">
            <v>#VALUE!</v>
          </cell>
          <cell r="BR766" t="e">
            <v>#VALUE!</v>
          </cell>
          <cell r="BS766" t="e">
            <v>#VALUE!</v>
          </cell>
          <cell r="BT766">
            <v>0</v>
          </cell>
          <cell r="BU766" t="str">
            <v/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 t="e">
            <v>#VALUE!</v>
          </cell>
        </row>
        <row r="767">
          <cell r="A767" t="str">
            <v>150Q4</v>
          </cell>
          <cell r="B767" t="str">
            <v>Q4</v>
          </cell>
          <cell r="C767">
            <v>150</v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1</v>
          </cell>
          <cell r="BJ767">
            <v>0</v>
          </cell>
          <cell r="BK767">
            <v>0</v>
          </cell>
          <cell r="BM767" t="str">
            <v/>
          </cell>
          <cell r="BO767" t="e">
            <v>#VALUE!</v>
          </cell>
          <cell r="BP767" t="e">
            <v>#VALUE!</v>
          </cell>
          <cell r="BQ767" t="e">
            <v>#VALUE!</v>
          </cell>
          <cell r="BR767" t="e">
            <v>#VALUE!</v>
          </cell>
          <cell r="BS767" t="e">
            <v>#VALUE!</v>
          </cell>
          <cell r="BT767">
            <v>0</v>
          </cell>
          <cell r="BU767" t="str">
            <v/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 t="e">
            <v>#VALUE!</v>
          </cell>
        </row>
        <row r="768">
          <cell r="A768" t="str">
            <v>151Q4</v>
          </cell>
          <cell r="B768" t="str">
            <v>Q4</v>
          </cell>
          <cell r="C768">
            <v>151</v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1</v>
          </cell>
          <cell r="BJ768">
            <v>0</v>
          </cell>
          <cell r="BK768">
            <v>0</v>
          </cell>
          <cell r="BM768" t="str">
            <v/>
          </cell>
          <cell r="BO768" t="e">
            <v>#VALUE!</v>
          </cell>
          <cell r="BP768" t="e">
            <v>#VALUE!</v>
          </cell>
          <cell r="BQ768" t="e">
            <v>#VALUE!</v>
          </cell>
          <cell r="BR768" t="e">
            <v>#VALUE!</v>
          </cell>
          <cell r="BS768" t="e">
            <v>#VALUE!</v>
          </cell>
          <cell r="BT768">
            <v>0</v>
          </cell>
          <cell r="BU768" t="str">
            <v/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 t="e">
            <v>#VALUE!</v>
          </cell>
        </row>
        <row r="769">
          <cell r="A769" t="str">
            <v>152Q4</v>
          </cell>
          <cell r="B769" t="str">
            <v>Q4</v>
          </cell>
          <cell r="C769">
            <v>152</v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1</v>
          </cell>
          <cell r="BJ769">
            <v>0</v>
          </cell>
          <cell r="BK769">
            <v>0</v>
          </cell>
          <cell r="BM769" t="str">
            <v/>
          </cell>
          <cell r="BO769" t="e">
            <v>#VALUE!</v>
          </cell>
          <cell r="BP769" t="e">
            <v>#VALUE!</v>
          </cell>
          <cell r="BQ769" t="e">
            <v>#VALUE!</v>
          </cell>
          <cell r="BR769" t="e">
            <v>#VALUE!</v>
          </cell>
          <cell r="BS769" t="e">
            <v>#VALUE!</v>
          </cell>
          <cell r="BT769">
            <v>0</v>
          </cell>
          <cell r="BU769" t="str">
            <v/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 t="e">
            <v>#VALUE!</v>
          </cell>
        </row>
        <row r="770">
          <cell r="A770" t="str">
            <v>153Q4</v>
          </cell>
          <cell r="B770" t="str">
            <v>Q4</v>
          </cell>
          <cell r="C770">
            <v>153</v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1</v>
          </cell>
          <cell r="BJ770">
            <v>0</v>
          </cell>
          <cell r="BK770">
            <v>0</v>
          </cell>
          <cell r="BM770" t="str">
            <v/>
          </cell>
          <cell r="BO770" t="e">
            <v>#VALUE!</v>
          </cell>
          <cell r="BP770" t="e">
            <v>#VALUE!</v>
          </cell>
          <cell r="BQ770" t="e">
            <v>#VALUE!</v>
          </cell>
          <cell r="BR770" t="e">
            <v>#VALUE!</v>
          </cell>
          <cell r="BS770" t="e">
            <v>#VALUE!</v>
          </cell>
          <cell r="BT770">
            <v>0</v>
          </cell>
          <cell r="BU770" t="str">
            <v/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 t="e">
            <v>#VALUE!</v>
          </cell>
        </row>
        <row r="771">
          <cell r="A771" t="str">
            <v>154Q4</v>
          </cell>
          <cell r="B771" t="str">
            <v>Q4</v>
          </cell>
          <cell r="C771">
            <v>154</v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1</v>
          </cell>
          <cell r="BJ771">
            <v>0</v>
          </cell>
          <cell r="BK771">
            <v>0</v>
          </cell>
          <cell r="BM771" t="str">
            <v/>
          </cell>
          <cell r="BO771" t="e">
            <v>#VALUE!</v>
          </cell>
          <cell r="BP771" t="e">
            <v>#VALUE!</v>
          </cell>
          <cell r="BQ771" t="e">
            <v>#VALUE!</v>
          </cell>
          <cell r="BR771" t="e">
            <v>#VALUE!</v>
          </cell>
          <cell r="BS771" t="e">
            <v>#VALUE!</v>
          </cell>
          <cell r="BT771">
            <v>0</v>
          </cell>
          <cell r="BU771" t="str">
            <v/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 t="e">
            <v>#VALUE!</v>
          </cell>
        </row>
        <row r="772">
          <cell r="A772" t="str">
            <v>155Q4</v>
          </cell>
          <cell r="B772" t="str">
            <v>Q4</v>
          </cell>
          <cell r="C772">
            <v>155</v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1</v>
          </cell>
          <cell r="BJ772">
            <v>0</v>
          </cell>
          <cell r="BK772">
            <v>0</v>
          </cell>
          <cell r="BM772" t="str">
            <v/>
          </cell>
          <cell r="BO772" t="e">
            <v>#VALUE!</v>
          </cell>
          <cell r="BP772" t="e">
            <v>#VALUE!</v>
          </cell>
          <cell r="BQ772" t="e">
            <v>#VALUE!</v>
          </cell>
          <cell r="BR772" t="e">
            <v>#VALUE!</v>
          </cell>
          <cell r="BS772" t="e">
            <v>#VALUE!</v>
          </cell>
          <cell r="BT772">
            <v>0</v>
          </cell>
          <cell r="BU772" t="str">
            <v/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 t="e">
            <v>#VALUE!</v>
          </cell>
        </row>
        <row r="773">
          <cell r="A773" t="str">
            <v>156Q4</v>
          </cell>
          <cell r="B773" t="str">
            <v>Q4</v>
          </cell>
          <cell r="C773">
            <v>156</v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1</v>
          </cell>
          <cell r="BJ773">
            <v>0</v>
          </cell>
          <cell r="BK773">
            <v>0</v>
          </cell>
          <cell r="BM773" t="str">
            <v/>
          </cell>
          <cell r="BO773" t="e">
            <v>#VALUE!</v>
          </cell>
          <cell r="BP773" t="e">
            <v>#VALUE!</v>
          </cell>
          <cell r="BQ773" t="e">
            <v>#VALUE!</v>
          </cell>
          <cell r="BR773" t="e">
            <v>#VALUE!</v>
          </cell>
          <cell r="BS773" t="e">
            <v>#VALUE!</v>
          </cell>
          <cell r="BT773">
            <v>0</v>
          </cell>
          <cell r="BU773" t="str">
            <v/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 t="e">
            <v>#VALUE!</v>
          </cell>
        </row>
        <row r="774">
          <cell r="A774" t="str">
            <v>157Q4</v>
          </cell>
          <cell r="B774" t="str">
            <v>Q4</v>
          </cell>
          <cell r="C774">
            <v>157</v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1</v>
          </cell>
          <cell r="BJ774">
            <v>0</v>
          </cell>
          <cell r="BK774">
            <v>0</v>
          </cell>
          <cell r="BM774" t="str">
            <v/>
          </cell>
          <cell r="BO774" t="e">
            <v>#VALUE!</v>
          </cell>
          <cell r="BP774" t="e">
            <v>#VALUE!</v>
          </cell>
          <cell r="BQ774" t="e">
            <v>#VALUE!</v>
          </cell>
          <cell r="BR774" t="e">
            <v>#VALUE!</v>
          </cell>
          <cell r="BS774" t="e">
            <v>#VALUE!</v>
          </cell>
          <cell r="BT774">
            <v>0</v>
          </cell>
          <cell r="BU774" t="str">
            <v/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 t="e">
            <v>#VALUE!</v>
          </cell>
        </row>
        <row r="775">
          <cell r="A775" t="str">
            <v>158Q4</v>
          </cell>
          <cell r="B775" t="str">
            <v>Q4</v>
          </cell>
          <cell r="C775">
            <v>158</v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1</v>
          </cell>
          <cell r="BJ775">
            <v>0</v>
          </cell>
          <cell r="BK775">
            <v>0</v>
          </cell>
          <cell r="BM775" t="str">
            <v/>
          </cell>
          <cell r="BO775" t="e">
            <v>#VALUE!</v>
          </cell>
          <cell r="BP775" t="e">
            <v>#VALUE!</v>
          </cell>
          <cell r="BQ775" t="e">
            <v>#VALUE!</v>
          </cell>
          <cell r="BR775" t="e">
            <v>#VALUE!</v>
          </cell>
          <cell r="BS775" t="e">
            <v>#VALUE!</v>
          </cell>
          <cell r="BT775">
            <v>0</v>
          </cell>
          <cell r="BU775" t="str">
            <v/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 t="e">
            <v>#VALUE!</v>
          </cell>
        </row>
        <row r="776">
          <cell r="A776" t="str">
            <v>159Q4</v>
          </cell>
          <cell r="B776" t="str">
            <v>Q4</v>
          </cell>
          <cell r="C776">
            <v>159</v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1</v>
          </cell>
          <cell r="BJ776">
            <v>0</v>
          </cell>
          <cell r="BK776">
            <v>0</v>
          </cell>
          <cell r="BM776" t="str">
            <v/>
          </cell>
          <cell r="BO776" t="e">
            <v>#VALUE!</v>
          </cell>
          <cell r="BP776" t="e">
            <v>#VALUE!</v>
          </cell>
          <cell r="BQ776" t="e">
            <v>#VALUE!</v>
          </cell>
          <cell r="BR776" t="e">
            <v>#VALUE!</v>
          </cell>
          <cell r="BS776" t="e">
            <v>#VALUE!</v>
          </cell>
          <cell r="BT776">
            <v>0</v>
          </cell>
          <cell r="BU776" t="str">
            <v/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0</v>
          </cell>
          <cell r="CK776" t="e">
            <v>#VALUE!</v>
          </cell>
        </row>
        <row r="777">
          <cell r="A777" t="str">
            <v>160Q4</v>
          </cell>
          <cell r="B777" t="str">
            <v>Q4</v>
          </cell>
          <cell r="C777">
            <v>160</v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1</v>
          </cell>
          <cell r="BJ777">
            <v>0</v>
          </cell>
          <cell r="BK777">
            <v>0</v>
          </cell>
          <cell r="BM777" t="str">
            <v/>
          </cell>
          <cell r="BO777" t="e">
            <v>#VALUE!</v>
          </cell>
          <cell r="BP777" t="e">
            <v>#VALUE!</v>
          </cell>
          <cell r="BQ777" t="e">
            <v>#VALUE!</v>
          </cell>
          <cell r="BR777" t="e">
            <v>#VALUE!</v>
          </cell>
          <cell r="BS777" t="e">
            <v>#VALUE!</v>
          </cell>
          <cell r="BT777">
            <v>0</v>
          </cell>
          <cell r="BU777" t="str">
            <v/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0</v>
          </cell>
          <cell r="CK777" t="e">
            <v>#VALUE!</v>
          </cell>
        </row>
        <row r="778">
          <cell r="A778" t="str">
            <v>161Q4</v>
          </cell>
          <cell r="B778" t="str">
            <v>Q4</v>
          </cell>
          <cell r="C778">
            <v>161</v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1</v>
          </cell>
          <cell r="BJ778">
            <v>0</v>
          </cell>
          <cell r="BK778">
            <v>0</v>
          </cell>
          <cell r="BM778" t="str">
            <v/>
          </cell>
          <cell r="BO778" t="e">
            <v>#VALUE!</v>
          </cell>
          <cell r="BP778" t="e">
            <v>#VALUE!</v>
          </cell>
          <cell r="BQ778" t="e">
            <v>#VALUE!</v>
          </cell>
          <cell r="BR778" t="e">
            <v>#VALUE!</v>
          </cell>
          <cell r="BS778" t="e">
            <v>#VALUE!</v>
          </cell>
          <cell r="BT778">
            <v>0</v>
          </cell>
          <cell r="BU778" t="str">
            <v/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0</v>
          </cell>
          <cell r="CK778" t="e">
            <v>#VALUE!</v>
          </cell>
        </row>
        <row r="779">
          <cell r="A779" t="str">
            <v>162Q4</v>
          </cell>
          <cell r="B779" t="str">
            <v>Q4</v>
          </cell>
          <cell r="C779">
            <v>162</v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1</v>
          </cell>
          <cell r="BJ779">
            <v>0</v>
          </cell>
          <cell r="BK779">
            <v>0</v>
          </cell>
          <cell r="BM779" t="str">
            <v/>
          </cell>
          <cell r="BO779" t="e">
            <v>#VALUE!</v>
          </cell>
          <cell r="BP779" t="e">
            <v>#VALUE!</v>
          </cell>
          <cell r="BQ779" t="e">
            <v>#VALUE!</v>
          </cell>
          <cell r="BR779" t="e">
            <v>#VALUE!</v>
          </cell>
          <cell r="BS779" t="e">
            <v>#VALUE!</v>
          </cell>
          <cell r="BT779">
            <v>0</v>
          </cell>
          <cell r="BU779" t="str">
            <v/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0</v>
          </cell>
          <cell r="CK779" t="e">
            <v>#VALUE!</v>
          </cell>
        </row>
        <row r="780">
          <cell r="A780" t="str">
            <v>163Q4</v>
          </cell>
          <cell r="B780" t="str">
            <v>Q4</v>
          </cell>
          <cell r="C780">
            <v>163</v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1</v>
          </cell>
          <cell r="BJ780">
            <v>0</v>
          </cell>
          <cell r="BK780">
            <v>0</v>
          </cell>
          <cell r="BM780" t="str">
            <v/>
          </cell>
          <cell r="BO780" t="e">
            <v>#VALUE!</v>
          </cell>
          <cell r="BP780" t="e">
            <v>#VALUE!</v>
          </cell>
          <cell r="BQ780" t="e">
            <v>#VALUE!</v>
          </cell>
          <cell r="BR780" t="e">
            <v>#VALUE!</v>
          </cell>
          <cell r="BS780" t="e">
            <v>#VALUE!</v>
          </cell>
          <cell r="BT780">
            <v>0</v>
          </cell>
          <cell r="BU780" t="str">
            <v/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 t="e">
            <v>#VALUE!</v>
          </cell>
        </row>
        <row r="781">
          <cell r="A781" t="str">
            <v>164Q4</v>
          </cell>
          <cell r="B781" t="str">
            <v>Q4</v>
          </cell>
          <cell r="C781">
            <v>164</v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1</v>
          </cell>
          <cell r="BJ781">
            <v>0</v>
          </cell>
          <cell r="BK781">
            <v>0</v>
          </cell>
          <cell r="BM781" t="str">
            <v/>
          </cell>
          <cell r="BO781" t="e">
            <v>#VALUE!</v>
          </cell>
          <cell r="BP781" t="e">
            <v>#VALUE!</v>
          </cell>
          <cell r="BQ781" t="e">
            <v>#VALUE!</v>
          </cell>
          <cell r="BR781" t="e">
            <v>#VALUE!</v>
          </cell>
          <cell r="BS781" t="e">
            <v>#VALUE!</v>
          </cell>
          <cell r="BT781">
            <v>0</v>
          </cell>
          <cell r="BU781" t="str">
            <v/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 t="e">
            <v>#VALUE!</v>
          </cell>
        </row>
        <row r="782">
          <cell r="A782" t="str">
            <v>165Q4</v>
          </cell>
          <cell r="B782" t="str">
            <v>Q4</v>
          </cell>
          <cell r="C782">
            <v>165</v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1</v>
          </cell>
          <cell r="BJ782">
            <v>0</v>
          </cell>
          <cell r="BK782">
            <v>0</v>
          </cell>
          <cell r="BM782" t="str">
            <v/>
          </cell>
          <cell r="BO782" t="e">
            <v>#VALUE!</v>
          </cell>
          <cell r="BP782" t="e">
            <v>#VALUE!</v>
          </cell>
          <cell r="BQ782" t="e">
            <v>#VALUE!</v>
          </cell>
          <cell r="BR782" t="e">
            <v>#VALUE!</v>
          </cell>
          <cell r="BS782" t="e">
            <v>#VALUE!</v>
          </cell>
          <cell r="BT782">
            <v>0</v>
          </cell>
          <cell r="BU782" t="str">
            <v/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 t="e">
            <v>#VALUE!</v>
          </cell>
        </row>
        <row r="783">
          <cell r="A783" t="str">
            <v>166Q4</v>
          </cell>
          <cell r="B783" t="str">
            <v>Q4</v>
          </cell>
          <cell r="C783">
            <v>166</v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1</v>
          </cell>
          <cell r="BJ783">
            <v>0</v>
          </cell>
          <cell r="BK783">
            <v>0</v>
          </cell>
          <cell r="BM783" t="str">
            <v/>
          </cell>
          <cell r="BO783" t="e">
            <v>#VALUE!</v>
          </cell>
          <cell r="BP783" t="e">
            <v>#VALUE!</v>
          </cell>
          <cell r="BQ783" t="e">
            <v>#VALUE!</v>
          </cell>
          <cell r="BR783" t="e">
            <v>#VALUE!</v>
          </cell>
          <cell r="BS783" t="e">
            <v>#VALUE!</v>
          </cell>
          <cell r="BT783">
            <v>0</v>
          </cell>
          <cell r="BU783" t="str">
            <v/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 t="e">
            <v>#VALUE!</v>
          </cell>
        </row>
        <row r="784">
          <cell r="A784" t="str">
            <v>167Q4</v>
          </cell>
          <cell r="B784" t="str">
            <v>Q4</v>
          </cell>
          <cell r="C784">
            <v>167</v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1</v>
          </cell>
          <cell r="BJ784">
            <v>0</v>
          </cell>
          <cell r="BK784">
            <v>0</v>
          </cell>
          <cell r="BM784" t="str">
            <v/>
          </cell>
          <cell r="BO784" t="e">
            <v>#VALUE!</v>
          </cell>
          <cell r="BP784" t="e">
            <v>#VALUE!</v>
          </cell>
          <cell r="BQ784" t="e">
            <v>#VALUE!</v>
          </cell>
          <cell r="BR784" t="e">
            <v>#VALUE!</v>
          </cell>
          <cell r="BS784" t="e">
            <v>#VALUE!</v>
          </cell>
          <cell r="BT784">
            <v>0</v>
          </cell>
          <cell r="BU784" t="str">
            <v/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 t="e">
            <v>#VALUE!</v>
          </cell>
        </row>
        <row r="785">
          <cell r="A785" t="str">
            <v>168Q4</v>
          </cell>
          <cell r="B785" t="str">
            <v>Q4</v>
          </cell>
          <cell r="C785">
            <v>168</v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1</v>
          </cell>
          <cell r="BJ785">
            <v>0</v>
          </cell>
          <cell r="BK785">
            <v>0</v>
          </cell>
          <cell r="BM785" t="str">
            <v/>
          </cell>
          <cell r="BO785" t="e">
            <v>#VALUE!</v>
          </cell>
          <cell r="BP785" t="e">
            <v>#VALUE!</v>
          </cell>
          <cell r="BQ785" t="e">
            <v>#VALUE!</v>
          </cell>
          <cell r="BR785" t="e">
            <v>#VALUE!</v>
          </cell>
          <cell r="BS785" t="e">
            <v>#VALUE!</v>
          </cell>
          <cell r="BT785">
            <v>0</v>
          </cell>
          <cell r="BU785" t="str">
            <v/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 t="e">
            <v>#VALUE!</v>
          </cell>
        </row>
        <row r="786">
          <cell r="A786" t="str">
            <v>169Q4</v>
          </cell>
          <cell r="B786" t="str">
            <v>Q4</v>
          </cell>
          <cell r="C786">
            <v>169</v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1</v>
          </cell>
          <cell r="BJ786">
            <v>0</v>
          </cell>
          <cell r="BK786">
            <v>0</v>
          </cell>
          <cell r="BM786" t="str">
            <v/>
          </cell>
          <cell r="BO786" t="e">
            <v>#VALUE!</v>
          </cell>
          <cell r="BP786" t="e">
            <v>#VALUE!</v>
          </cell>
          <cell r="BQ786" t="e">
            <v>#VALUE!</v>
          </cell>
          <cell r="BR786" t="e">
            <v>#VALUE!</v>
          </cell>
          <cell r="BS786" t="e">
            <v>#VALUE!</v>
          </cell>
          <cell r="BT786">
            <v>0</v>
          </cell>
          <cell r="BU786" t="str">
            <v/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 t="e">
            <v>#VALUE!</v>
          </cell>
        </row>
        <row r="787">
          <cell r="A787" t="str">
            <v>170Q4</v>
          </cell>
          <cell r="B787" t="str">
            <v>Q4</v>
          </cell>
          <cell r="C787">
            <v>170</v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1</v>
          </cell>
          <cell r="BJ787">
            <v>0</v>
          </cell>
          <cell r="BK787">
            <v>0</v>
          </cell>
          <cell r="BM787" t="str">
            <v/>
          </cell>
          <cell r="BO787" t="e">
            <v>#VALUE!</v>
          </cell>
          <cell r="BP787" t="e">
            <v>#VALUE!</v>
          </cell>
          <cell r="BQ787" t="e">
            <v>#VALUE!</v>
          </cell>
          <cell r="BR787" t="e">
            <v>#VALUE!</v>
          </cell>
          <cell r="BS787" t="e">
            <v>#VALUE!</v>
          </cell>
          <cell r="BT787">
            <v>0</v>
          </cell>
          <cell r="BU787" t="str">
            <v/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 t="e">
            <v>#VALUE!</v>
          </cell>
        </row>
        <row r="788">
          <cell r="A788" t="str">
            <v>171Q4</v>
          </cell>
          <cell r="B788" t="str">
            <v>Q4</v>
          </cell>
          <cell r="C788">
            <v>171</v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1</v>
          </cell>
          <cell r="BJ788">
            <v>0</v>
          </cell>
          <cell r="BK788">
            <v>0</v>
          </cell>
          <cell r="BM788" t="str">
            <v/>
          </cell>
          <cell r="BO788" t="e">
            <v>#VALUE!</v>
          </cell>
          <cell r="BP788" t="e">
            <v>#VALUE!</v>
          </cell>
          <cell r="BQ788" t="e">
            <v>#VALUE!</v>
          </cell>
          <cell r="BR788" t="e">
            <v>#VALUE!</v>
          </cell>
          <cell r="BS788" t="e">
            <v>#VALUE!</v>
          </cell>
          <cell r="BT788">
            <v>0</v>
          </cell>
          <cell r="BU788" t="str">
            <v/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 t="e">
            <v>#VALUE!</v>
          </cell>
        </row>
        <row r="789">
          <cell r="A789" t="str">
            <v>172Q4</v>
          </cell>
          <cell r="B789" t="str">
            <v>Q4</v>
          </cell>
          <cell r="C789">
            <v>172</v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1</v>
          </cell>
          <cell r="BJ789">
            <v>0</v>
          </cell>
          <cell r="BK789">
            <v>0</v>
          </cell>
          <cell r="BM789" t="str">
            <v/>
          </cell>
          <cell r="BO789" t="e">
            <v>#VALUE!</v>
          </cell>
          <cell r="BP789" t="e">
            <v>#VALUE!</v>
          </cell>
          <cell r="BQ789" t="e">
            <v>#VALUE!</v>
          </cell>
          <cell r="BR789" t="e">
            <v>#VALUE!</v>
          </cell>
          <cell r="BS789" t="e">
            <v>#VALUE!</v>
          </cell>
          <cell r="BT789">
            <v>0</v>
          </cell>
          <cell r="BU789" t="str">
            <v/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 t="e">
            <v>#VALUE!</v>
          </cell>
        </row>
        <row r="790">
          <cell r="A790" t="str">
            <v>173Q4</v>
          </cell>
          <cell r="B790" t="str">
            <v>Q4</v>
          </cell>
          <cell r="C790">
            <v>173</v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1</v>
          </cell>
          <cell r="BJ790">
            <v>0</v>
          </cell>
          <cell r="BK790">
            <v>0</v>
          </cell>
          <cell r="BM790" t="str">
            <v/>
          </cell>
          <cell r="BO790" t="e">
            <v>#VALUE!</v>
          </cell>
          <cell r="BP790" t="e">
            <v>#VALUE!</v>
          </cell>
          <cell r="BQ790" t="e">
            <v>#VALUE!</v>
          </cell>
          <cell r="BR790" t="e">
            <v>#VALUE!</v>
          </cell>
          <cell r="BS790" t="e">
            <v>#VALUE!</v>
          </cell>
          <cell r="BT790">
            <v>0</v>
          </cell>
          <cell r="BU790" t="str">
            <v/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 t="e">
            <v>#VALUE!</v>
          </cell>
        </row>
        <row r="791">
          <cell r="A791" t="str">
            <v>174Q4</v>
          </cell>
          <cell r="B791" t="str">
            <v>Q4</v>
          </cell>
          <cell r="C791">
            <v>174</v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1</v>
          </cell>
          <cell r="BJ791">
            <v>0</v>
          </cell>
          <cell r="BK791">
            <v>0</v>
          </cell>
          <cell r="BM791" t="str">
            <v/>
          </cell>
          <cell r="BO791" t="e">
            <v>#VALUE!</v>
          </cell>
          <cell r="BP791" t="e">
            <v>#VALUE!</v>
          </cell>
          <cell r="BQ791" t="e">
            <v>#VALUE!</v>
          </cell>
          <cell r="BR791" t="e">
            <v>#VALUE!</v>
          </cell>
          <cell r="BS791" t="e">
            <v>#VALUE!</v>
          </cell>
          <cell r="BT791">
            <v>0</v>
          </cell>
          <cell r="BU791" t="str">
            <v/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 t="e">
            <v>#VALUE!</v>
          </cell>
        </row>
        <row r="792">
          <cell r="A792" t="str">
            <v>175Q4</v>
          </cell>
          <cell r="B792" t="str">
            <v>Q4</v>
          </cell>
          <cell r="C792">
            <v>175</v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1</v>
          </cell>
          <cell r="BJ792">
            <v>0</v>
          </cell>
          <cell r="BK792">
            <v>0</v>
          </cell>
          <cell r="BM792" t="str">
            <v/>
          </cell>
          <cell r="BO792" t="e">
            <v>#VALUE!</v>
          </cell>
          <cell r="BP792" t="e">
            <v>#VALUE!</v>
          </cell>
          <cell r="BQ792" t="e">
            <v>#VALUE!</v>
          </cell>
          <cell r="BR792" t="e">
            <v>#VALUE!</v>
          </cell>
          <cell r="BS792" t="e">
            <v>#VALUE!</v>
          </cell>
          <cell r="BT792">
            <v>0</v>
          </cell>
          <cell r="BU792" t="str">
            <v/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 t="e">
            <v>#VALUE!</v>
          </cell>
        </row>
        <row r="793">
          <cell r="A793" t="str">
            <v>176Q4</v>
          </cell>
          <cell r="B793" t="str">
            <v>Q4</v>
          </cell>
          <cell r="C793">
            <v>176</v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1</v>
          </cell>
          <cell r="BJ793">
            <v>0</v>
          </cell>
          <cell r="BK793">
            <v>0</v>
          </cell>
          <cell r="BM793" t="str">
            <v/>
          </cell>
          <cell r="BO793" t="e">
            <v>#VALUE!</v>
          </cell>
          <cell r="BP793" t="e">
            <v>#VALUE!</v>
          </cell>
          <cell r="BQ793" t="e">
            <v>#VALUE!</v>
          </cell>
          <cell r="BR793" t="e">
            <v>#VALUE!</v>
          </cell>
          <cell r="BS793" t="e">
            <v>#VALUE!</v>
          </cell>
          <cell r="BT793">
            <v>0</v>
          </cell>
          <cell r="BU793" t="str">
            <v/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 t="e">
            <v>#VALUE!</v>
          </cell>
        </row>
        <row r="794">
          <cell r="A794" t="str">
            <v>177Q4</v>
          </cell>
          <cell r="B794" t="str">
            <v>Q4</v>
          </cell>
          <cell r="C794">
            <v>177</v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1</v>
          </cell>
          <cell r="BJ794">
            <v>0</v>
          </cell>
          <cell r="BK794">
            <v>0</v>
          </cell>
          <cell r="BM794" t="str">
            <v/>
          </cell>
          <cell r="BO794" t="e">
            <v>#VALUE!</v>
          </cell>
          <cell r="BP794" t="e">
            <v>#VALUE!</v>
          </cell>
          <cell r="BQ794" t="e">
            <v>#VALUE!</v>
          </cell>
          <cell r="BR794" t="e">
            <v>#VALUE!</v>
          </cell>
          <cell r="BS794" t="e">
            <v>#VALUE!</v>
          </cell>
          <cell r="BT794">
            <v>0</v>
          </cell>
          <cell r="BU794" t="str">
            <v/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 t="e">
            <v>#VALUE!</v>
          </cell>
        </row>
        <row r="795">
          <cell r="A795" t="str">
            <v>178Q4</v>
          </cell>
          <cell r="B795" t="str">
            <v>Q4</v>
          </cell>
          <cell r="C795">
            <v>178</v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1</v>
          </cell>
          <cell r="BJ795">
            <v>0</v>
          </cell>
          <cell r="BK795">
            <v>0</v>
          </cell>
          <cell r="BM795" t="str">
            <v/>
          </cell>
          <cell r="BO795" t="e">
            <v>#VALUE!</v>
          </cell>
          <cell r="BP795" t="e">
            <v>#VALUE!</v>
          </cell>
          <cell r="BQ795" t="e">
            <v>#VALUE!</v>
          </cell>
          <cell r="BR795" t="e">
            <v>#VALUE!</v>
          </cell>
          <cell r="BS795" t="e">
            <v>#VALUE!</v>
          </cell>
          <cell r="BT795">
            <v>0</v>
          </cell>
          <cell r="BU795" t="str">
            <v/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 t="e">
            <v>#VALUE!</v>
          </cell>
        </row>
        <row r="796">
          <cell r="A796" t="str">
            <v>179Q4</v>
          </cell>
          <cell r="B796" t="str">
            <v>Q4</v>
          </cell>
          <cell r="C796">
            <v>179</v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1</v>
          </cell>
          <cell r="BJ796">
            <v>0</v>
          </cell>
          <cell r="BK796">
            <v>0</v>
          </cell>
          <cell r="BM796" t="str">
            <v/>
          </cell>
          <cell r="BO796" t="e">
            <v>#VALUE!</v>
          </cell>
          <cell r="BP796" t="e">
            <v>#VALUE!</v>
          </cell>
          <cell r="BQ796" t="e">
            <v>#VALUE!</v>
          </cell>
          <cell r="BR796" t="e">
            <v>#VALUE!</v>
          </cell>
          <cell r="BS796" t="e">
            <v>#VALUE!</v>
          </cell>
          <cell r="BT796">
            <v>0</v>
          </cell>
          <cell r="BU796" t="str">
            <v/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 t="e">
            <v>#VALUE!</v>
          </cell>
        </row>
        <row r="797">
          <cell r="A797" t="str">
            <v>180Q4</v>
          </cell>
          <cell r="B797" t="str">
            <v>Q4</v>
          </cell>
          <cell r="C797">
            <v>180</v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1</v>
          </cell>
          <cell r="BJ797">
            <v>0</v>
          </cell>
          <cell r="BK797">
            <v>0</v>
          </cell>
          <cell r="BM797" t="str">
            <v/>
          </cell>
          <cell r="BO797" t="e">
            <v>#VALUE!</v>
          </cell>
          <cell r="BP797" t="e">
            <v>#VALUE!</v>
          </cell>
          <cell r="BQ797" t="e">
            <v>#VALUE!</v>
          </cell>
          <cell r="BR797" t="e">
            <v>#VALUE!</v>
          </cell>
          <cell r="BS797" t="e">
            <v>#VALUE!</v>
          </cell>
          <cell r="BT797">
            <v>0</v>
          </cell>
          <cell r="BU797" t="str">
            <v/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 t="e">
            <v>#VALUE!</v>
          </cell>
        </row>
        <row r="798">
          <cell r="A798" t="str">
            <v>181Q4</v>
          </cell>
          <cell r="B798" t="str">
            <v>Q4</v>
          </cell>
          <cell r="C798">
            <v>181</v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1</v>
          </cell>
          <cell r="BJ798">
            <v>0</v>
          </cell>
          <cell r="BK798">
            <v>0</v>
          </cell>
          <cell r="BM798" t="str">
            <v/>
          </cell>
          <cell r="BO798" t="e">
            <v>#VALUE!</v>
          </cell>
          <cell r="BP798" t="e">
            <v>#VALUE!</v>
          </cell>
          <cell r="BQ798" t="e">
            <v>#VALUE!</v>
          </cell>
          <cell r="BR798" t="e">
            <v>#VALUE!</v>
          </cell>
          <cell r="BS798" t="e">
            <v>#VALUE!</v>
          </cell>
          <cell r="BT798">
            <v>0</v>
          </cell>
          <cell r="BU798" t="str">
            <v/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 t="e">
            <v>#VALUE!</v>
          </cell>
        </row>
        <row r="799">
          <cell r="A799" t="str">
            <v>182Q4</v>
          </cell>
          <cell r="B799" t="str">
            <v>Q4</v>
          </cell>
          <cell r="C799">
            <v>182</v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1</v>
          </cell>
          <cell r="BJ799">
            <v>0</v>
          </cell>
          <cell r="BK799">
            <v>0</v>
          </cell>
          <cell r="BM799" t="str">
            <v/>
          </cell>
          <cell r="BO799" t="e">
            <v>#VALUE!</v>
          </cell>
          <cell r="BP799" t="e">
            <v>#VALUE!</v>
          </cell>
          <cell r="BQ799" t="e">
            <v>#VALUE!</v>
          </cell>
          <cell r="BR799" t="e">
            <v>#VALUE!</v>
          </cell>
          <cell r="BS799" t="e">
            <v>#VALUE!</v>
          </cell>
          <cell r="BT799">
            <v>0</v>
          </cell>
          <cell r="BU799" t="str">
            <v/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 t="e">
            <v>#VALUE!</v>
          </cell>
        </row>
        <row r="800">
          <cell r="A800" t="str">
            <v>183Q4</v>
          </cell>
          <cell r="B800" t="str">
            <v>Q4</v>
          </cell>
          <cell r="C800">
            <v>183</v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1</v>
          </cell>
          <cell r="BJ800">
            <v>0</v>
          </cell>
          <cell r="BK800">
            <v>0</v>
          </cell>
          <cell r="BM800" t="str">
            <v/>
          </cell>
          <cell r="BO800" t="e">
            <v>#VALUE!</v>
          </cell>
          <cell r="BP800" t="e">
            <v>#VALUE!</v>
          </cell>
          <cell r="BQ800" t="e">
            <v>#VALUE!</v>
          </cell>
          <cell r="BR800" t="e">
            <v>#VALUE!</v>
          </cell>
          <cell r="BS800" t="e">
            <v>#VALUE!</v>
          </cell>
          <cell r="BT800">
            <v>0</v>
          </cell>
          <cell r="BU800" t="str">
            <v/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 t="e">
            <v>#VALUE!</v>
          </cell>
        </row>
        <row r="801">
          <cell r="A801" t="str">
            <v>184Q4</v>
          </cell>
          <cell r="B801" t="str">
            <v>Q4</v>
          </cell>
          <cell r="C801">
            <v>184</v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1</v>
          </cell>
          <cell r="BJ801">
            <v>0</v>
          </cell>
          <cell r="BK801">
            <v>0</v>
          </cell>
          <cell r="BM801" t="str">
            <v/>
          </cell>
          <cell r="BO801" t="e">
            <v>#VALUE!</v>
          </cell>
          <cell r="BP801" t="e">
            <v>#VALUE!</v>
          </cell>
          <cell r="BQ801" t="e">
            <v>#VALUE!</v>
          </cell>
          <cell r="BR801" t="e">
            <v>#VALUE!</v>
          </cell>
          <cell r="BS801" t="e">
            <v>#VALUE!</v>
          </cell>
          <cell r="BT801">
            <v>0</v>
          </cell>
          <cell r="BU801" t="str">
            <v/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 t="e">
            <v>#VALUE!</v>
          </cell>
        </row>
        <row r="802">
          <cell r="A802" t="str">
            <v>185Q4</v>
          </cell>
          <cell r="B802" t="str">
            <v>Q4</v>
          </cell>
          <cell r="C802">
            <v>185</v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1</v>
          </cell>
          <cell r="BJ802">
            <v>0</v>
          </cell>
          <cell r="BK802">
            <v>0</v>
          </cell>
          <cell r="BM802" t="str">
            <v/>
          </cell>
          <cell r="BO802" t="e">
            <v>#VALUE!</v>
          </cell>
          <cell r="BP802" t="e">
            <v>#VALUE!</v>
          </cell>
          <cell r="BQ802" t="e">
            <v>#VALUE!</v>
          </cell>
          <cell r="BR802" t="e">
            <v>#VALUE!</v>
          </cell>
          <cell r="BS802" t="e">
            <v>#VALUE!</v>
          </cell>
          <cell r="BT802">
            <v>0</v>
          </cell>
          <cell r="BU802" t="str">
            <v/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 t="e">
            <v>#VALUE!</v>
          </cell>
        </row>
        <row r="803">
          <cell r="A803" t="str">
            <v>186Q4</v>
          </cell>
          <cell r="B803" t="str">
            <v>Q4</v>
          </cell>
          <cell r="C803">
            <v>186</v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1</v>
          </cell>
          <cell r="BJ803">
            <v>0</v>
          </cell>
          <cell r="BK803">
            <v>0</v>
          </cell>
          <cell r="BM803" t="str">
            <v/>
          </cell>
          <cell r="BO803" t="e">
            <v>#VALUE!</v>
          </cell>
          <cell r="BP803" t="e">
            <v>#VALUE!</v>
          </cell>
          <cell r="BQ803" t="e">
            <v>#VALUE!</v>
          </cell>
          <cell r="BR803" t="e">
            <v>#VALUE!</v>
          </cell>
          <cell r="BS803" t="e">
            <v>#VALUE!</v>
          </cell>
          <cell r="BT803">
            <v>0</v>
          </cell>
          <cell r="BU803" t="str">
            <v/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 t="e">
            <v>#VALUE!</v>
          </cell>
        </row>
        <row r="804">
          <cell r="A804" t="str">
            <v>187Q4</v>
          </cell>
          <cell r="B804" t="str">
            <v>Q4</v>
          </cell>
          <cell r="C804">
            <v>187</v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1</v>
          </cell>
          <cell r="BJ804">
            <v>0</v>
          </cell>
          <cell r="BK804">
            <v>0</v>
          </cell>
          <cell r="BM804" t="str">
            <v/>
          </cell>
          <cell r="BO804" t="e">
            <v>#VALUE!</v>
          </cell>
          <cell r="BP804" t="e">
            <v>#VALUE!</v>
          </cell>
          <cell r="BQ804" t="e">
            <v>#VALUE!</v>
          </cell>
          <cell r="BR804" t="e">
            <v>#VALUE!</v>
          </cell>
          <cell r="BS804" t="e">
            <v>#VALUE!</v>
          </cell>
          <cell r="BT804">
            <v>0</v>
          </cell>
          <cell r="BU804" t="str">
            <v/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 t="e">
            <v>#VALUE!</v>
          </cell>
        </row>
        <row r="805">
          <cell r="A805" t="str">
            <v>188Q4</v>
          </cell>
          <cell r="B805" t="str">
            <v>Q4</v>
          </cell>
          <cell r="C805">
            <v>188</v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1</v>
          </cell>
          <cell r="BJ805">
            <v>0</v>
          </cell>
          <cell r="BK805">
            <v>0</v>
          </cell>
          <cell r="BM805" t="str">
            <v/>
          </cell>
          <cell r="BO805" t="e">
            <v>#VALUE!</v>
          </cell>
          <cell r="BP805" t="e">
            <v>#VALUE!</v>
          </cell>
          <cell r="BQ805" t="e">
            <v>#VALUE!</v>
          </cell>
          <cell r="BR805" t="e">
            <v>#VALUE!</v>
          </cell>
          <cell r="BS805" t="e">
            <v>#VALUE!</v>
          </cell>
          <cell r="BT805">
            <v>0</v>
          </cell>
          <cell r="BU805" t="str">
            <v/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 t="e">
            <v>#VALUE!</v>
          </cell>
        </row>
        <row r="806">
          <cell r="A806" t="str">
            <v>189Q4</v>
          </cell>
          <cell r="B806" t="str">
            <v>Q4</v>
          </cell>
          <cell r="C806">
            <v>189</v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1</v>
          </cell>
          <cell r="BJ806">
            <v>0</v>
          </cell>
          <cell r="BK806">
            <v>0</v>
          </cell>
          <cell r="BM806" t="str">
            <v/>
          </cell>
          <cell r="BO806" t="e">
            <v>#VALUE!</v>
          </cell>
          <cell r="BP806" t="e">
            <v>#VALUE!</v>
          </cell>
          <cell r="BQ806" t="e">
            <v>#VALUE!</v>
          </cell>
          <cell r="BR806" t="e">
            <v>#VALUE!</v>
          </cell>
          <cell r="BS806" t="e">
            <v>#VALUE!</v>
          </cell>
          <cell r="BT806">
            <v>0</v>
          </cell>
          <cell r="BU806" t="str">
            <v/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 t="e">
            <v>#VALUE!</v>
          </cell>
        </row>
        <row r="807">
          <cell r="A807" t="str">
            <v>190Q4</v>
          </cell>
          <cell r="B807" t="str">
            <v>Q4</v>
          </cell>
          <cell r="C807">
            <v>190</v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1</v>
          </cell>
          <cell r="BJ807">
            <v>0</v>
          </cell>
          <cell r="BK807">
            <v>0</v>
          </cell>
          <cell r="BM807" t="str">
            <v/>
          </cell>
          <cell r="BO807" t="e">
            <v>#VALUE!</v>
          </cell>
          <cell r="BP807" t="e">
            <v>#VALUE!</v>
          </cell>
          <cell r="BQ807" t="e">
            <v>#VALUE!</v>
          </cell>
          <cell r="BR807" t="e">
            <v>#VALUE!</v>
          </cell>
          <cell r="BS807" t="e">
            <v>#VALUE!</v>
          </cell>
          <cell r="BT807">
            <v>0</v>
          </cell>
          <cell r="BU807" t="str">
            <v/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 t="e">
            <v>#VALUE!</v>
          </cell>
        </row>
        <row r="808">
          <cell r="A808" t="str">
            <v>191Q4</v>
          </cell>
          <cell r="B808" t="str">
            <v>Q4</v>
          </cell>
          <cell r="C808">
            <v>191</v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1</v>
          </cell>
          <cell r="BJ808">
            <v>0</v>
          </cell>
          <cell r="BK808">
            <v>0</v>
          </cell>
          <cell r="BM808" t="str">
            <v/>
          </cell>
          <cell r="BO808" t="e">
            <v>#VALUE!</v>
          </cell>
          <cell r="BP808" t="e">
            <v>#VALUE!</v>
          </cell>
          <cell r="BQ808" t="e">
            <v>#VALUE!</v>
          </cell>
          <cell r="BR808" t="e">
            <v>#VALUE!</v>
          </cell>
          <cell r="BS808" t="e">
            <v>#VALUE!</v>
          </cell>
          <cell r="BT808">
            <v>0</v>
          </cell>
          <cell r="BU808" t="str">
            <v/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 t="e">
            <v>#VALUE!</v>
          </cell>
        </row>
        <row r="809">
          <cell r="A809" t="str">
            <v>192Q4</v>
          </cell>
          <cell r="B809" t="str">
            <v>Q4</v>
          </cell>
          <cell r="C809">
            <v>192</v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1</v>
          </cell>
          <cell r="BJ809">
            <v>0</v>
          </cell>
          <cell r="BK809">
            <v>0</v>
          </cell>
          <cell r="BM809" t="str">
            <v/>
          </cell>
          <cell r="BO809" t="e">
            <v>#VALUE!</v>
          </cell>
          <cell r="BP809" t="e">
            <v>#VALUE!</v>
          </cell>
          <cell r="BQ809" t="e">
            <v>#VALUE!</v>
          </cell>
          <cell r="BR809" t="e">
            <v>#VALUE!</v>
          </cell>
          <cell r="BS809" t="e">
            <v>#VALUE!</v>
          </cell>
          <cell r="BT809">
            <v>0</v>
          </cell>
          <cell r="BU809" t="str">
            <v/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 t="e">
            <v>#VALUE!</v>
          </cell>
        </row>
        <row r="810">
          <cell r="A810" t="str">
            <v>193Q4</v>
          </cell>
          <cell r="B810" t="str">
            <v>Q4</v>
          </cell>
          <cell r="C810">
            <v>193</v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1</v>
          </cell>
          <cell r="BJ810">
            <v>0</v>
          </cell>
          <cell r="BK810">
            <v>0</v>
          </cell>
          <cell r="BM810" t="str">
            <v/>
          </cell>
          <cell r="BO810" t="e">
            <v>#VALUE!</v>
          </cell>
          <cell r="BP810" t="e">
            <v>#VALUE!</v>
          </cell>
          <cell r="BQ810" t="e">
            <v>#VALUE!</v>
          </cell>
          <cell r="BR810" t="e">
            <v>#VALUE!</v>
          </cell>
          <cell r="BS810" t="e">
            <v>#VALUE!</v>
          </cell>
          <cell r="BT810">
            <v>0</v>
          </cell>
          <cell r="BU810" t="str">
            <v/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 t="e">
            <v>#VALUE!</v>
          </cell>
        </row>
        <row r="811">
          <cell r="A811" t="str">
            <v>194Q4</v>
          </cell>
          <cell r="B811" t="str">
            <v>Q4</v>
          </cell>
          <cell r="C811">
            <v>194</v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1</v>
          </cell>
          <cell r="BJ811">
            <v>0</v>
          </cell>
          <cell r="BK811">
            <v>0</v>
          </cell>
          <cell r="BM811" t="str">
            <v/>
          </cell>
          <cell r="BO811" t="e">
            <v>#VALUE!</v>
          </cell>
          <cell r="BP811" t="e">
            <v>#VALUE!</v>
          </cell>
          <cell r="BQ811" t="e">
            <v>#VALUE!</v>
          </cell>
          <cell r="BR811" t="e">
            <v>#VALUE!</v>
          </cell>
          <cell r="BS811" t="e">
            <v>#VALUE!</v>
          </cell>
          <cell r="BT811">
            <v>0</v>
          </cell>
          <cell r="BU811" t="str">
            <v/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 t="e">
            <v>#VALUE!</v>
          </cell>
        </row>
        <row r="812">
          <cell r="A812" t="str">
            <v>195Q4</v>
          </cell>
          <cell r="B812" t="str">
            <v>Q4</v>
          </cell>
          <cell r="C812">
            <v>195</v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1</v>
          </cell>
          <cell r="BJ812">
            <v>0</v>
          </cell>
          <cell r="BK812">
            <v>0</v>
          </cell>
          <cell r="BM812" t="str">
            <v/>
          </cell>
          <cell r="BO812" t="e">
            <v>#VALUE!</v>
          </cell>
          <cell r="BP812" t="e">
            <v>#VALUE!</v>
          </cell>
          <cell r="BQ812" t="e">
            <v>#VALUE!</v>
          </cell>
          <cell r="BR812" t="e">
            <v>#VALUE!</v>
          </cell>
          <cell r="BS812" t="e">
            <v>#VALUE!</v>
          </cell>
          <cell r="BT812">
            <v>0</v>
          </cell>
          <cell r="BU812" t="str">
            <v/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 t="e">
            <v>#VALUE!</v>
          </cell>
        </row>
        <row r="813">
          <cell r="A813" t="str">
            <v>196Q4</v>
          </cell>
          <cell r="B813" t="str">
            <v>Q4</v>
          </cell>
          <cell r="C813">
            <v>196</v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1</v>
          </cell>
          <cell r="BJ813">
            <v>0</v>
          </cell>
          <cell r="BK813">
            <v>0</v>
          </cell>
          <cell r="BM813" t="str">
            <v/>
          </cell>
          <cell r="BO813" t="e">
            <v>#VALUE!</v>
          </cell>
          <cell r="BP813" t="e">
            <v>#VALUE!</v>
          </cell>
          <cell r="BQ813" t="e">
            <v>#VALUE!</v>
          </cell>
          <cell r="BR813" t="e">
            <v>#VALUE!</v>
          </cell>
          <cell r="BS813" t="e">
            <v>#VALUE!</v>
          </cell>
          <cell r="BT813">
            <v>0</v>
          </cell>
          <cell r="BU813" t="str">
            <v/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 t="e">
            <v>#VALUE!</v>
          </cell>
        </row>
        <row r="814">
          <cell r="A814" t="str">
            <v>197Q4</v>
          </cell>
          <cell r="B814" t="str">
            <v>Q4</v>
          </cell>
          <cell r="C814">
            <v>197</v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1</v>
          </cell>
          <cell r="BJ814">
            <v>0</v>
          </cell>
          <cell r="BK814">
            <v>0</v>
          </cell>
          <cell r="BM814" t="str">
            <v/>
          </cell>
          <cell r="BO814" t="e">
            <v>#VALUE!</v>
          </cell>
          <cell r="BP814" t="e">
            <v>#VALUE!</v>
          </cell>
          <cell r="BQ814" t="e">
            <v>#VALUE!</v>
          </cell>
          <cell r="BR814" t="e">
            <v>#VALUE!</v>
          </cell>
          <cell r="BS814" t="e">
            <v>#VALUE!</v>
          </cell>
          <cell r="BT814">
            <v>0</v>
          </cell>
          <cell r="BU814" t="str">
            <v/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 t="e">
            <v>#VALUE!</v>
          </cell>
        </row>
        <row r="815">
          <cell r="A815" t="str">
            <v>198Q4</v>
          </cell>
          <cell r="B815" t="str">
            <v>Q4</v>
          </cell>
          <cell r="C815">
            <v>198</v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1</v>
          </cell>
          <cell r="BJ815">
            <v>0</v>
          </cell>
          <cell r="BK815">
            <v>0</v>
          </cell>
          <cell r="BM815" t="str">
            <v/>
          </cell>
          <cell r="BO815" t="e">
            <v>#VALUE!</v>
          </cell>
          <cell r="BP815" t="e">
            <v>#VALUE!</v>
          </cell>
          <cell r="BQ815" t="e">
            <v>#VALUE!</v>
          </cell>
          <cell r="BR815" t="e">
            <v>#VALUE!</v>
          </cell>
          <cell r="BS815" t="e">
            <v>#VALUE!</v>
          </cell>
          <cell r="BT815">
            <v>0</v>
          </cell>
          <cell r="BU815" t="str">
            <v/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 t="e">
            <v>#VALUE!</v>
          </cell>
        </row>
        <row r="816">
          <cell r="A816" t="str">
            <v>199Q4</v>
          </cell>
          <cell r="B816" t="str">
            <v>Q4</v>
          </cell>
          <cell r="C816">
            <v>199</v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1</v>
          </cell>
          <cell r="BJ816">
            <v>0</v>
          </cell>
          <cell r="BK816">
            <v>0</v>
          </cell>
          <cell r="BM816" t="str">
            <v/>
          </cell>
          <cell r="BO816" t="e">
            <v>#VALUE!</v>
          </cell>
          <cell r="BP816" t="e">
            <v>#VALUE!</v>
          </cell>
          <cell r="BQ816" t="e">
            <v>#VALUE!</v>
          </cell>
          <cell r="BR816" t="e">
            <v>#VALUE!</v>
          </cell>
          <cell r="BS816" t="e">
            <v>#VALUE!</v>
          </cell>
          <cell r="BT816">
            <v>0</v>
          </cell>
          <cell r="BU816" t="str">
            <v/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 t="e">
            <v>#VALUE!</v>
          </cell>
        </row>
        <row r="817">
          <cell r="A817" t="str">
            <v>200Q4</v>
          </cell>
          <cell r="B817" t="str">
            <v>Q4</v>
          </cell>
          <cell r="C817">
            <v>200</v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1</v>
          </cell>
          <cell r="BJ817">
            <v>0</v>
          </cell>
          <cell r="BK817">
            <v>0</v>
          </cell>
          <cell r="BM817" t="str">
            <v/>
          </cell>
          <cell r="BO817" t="e">
            <v>#VALUE!</v>
          </cell>
          <cell r="BP817" t="e">
            <v>#VALUE!</v>
          </cell>
          <cell r="BQ817" t="e">
            <v>#VALUE!</v>
          </cell>
          <cell r="BR817" t="e">
            <v>#VALUE!</v>
          </cell>
          <cell r="BS817" t="e">
            <v>#VALUE!</v>
          </cell>
          <cell r="BT817">
            <v>0</v>
          </cell>
          <cell r="BU817" t="str">
            <v/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 t="e">
            <v>#VALUE!</v>
          </cell>
        </row>
        <row r="818">
          <cell r="BT818" t="str">
            <v>Target incentive</v>
          </cell>
        </row>
        <row r="819">
          <cell r="BO819">
            <v>42736</v>
          </cell>
          <cell r="BP819">
            <v>43100</v>
          </cell>
          <cell r="BQ819">
            <v>365</v>
          </cell>
          <cell r="BT819" t="str">
            <v xml:space="preserve"> based on paid bonuses</v>
          </cell>
        </row>
        <row r="820">
          <cell r="A820" t="str">
            <v>1Year</v>
          </cell>
          <cell r="B820" t="str">
            <v>Year</v>
          </cell>
          <cell r="C820">
            <v>1</v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1</v>
          </cell>
          <cell r="BO820" t="e">
            <v>#VALUE!</v>
          </cell>
          <cell r="BP820" t="e">
            <v>#VALUE!</v>
          </cell>
          <cell r="BQ820" t="e">
            <v>#VALUE!</v>
          </cell>
          <cell r="BR820" t="e">
            <v>#VALUE!</v>
          </cell>
          <cell r="BS820">
            <v>12</v>
          </cell>
          <cell r="BT820" t="e">
            <v>#VALUE!</v>
          </cell>
          <cell r="BU820" t="str">
            <v/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</row>
        <row r="821">
          <cell r="A821" t="str">
            <v>2Year</v>
          </cell>
          <cell r="B821" t="str">
            <v>Year</v>
          </cell>
          <cell r="C821">
            <v>2</v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1</v>
          </cell>
          <cell r="BO821" t="e">
            <v>#VALUE!</v>
          </cell>
          <cell r="BP821" t="e">
            <v>#VALUE!</v>
          </cell>
          <cell r="BQ821" t="e">
            <v>#VALUE!</v>
          </cell>
          <cell r="BR821" t="e">
            <v>#VALUE!</v>
          </cell>
          <cell r="BS821">
            <v>12</v>
          </cell>
          <cell r="BT821" t="e">
            <v>#VALUE!</v>
          </cell>
          <cell r="BU821" t="str">
            <v/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</row>
        <row r="822">
          <cell r="A822" t="str">
            <v>3Year</v>
          </cell>
          <cell r="B822" t="str">
            <v>Year</v>
          </cell>
          <cell r="C822">
            <v>3</v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1</v>
          </cell>
          <cell r="BO822" t="e">
            <v>#VALUE!</v>
          </cell>
          <cell r="BP822" t="e">
            <v>#VALUE!</v>
          </cell>
          <cell r="BQ822" t="e">
            <v>#VALUE!</v>
          </cell>
          <cell r="BR822" t="e">
            <v>#VALUE!</v>
          </cell>
          <cell r="BS822">
            <v>12</v>
          </cell>
          <cell r="BT822" t="e">
            <v>#VALUE!</v>
          </cell>
          <cell r="BU822" t="str">
            <v/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</row>
        <row r="823">
          <cell r="A823" t="str">
            <v>4Year</v>
          </cell>
          <cell r="B823" t="str">
            <v>Year</v>
          </cell>
          <cell r="C823">
            <v>4</v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1</v>
          </cell>
          <cell r="BO823" t="e">
            <v>#VALUE!</v>
          </cell>
          <cell r="BP823" t="e">
            <v>#VALUE!</v>
          </cell>
          <cell r="BQ823" t="e">
            <v>#VALUE!</v>
          </cell>
          <cell r="BR823" t="e">
            <v>#VALUE!</v>
          </cell>
          <cell r="BS823">
            <v>12</v>
          </cell>
          <cell r="BT823" t="e">
            <v>#VALUE!</v>
          </cell>
          <cell r="BU823" t="str">
            <v/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</row>
        <row r="824">
          <cell r="A824" t="str">
            <v>5Year</v>
          </cell>
          <cell r="B824" t="str">
            <v>Year</v>
          </cell>
          <cell r="C824">
            <v>5</v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1</v>
          </cell>
          <cell r="BO824" t="e">
            <v>#VALUE!</v>
          </cell>
          <cell r="BP824" t="e">
            <v>#VALUE!</v>
          </cell>
          <cell r="BQ824" t="e">
            <v>#VALUE!</v>
          </cell>
          <cell r="BR824" t="e">
            <v>#VALUE!</v>
          </cell>
          <cell r="BS824">
            <v>12</v>
          </cell>
          <cell r="BT824" t="e">
            <v>#VALUE!</v>
          </cell>
          <cell r="BU824" t="str">
            <v/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</row>
        <row r="825">
          <cell r="A825" t="str">
            <v>6Year</v>
          </cell>
          <cell r="B825" t="str">
            <v>Year</v>
          </cell>
          <cell r="C825">
            <v>6</v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1</v>
          </cell>
          <cell r="BO825" t="e">
            <v>#VALUE!</v>
          </cell>
          <cell r="BP825" t="e">
            <v>#VALUE!</v>
          </cell>
          <cell r="BQ825" t="e">
            <v>#VALUE!</v>
          </cell>
          <cell r="BR825" t="e">
            <v>#VALUE!</v>
          </cell>
          <cell r="BS825">
            <v>12</v>
          </cell>
          <cell r="BT825" t="e">
            <v>#VALUE!</v>
          </cell>
          <cell r="BU825" t="str">
            <v/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</row>
        <row r="826">
          <cell r="A826" t="str">
            <v>7Year</v>
          </cell>
          <cell r="B826" t="str">
            <v>Year</v>
          </cell>
          <cell r="C826">
            <v>7</v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1</v>
          </cell>
          <cell r="BO826" t="e">
            <v>#VALUE!</v>
          </cell>
          <cell r="BP826" t="e">
            <v>#VALUE!</v>
          </cell>
          <cell r="BQ826" t="e">
            <v>#VALUE!</v>
          </cell>
          <cell r="BR826" t="e">
            <v>#VALUE!</v>
          </cell>
          <cell r="BS826">
            <v>12</v>
          </cell>
          <cell r="BT826" t="e">
            <v>#VALUE!</v>
          </cell>
          <cell r="BU826" t="str">
            <v/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</row>
        <row r="827">
          <cell r="A827" t="str">
            <v>8Year</v>
          </cell>
          <cell r="B827" t="str">
            <v>Year</v>
          </cell>
          <cell r="C827">
            <v>8</v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1</v>
          </cell>
          <cell r="BO827" t="e">
            <v>#VALUE!</v>
          </cell>
          <cell r="BP827" t="e">
            <v>#VALUE!</v>
          </cell>
          <cell r="BQ827" t="e">
            <v>#VALUE!</v>
          </cell>
          <cell r="BR827" t="e">
            <v>#VALUE!</v>
          </cell>
          <cell r="BS827">
            <v>12</v>
          </cell>
          <cell r="BT827" t="e">
            <v>#VALUE!</v>
          </cell>
          <cell r="BU827" t="str">
            <v/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</row>
        <row r="828">
          <cell r="A828" t="str">
            <v>9Year</v>
          </cell>
          <cell r="B828" t="str">
            <v>Year</v>
          </cell>
          <cell r="C828">
            <v>9</v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1</v>
          </cell>
          <cell r="BO828" t="e">
            <v>#VALUE!</v>
          </cell>
          <cell r="BP828" t="e">
            <v>#VALUE!</v>
          </cell>
          <cell r="BQ828" t="e">
            <v>#VALUE!</v>
          </cell>
          <cell r="BR828" t="e">
            <v>#VALUE!</v>
          </cell>
          <cell r="BS828">
            <v>12</v>
          </cell>
          <cell r="BT828" t="e">
            <v>#VALUE!</v>
          </cell>
          <cell r="BU828" t="str">
            <v/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</row>
        <row r="829">
          <cell r="A829" t="str">
            <v>10Year</v>
          </cell>
          <cell r="B829" t="str">
            <v>Year</v>
          </cell>
          <cell r="C829">
            <v>10</v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1</v>
          </cell>
          <cell r="BO829" t="e">
            <v>#VALUE!</v>
          </cell>
          <cell r="BP829" t="e">
            <v>#VALUE!</v>
          </cell>
          <cell r="BQ829" t="e">
            <v>#VALUE!</v>
          </cell>
          <cell r="BR829" t="e">
            <v>#VALUE!</v>
          </cell>
          <cell r="BS829">
            <v>12</v>
          </cell>
          <cell r="BT829" t="e">
            <v>#VALUE!</v>
          </cell>
          <cell r="BU829" t="str">
            <v/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</row>
        <row r="830">
          <cell r="A830" t="str">
            <v>11Year</v>
          </cell>
          <cell r="B830" t="str">
            <v>Year</v>
          </cell>
          <cell r="C830">
            <v>11</v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1</v>
          </cell>
          <cell r="BO830" t="e">
            <v>#VALUE!</v>
          </cell>
          <cell r="BP830" t="e">
            <v>#VALUE!</v>
          </cell>
          <cell r="BQ830" t="e">
            <v>#VALUE!</v>
          </cell>
          <cell r="BR830" t="e">
            <v>#VALUE!</v>
          </cell>
          <cell r="BS830">
            <v>12</v>
          </cell>
          <cell r="BT830" t="e">
            <v>#VALUE!</v>
          </cell>
          <cell r="BU830" t="str">
            <v/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</row>
        <row r="831">
          <cell r="A831" t="str">
            <v>12Year</v>
          </cell>
          <cell r="B831" t="str">
            <v>Year</v>
          </cell>
          <cell r="C831">
            <v>12</v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1</v>
          </cell>
          <cell r="BO831" t="e">
            <v>#VALUE!</v>
          </cell>
          <cell r="BP831" t="e">
            <v>#VALUE!</v>
          </cell>
          <cell r="BQ831" t="e">
            <v>#VALUE!</v>
          </cell>
          <cell r="BR831" t="e">
            <v>#VALUE!</v>
          </cell>
          <cell r="BS831">
            <v>12</v>
          </cell>
          <cell r="BT831" t="e">
            <v>#VALUE!</v>
          </cell>
          <cell r="BU831" t="str">
            <v/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</row>
        <row r="832">
          <cell r="A832" t="str">
            <v>13Year</v>
          </cell>
          <cell r="B832" t="str">
            <v>Year</v>
          </cell>
          <cell r="C832">
            <v>13</v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1</v>
          </cell>
          <cell r="BO832" t="e">
            <v>#VALUE!</v>
          </cell>
          <cell r="BP832" t="e">
            <v>#VALUE!</v>
          </cell>
          <cell r="BQ832" t="e">
            <v>#VALUE!</v>
          </cell>
          <cell r="BR832" t="e">
            <v>#VALUE!</v>
          </cell>
          <cell r="BS832">
            <v>12</v>
          </cell>
          <cell r="BT832" t="e">
            <v>#VALUE!</v>
          </cell>
          <cell r="BU832" t="str">
            <v/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</row>
        <row r="833">
          <cell r="A833" t="str">
            <v>14Year</v>
          </cell>
          <cell r="B833" t="str">
            <v>Year</v>
          </cell>
          <cell r="C833">
            <v>14</v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1</v>
          </cell>
          <cell r="BO833" t="e">
            <v>#VALUE!</v>
          </cell>
          <cell r="BP833" t="e">
            <v>#VALUE!</v>
          </cell>
          <cell r="BQ833" t="e">
            <v>#VALUE!</v>
          </cell>
          <cell r="BR833" t="e">
            <v>#VALUE!</v>
          </cell>
          <cell r="BS833">
            <v>12</v>
          </cell>
          <cell r="BT833" t="e">
            <v>#VALUE!</v>
          </cell>
          <cell r="BU833" t="str">
            <v/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</row>
        <row r="834">
          <cell r="A834" t="str">
            <v>15Year</v>
          </cell>
          <cell r="B834" t="str">
            <v>Year</v>
          </cell>
          <cell r="C834">
            <v>15</v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1</v>
          </cell>
          <cell r="BO834" t="e">
            <v>#VALUE!</v>
          </cell>
          <cell r="BP834" t="e">
            <v>#VALUE!</v>
          </cell>
          <cell r="BQ834" t="e">
            <v>#VALUE!</v>
          </cell>
          <cell r="BR834" t="e">
            <v>#VALUE!</v>
          </cell>
          <cell r="BS834">
            <v>12</v>
          </cell>
          <cell r="BT834" t="e">
            <v>#VALUE!</v>
          </cell>
          <cell r="BU834" t="str">
            <v/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</row>
        <row r="835">
          <cell r="A835" t="str">
            <v>16Year</v>
          </cell>
          <cell r="B835" t="str">
            <v>Year</v>
          </cell>
          <cell r="C835">
            <v>16</v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1</v>
          </cell>
          <cell r="BO835" t="e">
            <v>#VALUE!</v>
          </cell>
          <cell r="BP835" t="e">
            <v>#VALUE!</v>
          </cell>
          <cell r="BQ835" t="e">
            <v>#VALUE!</v>
          </cell>
          <cell r="BR835" t="e">
            <v>#VALUE!</v>
          </cell>
          <cell r="BS835">
            <v>12</v>
          </cell>
          <cell r="BT835" t="e">
            <v>#VALUE!</v>
          </cell>
          <cell r="BU835" t="str">
            <v/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</row>
        <row r="836">
          <cell r="A836" t="str">
            <v>17Year</v>
          </cell>
          <cell r="B836" t="str">
            <v>Year</v>
          </cell>
          <cell r="C836">
            <v>17</v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1</v>
          </cell>
          <cell r="BO836" t="e">
            <v>#VALUE!</v>
          </cell>
          <cell r="BP836" t="e">
            <v>#VALUE!</v>
          </cell>
          <cell r="BQ836" t="e">
            <v>#VALUE!</v>
          </cell>
          <cell r="BR836" t="e">
            <v>#VALUE!</v>
          </cell>
          <cell r="BS836">
            <v>12</v>
          </cell>
          <cell r="BT836" t="e">
            <v>#VALUE!</v>
          </cell>
          <cell r="BU836" t="str">
            <v/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</row>
        <row r="837">
          <cell r="A837" t="str">
            <v>18Year</v>
          </cell>
          <cell r="B837" t="str">
            <v>Year</v>
          </cell>
          <cell r="C837">
            <v>18</v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1</v>
          </cell>
          <cell r="BO837" t="e">
            <v>#VALUE!</v>
          </cell>
          <cell r="BP837" t="e">
            <v>#VALUE!</v>
          </cell>
          <cell r="BQ837" t="e">
            <v>#VALUE!</v>
          </cell>
          <cell r="BR837" t="e">
            <v>#VALUE!</v>
          </cell>
          <cell r="BS837">
            <v>12</v>
          </cell>
          <cell r="BT837" t="e">
            <v>#VALUE!</v>
          </cell>
          <cell r="BU837" t="str">
            <v/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</row>
        <row r="838">
          <cell r="A838" t="str">
            <v>19Year</v>
          </cell>
          <cell r="B838" t="str">
            <v>Year</v>
          </cell>
          <cell r="C838">
            <v>19</v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1</v>
          </cell>
          <cell r="BO838" t="e">
            <v>#VALUE!</v>
          </cell>
          <cell r="BP838" t="e">
            <v>#VALUE!</v>
          </cell>
          <cell r="BQ838" t="e">
            <v>#VALUE!</v>
          </cell>
          <cell r="BR838" t="e">
            <v>#VALUE!</v>
          </cell>
          <cell r="BS838">
            <v>12</v>
          </cell>
          <cell r="BT838" t="e">
            <v>#VALUE!</v>
          </cell>
          <cell r="BU838" t="str">
            <v/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</row>
        <row r="839">
          <cell r="A839" t="str">
            <v>20Year</v>
          </cell>
          <cell r="B839" t="str">
            <v>Year</v>
          </cell>
          <cell r="C839">
            <v>20</v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1</v>
          </cell>
          <cell r="BO839" t="e">
            <v>#VALUE!</v>
          </cell>
          <cell r="BP839" t="e">
            <v>#VALUE!</v>
          </cell>
          <cell r="BQ839" t="e">
            <v>#VALUE!</v>
          </cell>
          <cell r="BR839" t="e">
            <v>#VALUE!</v>
          </cell>
          <cell r="BS839">
            <v>12</v>
          </cell>
          <cell r="BT839" t="e">
            <v>#VALUE!</v>
          </cell>
          <cell r="BU839" t="str">
            <v/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</row>
        <row r="840">
          <cell r="A840" t="str">
            <v>21Year</v>
          </cell>
          <cell r="B840" t="str">
            <v>Year</v>
          </cell>
          <cell r="C840">
            <v>21</v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1</v>
          </cell>
          <cell r="BO840" t="e">
            <v>#VALUE!</v>
          </cell>
          <cell r="BP840" t="e">
            <v>#VALUE!</v>
          </cell>
          <cell r="BQ840" t="e">
            <v>#VALUE!</v>
          </cell>
          <cell r="BR840" t="e">
            <v>#VALUE!</v>
          </cell>
          <cell r="BS840">
            <v>12</v>
          </cell>
          <cell r="BT840" t="e">
            <v>#VALUE!</v>
          </cell>
          <cell r="BU840" t="str">
            <v/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</row>
        <row r="841">
          <cell r="A841" t="str">
            <v>22Year</v>
          </cell>
          <cell r="B841" t="str">
            <v>Year</v>
          </cell>
          <cell r="C841">
            <v>22</v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1</v>
          </cell>
          <cell r="BO841" t="e">
            <v>#VALUE!</v>
          </cell>
          <cell r="BP841" t="e">
            <v>#VALUE!</v>
          </cell>
          <cell r="BQ841" t="e">
            <v>#VALUE!</v>
          </cell>
          <cell r="BR841" t="e">
            <v>#VALUE!</v>
          </cell>
          <cell r="BS841">
            <v>12</v>
          </cell>
          <cell r="BT841" t="e">
            <v>#VALUE!</v>
          </cell>
          <cell r="BU841" t="str">
            <v/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</row>
        <row r="842">
          <cell r="A842" t="str">
            <v>23Year</v>
          </cell>
          <cell r="B842" t="str">
            <v>Year</v>
          </cell>
          <cell r="C842">
            <v>23</v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1</v>
          </cell>
          <cell r="BO842" t="e">
            <v>#VALUE!</v>
          </cell>
          <cell r="BP842" t="e">
            <v>#VALUE!</v>
          </cell>
          <cell r="BQ842" t="e">
            <v>#VALUE!</v>
          </cell>
          <cell r="BR842" t="e">
            <v>#VALUE!</v>
          </cell>
          <cell r="BS842">
            <v>12</v>
          </cell>
          <cell r="BT842" t="e">
            <v>#VALUE!</v>
          </cell>
          <cell r="BU842" t="str">
            <v/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</row>
        <row r="843">
          <cell r="A843" t="str">
            <v>24Year</v>
          </cell>
          <cell r="B843" t="str">
            <v>Year</v>
          </cell>
          <cell r="C843">
            <v>24</v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1</v>
          </cell>
          <cell r="BO843" t="e">
            <v>#VALUE!</v>
          </cell>
          <cell r="BP843" t="e">
            <v>#VALUE!</v>
          </cell>
          <cell r="BQ843" t="e">
            <v>#VALUE!</v>
          </cell>
          <cell r="BR843" t="e">
            <v>#VALUE!</v>
          </cell>
          <cell r="BS843">
            <v>12</v>
          </cell>
          <cell r="BT843" t="e">
            <v>#VALUE!</v>
          </cell>
          <cell r="BU843" t="str">
            <v/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</row>
        <row r="844">
          <cell r="A844" t="str">
            <v>25Year</v>
          </cell>
          <cell r="B844" t="str">
            <v>Year</v>
          </cell>
          <cell r="C844">
            <v>25</v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1</v>
          </cell>
          <cell r="BO844" t="e">
            <v>#VALUE!</v>
          </cell>
          <cell r="BP844" t="e">
            <v>#VALUE!</v>
          </cell>
          <cell r="BQ844" t="e">
            <v>#VALUE!</v>
          </cell>
          <cell r="BR844" t="e">
            <v>#VALUE!</v>
          </cell>
          <cell r="BS844">
            <v>12</v>
          </cell>
          <cell r="BT844" t="e">
            <v>#VALUE!</v>
          </cell>
          <cell r="BU844" t="str">
            <v/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</row>
        <row r="845">
          <cell r="A845" t="str">
            <v>26Year</v>
          </cell>
          <cell r="B845" t="str">
            <v>Year</v>
          </cell>
          <cell r="C845">
            <v>26</v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1</v>
          </cell>
          <cell r="BO845" t="e">
            <v>#VALUE!</v>
          </cell>
          <cell r="BP845" t="e">
            <v>#VALUE!</v>
          </cell>
          <cell r="BQ845" t="e">
            <v>#VALUE!</v>
          </cell>
          <cell r="BR845" t="e">
            <v>#VALUE!</v>
          </cell>
          <cell r="BS845">
            <v>12</v>
          </cell>
          <cell r="BT845" t="e">
            <v>#VALUE!</v>
          </cell>
          <cell r="BU845" t="str">
            <v/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</row>
        <row r="846">
          <cell r="A846" t="str">
            <v>27Year</v>
          </cell>
          <cell r="B846" t="str">
            <v>Year</v>
          </cell>
          <cell r="C846">
            <v>27</v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1</v>
          </cell>
          <cell r="BO846" t="e">
            <v>#VALUE!</v>
          </cell>
          <cell r="BP846" t="e">
            <v>#VALUE!</v>
          </cell>
          <cell r="BQ846" t="e">
            <v>#VALUE!</v>
          </cell>
          <cell r="BR846" t="e">
            <v>#VALUE!</v>
          </cell>
          <cell r="BS846">
            <v>12</v>
          </cell>
          <cell r="BT846" t="e">
            <v>#VALUE!</v>
          </cell>
          <cell r="BU846" t="str">
            <v/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</row>
        <row r="847">
          <cell r="A847" t="str">
            <v>28Year</v>
          </cell>
          <cell r="B847" t="str">
            <v>Year</v>
          </cell>
          <cell r="C847">
            <v>28</v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1</v>
          </cell>
          <cell r="BO847" t="e">
            <v>#VALUE!</v>
          </cell>
          <cell r="BP847" t="e">
            <v>#VALUE!</v>
          </cell>
          <cell r="BQ847" t="e">
            <v>#VALUE!</v>
          </cell>
          <cell r="BR847" t="e">
            <v>#VALUE!</v>
          </cell>
          <cell r="BS847">
            <v>12</v>
          </cell>
          <cell r="BT847" t="e">
            <v>#VALUE!</v>
          </cell>
          <cell r="BU847" t="str">
            <v/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</row>
        <row r="848">
          <cell r="A848" t="str">
            <v>29Year</v>
          </cell>
          <cell r="B848" t="str">
            <v>Year</v>
          </cell>
          <cell r="C848">
            <v>29</v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1</v>
          </cell>
          <cell r="BO848" t="e">
            <v>#VALUE!</v>
          </cell>
          <cell r="BP848" t="e">
            <v>#VALUE!</v>
          </cell>
          <cell r="BQ848" t="e">
            <v>#VALUE!</v>
          </cell>
          <cell r="BR848" t="e">
            <v>#VALUE!</v>
          </cell>
          <cell r="BS848">
            <v>12</v>
          </cell>
          <cell r="BT848" t="e">
            <v>#VALUE!</v>
          </cell>
          <cell r="BU848" t="str">
            <v/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</row>
        <row r="849">
          <cell r="A849" t="str">
            <v>30Year</v>
          </cell>
          <cell r="B849" t="str">
            <v>Year</v>
          </cell>
          <cell r="C849">
            <v>30</v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1</v>
          </cell>
          <cell r="BO849" t="e">
            <v>#VALUE!</v>
          </cell>
          <cell r="BP849" t="e">
            <v>#VALUE!</v>
          </cell>
          <cell r="BQ849" t="e">
            <v>#VALUE!</v>
          </cell>
          <cell r="BR849" t="e">
            <v>#VALUE!</v>
          </cell>
          <cell r="BS849">
            <v>12</v>
          </cell>
          <cell r="BT849" t="e">
            <v>#VALUE!</v>
          </cell>
          <cell r="BU849" t="str">
            <v/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</row>
        <row r="850">
          <cell r="A850" t="str">
            <v>31Year</v>
          </cell>
          <cell r="B850" t="str">
            <v>Year</v>
          </cell>
          <cell r="C850">
            <v>31</v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1</v>
          </cell>
          <cell r="BO850" t="e">
            <v>#VALUE!</v>
          </cell>
          <cell r="BP850" t="e">
            <v>#VALUE!</v>
          </cell>
          <cell r="BQ850" t="e">
            <v>#VALUE!</v>
          </cell>
          <cell r="BR850" t="e">
            <v>#VALUE!</v>
          </cell>
          <cell r="BS850">
            <v>12</v>
          </cell>
          <cell r="BT850" t="e">
            <v>#VALUE!</v>
          </cell>
          <cell r="BU850" t="str">
            <v/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</row>
        <row r="851">
          <cell r="A851" t="str">
            <v>32Year</v>
          </cell>
          <cell r="B851" t="str">
            <v>Year</v>
          </cell>
          <cell r="C851">
            <v>32</v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1</v>
          </cell>
          <cell r="BO851" t="e">
            <v>#VALUE!</v>
          </cell>
          <cell r="BP851" t="e">
            <v>#VALUE!</v>
          </cell>
          <cell r="BQ851" t="e">
            <v>#VALUE!</v>
          </cell>
          <cell r="BR851" t="e">
            <v>#VALUE!</v>
          </cell>
          <cell r="BS851">
            <v>12</v>
          </cell>
          <cell r="BT851" t="e">
            <v>#VALUE!</v>
          </cell>
          <cell r="BU851" t="str">
            <v/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</row>
        <row r="852">
          <cell r="A852" t="str">
            <v>33Year</v>
          </cell>
          <cell r="B852" t="str">
            <v>Year</v>
          </cell>
          <cell r="C852">
            <v>33</v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1</v>
          </cell>
          <cell r="BO852" t="e">
            <v>#VALUE!</v>
          </cell>
          <cell r="BP852" t="e">
            <v>#VALUE!</v>
          </cell>
          <cell r="BQ852" t="e">
            <v>#VALUE!</v>
          </cell>
          <cell r="BR852" t="e">
            <v>#VALUE!</v>
          </cell>
          <cell r="BS852">
            <v>12</v>
          </cell>
          <cell r="BT852" t="e">
            <v>#VALUE!</v>
          </cell>
          <cell r="BU852" t="str">
            <v/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</row>
        <row r="853">
          <cell r="A853" t="str">
            <v>34Year</v>
          </cell>
          <cell r="B853" t="str">
            <v>Year</v>
          </cell>
          <cell r="C853">
            <v>34</v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1</v>
          </cell>
          <cell r="BO853" t="e">
            <v>#VALUE!</v>
          </cell>
          <cell r="BP853" t="e">
            <v>#VALUE!</v>
          </cell>
          <cell r="BQ853" t="e">
            <v>#VALUE!</v>
          </cell>
          <cell r="BR853" t="e">
            <v>#VALUE!</v>
          </cell>
          <cell r="BS853">
            <v>12</v>
          </cell>
          <cell r="BT853" t="e">
            <v>#VALUE!</v>
          </cell>
          <cell r="BU853" t="str">
            <v/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</row>
        <row r="854">
          <cell r="A854" t="str">
            <v>35Year</v>
          </cell>
          <cell r="B854" t="str">
            <v>Year</v>
          </cell>
          <cell r="C854">
            <v>35</v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1</v>
          </cell>
          <cell r="BO854" t="e">
            <v>#VALUE!</v>
          </cell>
          <cell r="BP854" t="e">
            <v>#VALUE!</v>
          </cell>
          <cell r="BQ854" t="e">
            <v>#VALUE!</v>
          </cell>
          <cell r="BR854" t="e">
            <v>#VALUE!</v>
          </cell>
          <cell r="BS854">
            <v>12</v>
          </cell>
          <cell r="BT854" t="e">
            <v>#VALUE!</v>
          </cell>
          <cell r="BU854" t="str">
            <v/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</row>
        <row r="855">
          <cell r="A855" t="str">
            <v>36Year</v>
          </cell>
          <cell r="B855" t="str">
            <v>Year</v>
          </cell>
          <cell r="C855">
            <v>36</v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1</v>
          </cell>
          <cell r="BO855" t="e">
            <v>#VALUE!</v>
          </cell>
          <cell r="BP855" t="e">
            <v>#VALUE!</v>
          </cell>
          <cell r="BQ855" t="e">
            <v>#VALUE!</v>
          </cell>
          <cell r="BR855" t="e">
            <v>#VALUE!</v>
          </cell>
          <cell r="BS855">
            <v>12</v>
          </cell>
          <cell r="BT855" t="e">
            <v>#VALUE!</v>
          </cell>
          <cell r="BU855" t="str">
            <v/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</row>
        <row r="856">
          <cell r="A856" t="str">
            <v>37Year</v>
          </cell>
          <cell r="B856" t="str">
            <v>Year</v>
          </cell>
          <cell r="C856">
            <v>37</v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1</v>
          </cell>
          <cell r="BO856" t="e">
            <v>#VALUE!</v>
          </cell>
          <cell r="BP856" t="e">
            <v>#VALUE!</v>
          </cell>
          <cell r="BQ856" t="e">
            <v>#VALUE!</v>
          </cell>
          <cell r="BR856" t="e">
            <v>#VALUE!</v>
          </cell>
          <cell r="BS856">
            <v>12</v>
          </cell>
          <cell r="BT856" t="e">
            <v>#VALUE!</v>
          </cell>
          <cell r="BU856" t="str">
            <v/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</row>
        <row r="857">
          <cell r="A857" t="str">
            <v>38Year</v>
          </cell>
          <cell r="B857" t="str">
            <v>Year</v>
          </cell>
          <cell r="C857">
            <v>38</v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1</v>
          </cell>
          <cell r="BO857" t="e">
            <v>#VALUE!</v>
          </cell>
          <cell r="BP857" t="e">
            <v>#VALUE!</v>
          </cell>
          <cell r="BQ857" t="e">
            <v>#VALUE!</v>
          </cell>
          <cell r="BR857" t="e">
            <v>#VALUE!</v>
          </cell>
          <cell r="BS857">
            <v>12</v>
          </cell>
          <cell r="BT857" t="e">
            <v>#VALUE!</v>
          </cell>
          <cell r="BU857" t="str">
            <v/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</row>
        <row r="858">
          <cell r="A858" t="str">
            <v>39Year</v>
          </cell>
          <cell r="B858" t="str">
            <v>Year</v>
          </cell>
          <cell r="C858">
            <v>39</v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1</v>
          </cell>
          <cell r="BO858" t="e">
            <v>#VALUE!</v>
          </cell>
          <cell r="BP858" t="e">
            <v>#VALUE!</v>
          </cell>
          <cell r="BQ858" t="e">
            <v>#VALUE!</v>
          </cell>
          <cell r="BR858" t="e">
            <v>#VALUE!</v>
          </cell>
          <cell r="BS858">
            <v>12</v>
          </cell>
          <cell r="BT858" t="e">
            <v>#VALUE!</v>
          </cell>
          <cell r="BU858" t="str">
            <v/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</row>
        <row r="859">
          <cell r="A859" t="str">
            <v>40Year</v>
          </cell>
          <cell r="B859" t="str">
            <v>Year</v>
          </cell>
          <cell r="C859">
            <v>40</v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1</v>
          </cell>
          <cell r="BO859" t="e">
            <v>#VALUE!</v>
          </cell>
          <cell r="BP859" t="e">
            <v>#VALUE!</v>
          </cell>
          <cell r="BQ859" t="e">
            <v>#VALUE!</v>
          </cell>
          <cell r="BR859" t="e">
            <v>#VALUE!</v>
          </cell>
          <cell r="BS859">
            <v>12</v>
          </cell>
          <cell r="BT859" t="e">
            <v>#VALUE!</v>
          </cell>
          <cell r="BU859" t="str">
            <v/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</row>
        <row r="860">
          <cell r="A860" t="str">
            <v>41Year</v>
          </cell>
          <cell r="B860" t="str">
            <v>Year</v>
          </cell>
          <cell r="C860">
            <v>41</v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1</v>
          </cell>
          <cell r="BO860" t="e">
            <v>#VALUE!</v>
          </cell>
          <cell r="BP860" t="e">
            <v>#VALUE!</v>
          </cell>
          <cell r="BQ860" t="e">
            <v>#VALUE!</v>
          </cell>
          <cell r="BR860" t="e">
            <v>#VALUE!</v>
          </cell>
          <cell r="BS860">
            <v>12</v>
          </cell>
          <cell r="BT860" t="e">
            <v>#VALUE!</v>
          </cell>
          <cell r="BU860" t="str">
            <v/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</row>
        <row r="861">
          <cell r="A861" t="str">
            <v>42Year</v>
          </cell>
          <cell r="B861" t="str">
            <v>Year</v>
          </cell>
          <cell r="C861">
            <v>42</v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1</v>
          </cell>
          <cell r="BO861" t="e">
            <v>#VALUE!</v>
          </cell>
          <cell r="BP861" t="e">
            <v>#VALUE!</v>
          </cell>
          <cell r="BQ861" t="e">
            <v>#VALUE!</v>
          </cell>
          <cell r="BR861" t="e">
            <v>#VALUE!</v>
          </cell>
          <cell r="BS861">
            <v>12</v>
          </cell>
          <cell r="BT861" t="e">
            <v>#VALUE!</v>
          </cell>
          <cell r="BU861" t="str">
            <v/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</row>
        <row r="862">
          <cell r="A862" t="str">
            <v>43Year</v>
          </cell>
          <cell r="B862" t="str">
            <v>Year</v>
          </cell>
          <cell r="C862">
            <v>43</v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1</v>
          </cell>
          <cell r="BO862" t="e">
            <v>#VALUE!</v>
          </cell>
          <cell r="BP862" t="e">
            <v>#VALUE!</v>
          </cell>
          <cell r="BQ862" t="e">
            <v>#VALUE!</v>
          </cell>
          <cell r="BR862" t="e">
            <v>#VALUE!</v>
          </cell>
          <cell r="BS862">
            <v>12</v>
          </cell>
          <cell r="BT862" t="e">
            <v>#VALUE!</v>
          </cell>
          <cell r="BU862" t="str">
            <v/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</row>
        <row r="863">
          <cell r="A863" t="str">
            <v>44Year</v>
          </cell>
          <cell r="B863" t="str">
            <v>Year</v>
          </cell>
          <cell r="C863">
            <v>44</v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1</v>
          </cell>
          <cell r="BO863" t="e">
            <v>#VALUE!</v>
          </cell>
          <cell r="BP863" t="e">
            <v>#VALUE!</v>
          </cell>
          <cell r="BQ863" t="e">
            <v>#VALUE!</v>
          </cell>
          <cell r="BR863" t="e">
            <v>#VALUE!</v>
          </cell>
          <cell r="BS863">
            <v>12</v>
          </cell>
          <cell r="BT863" t="e">
            <v>#VALUE!</v>
          </cell>
          <cell r="BU863" t="str">
            <v/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</row>
        <row r="864">
          <cell r="A864" t="str">
            <v>45Year</v>
          </cell>
          <cell r="B864" t="str">
            <v>Year</v>
          </cell>
          <cell r="C864">
            <v>45</v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1</v>
          </cell>
          <cell r="BO864" t="e">
            <v>#VALUE!</v>
          </cell>
          <cell r="BP864" t="e">
            <v>#VALUE!</v>
          </cell>
          <cell r="BQ864" t="e">
            <v>#VALUE!</v>
          </cell>
          <cell r="BR864" t="e">
            <v>#VALUE!</v>
          </cell>
          <cell r="BS864">
            <v>12</v>
          </cell>
          <cell r="BT864" t="e">
            <v>#VALUE!</v>
          </cell>
          <cell r="BU864" t="str">
            <v/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</row>
        <row r="865">
          <cell r="A865" t="str">
            <v>46Year</v>
          </cell>
          <cell r="B865" t="str">
            <v>Year</v>
          </cell>
          <cell r="C865">
            <v>46</v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1</v>
          </cell>
          <cell r="BO865" t="e">
            <v>#VALUE!</v>
          </cell>
          <cell r="BP865" t="e">
            <v>#VALUE!</v>
          </cell>
          <cell r="BQ865" t="e">
            <v>#VALUE!</v>
          </cell>
          <cell r="BR865" t="e">
            <v>#VALUE!</v>
          </cell>
          <cell r="BS865">
            <v>12</v>
          </cell>
          <cell r="BT865" t="e">
            <v>#VALUE!</v>
          </cell>
          <cell r="BU865" t="str">
            <v/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</row>
        <row r="866">
          <cell r="A866" t="str">
            <v>47Year</v>
          </cell>
          <cell r="B866" t="str">
            <v>Year</v>
          </cell>
          <cell r="C866">
            <v>47</v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1</v>
          </cell>
          <cell r="BO866" t="e">
            <v>#VALUE!</v>
          </cell>
          <cell r="BP866" t="e">
            <v>#VALUE!</v>
          </cell>
          <cell r="BQ866" t="e">
            <v>#VALUE!</v>
          </cell>
          <cell r="BR866" t="e">
            <v>#VALUE!</v>
          </cell>
          <cell r="BS866">
            <v>12</v>
          </cell>
          <cell r="BT866" t="e">
            <v>#VALUE!</v>
          </cell>
          <cell r="BU866" t="str">
            <v/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</row>
        <row r="867">
          <cell r="A867" t="str">
            <v>48Year</v>
          </cell>
          <cell r="B867" t="str">
            <v>Year</v>
          </cell>
          <cell r="C867">
            <v>48</v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1</v>
          </cell>
          <cell r="BO867" t="e">
            <v>#VALUE!</v>
          </cell>
          <cell r="BP867" t="e">
            <v>#VALUE!</v>
          </cell>
          <cell r="BQ867" t="e">
            <v>#VALUE!</v>
          </cell>
          <cell r="BR867" t="e">
            <v>#VALUE!</v>
          </cell>
          <cell r="BS867">
            <v>12</v>
          </cell>
          <cell r="BT867" t="e">
            <v>#VALUE!</v>
          </cell>
          <cell r="BU867" t="str">
            <v/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</row>
        <row r="868">
          <cell r="A868" t="str">
            <v>49Year</v>
          </cell>
          <cell r="B868" t="str">
            <v>Year</v>
          </cell>
          <cell r="C868">
            <v>49</v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1</v>
          </cell>
          <cell r="BO868" t="e">
            <v>#VALUE!</v>
          </cell>
          <cell r="BP868" t="e">
            <v>#VALUE!</v>
          </cell>
          <cell r="BQ868" t="e">
            <v>#VALUE!</v>
          </cell>
          <cell r="BR868" t="e">
            <v>#VALUE!</v>
          </cell>
          <cell r="BS868">
            <v>12</v>
          </cell>
          <cell r="BT868" t="e">
            <v>#VALUE!</v>
          </cell>
          <cell r="BU868" t="str">
            <v/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</row>
        <row r="869">
          <cell r="A869" t="str">
            <v>50Year</v>
          </cell>
          <cell r="B869" t="str">
            <v>Year</v>
          </cell>
          <cell r="C869">
            <v>50</v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1</v>
          </cell>
          <cell r="BO869" t="e">
            <v>#VALUE!</v>
          </cell>
          <cell r="BP869" t="e">
            <v>#VALUE!</v>
          </cell>
          <cell r="BQ869" t="e">
            <v>#VALUE!</v>
          </cell>
          <cell r="BR869" t="e">
            <v>#VALUE!</v>
          </cell>
          <cell r="BS869">
            <v>12</v>
          </cell>
          <cell r="BT869" t="e">
            <v>#VALUE!</v>
          </cell>
          <cell r="BU869" t="str">
            <v/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</row>
        <row r="870">
          <cell r="A870" t="str">
            <v>51Year</v>
          </cell>
          <cell r="B870" t="str">
            <v>Year</v>
          </cell>
          <cell r="C870">
            <v>51</v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1</v>
          </cell>
          <cell r="BO870" t="e">
            <v>#VALUE!</v>
          </cell>
          <cell r="BP870" t="e">
            <v>#VALUE!</v>
          </cell>
          <cell r="BQ870" t="e">
            <v>#VALUE!</v>
          </cell>
          <cell r="BR870" t="e">
            <v>#VALUE!</v>
          </cell>
          <cell r="BS870">
            <v>12</v>
          </cell>
          <cell r="BT870" t="e">
            <v>#VALUE!</v>
          </cell>
          <cell r="BU870" t="str">
            <v/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</row>
        <row r="871">
          <cell r="A871" t="str">
            <v>52Year</v>
          </cell>
          <cell r="B871" t="str">
            <v>Year</v>
          </cell>
          <cell r="C871">
            <v>52</v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1</v>
          </cell>
          <cell r="BO871" t="e">
            <v>#VALUE!</v>
          </cell>
          <cell r="BP871" t="e">
            <v>#VALUE!</v>
          </cell>
          <cell r="BQ871" t="e">
            <v>#VALUE!</v>
          </cell>
          <cell r="BR871" t="e">
            <v>#VALUE!</v>
          </cell>
          <cell r="BS871">
            <v>12</v>
          </cell>
          <cell r="BT871" t="e">
            <v>#VALUE!</v>
          </cell>
          <cell r="BU871" t="str">
            <v/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</row>
        <row r="872">
          <cell r="A872" t="str">
            <v>53Year</v>
          </cell>
          <cell r="B872" t="str">
            <v>Year</v>
          </cell>
          <cell r="C872">
            <v>53</v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1</v>
          </cell>
          <cell r="BO872" t="e">
            <v>#VALUE!</v>
          </cell>
          <cell r="BP872" t="e">
            <v>#VALUE!</v>
          </cell>
          <cell r="BQ872" t="e">
            <v>#VALUE!</v>
          </cell>
          <cell r="BR872" t="e">
            <v>#VALUE!</v>
          </cell>
          <cell r="BS872">
            <v>12</v>
          </cell>
          <cell r="BT872" t="e">
            <v>#VALUE!</v>
          </cell>
          <cell r="BU872" t="str">
            <v/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</row>
        <row r="873">
          <cell r="A873" t="str">
            <v>54Year</v>
          </cell>
          <cell r="B873" t="str">
            <v>Year</v>
          </cell>
          <cell r="C873">
            <v>54</v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1</v>
          </cell>
          <cell r="BO873" t="e">
            <v>#VALUE!</v>
          </cell>
          <cell r="BP873" t="e">
            <v>#VALUE!</v>
          </cell>
          <cell r="BQ873" t="e">
            <v>#VALUE!</v>
          </cell>
          <cell r="BR873" t="e">
            <v>#VALUE!</v>
          </cell>
          <cell r="BS873">
            <v>12</v>
          </cell>
          <cell r="BT873" t="e">
            <v>#VALUE!</v>
          </cell>
          <cell r="BU873" t="str">
            <v/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</row>
        <row r="874">
          <cell r="A874" t="str">
            <v>55Year</v>
          </cell>
          <cell r="B874" t="str">
            <v>Year</v>
          </cell>
          <cell r="C874">
            <v>55</v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1</v>
          </cell>
          <cell r="BO874" t="e">
            <v>#VALUE!</v>
          </cell>
          <cell r="BP874" t="e">
            <v>#VALUE!</v>
          </cell>
          <cell r="BQ874" t="e">
            <v>#VALUE!</v>
          </cell>
          <cell r="BR874" t="e">
            <v>#VALUE!</v>
          </cell>
          <cell r="BS874">
            <v>12</v>
          </cell>
          <cell r="BT874" t="e">
            <v>#VALUE!</v>
          </cell>
          <cell r="BU874" t="str">
            <v/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</row>
        <row r="875">
          <cell r="A875" t="str">
            <v>56Year</v>
          </cell>
          <cell r="B875" t="str">
            <v>Year</v>
          </cell>
          <cell r="C875">
            <v>56</v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1</v>
          </cell>
          <cell r="BO875" t="e">
            <v>#VALUE!</v>
          </cell>
          <cell r="BP875" t="e">
            <v>#VALUE!</v>
          </cell>
          <cell r="BQ875" t="e">
            <v>#VALUE!</v>
          </cell>
          <cell r="BR875" t="e">
            <v>#VALUE!</v>
          </cell>
          <cell r="BS875">
            <v>12</v>
          </cell>
          <cell r="BT875" t="e">
            <v>#VALUE!</v>
          </cell>
          <cell r="BU875" t="str">
            <v/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</row>
        <row r="876">
          <cell r="A876" t="str">
            <v>57Year</v>
          </cell>
          <cell r="B876" t="str">
            <v>Year</v>
          </cell>
          <cell r="C876">
            <v>57</v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1</v>
          </cell>
          <cell r="BO876" t="e">
            <v>#VALUE!</v>
          </cell>
          <cell r="BP876" t="e">
            <v>#VALUE!</v>
          </cell>
          <cell r="BQ876" t="e">
            <v>#VALUE!</v>
          </cell>
          <cell r="BR876" t="e">
            <v>#VALUE!</v>
          </cell>
          <cell r="BS876">
            <v>12</v>
          </cell>
          <cell r="BT876" t="e">
            <v>#VALUE!</v>
          </cell>
          <cell r="BU876" t="str">
            <v/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</row>
        <row r="877">
          <cell r="A877" t="str">
            <v>58Year</v>
          </cell>
          <cell r="B877" t="str">
            <v>Year</v>
          </cell>
          <cell r="C877">
            <v>58</v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1</v>
          </cell>
          <cell r="BO877" t="e">
            <v>#VALUE!</v>
          </cell>
          <cell r="BP877" t="e">
            <v>#VALUE!</v>
          </cell>
          <cell r="BQ877" t="e">
            <v>#VALUE!</v>
          </cell>
          <cell r="BR877" t="e">
            <v>#VALUE!</v>
          </cell>
          <cell r="BS877">
            <v>12</v>
          </cell>
          <cell r="BT877" t="e">
            <v>#VALUE!</v>
          </cell>
          <cell r="BU877" t="str">
            <v/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</row>
        <row r="878">
          <cell r="A878" t="str">
            <v>59Year</v>
          </cell>
          <cell r="B878" t="str">
            <v>Year</v>
          </cell>
          <cell r="C878">
            <v>59</v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1</v>
          </cell>
          <cell r="BO878" t="e">
            <v>#VALUE!</v>
          </cell>
          <cell r="BP878" t="e">
            <v>#VALUE!</v>
          </cell>
          <cell r="BQ878" t="e">
            <v>#VALUE!</v>
          </cell>
          <cell r="BR878" t="e">
            <v>#VALUE!</v>
          </cell>
          <cell r="BS878">
            <v>12</v>
          </cell>
          <cell r="BT878" t="e">
            <v>#VALUE!</v>
          </cell>
          <cell r="BU878" t="str">
            <v/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</row>
        <row r="879">
          <cell r="A879" t="str">
            <v>60Year</v>
          </cell>
          <cell r="B879" t="str">
            <v>Year</v>
          </cell>
          <cell r="C879">
            <v>60</v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1</v>
          </cell>
          <cell r="BO879" t="e">
            <v>#VALUE!</v>
          </cell>
          <cell r="BP879" t="e">
            <v>#VALUE!</v>
          </cell>
          <cell r="BQ879" t="e">
            <v>#VALUE!</v>
          </cell>
          <cell r="BR879" t="e">
            <v>#VALUE!</v>
          </cell>
          <cell r="BS879">
            <v>12</v>
          </cell>
          <cell r="BT879" t="e">
            <v>#VALUE!</v>
          </cell>
          <cell r="BU879" t="str">
            <v/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</row>
        <row r="880">
          <cell r="A880" t="str">
            <v>61Year</v>
          </cell>
          <cell r="B880" t="str">
            <v>Year</v>
          </cell>
          <cell r="C880">
            <v>61</v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1</v>
          </cell>
          <cell r="BO880" t="e">
            <v>#VALUE!</v>
          </cell>
          <cell r="BP880" t="e">
            <v>#VALUE!</v>
          </cell>
          <cell r="BQ880" t="e">
            <v>#VALUE!</v>
          </cell>
          <cell r="BR880" t="e">
            <v>#VALUE!</v>
          </cell>
          <cell r="BS880">
            <v>12</v>
          </cell>
          <cell r="BT880" t="e">
            <v>#VALUE!</v>
          </cell>
          <cell r="BU880" t="str">
            <v/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</row>
        <row r="881">
          <cell r="A881" t="str">
            <v>62Year</v>
          </cell>
          <cell r="B881" t="str">
            <v>Year</v>
          </cell>
          <cell r="C881">
            <v>62</v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1</v>
          </cell>
          <cell r="BO881" t="e">
            <v>#VALUE!</v>
          </cell>
          <cell r="BP881" t="e">
            <v>#VALUE!</v>
          </cell>
          <cell r="BQ881" t="e">
            <v>#VALUE!</v>
          </cell>
          <cell r="BR881" t="e">
            <v>#VALUE!</v>
          </cell>
          <cell r="BS881">
            <v>12</v>
          </cell>
          <cell r="BT881" t="e">
            <v>#VALUE!</v>
          </cell>
          <cell r="BU881" t="str">
            <v/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</row>
        <row r="882">
          <cell r="A882" t="str">
            <v>63Year</v>
          </cell>
          <cell r="B882" t="str">
            <v>Year</v>
          </cell>
          <cell r="C882">
            <v>63</v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1</v>
          </cell>
          <cell r="BO882" t="e">
            <v>#VALUE!</v>
          </cell>
          <cell r="BP882" t="e">
            <v>#VALUE!</v>
          </cell>
          <cell r="BQ882" t="e">
            <v>#VALUE!</v>
          </cell>
          <cell r="BR882" t="e">
            <v>#VALUE!</v>
          </cell>
          <cell r="BS882">
            <v>12</v>
          </cell>
          <cell r="BT882" t="e">
            <v>#VALUE!</v>
          </cell>
          <cell r="BU882" t="str">
            <v/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</row>
        <row r="883">
          <cell r="A883" t="str">
            <v>64Year</v>
          </cell>
          <cell r="B883" t="str">
            <v>Year</v>
          </cell>
          <cell r="C883">
            <v>64</v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1</v>
          </cell>
          <cell r="BO883" t="e">
            <v>#VALUE!</v>
          </cell>
          <cell r="BP883" t="e">
            <v>#VALUE!</v>
          </cell>
          <cell r="BQ883" t="e">
            <v>#VALUE!</v>
          </cell>
          <cell r="BR883" t="e">
            <v>#VALUE!</v>
          </cell>
          <cell r="BS883">
            <v>12</v>
          </cell>
          <cell r="BT883" t="e">
            <v>#VALUE!</v>
          </cell>
          <cell r="BU883" t="str">
            <v/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</row>
        <row r="884">
          <cell r="A884" t="str">
            <v>65Year</v>
          </cell>
          <cell r="B884" t="str">
            <v>Year</v>
          </cell>
          <cell r="C884">
            <v>65</v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1</v>
          </cell>
          <cell r="BO884" t="e">
            <v>#VALUE!</v>
          </cell>
          <cell r="BP884" t="e">
            <v>#VALUE!</v>
          </cell>
          <cell r="BQ884" t="e">
            <v>#VALUE!</v>
          </cell>
          <cell r="BR884" t="e">
            <v>#VALUE!</v>
          </cell>
          <cell r="BS884">
            <v>12</v>
          </cell>
          <cell r="BT884" t="e">
            <v>#VALUE!</v>
          </cell>
          <cell r="BU884" t="str">
            <v/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</row>
        <row r="885">
          <cell r="A885" t="str">
            <v>66Year</v>
          </cell>
          <cell r="B885" t="str">
            <v>Year</v>
          </cell>
          <cell r="C885">
            <v>66</v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1</v>
          </cell>
          <cell r="BO885" t="e">
            <v>#VALUE!</v>
          </cell>
          <cell r="BP885" t="e">
            <v>#VALUE!</v>
          </cell>
          <cell r="BQ885" t="e">
            <v>#VALUE!</v>
          </cell>
          <cell r="BR885" t="e">
            <v>#VALUE!</v>
          </cell>
          <cell r="BS885">
            <v>12</v>
          </cell>
          <cell r="BT885" t="e">
            <v>#VALUE!</v>
          </cell>
          <cell r="BU885" t="str">
            <v/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</row>
        <row r="886">
          <cell r="A886" t="str">
            <v>67Year</v>
          </cell>
          <cell r="B886" t="str">
            <v>Year</v>
          </cell>
          <cell r="C886">
            <v>67</v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1</v>
          </cell>
          <cell r="BO886" t="e">
            <v>#VALUE!</v>
          </cell>
          <cell r="BP886" t="e">
            <v>#VALUE!</v>
          </cell>
          <cell r="BQ886" t="e">
            <v>#VALUE!</v>
          </cell>
          <cell r="BR886" t="e">
            <v>#VALUE!</v>
          </cell>
          <cell r="BS886">
            <v>12</v>
          </cell>
          <cell r="BT886" t="e">
            <v>#VALUE!</v>
          </cell>
          <cell r="BU886" t="str">
            <v/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</row>
        <row r="887">
          <cell r="A887" t="str">
            <v>68Year</v>
          </cell>
          <cell r="B887" t="str">
            <v>Year</v>
          </cell>
          <cell r="C887">
            <v>68</v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1</v>
          </cell>
          <cell r="BO887" t="e">
            <v>#VALUE!</v>
          </cell>
          <cell r="BP887" t="e">
            <v>#VALUE!</v>
          </cell>
          <cell r="BQ887" t="e">
            <v>#VALUE!</v>
          </cell>
          <cell r="BR887" t="e">
            <v>#VALUE!</v>
          </cell>
          <cell r="BS887">
            <v>12</v>
          </cell>
          <cell r="BT887" t="e">
            <v>#VALUE!</v>
          </cell>
          <cell r="BU887" t="str">
            <v/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</row>
        <row r="888">
          <cell r="A888" t="str">
            <v>69Year</v>
          </cell>
          <cell r="B888" t="str">
            <v>Year</v>
          </cell>
          <cell r="C888">
            <v>69</v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1</v>
          </cell>
          <cell r="BO888" t="e">
            <v>#VALUE!</v>
          </cell>
          <cell r="BP888" t="e">
            <v>#VALUE!</v>
          </cell>
          <cell r="BQ888" t="e">
            <v>#VALUE!</v>
          </cell>
          <cell r="BR888" t="e">
            <v>#VALUE!</v>
          </cell>
          <cell r="BS888">
            <v>12</v>
          </cell>
          <cell r="BT888" t="e">
            <v>#VALUE!</v>
          </cell>
          <cell r="BU888" t="str">
            <v/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</row>
        <row r="889">
          <cell r="A889" t="str">
            <v>70Year</v>
          </cell>
          <cell r="B889" t="str">
            <v>Year</v>
          </cell>
          <cell r="C889">
            <v>70</v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1</v>
          </cell>
          <cell r="BO889" t="e">
            <v>#VALUE!</v>
          </cell>
          <cell r="BP889" t="e">
            <v>#VALUE!</v>
          </cell>
          <cell r="BQ889" t="e">
            <v>#VALUE!</v>
          </cell>
          <cell r="BR889" t="e">
            <v>#VALUE!</v>
          </cell>
          <cell r="BS889">
            <v>12</v>
          </cell>
          <cell r="BT889" t="e">
            <v>#VALUE!</v>
          </cell>
          <cell r="BU889" t="str">
            <v/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</row>
        <row r="890">
          <cell r="A890" t="str">
            <v>71Year</v>
          </cell>
          <cell r="B890" t="str">
            <v>Year</v>
          </cell>
          <cell r="C890">
            <v>71</v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1</v>
          </cell>
          <cell r="BO890" t="e">
            <v>#VALUE!</v>
          </cell>
          <cell r="BP890" t="e">
            <v>#VALUE!</v>
          </cell>
          <cell r="BQ890" t="e">
            <v>#VALUE!</v>
          </cell>
          <cell r="BR890" t="e">
            <v>#VALUE!</v>
          </cell>
          <cell r="BS890">
            <v>12</v>
          </cell>
          <cell r="BT890" t="e">
            <v>#VALUE!</v>
          </cell>
          <cell r="BU890" t="str">
            <v/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</row>
        <row r="891">
          <cell r="A891" t="str">
            <v>72Year</v>
          </cell>
          <cell r="B891" t="str">
            <v>Year</v>
          </cell>
          <cell r="C891">
            <v>72</v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1</v>
          </cell>
          <cell r="BO891" t="e">
            <v>#VALUE!</v>
          </cell>
          <cell r="BP891" t="e">
            <v>#VALUE!</v>
          </cell>
          <cell r="BQ891" t="e">
            <v>#VALUE!</v>
          </cell>
          <cell r="BR891" t="e">
            <v>#VALUE!</v>
          </cell>
          <cell r="BS891">
            <v>12</v>
          </cell>
          <cell r="BT891" t="e">
            <v>#VALUE!</v>
          </cell>
          <cell r="BU891" t="str">
            <v/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</row>
        <row r="892">
          <cell r="A892" t="str">
            <v>73Year</v>
          </cell>
          <cell r="B892" t="str">
            <v>Year</v>
          </cell>
          <cell r="C892">
            <v>73</v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1</v>
          </cell>
          <cell r="BO892" t="e">
            <v>#VALUE!</v>
          </cell>
          <cell r="BP892" t="e">
            <v>#VALUE!</v>
          </cell>
          <cell r="BQ892" t="e">
            <v>#VALUE!</v>
          </cell>
          <cell r="BR892" t="e">
            <v>#VALUE!</v>
          </cell>
          <cell r="BS892">
            <v>12</v>
          </cell>
          <cell r="BT892" t="e">
            <v>#VALUE!</v>
          </cell>
          <cell r="BU892" t="str">
            <v/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</row>
        <row r="893">
          <cell r="A893" t="str">
            <v>74Year</v>
          </cell>
          <cell r="B893" t="str">
            <v>Year</v>
          </cell>
          <cell r="C893">
            <v>74</v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1</v>
          </cell>
          <cell r="BO893" t="e">
            <v>#VALUE!</v>
          </cell>
          <cell r="BP893" t="e">
            <v>#VALUE!</v>
          </cell>
          <cell r="BQ893" t="e">
            <v>#VALUE!</v>
          </cell>
          <cell r="BR893" t="e">
            <v>#VALUE!</v>
          </cell>
          <cell r="BS893">
            <v>12</v>
          </cell>
          <cell r="BT893" t="e">
            <v>#VALUE!</v>
          </cell>
          <cell r="BU893" t="str">
            <v/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</row>
        <row r="894">
          <cell r="A894" t="str">
            <v>75Year</v>
          </cell>
          <cell r="B894" t="str">
            <v>Year</v>
          </cell>
          <cell r="C894">
            <v>75</v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1</v>
          </cell>
          <cell r="BO894" t="e">
            <v>#VALUE!</v>
          </cell>
          <cell r="BP894" t="e">
            <v>#VALUE!</v>
          </cell>
          <cell r="BQ894" t="e">
            <v>#VALUE!</v>
          </cell>
          <cell r="BR894" t="e">
            <v>#VALUE!</v>
          </cell>
          <cell r="BS894">
            <v>12</v>
          </cell>
          <cell r="BT894" t="e">
            <v>#VALUE!</v>
          </cell>
          <cell r="BU894" t="str">
            <v/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</row>
        <row r="895">
          <cell r="A895" t="str">
            <v>76Year</v>
          </cell>
          <cell r="B895" t="str">
            <v>Year</v>
          </cell>
          <cell r="C895">
            <v>76</v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1</v>
          </cell>
          <cell r="BO895" t="e">
            <v>#VALUE!</v>
          </cell>
          <cell r="BP895" t="e">
            <v>#VALUE!</v>
          </cell>
          <cell r="BQ895" t="e">
            <v>#VALUE!</v>
          </cell>
          <cell r="BR895" t="e">
            <v>#VALUE!</v>
          </cell>
          <cell r="BS895">
            <v>12</v>
          </cell>
          <cell r="BT895" t="e">
            <v>#VALUE!</v>
          </cell>
          <cell r="BU895" t="str">
            <v/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</row>
        <row r="896">
          <cell r="A896" t="str">
            <v>77Year</v>
          </cell>
          <cell r="B896" t="str">
            <v>Year</v>
          </cell>
          <cell r="C896">
            <v>77</v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1</v>
          </cell>
          <cell r="BO896" t="e">
            <v>#VALUE!</v>
          </cell>
          <cell r="BP896" t="e">
            <v>#VALUE!</v>
          </cell>
          <cell r="BQ896" t="e">
            <v>#VALUE!</v>
          </cell>
          <cell r="BR896" t="e">
            <v>#VALUE!</v>
          </cell>
          <cell r="BS896">
            <v>12</v>
          </cell>
          <cell r="BT896" t="e">
            <v>#VALUE!</v>
          </cell>
          <cell r="BU896" t="str">
            <v/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</row>
        <row r="897">
          <cell r="A897" t="str">
            <v>78Year</v>
          </cell>
          <cell r="B897" t="str">
            <v>Year</v>
          </cell>
          <cell r="C897">
            <v>78</v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1</v>
          </cell>
          <cell r="BO897" t="e">
            <v>#VALUE!</v>
          </cell>
          <cell r="BP897" t="e">
            <v>#VALUE!</v>
          </cell>
          <cell r="BQ897" t="e">
            <v>#VALUE!</v>
          </cell>
          <cell r="BR897" t="e">
            <v>#VALUE!</v>
          </cell>
          <cell r="BS897">
            <v>12</v>
          </cell>
          <cell r="BT897" t="e">
            <v>#VALUE!</v>
          </cell>
          <cell r="BU897" t="str">
            <v/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</row>
        <row r="898">
          <cell r="A898" t="str">
            <v>79Year</v>
          </cell>
          <cell r="B898" t="str">
            <v>Year</v>
          </cell>
          <cell r="C898">
            <v>79</v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1</v>
          </cell>
          <cell r="BO898" t="e">
            <v>#VALUE!</v>
          </cell>
          <cell r="BP898" t="e">
            <v>#VALUE!</v>
          </cell>
          <cell r="BQ898" t="e">
            <v>#VALUE!</v>
          </cell>
          <cell r="BR898" t="e">
            <v>#VALUE!</v>
          </cell>
          <cell r="BS898">
            <v>12</v>
          </cell>
          <cell r="BT898" t="e">
            <v>#VALUE!</v>
          </cell>
          <cell r="BU898" t="str">
            <v/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</row>
        <row r="899">
          <cell r="A899" t="str">
            <v>80Year</v>
          </cell>
          <cell r="B899" t="str">
            <v>Year</v>
          </cell>
          <cell r="C899">
            <v>80</v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1</v>
          </cell>
          <cell r="BO899" t="e">
            <v>#VALUE!</v>
          </cell>
          <cell r="BP899" t="e">
            <v>#VALUE!</v>
          </cell>
          <cell r="BQ899" t="e">
            <v>#VALUE!</v>
          </cell>
          <cell r="BR899" t="e">
            <v>#VALUE!</v>
          </cell>
          <cell r="BS899">
            <v>12</v>
          </cell>
          <cell r="BT899" t="e">
            <v>#VALUE!</v>
          </cell>
          <cell r="BU899" t="str">
            <v/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</row>
        <row r="900">
          <cell r="A900" t="str">
            <v>81Year</v>
          </cell>
          <cell r="B900" t="str">
            <v>Year</v>
          </cell>
          <cell r="C900">
            <v>81</v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1</v>
          </cell>
          <cell r="BO900" t="e">
            <v>#VALUE!</v>
          </cell>
          <cell r="BP900" t="e">
            <v>#VALUE!</v>
          </cell>
          <cell r="BQ900" t="e">
            <v>#VALUE!</v>
          </cell>
          <cell r="BR900" t="e">
            <v>#VALUE!</v>
          </cell>
          <cell r="BS900">
            <v>12</v>
          </cell>
          <cell r="BT900" t="e">
            <v>#VALUE!</v>
          </cell>
          <cell r="BU900" t="str">
            <v/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</row>
        <row r="901">
          <cell r="A901" t="str">
            <v>82Year</v>
          </cell>
          <cell r="B901" t="str">
            <v>Year</v>
          </cell>
          <cell r="C901">
            <v>82</v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1</v>
          </cell>
          <cell r="BO901" t="e">
            <v>#VALUE!</v>
          </cell>
          <cell r="BP901" t="e">
            <v>#VALUE!</v>
          </cell>
          <cell r="BQ901" t="e">
            <v>#VALUE!</v>
          </cell>
          <cell r="BR901" t="e">
            <v>#VALUE!</v>
          </cell>
          <cell r="BS901">
            <v>12</v>
          </cell>
          <cell r="BT901" t="e">
            <v>#VALUE!</v>
          </cell>
          <cell r="BU901" t="str">
            <v/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</row>
        <row r="902">
          <cell r="A902" t="str">
            <v>83Year</v>
          </cell>
          <cell r="B902" t="str">
            <v>Year</v>
          </cell>
          <cell r="C902">
            <v>83</v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1</v>
          </cell>
          <cell r="BO902" t="e">
            <v>#VALUE!</v>
          </cell>
          <cell r="BP902" t="e">
            <v>#VALUE!</v>
          </cell>
          <cell r="BQ902" t="e">
            <v>#VALUE!</v>
          </cell>
          <cell r="BR902" t="e">
            <v>#VALUE!</v>
          </cell>
          <cell r="BS902">
            <v>12</v>
          </cell>
          <cell r="BT902" t="e">
            <v>#VALUE!</v>
          </cell>
          <cell r="BU902" t="str">
            <v/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</row>
        <row r="903">
          <cell r="A903" t="str">
            <v>84Year</v>
          </cell>
          <cell r="B903" t="str">
            <v>Year</v>
          </cell>
          <cell r="C903">
            <v>84</v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1</v>
          </cell>
          <cell r="BO903" t="e">
            <v>#VALUE!</v>
          </cell>
          <cell r="BP903" t="e">
            <v>#VALUE!</v>
          </cell>
          <cell r="BQ903" t="e">
            <v>#VALUE!</v>
          </cell>
          <cell r="BR903" t="e">
            <v>#VALUE!</v>
          </cell>
          <cell r="BS903">
            <v>12</v>
          </cell>
          <cell r="BT903" t="e">
            <v>#VALUE!</v>
          </cell>
          <cell r="BU903" t="str">
            <v/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</row>
        <row r="904">
          <cell r="A904" t="str">
            <v>85Year</v>
          </cell>
          <cell r="B904" t="str">
            <v>Year</v>
          </cell>
          <cell r="C904">
            <v>85</v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1</v>
          </cell>
          <cell r="BO904" t="e">
            <v>#VALUE!</v>
          </cell>
          <cell r="BP904" t="e">
            <v>#VALUE!</v>
          </cell>
          <cell r="BQ904" t="e">
            <v>#VALUE!</v>
          </cell>
          <cell r="BR904" t="e">
            <v>#VALUE!</v>
          </cell>
          <cell r="BS904">
            <v>12</v>
          </cell>
          <cell r="BT904" t="e">
            <v>#VALUE!</v>
          </cell>
          <cell r="BU904" t="str">
            <v/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</row>
        <row r="905">
          <cell r="A905" t="str">
            <v>86Year</v>
          </cell>
          <cell r="B905" t="str">
            <v>Year</v>
          </cell>
          <cell r="C905">
            <v>86</v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1</v>
          </cell>
          <cell r="BO905" t="e">
            <v>#VALUE!</v>
          </cell>
          <cell r="BP905" t="e">
            <v>#VALUE!</v>
          </cell>
          <cell r="BQ905" t="e">
            <v>#VALUE!</v>
          </cell>
          <cell r="BR905" t="e">
            <v>#VALUE!</v>
          </cell>
          <cell r="BS905">
            <v>12</v>
          </cell>
          <cell r="BT905" t="e">
            <v>#VALUE!</v>
          </cell>
          <cell r="BU905" t="str">
            <v/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</row>
        <row r="906">
          <cell r="A906" t="str">
            <v>87Year</v>
          </cell>
          <cell r="B906" t="str">
            <v>Year</v>
          </cell>
          <cell r="C906">
            <v>87</v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1</v>
          </cell>
          <cell r="BO906" t="e">
            <v>#VALUE!</v>
          </cell>
          <cell r="BP906" t="e">
            <v>#VALUE!</v>
          </cell>
          <cell r="BQ906" t="e">
            <v>#VALUE!</v>
          </cell>
          <cell r="BR906" t="e">
            <v>#VALUE!</v>
          </cell>
          <cell r="BS906">
            <v>12</v>
          </cell>
          <cell r="BT906" t="e">
            <v>#VALUE!</v>
          </cell>
          <cell r="BU906" t="str">
            <v/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</row>
        <row r="907">
          <cell r="A907" t="str">
            <v>88Year</v>
          </cell>
          <cell r="B907" t="str">
            <v>Year</v>
          </cell>
          <cell r="C907">
            <v>88</v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1</v>
          </cell>
          <cell r="BO907" t="e">
            <v>#VALUE!</v>
          </cell>
          <cell r="BP907" t="e">
            <v>#VALUE!</v>
          </cell>
          <cell r="BQ907" t="e">
            <v>#VALUE!</v>
          </cell>
          <cell r="BR907" t="e">
            <v>#VALUE!</v>
          </cell>
          <cell r="BS907">
            <v>12</v>
          </cell>
          <cell r="BT907" t="e">
            <v>#VALUE!</v>
          </cell>
          <cell r="BU907" t="str">
            <v/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</row>
        <row r="908">
          <cell r="A908" t="str">
            <v>89Year</v>
          </cell>
          <cell r="B908" t="str">
            <v>Year</v>
          </cell>
          <cell r="C908">
            <v>89</v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1</v>
          </cell>
          <cell r="BO908" t="e">
            <v>#VALUE!</v>
          </cell>
          <cell r="BP908" t="e">
            <v>#VALUE!</v>
          </cell>
          <cell r="BQ908" t="e">
            <v>#VALUE!</v>
          </cell>
          <cell r="BR908" t="e">
            <v>#VALUE!</v>
          </cell>
          <cell r="BS908">
            <v>12</v>
          </cell>
          <cell r="BT908" t="e">
            <v>#VALUE!</v>
          </cell>
          <cell r="BU908" t="str">
            <v/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</row>
        <row r="909">
          <cell r="A909" t="str">
            <v>90Year</v>
          </cell>
          <cell r="B909" t="str">
            <v>Year</v>
          </cell>
          <cell r="C909">
            <v>90</v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1</v>
          </cell>
          <cell r="BO909" t="e">
            <v>#VALUE!</v>
          </cell>
          <cell r="BP909" t="e">
            <v>#VALUE!</v>
          </cell>
          <cell r="BQ909" t="e">
            <v>#VALUE!</v>
          </cell>
          <cell r="BR909" t="e">
            <v>#VALUE!</v>
          </cell>
          <cell r="BS909">
            <v>12</v>
          </cell>
          <cell r="BT909" t="e">
            <v>#VALUE!</v>
          </cell>
          <cell r="BU909" t="str">
            <v/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</row>
        <row r="910">
          <cell r="A910" t="str">
            <v>91Year</v>
          </cell>
          <cell r="B910" t="str">
            <v>Year</v>
          </cell>
          <cell r="C910">
            <v>91</v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1</v>
          </cell>
          <cell r="BO910" t="e">
            <v>#VALUE!</v>
          </cell>
          <cell r="BP910" t="e">
            <v>#VALUE!</v>
          </cell>
          <cell r="BQ910" t="e">
            <v>#VALUE!</v>
          </cell>
          <cell r="BR910" t="e">
            <v>#VALUE!</v>
          </cell>
          <cell r="BS910">
            <v>12</v>
          </cell>
          <cell r="BT910" t="e">
            <v>#VALUE!</v>
          </cell>
          <cell r="BU910" t="str">
            <v/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</row>
        <row r="911">
          <cell r="A911" t="str">
            <v>92Year</v>
          </cell>
          <cell r="B911" t="str">
            <v>Year</v>
          </cell>
          <cell r="C911">
            <v>92</v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1</v>
          </cell>
          <cell r="BO911" t="e">
            <v>#VALUE!</v>
          </cell>
          <cell r="BP911" t="e">
            <v>#VALUE!</v>
          </cell>
          <cell r="BQ911" t="e">
            <v>#VALUE!</v>
          </cell>
          <cell r="BR911" t="e">
            <v>#VALUE!</v>
          </cell>
          <cell r="BS911">
            <v>12</v>
          </cell>
          <cell r="BT911" t="e">
            <v>#VALUE!</v>
          </cell>
          <cell r="BU911" t="str">
            <v/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</row>
        <row r="912">
          <cell r="A912" t="str">
            <v>93Year</v>
          </cell>
          <cell r="B912" t="str">
            <v>Year</v>
          </cell>
          <cell r="C912">
            <v>93</v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1</v>
          </cell>
          <cell r="BO912" t="e">
            <v>#VALUE!</v>
          </cell>
          <cell r="BP912" t="e">
            <v>#VALUE!</v>
          </cell>
          <cell r="BQ912" t="e">
            <v>#VALUE!</v>
          </cell>
          <cell r="BR912" t="e">
            <v>#VALUE!</v>
          </cell>
          <cell r="BS912">
            <v>12</v>
          </cell>
          <cell r="BT912" t="e">
            <v>#VALUE!</v>
          </cell>
          <cell r="BU912" t="str">
            <v/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</row>
        <row r="913">
          <cell r="A913" t="str">
            <v>94Year</v>
          </cell>
          <cell r="B913" t="str">
            <v>Year</v>
          </cell>
          <cell r="C913">
            <v>94</v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1</v>
          </cell>
          <cell r="BO913" t="e">
            <v>#VALUE!</v>
          </cell>
          <cell r="BP913" t="e">
            <v>#VALUE!</v>
          </cell>
          <cell r="BQ913" t="e">
            <v>#VALUE!</v>
          </cell>
          <cell r="BR913" t="e">
            <v>#VALUE!</v>
          </cell>
          <cell r="BS913">
            <v>12</v>
          </cell>
          <cell r="BT913" t="e">
            <v>#VALUE!</v>
          </cell>
          <cell r="BU913" t="str">
            <v/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</row>
        <row r="914">
          <cell r="A914" t="str">
            <v>95Year</v>
          </cell>
          <cell r="B914" t="str">
            <v>Year</v>
          </cell>
          <cell r="C914">
            <v>95</v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1</v>
          </cell>
          <cell r="BO914" t="e">
            <v>#VALUE!</v>
          </cell>
          <cell r="BP914" t="e">
            <v>#VALUE!</v>
          </cell>
          <cell r="BQ914" t="e">
            <v>#VALUE!</v>
          </cell>
          <cell r="BR914" t="e">
            <v>#VALUE!</v>
          </cell>
          <cell r="BS914">
            <v>12</v>
          </cell>
          <cell r="BT914" t="e">
            <v>#VALUE!</v>
          </cell>
          <cell r="BU914" t="str">
            <v/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</row>
        <row r="915">
          <cell r="A915" t="str">
            <v>96Year</v>
          </cell>
          <cell r="B915" t="str">
            <v>Year</v>
          </cell>
          <cell r="C915">
            <v>96</v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1</v>
          </cell>
          <cell r="BO915" t="e">
            <v>#VALUE!</v>
          </cell>
          <cell r="BP915" t="e">
            <v>#VALUE!</v>
          </cell>
          <cell r="BQ915" t="e">
            <v>#VALUE!</v>
          </cell>
          <cell r="BR915" t="e">
            <v>#VALUE!</v>
          </cell>
          <cell r="BS915">
            <v>12</v>
          </cell>
          <cell r="BT915" t="e">
            <v>#VALUE!</v>
          </cell>
          <cell r="BU915" t="str">
            <v/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</row>
        <row r="916">
          <cell r="A916" t="str">
            <v>97Year</v>
          </cell>
          <cell r="B916" t="str">
            <v>Year</v>
          </cell>
          <cell r="C916">
            <v>97</v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1</v>
          </cell>
          <cell r="BO916" t="e">
            <v>#VALUE!</v>
          </cell>
          <cell r="BP916" t="e">
            <v>#VALUE!</v>
          </cell>
          <cell r="BQ916" t="e">
            <v>#VALUE!</v>
          </cell>
          <cell r="BR916" t="e">
            <v>#VALUE!</v>
          </cell>
          <cell r="BS916">
            <v>12</v>
          </cell>
          <cell r="BT916" t="e">
            <v>#VALUE!</v>
          </cell>
          <cell r="BU916" t="str">
            <v/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</row>
        <row r="917">
          <cell r="A917" t="str">
            <v>98Year</v>
          </cell>
          <cell r="B917" t="str">
            <v>Year</v>
          </cell>
          <cell r="C917">
            <v>98</v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1</v>
          </cell>
          <cell r="BO917" t="e">
            <v>#VALUE!</v>
          </cell>
          <cell r="BP917" t="e">
            <v>#VALUE!</v>
          </cell>
          <cell r="BQ917" t="e">
            <v>#VALUE!</v>
          </cell>
          <cell r="BR917" t="e">
            <v>#VALUE!</v>
          </cell>
          <cell r="BS917">
            <v>12</v>
          </cell>
          <cell r="BT917" t="e">
            <v>#VALUE!</v>
          </cell>
          <cell r="BU917" t="str">
            <v/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</row>
        <row r="918">
          <cell r="A918" t="str">
            <v>99Year</v>
          </cell>
          <cell r="B918" t="str">
            <v>Year</v>
          </cell>
          <cell r="C918">
            <v>99</v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1</v>
          </cell>
          <cell r="BO918" t="e">
            <v>#VALUE!</v>
          </cell>
          <cell r="BP918" t="e">
            <v>#VALUE!</v>
          </cell>
          <cell r="BQ918" t="e">
            <v>#VALUE!</v>
          </cell>
          <cell r="BR918" t="e">
            <v>#VALUE!</v>
          </cell>
          <cell r="BS918">
            <v>12</v>
          </cell>
          <cell r="BT918" t="e">
            <v>#VALUE!</v>
          </cell>
          <cell r="BU918" t="str">
            <v/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</row>
        <row r="919">
          <cell r="A919" t="str">
            <v>100Year</v>
          </cell>
          <cell r="B919" t="str">
            <v>Year</v>
          </cell>
          <cell r="C919">
            <v>100</v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1</v>
          </cell>
          <cell r="BO919" t="e">
            <v>#VALUE!</v>
          </cell>
          <cell r="BP919" t="e">
            <v>#VALUE!</v>
          </cell>
          <cell r="BQ919" t="e">
            <v>#VALUE!</v>
          </cell>
          <cell r="BR919" t="e">
            <v>#VALUE!</v>
          </cell>
          <cell r="BS919">
            <v>12</v>
          </cell>
          <cell r="BT919" t="e">
            <v>#VALUE!</v>
          </cell>
          <cell r="BU919" t="str">
            <v/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</row>
        <row r="920">
          <cell r="A920" t="str">
            <v>101Year</v>
          </cell>
          <cell r="B920" t="str">
            <v>Year</v>
          </cell>
          <cell r="C920">
            <v>101</v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1</v>
          </cell>
          <cell r="BO920" t="e">
            <v>#VALUE!</v>
          </cell>
          <cell r="BP920" t="e">
            <v>#VALUE!</v>
          </cell>
          <cell r="BQ920" t="e">
            <v>#VALUE!</v>
          </cell>
          <cell r="BR920" t="e">
            <v>#VALUE!</v>
          </cell>
          <cell r="BS920">
            <v>12</v>
          </cell>
          <cell r="BT920" t="e">
            <v>#VALUE!</v>
          </cell>
          <cell r="BU920" t="str">
            <v/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</row>
        <row r="921">
          <cell r="A921" t="str">
            <v>102Year</v>
          </cell>
          <cell r="B921" t="str">
            <v>Year</v>
          </cell>
          <cell r="C921">
            <v>102</v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1</v>
          </cell>
          <cell r="BO921" t="e">
            <v>#VALUE!</v>
          </cell>
          <cell r="BP921" t="e">
            <v>#VALUE!</v>
          </cell>
          <cell r="BQ921" t="e">
            <v>#VALUE!</v>
          </cell>
          <cell r="BR921" t="e">
            <v>#VALUE!</v>
          </cell>
          <cell r="BS921">
            <v>12</v>
          </cell>
          <cell r="BT921" t="e">
            <v>#VALUE!</v>
          </cell>
          <cell r="BU921" t="str">
            <v/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</row>
        <row r="922">
          <cell r="A922" t="str">
            <v>103Year</v>
          </cell>
          <cell r="B922" t="str">
            <v>Year</v>
          </cell>
          <cell r="C922">
            <v>103</v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1</v>
          </cell>
          <cell r="BO922" t="e">
            <v>#VALUE!</v>
          </cell>
          <cell r="BP922" t="e">
            <v>#VALUE!</v>
          </cell>
          <cell r="BQ922" t="e">
            <v>#VALUE!</v>
          </cell>
          <cell r="BR922" t="e">
            <v>#VALUE!</v>
          </cell>
          <cell r="BS922">
            <v>12</v>
          </cell>
          <cell r="BT922" t="e">
            <v>#VALUE!</v>
          </cell>
          <cell r="BU922" t="str">
            <v/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</row>
        <row r="923">
          <cell r="A923" t="str">
            <v>104Year</v>
          </cell>
          <cell r="B923" t="str">
            <v>Year</v>
          </cell>
          <cell r="C923">
            <v>104</v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1</v>
          </cell>
          <cell r="BO923" t="e">
            <v>#VALUE!</v>
          </cell>
          <cell r="BP923" t="e">
            <v>#VALUE!</v>
          </cell>
          <cell r="BQ923" t="e">
            <v>#VALUE!</v>
          </cell>
          <cell r="BR923" t="e">
            <v>#VALUE!</v>
          </cell>
          <cell r="BS923">
            <v>12</v>
          </cell>
          <cell r="BT923" t="e">
            <v>#VALUE!</v>
          </cell>
          <cell r="BU923" t="str">
            <v/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</row>
        <row r="924">
          <cell r="A924" t="str">
            <v>105Year</v>
          </cell>
          <cell r="B924" t="str">
            <v>Year</v>
          </cell>
          <cell r="C924">
            <v>105</v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1</v>
          </cell>
          <cell r="BO924" t="e">
            <v>#VALUE!</v>
          </cell>
          <cell r="BP924" t="e">
            <v>#VALUE!</v>
          </cell>
          <cell r="BQ924" t="e">
            <v>#VALUE!</v>
          </cell>
          <cell r="BR924" t="e">
            <v>#VALUE!</v>
          </cell>
          <cell r="BS924">
            <v>12</v>
          </cell>
          <cell r="BT924" t="e">
            <v>#VALUE!</v>
          </cell>
          <cell r="BU924" t="str">
            <v/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</row>
        <row r="925">
          <cell r="A925" t="str">
            <v>106Year</v>
          </cell>
          <cell r="B925" t="str">
            <v>Year</v>
          </cell>
          <cell r="C925">
            <v>106</v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1</v>
          </cell>
          <cell r="BO925" t="e">
            <v>#VALUE!</v>
          </cell>
          <cell r="BP925" t="e">
            <v>#VALUE!</v>
          </cell>
          <cell r="BQ925" t="e">
            <v>#VALUE!</v>
          </cell>
          <cell r="BR925" t="e">
            <v>#VALUE!</v>
          </cell>
          <cell r="BS925">
            <v>12</v>
          </cell>
          <cell r="BT925" t="e">
            <v>#VALUE!</v>
          </cell>
          <cell r="BU925" t="str">
            <v/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</row>
        <row r="926">
          <cell r="A926" t="str">
            <v>107Year</v>
          </cell>
          <cell r="B926" t="str">
            <v>Year</v>
          </cell>
          <cell r="C926">
            <v>107</v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1</v>
          </cell>
          <cell r="BO926" t="e">
            <v>#VALUE!</v>
          </cell>
          <cell r="BP926" t="e">
            <v>#VALUE!</v>
          </cell>
          <cell r="BQ926" t="e">
            <v>#VALUE!</v>
          </cell>
          <cell r="BR926" t="e">
            <v>#VALUE!</v>
          </cell>
          <cell r="BS926">
            <v>12</v>
          </cell>
          <cell r="BT926" t="e">
            <v>#VALUE!</v>
          </cell>
          <cell r="BU926" t="str">
            <v/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</row>
        <row r="927">
          <cell r="A927" t="str">
            <v>108Year</v>
          </cell>
          <cell r="B927" t="str">
            <v>Year</v>
          </cell>
          <cell r="C927">
            <v>108</v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1</v>
          </cell>
          <cell r="BO927" t="e">
            <v>#VALUE!</v>
          </cell>
          <cell r="BP927" t="e">
            <v>#VALUE!</v>
          </cell>
          <cell r="BQ927" t="e">
            <v>#VALUE!</v>
          </cell>
          <cell r="BR927" t="e">
            <v>#VALUE!</v>
          </cell>
          <cell r="BS927">
            <v>12</v>
          </cell>
          <cell r="BT927" t="e">
            <v>#VALUE!</v>
          </cell>
          <cell r="BU927" t="str">
            <v/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</row>
        <row r="928">
          <cell r="A928" t="str">
            <v>109Year</v>
          </cell>
          <cell r="B928" t="str">
            <v>Year</v>
          </cell>
          <cell r="C928">
            <v>109</v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1</v>
          </cell>
          <cell r="BO928" t="e">
            <v>#VALUE!</v>
          </cell>
          <cell r="BP928" t="e">
            <v>#VALUE!</v>
          </cell>
          <cell r="BQ928" t="e">
            <v>#VALUE!</v>
          </cell>
          <cell r="BR928" t="e">
            <v>#VALUE!</v>
          </cell>
          <cell r="BS928">
            <v>12</v>
          </cell>
          <cell r="BT928" t="e">
            <v>#VALUE!</v>
          </cell>
          <cell r="BU928" t="str">
            <v/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</row>
        <row r="929">
          <cell r="A929" t="str">
            <v>110Year</v>
          </cell>
          <cell r="B929" t="str">
            <v>Year</v>
          </cell>
          <cell r="C929">
            <v>110</v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1</v>
          </cell>
          <cell r="BO929" t="e">
            <v>#VALUE!</v>
          </cell>
          <cell r="BP929" t="e">
            <v>#VALUE!</v>
          </cell>
          <cell r="BQ929" t="e">
            <v>#VALUE!</v>
          </cell>
          <cell r="BR929" t="e">
            <v>#VALUE!</v>
          </cell>
          <cell r="BS929">
            <v>12</v>
          </cell>
          <cell r="BT929" t="e">
            <v>#VALUE!</v>
          </cell>
          <cell r="BU929" t="str">
            <v/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</row>
        <row r="930">
          <cell r="A930" t="str">
            <v>111Year</v>
          </cell>
          <cell r="B930" t="str">
            <v>Year</v>
          </cell>
          <cell r="C930">
            <v>111</v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1</v>
          </cell>
          <cell r="BO930" t="e">
            <v>#VALUE!</v>
          </cell>
          <cell r="BP930" t="e">
            <v>#VALUE!</v>
          </cell>
          <cell r="BQ930" t="e">
            <v>#VALUE!</v>
          </cell>
          <cell r="BR930" t="e">
            <v>#VALUE!</v>
          </cell>
          <cell r="BS930">
            <v>12</v>
          </cell>
          <cell r="BT930" t="e">
            <v>#VALUE!</v>
          </cell>
          <cell r="BU930" t="str">
            <v/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</row>
        <row r="931">
          <cell r="A931" t="str">
            <v>112Year</v>
          </cell>
          <cell r="B931" t="str">
            <v>Year</v>
          </cell>
          <cell r="C931">
            <v>112</v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1</v>
          </cell>
          <cell r="BO931" t="e">
            <v>#VALUE!</v>
          </cell>
          <cell r="BP931" t="e">
            <v>#VALUE!</v>
          </cell>
          <cell r="BQ931" t="e">
            <v>#VALUE!</v>
          </cell>
          <cell r="BR931" t="e">
            <v>#VALUE!</v>
          </cell>
          <cell r="BS931">
            <v>12</v>
          </cell>
          <cell r="BT931" t="e">
            <v>#VALUE!</v>
          </cell>
          <cell r="BU931" t="str">
            <v/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</row>
        <row r="932">
          <cell r="A932" t="str">
            <v>113Year</v>
          </cell>
          <cell r="B932" t="str">
            <v>Year</v>
          </cell>
          <cell r="C932">
            <v>113</v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1</v>
          </cell>
          <cell r="BO932" t="e">
            <v>#VALUE!</v>
          </cell>
          <cell r="BP932" t="e">
            <v>#VALUE!</v>
          </cell>
          <cell r="BQ932" t="e">
            <v>#VALUE!</v>
          </cell>
          <cell r="BR932" t="e">
            <v>#VALUE!</v>
          </cell>
          <cell r="BS932">
            <v>12</v>
          </cell>
          <cell r="BT932" t="e">
            <v>#VALUE!</v>
          </cell>
          <cell r="BU932" t="str">
            <v/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</row>
        <row r="933">
          <cell r="A933" t="str">
            <v>114Year</v>
          </cell>
          <cell r="B933" t="str">
            <v>Year</v>
          </cell>
          <cell r="C933">
            <v>114</v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1</v>
          </cell>
          <cell r="BO933" t="e">
            <v>#VALUE!</v>
          </cell>
          <cell r="BP933" t="e">
            <v>#VALUE!</v>
          </cell>
          <cell r="BQ933" t="e">
            <v>#VALUE!</v>
          </cell>
          <cell r="BR933" t="e">
            <v>#VALUE!</v>
          </cell>
          <cell r="BS933">
            <v>12</v>
          </cell>
          <cell r="BT933" t="e">
            <v>#VALUE!</v>
          </cell>
          <cell r="BU933" t="str">
            <v/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</row>
        <row r="934">
          <cell r="A934" t="str">
            <v>115Year</v>
          </cell>
          <cell r="B934" t="str">
            <v>Year</v>
          </cell>
          <cell r="C934">
            <v>115</v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1</v>
          </cell>
          <cell r="BO934" t="e">
            <v>#VALUE!</v>
          </cell>
          <cell r="BP934" t="e">
            <v>#VALUE!</v>
          </cell>
          <cell r="BQ934" t="e">
            <v>#VALUE!</v>
          </cell>
          <cell r="BR934" t="e">
            <v>#VALUE!</v>
          </cell>
          <cell r="BS934">
            <v>12</v>
          </cell>
          <cell r="BT934" t="e">
            <v>#VALUE!</v>
          </cell>
          <cell r="BU934" t="str">
            <v/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</row>
        <row r="935">
          <cell r="A935" t="str">
            <v>116Year</v>
          </cell>
          <cell r="B935" t="str">
            <v>Year</v>
          </cell>
          <cell r="C935">
            <v>116</v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1</v>
          </cell>
          <cell r="BO935" t="e">
            <v>#VALUE!</v>
          </cell>
          <cell r="BP935" t="e">
            <v>#VALUE!</v>
          </cell>
          <cell r="BQ935" t="e">
            <v>#VALUE!</v>
          </cell>
          <cell r="BR935" t="e">
            <v>#VALUE!</v>
          </cell>
          <cell r="BS935">
            <v>12</v>
          </cell>
          <cell r="BT935" t="e">
            <v>#VALUE!</v>
          </cell>
          <cell r="BU935" t="str">
            <v/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</row>
        <row r="936">
          <cell r="A936" t="str">
            <v>117Year</v>
          </cell>
          <cell r="B936" t="str">
            <v>Year</v>
          </cell>
          <cell r="C936">
            <v>117</v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1</v>
          </cell>
          <cell r="BO936" t="e">
            <v>#VALUE!</v>
          </cell>
          <cell r="BP936" t="e">
            <v>#VALUE!</v>
          </cell>
          <cell r="BQ936" t="e">
            <v>#VALUE!</v>
          </cell>
          <cell r="BR936" t="e">
            <v>#VALUE!</v>
          </cell>
          <cell r="BS936">
            <v>12</v>
          </cell>
          <cell r="BT936" t="e">
            <v>#VALUE!</v>
          </cell>
          <cell r="BU936" t="str">
            <v/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</row>
        <row r="937">
          <cell r="A937" t="str">
            <v>118Year</v>
          </cell>
          <cell r="B937" t="str">
            <v>Year</v>
          </cell>
          <cell r="C937">
            <v>118</v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1</v>
          </cell>
          <cell r="BO937" t="e">
            <v>#VALUE!</v>
          </cell>
          <cell r="BP937" t="e">
            <v>#VALUE!</v>
          </cell>
          <cell r="BQ937" t="e">
            <v>#VALUE!</v>
          </cell>
          <cell r="BR937" t="e">
            <v>#VALUE!</v>
          </cell>
          <cell r="BS937">
            <v>12</v>
          </cell>
          <cell r="BT937" t="e">
            <v>#VALUE!</v>
          </cell>
          <cell r="BU937" t="str">
            <v/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</row>
        <row r="938">
          <cell r="A938" t="str">
            <v>119Year</v>
          </cell>
          <cell r="B938" t="str">
            <v>Year</v>
          </cell>
          <cell r="C938">
            <v>119</v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1</v>
          </cell>
          <cell r="BO938" t="e">
            <v>#VALUE!</v>
          </cell>
          <cell r="BP938" t="e">
            <v>#VALUE!</v>
          </cell>
          <cell r="BQ938" t="e">
            <v>#VALUE!</v>
          </cell>
          <cell r="BR938" t="e">
            <v>#VALUE!</v>
          </cell>
          <cell r="BS938">
            <v>12</v>
          </cell>
          <cell r="BT938" t="e">
            <v>#VALUE!</v>
          </cell>
          <cell r="BU938" t="str">
            <v/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</row>
        <row r="939">
          <cell r="A939" t="str">
            <v>120Year</v>
          </cell>
          <cell r="B939" t="str">
            <v>Year</v>
          </cell>
          <cell r="C939">
            <v>120</v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1</v>
          </cell>
          <cell r="BO939" t="e">
            <v>#VALUE!</v>
          </cell>
          <cell r="BP939" t="e">
            <v>#VALUE!</v>
          </cell>
          <cell r="BQ939" t="e">
            <v>#VALUE!</v>
          </cell>
          <cell r="BR939" t="e">
            <v>#VALUE!</v>
          </cell>
          <cell r="BS939">
            <v>12</v>
          </cell>
          <cell r="BT939" t="e">
            <v>#VALUE!</v>
          </cell>
          <cell r="BU939" t="str">
            <v/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</row>
        <row r="940">
          <cell r="A940" t="str">
            <v>121Year</v>
          </cell>
          <cell r="B940" t="str">
            <v>Year</v>
          </cell>
          <cell r="C940">
            <v>121</v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1</v>
          </cell>
          <cell r="BO940" t="e">
            <v>#VALUE!</v>
          </cell>
          <cell r="BP940" t="e">
            <v>#VALUE!</v>
          </cell>
          <cell r="BQ940" t="e">
            <v>#VALUE!</v>
          </cell>
          <cell r="BR940" t="e">
            <v>#VALUE!</v>
          </cell>
          <cell r="BS940">
            <v>12</v>
          </cell>
          <cell r="BT940" t="e">
            <v>#VALUE!</v>
          </cell>
          <cell r="BU940" t="str">
            <v/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</row>
        <row r="941">
          <cell r="A941" t="str">
            <v>122Year</v>
          </cell>
          <cell r="B941" t="str">
            <v>Year</v>
          </cell>
          <cell r="C941">
            <v>122</v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1</v>
          </cell>
          <cell r="BO941" t="e">
            <v>#VALUE!</v>
          </cell>
          <cell r="BP941" t="e">
            <v>#VALUE!</v>
          </cell>
          <cell r="BQ941" t="e">
            <v>#VALUE!</v>
          </cell>
          <cell r="BR941" t="e">
            <v>#VALUE!</v>
          </cell>
          <cell r="BS941">
            <v>12</v>
          </cell>
          <cell r="BT941" t="e">
            <v>#VALUE!</v>
          </cell>
          <cell r="BU941" t="str">
            <v/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</row>
        <row r="942">
          <cell r="A942" t="str">
            <v>123Year</v>
          </cell>
          <cell r="B942" t="str">
            <v>Year</v>
          </cell>
          <cell r="C942">
            <v>123</v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1</v>
          </cell>
          <cell r="BO942" t="e">
            <v>#VALUE!</v>
          </cell>
          <cell r="BP942" t="e">
            <v>#VALUE!</v>
          </cell>
          <cell r="BQ942" t="e">
            <v>#VALUE!</v>
          </cell>
          <cell r="BR942" t="e">
            <v>#VALUE!</v>
          </cell>
          <cell r="BS942">
            <v>12</v>
          </cell>
          <cell r="BT942" t="e">
            <v>#VALUE!</v>
          </cell>
          <cell r="BU942" t="str">
            <v/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</row>
        <row r="943">
          <cell r="A943" t="str">
            <v>124Year</v>
          </cell>
          <cell r="B943" t="str">
            <v>Year</v>
          </cell>
          <cell r="C943">
            <v>124</v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1</v>
          </cell>
          <cell r="BO943" t="e">
            <v>#VALUE!</v>
          </cell>
          <cell r="BP943" t="e">
            <v>#VALUE!</v>
          </cell>
          <cell r="BQ943" t="e">
            <v>#VALUE!</v>
          </cell>
          <cell r="BR943" t="e">
            <v>#VALUE!</v>
          </cell>
          <cell r="BS943">
            <v>12</v>
          </cell>
          <cell r="BT943" t="e">
            <v>#VALUE!</v>
          </cell>
          <cell r="BU943" t="str">
            <v/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</row>
        <row r="944">
          <cell r="A944" t="str">
            <v>125Year</v>
          </cell>
          <cell r="B944" t="str">
            <v>Year</v>
          </cell>
          <cell r="C944">
            <v>125</v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1</v>
          </cell>
          <cell r="BO944" t="e">
            <v>#VALUE!</v>
          </cell>
          <cell r="BP944" t="e">
            <v>#VALUE!</v>
          </cell>
          <cell r="BQ944" t="e">
            <v>#VALUE!</v>
          </cell>
          <cell r="BR944" t="e">
            <v>#VALUE!</v>
          </cell>
          <cell r="BS944">
            <v>12</v>
          </cell>
          <cell r="BT944" t="e">
            <v>#VALUE!</v>
          </cell>
          <cell r="BU944" t="str">
            <v/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</row>
        <row r="945">
          <cell r="A945" t="str">
            <v>126Year</v>
          </cell>
          <cell r="B945" t="str">
            <v>Year</v>
          </cell>
          <cell r="C945">
            <v>126</v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1</v>
          </cell>
          <cell r="BO945" t="e">
            <v>#VALUE!</v>
          </cell>
          <cell r="BP945" t="e">
            <v>#VALUE!</v>
          </cell>
          <cell r="BQ945" t="e">
            <v>#VALUE!</v>
          </cell>
          <cell r="BR945" t="e">
            <v>#VALUE!</v>
          </cell>
          <cell r="BS945">
            <v>12</v>
          </cell>
          <cell r="BT945" t="e">
            <v>#VALUE!</v>
          </cell>
          <cell r="BU945" t="str">
            <v/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</row>
        <row r="946">
          <cell r="A946" t="str">
            <v>127Year</v>
          </cell>
          <cell r="B946" t="str">
            <v>Year</v>
          </cell>
          <cell r="C946">
            <v>127</v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1</v>
          </cell>
          <cell r="BO946" t="e">
            <v>#VALUE!</v>
          </cell>
          <cell r="BP946" t="e">
            <v>#VALUE!</v>
          </cell>
          <cell r="BQ946" t="e">
            <v>#VALUE!</v>
          </cell>
          <cell r="BR946" t="e">
            <v>#VALUE!</v>
          </cell>
          <cell r="BS946">
            <v>12</v>
          </cell>
          <cell r="BT946" t="e">
            <v>#VALUE!</v>
          </cell>
          <cell r="BU946" t="str">
            <v/>
          </cell>
          <cell r="CG946">
            <v>0</v>
          </cell>
          <cell r="CH946">
            <v>0</v>
          </cell>
          <cell r="CI946">
            <v>0</v>
          </cell>
          <cell r="CJ946">
            <v>0</v>
          </cell>
          <cell r="CK946">
            <v>0</v>
          </cell>
        </row>
        <row r="947">
          <cell r="A947" t="str">
            <v>128Year</v>
          </cell>
          <cell r="B947" t="str">
            <v>Year</v>
          </cell>
          <cell r="C947">
            <v>128</v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1</v>
          </cell>
          <cell r="BO947" t="e">
            <v>#VALUE!</v>
          </cell>
          <cell r="BP947" t="e">
            <v>#VALUE!</v>
          </cell>
          <cell r="BQ947" t="e">
            <v>#VALUE!</v>
          </cell>
          <cell r="BR947" t="e">
            <v>#VALUE!</v>
          </cell>
          <cell r="BS947">
            <v>12</v>
          </cell>
          <cell r="BT947" t="e">
            <v>#VALUE!</v>
          </cell>
          <cell r="BU947" t="str">
            <v/>
          </cell>
          <cell r="CG947">
            <v>0</v>
          </cell>
          <cell r="CH947">
            <v>0</v>
          </cell>
          <cell r="CI947">
            <v>0</v>
          </cell>
          <cell r="CJ947">
            <v>0</v>
          </cell>
          <cell r="CK947">
            <v>0</v>
          </cell>
        </row>
        <row r="948">
          <cell r="A948" t="str">
            <v>129Year</v>
          </cell>
          <cell r="B948" t="str">
            <v>Year</v>
          </cell>
          <cell r="C948">
            <v>129</v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1</v>
          </cell>
          <cell r="BO948" t="e">
            <v>#VALUE!</v>
          </cell>
          <cell r="BP948" t="e">
            <v>#VALUE!</v>
          </cell>
          <cell r="BQ948" t="e">
            <v>#VALUE!</v>
          </cell>
          <cell r="BR948" t="e">
            <v>#VALUE!</v>
          </cell>
          <cell r="BS948">
            <v>12</v>
          </cell>
          <cell r="BT948" t="e">
            <v>#VALUE!</v>
          </cell>
          <cell r="BU948" t="str">
            <v/>
          </cell>
          <cell r="CG948">
            <v>0</v>
          </cell>
          <cell r="CH948">
            <v>0</v>
          </cell>
          <cell r="CI948">
            <v>0</v>
          </cell>
          <cell r="CJ948">
            <v>0</v>
          </cell>
          <cell r="CK948">
            <v>0</v>
          </cell>
        </row>
        <row r="949">
          <cell r="A949" t="str">
            <v>130Year</v>
          </cell>
          <cell r="B949" t="str">
            <v>Year</v>
          </cell>
          <cell r="C949">
            <v>130</v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1</v>
          </cell>
          <cell r="BO949" t="e">
            <v>#VALUE!</v>
          </cell>
          <cell r="BP949" t="e">
            <v>#VALUE!</v>
          </cell>
          <cell r="BQ949" t="e">
            <v>#VALUE!</v>
          </cell>
          <cell r="BR949" t="e">
            <v>#VALUE!</v>
          </cell>
          <cell r="BS949">
            <v>12</v>
          </cell>
          <cell r="BT949" t="e">
            <v>#VALUE!</v>
          </cell>
          <cell r="BU949" t="str">
            <v/>
          </cell>
          <cell r="CG949">
            <v>0</v>
          </cell>
          <cell r="CH949">
            <v>0</v>
          </cell>
          <cell r="CI949">
            <v>0</v>
          </cell>
          <cell r="CJ949">
            <v>0</v>
          </cell>
          <cell r="CK949">
            <v>0</v>
          </cell>
        </row>
        <row r="950">
          <cell r="A950" t="str">
            <v>131Year</v>
          </cell>
          <cell r="B950" t="str">
            <v>Year</v>
          </cell>
          <cell r="C950">
            <v>131</v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1</v>
          </cell>
          <cell r="BO950" t="e">
            <v>#VALUE!</v>
          </cell>
          <cell r="BP950" t="e">
            <v>#VALUE!</v>
          </cell>
          <cell r="BQ950" t="e">
            <v>#VALUE!</v>
          </cell>
          <cell r="BR950" t="e">
            <v>#VALUE!</v>
          </cell>
          <cell r="BS950">
            <v>12</v>
          </cell>
          <cell r="BT950" t="e">
            <v>#VALUE!</v>
          </cell>
          <cell r="BU950" t="str">
            <v/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</row>
        <row r="951">
          <cell r="A951" t="str">
            <v>132Year</v>
          </cell>
          <cell r="B951" t="str">
            <v>Year</v>
          </cell>
          <cell r="C951">
            <v>132</v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1</v>
          </cell>
          <cell r="BO951" t="e">
            <v>#VALUE!</v>
          </cell>
          <cell r="BP951" t="e">
            <v>#VALUE!</v>
          </cell>
          <cell r="BQ951" t="e">
            <v>#VALUE!</v>
          </cell>
          <cell r="BR951" t="e">
            <v>#VALUE!</v>
          </cell>
          <cell r="BS951">
            <v>12</v>
          </cell>
          <cell r="BT951" t="e">
            <v>#VALUE!</v>
          </cell>
          <cell r="BU951" t="str">
            <v/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</row>
        <row r="952">
          <cell r="A952" t="str">
            <v>133Year</v>
          </cell>
          <cell r="B952" t="str">
            <v>Year</v>
          </cell>
          <cell r="C952">
            <v>133</v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1</v>
          </cell>
          <cell r="BO952" t="e">
            <v>#VALUE!</v>
          </cell>
          <cell r="BP952" t="e">
            <v>#VALUE!</v>
          </cell>
          <cell r="BQ952" t="e">
            <v>#VALUE!</v>
          </cell>
          <cell r="BR952" t="e">
            <v>#VALUE!</v>
          </cell>
          <cell r="BS952">
            <v>12</v>
          </cell>
          <cell r="BT952" t="e">
            <v>#VALUE!</v>
          </cell>
          <cell r="BU952" t="str">
            <v/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</row>
        <row r="953">
          <cell r="A953" t="str">
            <v>134Year</v>
          </cell>
          <cell r="B953" t="str">
            <v>Year</v>
          </cell>
          <cell r="C953">
            <v>134</v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1</v>
          </cell>
          <cell r="BO953" t="e">
            <v>#VALUE!</v>
          </cell>
          <cell r="BP953" t="e">
            <v>#VALUE!</v>
          </cell>
          <cell r="BQ953" t="e">
            <v>#VALUE!</v>
          </cell>
          <cell r="BR953" t="e">
            <v>#VALUE!</v>
          </cell>
          <cell r="BS953">
            <v>12</v>
          </cell>
          <cell r="BT953" t="e">
            <v>#VALUE!</v>
          </cell>
          <cell r="BU953" t="str">
            <v/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</row>
        <row r="954">
          <cell r="A954" t="str">
            <v>135Year</v>
          </cell>
          <cell r="B954" t="str">
            <v>Year</v>
          </cell>
          <cell r="C954">
            <v>135</v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1</v>
          </cell>
          <cell r="BO954" t="e">
            <v>#VALUE!</v>
          </cell>
          <cell r="BP954" t="e">
            <v>#VALUE!</v>
          </cell>
          <cell r="BQ954" t="e">
            <v>#VALUE!</v>
          </cell>
          <cell r="BR954" t="e">
            <v>#VALUE!</v>
          </cell>
          <cell r="BS954">
            <v>12</v>
          </cell>
          <cell r="BT954" t="e">
            <v>#VALUE!</v>
          </cell>
          <cell r="BU954" t="str">
            <v/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</row>
        <row r="955">
          <cell r="A955" t="str">
            <v>136Year</v>
          </cell>
          <cell r="B955" t="str">
            <v>Year</v>
          </cell>
          <cell r="C955">
            <v>136</v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1</v>
          </cell>
          <cell r="BO955" t="e">
            <v>#VALUE!</v>
          </cell>
          <cell r="BP955" t="e">
            <v>#VALUE!</v>
          </cell>
          <cell r="BQ955" t="e">
            <v>#VALUE!</v>
          </cell>
          <cell r="BR955" t="e">
            <v>#VALUE!</v>
          </cell>
          <cell r="BS955">
            <v>12</v>
          </cell>
          <cell r="BT955" t="e">
            <v>#VALUE!</v>
          </cell>
          <cell r="BU955" t="str">
            <v/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</row>
        <row r="956">
          <cell r="A956" t="str">
            <v>137Year</v>
          </cell>
          <cell r="B956" t="str">
            <v>Year</v>
          </cell>
          <cell r="C956">
            <v>137</v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1</v>
          </cell>
          <cell r="BO956" t="e">
            <v>#VALUE!</v>
          </cell>
          <cell r="BP956" t="e">
            <v>#VALUE!</v>
          </cell>
          <cell r="BQ956" t="e">
            <v>#VALUE!</v>
          </cell>
          <cell r="BR956" t="e">
            <v>#VALUE!</v>
          </cell>
          <cell r="BS956">
            <v>12</v>
          </cell>
          <cell r="BT956" t="e">
            <v>#VALUE!</v>
          </cell>
          <cell r="BU956" t="str">
            <v/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</row>
        <row r="957">
          <cell r="A957" t="str">
            <v>138Year</v>
          </cell>
          <cell r="B957" t="str">
            <v>Year</v>
          </cell>
          <cell r="C957">
            <v>138</v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1</v>
          </cell>
          <cell r="BO957" t="e">
            <v>#VALUE!</v>
          </cell>
          <cell r="BP957" t="e">
            <v>#VALUE!</v>
          </cell>
          <cell r="BQ957" t="e">
            <v>#VALUE!</v>
          </cell>
          <cell r="BR957" t="e">
            <v>#VALUE!</v>
          </cell>
          <cell r="BS957">
            <v>12</v>
          </cell>
          <cell r="BT957" t="e">
            <v>#VALUE!</v>
          </cell>
          <cell r="BU957" t="str">
            <v/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</row>
        <row r="958">
          <cell r="A958" t="str">
            <v>139Year</v>
          </cell>
          <cell r="B958" t="str">
            <v>Year</v>
          </cell>
          <cell r="C958">
            <v>139</v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1</v>
          </cell>
          <cell r="BO958" t="e">
            <v>#VALUE!</v>
          </cell>
          <cell r="BP958" t="e">
            <v>#VALUE!</v>
          </cell>
          <cell r="BQ958" t="e">
            <v>#VALUE!</v>
          </cell>
          <cell r="BR958" t="e">
            <v>#VALUE!</v>
          </cell>
          <cell r="BS958">
            <v>12</v>
          </cell>
          <cell r="BT958" t="e">
            <v>#VALUE!</v>
          </cell>
          <cell r="BU958" t="str">
            <v/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</row>
        <row r="959">
          <cell r="A959" t="str">
            <v>140Year</v>
          </cell>
          <cell r="B959" t="str">
            <v>Year</v>
          </cell>
          <cell r="C959">
            <v>140</v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1</v>
          </cell>
          <cell r="BO959" t="e">
            <v>#VALUE!</v>
          </cell>
          <cell r="BP959" t="e">
            <v>#VALUE!</v>
          </cell>
          <cell r="BQ959" t="e">
            <v>#VALUE!</v>
          </cell>
          <cell r="BR959" t="e">
            <v>#VALUE!</v>
          </cell>
          <cell r="BS959">
            <v>12</v>
          </cell>
          <cell r="BT959" t="e">
            <v>#VALUE!</v>
          </cell>
          <cell r="BU959" t="str">
            <v/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</row>
        <row r="960">
          <cell r="A960" t="str">
            <v>141Year</v>
          </cell>
          <cell r="B960" t="str">
            <v>Year</v>
          </cell>
          <cell r="C960">
            <v>141</v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1</v>
          </cell>
          <cell r="BO960" t="e">
            <v>#VALUE!</v>
          </cell>
          <cell r="BP960" t="e">
            <v>#VALUE!</v>
          </cell>
          <cell r="BQ960" t="e">
            <v>#VALUE!</v>
          </cell>
          <cell r="BR960" t="e">
            <v>#VALUE!</v>
          </cell>
          <cell r="BS960">
            <v>12</v>
          </cell>
          <cell r="BT960" t="e">
            <v>#VALUE!</v>
          </cell>
          <cell r="BU960" t="str">
            <v/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</row>
        <row r="961">
          <cell r="A961" t="str">
            <v>142Year</v>
          </cell>
          <cell r="B961" t="str">
            <v>Year</v>
          </cell>
          <cell r="C961">
            <v>142</v>
          </cell>
          <cell r="D961" t="str">
            <v/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1</v>
          </cell>
          <cell r="BO961" t="e">
            <v>#VALUE!</v>
          </cell>
          <cell r="BP961" t="e">
            <v>#VALUE!</v>
          </cell>
          <cell r="BQ961" t="e">
            <v>#VALUE!</v>
          </cell>
          <cell r="BR961" t="e">
            <v>#VALUE!</v>
          </cell>
          <cell r="BS961">
            <v>12</v>
          </cell>
          <cell r="BT961" t="e">
            <v>#VALUE!</v>
          </cell>
          <cell r="BU961" t="str">
            <v/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</row>
        <row r="962">
          <cell r="A962" t="str">
            <v>143Year</v>
          </cell>
          <cell r="B962" t="str">
            <v>Year</v>
          </cell>
          <cell r="C962">
            <v>143</v>
          </cell>
          <cell r="D962" t="str">
            <v/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1</v>
          </cell>
          <cell r="BO962" t="e">
            <v>#VALUE!</v>
          </cell>
          <cell r="BP962" t="e">
            <v>#VALUE!</v>
          </cell>
          <cell r="BQ962" t="e">
            <v>#VALUE!</v>
          </cell>
          <cell r="BR962" t="e">
            <v>#VALUE!</v>
          </cell>
          <cell r="BS962">
            <v>12</v>
          </cell>
          <cell r="BT962" t="e">
            <v>#VALUE!</v>
          </cell>
          <cell r="BU962" t="str">
            <v/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</row>
        <row r="963">
          <cell r="A963" t="str">
            <v>144Year</v>
          </cell>
          <cell r="B963" t="str">
            <v>Year</v>
          </cell>
          <cell r="C963">
            <v>144</v>
          </cell>
          <cell r="D963" t="str">
            <v/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1</v>
          </cell>
          <cell r="BO963" t="e">
            <v>#VALUE!</v>
          </cell>
          <cell r="BP963" t="e">
            <v>#VALUE!</v>
          </cell>
          <cell r="BQ963" t="e">
            <v>#VALUE!</v>
          </cell>
          <cell r="BR963" t="e">
            <v>#VALUE!</v>
          </cell>
          <cell r="BS963">
            <v>12</v>
          </cell>
          <cell r="BT963" t="e">
            <v>#VALUE!</v>
          </cell>
          <cell r="BU963" t="str">
            <v/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</row>
        <row r="964">
          <cell r="A964" t="str">
            <v>145Year</v>
          </cell>
          <cell r="B964" t="str">
            <v>Year</v>
          </cell>
          <cell r="C964">
            <v>145</v>
          </cell>
          <cell r="D964" t="str">
            <v/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1</v>
          </cell>
          <cell r="BO964" t="e">
            <v>#VALUE!</v>
          </cell>
          <cell r="BP964" t="e">
            <v>#VALUE!</v>
          </cell>
          <cell r="BQ964" t="e">
            <v>#VALUE!</v>
          </cell>
          <cell r="BR964" t="e">
            <v>#VALUE!</v>
          </cell>
          <cell r="BS964">
            <v>12</v>
          </cell>
          <cell r="BT964" t="e">
            <v>#VALUE!</v>
          </cell>
          <cell r="BU964" t="str">
            <v/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</row>
        <row r="965">
          <cell r="A965" t="str">
            <v>146Year</v>
          </cell>
          <cell r="B965" t="str">
            <v>Year</v>
          </cell>
          <cell r="C965">
            <v>146</v>
          </cell>
          <cell r="D965" t="str">
            <v/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1</v>
          </cell>
          <cell r="BO965" t="e">
            <v>#VALUE!</v>
          </cell>
          <cell r="BP965" t="e">
            <v>#VALUE!</v>
          </cell>
          <cell r="BQ965" t="e">
            <v>#VALUE!</v>
          </cell>
          <cell r="BR965" t="e">
            <v>#VALUE!</v>
          </cell>
          <cell r="BS965">
            <v>12</v>
          </cell>
          <cell r="BT965" t="e">
            <v>#VALUE!</v>
          </cell>
          <cell r="BU965" t="str">
            <v/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</row>
        <row r="966">
          <cell r="A966" t="str">
            <v>147Year</v>
          </cell>
          <cell r="B966" t="str">
            <v>Year</v>
          </cell>
          <cell r="C966">
            <v>147</v>
          </cell>
          <cell r="D966" t="str">
            <v/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1</v>
          </cell>
          <cell r="BO966" t="e">
            <v>#VALUE!</v>
          </cell>
          <cell r="BP966" t="e">
            <v>#VALUE!</v>
          </cell>
          <cell r="BQ966" t="e">
            <v>#VALUE!</v>
          </cell>
          <cell r="BR966" t="e">
            <v>#VALUE!</v>
          </cell>
          <cell r="BS966">
            <v>12</v>
          </cell>
          <cell r="BT966" t="e">
            <v>#VALUE!</v>
          </cell>
          <cell r="BU966" t="str">
            <v/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</row>
        <row r="967">
          <cell r="A967" t="str">
            <v>148Year</v>
          </cell>
          <cell r="B967" t="str">
            <v>Year</v>
          </cell>
          <cell r="C967">
            <v>148</v>
          </cell>
          <cell r="D967" t="str">
            <v/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1</v>
          </cell>
          <cell r="BO967" t="e">
            <v>#VALUE!</v>
          </cell>
          <cell r="BP967" t="e">
            <v>#VALUE!</v>
          </cell>
          <cell r="BQ967" t="e">
            <v>#VALUE!</v>
          </cell>
          <cell r="BR967" t="e">
            <v>#VALUE!</v>
          </cell>
          <cell r="BS967">
            <v>12</v>
          </cell>
          <cell r="BT967" t="e">
            <v>#VALUE!</v>
          </cell>
          <cell r="BU967" t="str">
            <v/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</row>
        <row r="968">
          <cell r="A968" t="str">
            <v>149Year</v>
          </cell>
          <cell r="B968" t="str">
            <v>Year</v>
          </cell>
          <cell r="C968">
            <v>149</v>
          </cell>
          <cell r="D968" t="str">
            <v/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1</v>
          </cell>
          <cell r="BO968" t="e">
            <v>#VALUE!</v>
          </cell>
          <cell r="BP968" t="e">
            <v>#VALUE!</v>
          </cell>
          <cell r="BQ968" t="e">
            <v>#VALUE!</v>
          </cell>
          <cell r="BR968" t="e">
            <v>#VALUE!</v>
          </cell>
          <cell r="BS968">
            <v>12</v>
          </cell>
          <cell r="BT968" t="e">
            <v>#VALUE!</v>
          </cell>
          <cell r="BU968" t="str">
            <v/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</row>
        <row r="969">
          <cell r="A969" t="str">
            <v>150Year</v>
          </cell>
          <cell r="B969" t="str">
            <v>Year</v>
          </cell>
          <cell r="C969">
            <v>150</v>
          </cell>
          <cell r="D969" t="str">
            <v/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1</v>
          </cell>
          <cell r="BO969" t="e">
            <v>#VALUE!</v>
          </cell>
          <cell r="BP969" t="e">
            <v>#VALUE!</v>
          </cell>
          <cell r="BQ969" t="e">
            <v>#VALUE!</v>
          </cell>
          <cell r="BR969" t="e">
            <v>#VALUE!</v>
          </cell>
          <cell r="BS969">
            <v>12</v>
          </cell>
          <cell r="BT969" t="e">
            <v>#VALUE!</v>
          </cell>
          <cell r="BU969" t="str">
            <v/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</row>
        <row r="970">
          <cell r="A970" t="str">
            <v>151Year</v>
          </cell>
          <cell r="B970" t="str">
            <v>Year</v>
          </cell>
          <cell r="C970">
            <v>151</v>
          </cell>
          <cell r="D970" t="str">
            <v/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1</v>
          </cell>
          <cell r="BO970" t="e">
            <v>#VALUE!</v>
          </cell>
          <cell r="BP970" t="e">
            <v>#VALUE!</v>
          </cell>
          <cell r="BQ970" t="e">
            <v>#VALUE!</v>
          </cell>
          <cell r="BR970" t="e">
            <v>#VALUE!</v>
          </cell>
          <cell r="BS970">
            <v>12</v>
          </cell>
          <cell r="BT970" t="e">
            <v>#VALUE!</v>
          </cell>
          <cell r="BU970" t="str">
            <v/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</row>
        <row r="971">
          <cell r="A971" t="str">
            <v>152Year</v>
          </cell>
          <cell r="B971" t="str">
            <v>Year</v>
          </cell>
          <cell r="C971">
            <v>152</v>
          </cell>
          <cell r="D971" t="str">
            <v/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1</v>
          </cell>
          <cell r="BO971" t="e">
            <v>#VALUE!</v>
          </cell>
          <cell r="BP971" t="e">
            <v>#VALUE!</v>
          </cell>
          <cell r="BQ971" t="e">
            <v>#VALUE!</v>
          </cell>
          <cell r="BR971" t="e">
            <v>#VALUE!</v>
          </cell>
          <cell r="BS971">
            <v>12</v>
          </cell>
          <cell r="BT971" t="e">
            <v>#VALUE!</v>
          </cell>
          <cell r="BU971" t="str">
            <v/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</row>
        <row r="972">
          <cell r="A972" t="str">
            <v>153Year</v>
          </cell>
          <cell r="B972" t="str">
            <v>Year</v>
          </cell>
          <cell r="C972">
            <v>153</v>
          </cell>
          <cell r="D972" t="str">
            <v/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1</v>
          </cell>
          <cell r="BO972" t="e">
            <v>#VALUE!</v>
          </cell>
          <cell r="BP972" t="e">
            <v>#VALUE!</v>
          </cell>
          <cell r="BQ972" t="e">
            <v>#VALUE!</v>
          </cell>
          <cell r="BR972" t="e">
            <v>#VALUE!</v>
          </cell>
          <cell r="BS972">
            <v>12</v>
          </cell>
          <cell r="BT972" t="e">
            <v>#VALUE!</v>
          </cell>
          <cell r="BU972" t="str">
            <v/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</row>
        <row r="973">
          <cell r="A973" t="str">
            <v>154Year</v>
          </cell>
          <cell r="B973" t="str">
            <v>Year</v>
          </cell>
          <cell r="C973">
            <v>154</v>
          </cell>
          <cell r="D973" t="str">
            <v/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1</v>
          </cell>
          <cell r="BO973" t="e">
            <v>#VALUE!</v>
          </cell>
          <cell r="BP973" t="e">
            <v>#VALUE!</v>
          </cell>
          <cell r="BQ973" t="e">
            <v>#VALUE!</v>
          </cell>
          <cell r="BR973" t="e">
            <v>#VALUE!</v>
          </cell>
          <cell r="BS973">
            <v>12</v>
          </cell>
          <cell r="BT973" t="e">
            <v>#VALUE!</v>
          </cell>
          <cell r="BU973" t="str">
            <v/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</row>
        <row r="974">
          <cell r="A974" t="str">
            <v>155Year</v>
          </cell>
          <cell r="B974" t="str">
            <v>Year</v>
          </cell>
          <cell r="C974">
            <v>155</v>
          </cell>
          <cell r="D974" t="str">
            <v/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1</v>
          </cell>
          <cell r="BO974" t="e">
            <v>#VALUE!</v>
          </cell>
          <cell r="BP974" t="e">
            <v>#VALUE!</v>
          </cell>
          <cell r="BQ974" t="e">
            <v>#VALUE!</v>
          </cell>
          <cell r="BR974" t="e">
            <v>#VALUE!</v>
          </cell>
          <cell r="BS974">
            <v>12</v>
          </cell>
          <cell r="BT974" t="e">
            <v>#VALUE!</v>
          </cell>
          <cell r="BU974" t="str">
            <v/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</row>
        <row r="975">
          <cell r="A975" t="str">
            <v>156Year</v>
          </cell>
          <cell r="B975" t="str">
            <v>Year</v>
          </cell>
          <cell r="C975">
            <v>156</v>
          </cell>
          <cell r="D975" t="str">
            <v/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1</v>
          </cell>
          <cell r="BO975" t="e">
            <v>#VALUE!</v>
          </cell>
          <cell r="BP975" t="e">
            <v>#VALUE!</v>
          </cell>
          <cell r="BQ975" t="e">
            <v>#VALUE!</v>
          </cell>
          <cell r="BR975" t="e">
            <v>#VALUE!</v>
          </cell>
          <cell r="BS975">
            <v>12</v>
          </cell>
          <cell r="BT975" t="e">
            <v>#VALUE!</v>
          </cell>
          <cell r="BU975" t="str">
            <v/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</row>
        <row r="976">
          <cell r="A976" t="str">
            <v>157Year</v>
          </cell>
          <cell r="B976" t="str">
            <v>Year</v>
          </cell>
          <cell r="C976">
            <v>157</v>
          </cell>
          <cell r="D976" t="str">
            <v/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1</v>
          </cell>
          <cell r="BO976" t="e">
            <v>#VALUE!</v>
          </cell>
          <cell r="BP976" t="e">
            <v>#VALUE!</v>
          </cell>
          <cell r="BQ976" t="e">
            <v>#VALUE!</v>
          </cell>
          <cell r="BR976" t="e">
            <v>#VALUE!</v>
          </cell>
          <cell r="BS976">
            <v>12</v>
          </cell>
          <cell r="BT976" t="e">
            <v>#VALUE!</v>
          </cell>
          <cell r="BU976" t="str">
            <v/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</row>
        <row r="977">
          <cell r="A977" t="str">
            <v>158Year</v>
          </cell>
          <cell r="B977" t="str">
            <v>Year</v>
          </cell>
          <cell r="C977">
            <v>158</v>
          </cell>
          <cell r="D977" t="str">
            <v/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1</v>
          </cell>
          <cell r="BO977" t="e">
            <v>#VALUE!</v>
          </cell>
          <cell r="BP977" t="e">
            <v>#VALUE!</v>
          </cell>
          <cell r="BQ977" t="e">
            <v>#VALUE!</v>
          </cell>
          <cell r="BR977" t="e">
            <v>#VALUE!</v>
          </cell>
          <cell r="BS977">
            <v>12</v>
          </cell>
          <cell r="BT977" t="e">
            <v>#VALUE!</v>
          </cell>
          <cell r="BU977" t="str">
            <v/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</row>
        <row r="978">
          <cell r="A978" t="str">
            <v>159Year</v>
          </cell>
          <cell r="B978" t="str">
            <v>Year</v>
          </cell>
          <cell r="C978">
            <v>159</v>
          </cell>
          <cell r="D978" t="str">
            <v/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1</v>
          </cell>
          <cell r="BO978" t="e">
            <v>#VALUE!</v>
          </cell>
          <cell r="BP978" t="e">
            <v>#VALUE!</v>
          </cell>
          <cell r="BQ978" t="e">
            <v>#VALUE!</v>
          </cell>
          <cell r="BR978" t="e">
            <v>#VALUE!</v>
          </cell>
          <cell r="BS978">
            <v>12</v>
          </cell>
          <cell r="BT978" t="e">
            <v>#VALUE!</v>
          </cell>
          <cell r="BU978" t="str">
            <v/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</row>
        <row r="979">
          <cell r="A979" t="str">
            <v>160Year</v>
          </cell>
          <cell r="B979" t="str">
            <v>Year</v>
          </cell>
          <cell r="C979">
            <v>160</v>
          </cell>
          <cell r="D979" t="str">
            <v/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1</v>
          </cell>
          <cell r="BO979" t="e">
            <v>#VALUE!</v>
          </cell>
          <cell r="BP979" t="e">
            <v>#VALUE!</v>
          </cell>
          <cell r="BQ979" t="e">
            <v>#VALUE!</v>
          </cell>
          <cell r="BR979" t="e">
            <v>#VALUE!</v>
          </cell>
          <cell r="BS979">
            <v>12</v>
          </cell>
          <cell r="BT979" t="e">
            <v>#VALUE!</v>
          </cell>
          <cell r="BU979" t="str">
            <v/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</row>
        <row r="980">
          <cell r="A980" t="str">
            <v>161Year</v>
          </cell>
          <cell r="B980" t="str">
            <v>Year</v>
          </cell>
          <cell r="C980">
            <v>161</v>
          </cell>
          <cell r="D980" t="str">
            <v/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1</v>
          </cell>
          <cell r="BO980" t="e">
            <v>#VALUE!</v>
          </cell>
          <cell r="BP980" t="e">
            <v>#VALUE!</v>
          </cell>
          <cell r="BQ980" t="e">
            <v>#VALUE!</v>
          </cell>
          <cell r="BR980" t="e">
            <v>#VALUE!</v>
          </cell>
          <cell r="BS980">
            <v>12</v>
          </cell>
          <cell r="BT980" t="e">
            <v>#VALUE!</v>
          </cell>
          <cell r="BU980" t="str">
            <v/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</row>
        <row r="981">
          <cell r="A981" t="str">
            <v>162Year</v>
          </cell>
          <cell r="B981" t="str">
            <v>Year</v>
          </cell>
          <cell r="C981">
            <v>162</v>
          </cell>
          <cell r="D981" t="str">
            <v/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1</v>
          </cell>
          <cell r="BO981" t="e">
            <v>#VALUE!</v>
          </cell>
          <cell r="BP981" t="e">
            <v>#VALUE!</v>
          </cell>
          <cell r="BQ981" t="e">
            <v>#VALUE!</v>
          </cell>
          <cell r="BR981" t="e">
            <v>#VALUE!</v>
          </cell>
          <cell r="BS981">
            <v>12</v>
          </cell>
          <cell r="BT981" t="e">
            <v>#VALUE!</v>
          </cell>
          <cell r="BU981" t="str">
            <v/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</row>
        <row r="982">
          <cell r="A982" t="str">
            <v>163Year</v>
          </cell>
          <cell r="B982" t="str">
            <v>Year</v>
          </cell>
          <cell r="C982">
            <v>163</v>
          </cell>
          <cell r="D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1</v>
          </cell>
          <cell r="BO982" t="e">
            <v>#VALUE!</v>
          </cell>
          <cell r="BP982" t="e">
            <v>#VALUE!</v>
          </cell>
          <cell r="BQ982" t="e">
            <v>#VALUE!</v>
          </cell>
          <cell r="BR982" t="e">
            <v>#VALUE!</v>
          </cell>
          <cell r="BS982">
            <v>12</v>
          </cell>
          <cell r="BT982" t="e">
            <v>#VALUE!</v>
          </cell>
          <cell r="BU982" t="str">
            <v/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</row>
        <row r="983">
          <cell r="A983" t="str">
            <v>164Year</v>
          </cell>
          <cell r="B983" t="str">
            <v>Year</v>
          </cell>
          <cell r="C983">
            <v>164</v>
          </cell>
          <cell r="D983" t="str">
            <v/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1</v>
          </cell>
          <cell r="BO983" t="e">
            <v>#VALUE!</v>
          </cell>
          <cell r="BP983" t="e">
            <v>#VALUE!</v>
          </cell>
          <cell r="BQ983" t="e">
            <v>#VALUE!</v>
          </cell>
          <cell r="BR983" t="e">
            <v>#VALUE!</v>
          </cell>
          <cell r="BS983">
            <v>12</v>
          </cell>
          <cell r="BT983" t="e">
            <v>#VALUE!</v>
          </cell>
          <cell r="BU983" t="str">
            <v/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</row>
        <row r="984">
          <cell r="A984" t="str">
            <v>165Year</v>
          </cell>
          <cell r="B984" t="str">
            <v>Year</v>
          </cell>
          <cell r="C984">
            <v>165</v>
          </cell>
          <cell r="D984" t="str">
            <v/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1</v>
          </cell>
          <cell r="BO984" t="e">
            <v>#VALUE!</v>
          </cell>
          <cell r="BP984" t="e">
            <v>#VALUE!</v>
          </cell>
          <cell r="BQ984" t="e">
            <v>#VALUE!</v>
          </cell>
          <cell r="BR984" t="e">
            <v>#VALUE!</v>
          </cell>
          <cell r="BS984">
            <v>12</v>
          </cell>
          <cell r="BT984" t="e">
            <v>#VALUE!</v>
          </cell>
          <cell r="BU984" t="str">
            <v/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</row>
        <row r="985">
          <cell r="A985" t="str">
            <v>166Year</v>
          </cell>
          <cell r="B985" t="str">
            <v>Year</v>
          </cell>
          <cell r="C985">
            <v>166</v>
          </cell>
          <cell r="D985" t="str">
            <v/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1</v>
          </cell>
          <cell r="BO985" t="e">
            <v>#VALUE!</v>
          </cell>
          <cell r="BP985" t="e">
            <v>#VALUE!</v>
          </cell>
          <cell r="BQ985" t="e">
            <v>#VALUE!</v>
          </cell>
          <cell r="BR985" t="e">
            <v>#VALUE!</v>
          </cell>
          <cell r="BS985">
            <v>12</v>
          </cell>
          <cell r="BT985" t="e">
            <v>#VALUE!</v>
          </cell>
          <cell r="BU985" t="str">
            <v/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</row>
        <row r="986">
          <cell r="A986" t="str">
            <v>167Year</v>
          </cell>
          <cell r="B986" t="str">
            <v>Year</v>
          </cell>
          <cell r="C986">
            <v>167</v>
          </cell>
          <cell r="D986" t="str">
            <v/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1</v>
          </cell>
          <cell r="BO986" t="e">
            <v>#VALUE!</v>
          </cell>
          <cell r="BP986" t="e">
            <v>#VALUE!</v>
          </cell>
          <cell r="BQ986" t="e">
            <v>#VALUE!</v>
          </cell>
          <cell r="BR986" t="e">
            <v>#VALUE!</v>
          </cell>
          <cell r="BS986">
            <v>12</v>
          </cell>
          <cell r="BT986" t="e">
            <v>#VALUE!</v>
          </cell>
          <cell r="BU986" t="str">
            <v/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</row>
        <row r="987">
          <cell r="A987" t="str">
            <v>168Year</v>
          </cell>
          <cell r="B987" t="str">
            <v>Year</v>
          </cell>
          <cell r="C987">
            <v>168</v>
          </cell>
          <cell r="D987" t="str">
            <v/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1</v>
          </cell>
          <cell r="BO987" t="e">
            <v>#VALUE!</v>
          </cell>
          <cell r="BP987" t="e">
            <v>#VALUE!</v>
          </cell>
          <cell r="BQ987" t="e">
            <v>#VALUE!</v>
          </cell>
          <cell r="BR987" t="e">
            <v>#VALUE!</v>
          </cell>
          <cell r="BS987">
            <v>12</v>
          </cell>
          <cell r="BT987" t="e">
            <v>#VALUE!</v>
          </cell>
          <cell r="BU987" t="str">
            <v/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</row>
        <row r="988">
          <cell r="A988" t="str">
            <v>169Year</v>
          </cell>
          <cell r="B988" t="str">
            <v>Year</v>
          </cell>
          <cell r="C988">
            <v>169</v>
          </cell>
          <cell r="D988" t="str">
            <v/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1</v>
          </cell>
          <cell r="BO988" t="e">
            <v>#VALUE!</v>
          </cell>
          <cell r="BP988" t="e">
            <v>#VALUE!</v>
          </cell>
          <cell r="BQ988" t="e">
            <v>#VALUE!</v>
          </cell>
          <cell r="BR988" t="e">
            <v>#VALUE!</v>
          </cell>
          <cell r="BS988">
            <v>12</v>
          </cell>
          <cell r="BT988" t="e">
            <v>#VALUE!</v>
          </cell>
          <cell r="BU988" t="str">
            <v/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</row>
        <row r="989">
          <cell r="A989" t="str">
            <v>170Year</v>
          </cell>
          <cell r="B989" t="str">
            <v>Year</v>
          </cell>
          <cell r="C989">
            <v>170</v>
          </cell>
          <cell r="D989" t="str">
            <v/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1</v>
          </cell>
          <cell r="BO989" t="e">
            <v>#VALUE!</v>
          </cell>
          <cell r="BP989" t="e">
            <v>#VALUE!</v>
          </cell>
          <cell r="BQ989" t="e">
            <v>#VALUE!</v>
          </cell>
          <cell r="BR989" t="e">
            <v>#VALUE!</v>
          </cell>
          <cell r="BS989">
            <v>12</v>
          </cell>
          <cell r="BT989" t="e">
            <v>#VALUE!</v>
          </cell>
          <cell r="BU989" t="str">
            <v/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</row>
        <row r="990">
          <cell r="A990" t="str">
            <v>171Year</v>
          </cell>
          <cell r="B990" t="str">
            <v>Year</v>
          </cell>
          <cell r="C990">
            <v>171</v>
          </cell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1</v>
          </cell>
          <cell r="BO990" t="e">
            <v>#VALUE!</v>
          </cell>
          <cell r="BP990" t="e">
            <v>#VALUE!</v>
          </cell>
          <cell r="BQ990" t="e">
            <v>#VALUE!</v>
          </cell>
          <cell r="BR990" t="e">
            <v>#VALUE!</v>
          </cell>
          <cell r="BS990">
            <v>12</v>
          </cell>
          <cell r="BT990" t="e">
            <v>#VALUE!</v>
          </cell>
          <cell r="BU990" t="str">
            <v/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</row>
        <row r="991">
          <cell r="A991" t="str">
            <v>172Year</v>
          </cell>
          <cell r="B991" t="str">
            <v>Year</v>
          </cell>
          <cell r="C991">
            <v>172</v>
          </cell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1</v>
          </cell>
          <cell r="BO991" t="e">
            <v>#VALUE!</v>
          </cell>
          <cell r="BP991" t="e">
            <v>#VALUE!</v>
          </cell>
          <cell r="BQ991" t="e">
            <v>#VALUE!</v>
          </cell>
          <cell r="BR991" t="e">
            <v>#VALUE!</v>
          </cell>
          <cell r="BS991">
            <v>12</v>
          </cell>
          <cell r="BT991" t="e">
            <v>#VALUE!</v>
          </cell>
          <cell r="BU991" t="str">
            <v/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</row>
        <row r="992">
          <cell r="A992" t="str">
            <v>173Year</v>
          </cell>
          <cell r="B992" t="str">
            <v>Year</v>
          </cell>
          <cell r="C992">
            <v>173</v>
          </cell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1</v>
          </cell>
          <cell r="BO992" t="e">
            <v>#VALUE!</v>
          </cell>
          <cell r="BP992" t="e">
            <v>#VALUE!</v>
          </cell>
          <cell r="BQ992" t="e">
            <v>#VALUE!</v>
          </cell>
          <cell r="BR992" t="e">
            <v>#VALUE!</v>
          </cell>
          <cell r="BS992">
            <v>12</v>
          </cell>
          <cell r="BT992" t="e">
            <v>#VALUE!</v>
          </cell>
          <cell r="BU992" t="str">
            <v/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</row>
        <row r="993">
          <cell r="A993" t="str">
            <v>174Year</v>
          </cell>
          <cell r="B993" t="str">
            <v>Year</v>
          </cell>
          <cell r="C993">
            <v>174</v>
          </cell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1</v>
          </cell>
          <cell r="BO993" t="e">
            <v>#VALUE!</v>
          </cell>
          <cell r="BP993" t="e">
            <v>#VALUE!</v>
          </cell>
          <cell r="BQ993" t="e">
            <v>#VALUE!</v>
          </cell>
          <cell r="BR993" t="e">
            <v>#VALUE!</v>
          </cell>
          <cell r="BS993">
            <v>12</v>
          </cell>
          <cell r="BT993" t="e">
            <v>#VALUE!</v>
          </cell>
          <cell r="BU993" t="str">
            <v/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</row>
        <row r="994">
          <cell r="A994" t="str">
            <v>175Year</v>
          </cell>
          <cell r="B994" t="str">
            <v>Year</v>
          </cell>
          <cell r="C994">
            <v>175</v>
          </cell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1</v>
          </cell>
          <cell r="BO994" t="e">
            <v>#VALUE!</v>
          </cell>
          <cell r="BP994" t="e">
            <v>#VALUE!</v>
          </cell>
          <cell r="BQ994" t="e">
            <v>#VALUE!</v>
          </cell>
          <cell r="BR994" t="e">
            <v>#VALUE!</v>
          </cell>
          <cell r="BS994">
            <v>12</v>
          </cell>
          <cell r="BT994" t="e">
            <v>#VALUE!</v>
          </cell>
          <cell r="BU994" t="str">
            <v/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</row>
        <row r="995">
          <cell r="A995" t="str">
            <v>176Year</v>
          </cell>
          <cell r="B995" t="str">
            <v>Year</v>
          </cell>
          <cell r="C995">
            <v>176</v>
          </cell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1</v>
          </cell>
          <cell r="BO995" t="e">
            <v>#VALUE!</v>
          </cell>
          <cell r="BP995" t="e">
            <v>#VALUE!</v>
          </cell>
          <cell r="BQ995" t="e">
            <v>#VALUE!</v>
          </cell>
          <cell r="BR995" t="e">
            <v>#VALUE!</v>
          </cell>
          <cell r="BS995">
            <v>12</v>
          </cell>
          <cell r="BT995" t="e">
            <v>#VALUE!</v>
          </cell>
          <cell r="BU995" t="str">
            <v/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</row>
        <row r="996">
          <cell r="A996" t="str">
            <v>177Year</v>
          </cell>
          <cell r="B996" t="str">
            <v>Year</v>
          </cell>
          <cell r="C996">
            <v>177</v>
          </cell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1</v>
          </cell>
          <cell r="BO996" t="e">
            <v>#VALUE!</v>
          </cell>
          <cell r="BP996" t="e">
            <v>#VALUE!</v>
          </cell>
          <cell r="BQ996" t="e">
            <v>#VALUE!</v>
          </cell>
          <cell r="BR996" t="e">
            <v>#VALUE!</v>
          </cell>
          <cell r="BS996">
            <v>12</v>
          </cell>
          <cell r="BT996" t="e">
            <v>#VALUE!</v>
          </cell>
          <cell r="BU996" t="str">
            <v/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</row>
        <row r="997">
          <cell r="A997" t="str">
            <v>178Year</v>
          </cell>
          <cell r="B997" t="str">
            <v>Year</v>
          </cell>
          <cell r="C997">
            <v>178</v>
          </cell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1</v>
          </cell>
          <cell r="BO997" t="e">
            <v>#VALUE!</v>
          </cell>
          <cell r="BP997" t="e">
            <v>#VALUE!</v>
          </cell>
          <cell r="BQ997" t="e">
            <v>#VALUE!</v>
          </cell>
          <cell r="BR997" t="e">
            <v>#VALUE!</v>
          </cell>
          <cell r="BS997">
            <v>12</v>
          </cell>
          <cell r="BT997" t="e">
            <v>#VALUE!</v>
          </cell>
          <cell r="BU997" t="str">
            <v/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</row>
        <row r="998">
          <cell r="A998" t="str">
            <v>179Year</v>
          </cell>
          <cell r="B998" t="str">
            <v>Year</v>
          </cell>
          <cell r="C998">
            <v>179</v>
          </cell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1</v>
          </cell>
          <cell r="BO998" t="e">
            <v>#VALUE!</v>
          </cell>
          <cell r="BP998" t="e">
            <v>#VALUE!</v>
          </cell>
          <cell r="BQ998" t="e">
            <v>#VALUE!</v>
          </cell>
          <cell r="BR998" t="e">
            <v>#VALUE!</v>
          </cell>
          <cell r="BS998">
            <v>12</v>
          </cell>
          <cell r="BT998" t="e">
            <v>#VALUE!</v>
          </cell>
          <cell r="BU998" t="str">
            <v/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</row>
        <row r="999">
          <cell r="A999" t="str">
            <v>180Year</v>
          </cell>
          <cell r="B999" t="str">
            <v>Year</v>
          </cell>
          <cell r="C999">
            <v>180</v>
          </cell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1</v>
          </cell>
          <cell r="BO999" t="e">
            <v>#VALUE!</v>
          </cell>
          <cell r="BP999" t="e">
            <v>#VALUE!</v>
          </cell>
          <cell r="BQ999" t="e">
            <v>#VALUE!</v>
          </cell>
          <cell r="BR999" t="e">
            <v>#VALUE!</v>
          </cell>
          <cell r="BS999">
            <v>12</v>
          </cell>
          <cell r="BT999" t="e">
            <v>#VALUE!</v>
          </cell>
          <cell r="BU999" t="str">
            <v/>
          </cell>
          <cell r="CG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</row>
        <row r="1000">
          <cell r="A1000" t="str">
            <v>181Year</v>
          </cell>
          <cell r="B1000" t="str">
            <v>Year</v>
          </cell>
          <cell r="C1000">
            <v>181</v>
          </cell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1</v>
          </cell>
          <cell r="BO1000" t="e">
            <v>#VALUE!</v>
          </cell>
          <cell r="BP1000" t="e">
            <v>#VALUE!</v>
          </cell>
          <cell r="BQ1000" t="e">
            <v>#VALUE!</v>
          </cell>
          <cell r="BR1000" t="e">
            <v>#VALUE!</v>
          </cell>
          <cell r="BS1000">
            <v>12</v>
          </cell>
          <cell r="BT1000" t="e">
            <v>#VALUE!</v>
          </cell>
          <cell r="BU1000" t="str">
            <v/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</row>
        <row r="1001">
          <cell r="A1001" t="str">
            <v>182Year</v>
          </cell>
          <cell r="B1001" t="str">
            <v>Year</v>
          </cell>
          <cell r="C1001">
            <v>182</v>
          </cell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1</v>
          </cell>
          <cell r="BO1001" t="e">
            <v>#VALUE!</v>
          </cell>
          <cell r="BP1001" t="e">
            <v>#VALUE!</v>
          </cell>
          <cell r="BQ1001" t="e">
            <v>#VALUE!</v>
          </cell>
          <cell r="BR1001" t="e">
            <v>#VALUE!</v>
          </cell>
          <cell r="BS1001">
            <v>12</v>
          </cell>
          <cell r="BT1001" t="e">
            <v>#VALUE!</v>
          </cell>
          <cell r="BU1001" t="str">
            <v/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</row>
        <row r="1002">
          <cell r="A1002" t="str">
            <v>183Year</v>
          </cell>
          <cell r="B1002" t="str">
            <v>Year</v>
          </cell>
          <cell r="C1002">
            <v>183</v>
          </cell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1</v>
          </cell>
          <cell r="BO1002" t="e">
            <v>#VALUE!</v>
          </cell>
          <cell r="BP1002" t="e">
            <v>#VALUE!</v>
          </cell>
          <cell r="BQ1002" t="e">
            <v>#VALUE!</v>
          </cell>
          <cell r="BR1002" t="e">
            <v>#VALUE!</v>
          </cell>
          <cell r="BS1002">
            <v>12</v>
          </cell>
          <cell r="BT1002" t="e">
            <v>#VALUE!</v>
          </cell>
          <cell r="BU1002" t="str">
            <v/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</row>
        <row r="1003">
          <cell r="A1003" t="str">
            <v>184Year</v>
          </cell>
          <cell r="B1003" t="str">
            <v>Year</v>
          </cell>
          <cell r="C1003">
            <v>184</v>
          </cell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1</v>
          </cell>
          <cell r="BO1003" t="e">
            <v>#VALUE!</v>
          </cell>
          <cell r="BP1003" t="e">
            <v>#VALUE!</v>
          </cell>
          <cell r="BQ1003" t="e">
            <v>#VALUE!</v>
          </cell>
          <cell r="BR1003" t="e">
            <v>#VALUE!</v>
          </cell>
          <cell r="BS1003">
            <v>12</v>
          </cell>
          <cell r="BT1003" t="e">
            <v>#VALUE!</v>
          </cell>
          <cell r="BU1003" t="str">
            <v/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</row>
        <row r="1004">
          <cell r="A1004" t="str">
            <v>185Year</v>
          </cell>
          <cell r="B1004" t="str">
            <v>Year</v>
          </cell>
          <cell r="C1004">
            <v>185</v>
          </cell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1</v>
          </cell>
          <cell r="BO1004" t="e">
            <v>#VALUE!</v>
          </cell>
          <cell r="BP1004" t="e">
            <v>#VALUE!</v>
          </cell>
          <cell r="BQ1004" t="e">
            <v>#VALUE!</v>
          </cell>
          <cell r="BR1004" t="e">
            <v>#VALUE!</v>
          </cell>
          <cell r="BS1004">
            <v>12</v>
          </cell>
          <cell r="BT1004" t="e">
            <v>#VALUE!</v>
          </cell>
          <cell r="BU1004" t="str">
            <v/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</row>
        <row r="1005">
          <cell r="A1005" t="str">
            <v>186Year</v>
          </cell>
          <cell r="B1005" t="str">
            <v>Year</v>
          </cell>
          <cell r="C1005">
            <v>186</v>
          </cell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1</v>
          </cell>
          <cell r="BO1005" t="e">
            <v>#VALUE!</v>
          </cell>
          <cell r="BP1005" t="e">
            <v>#VALUE!</v>
          </cell>
          <cell r="BQ1005" t="e">
            <v>#VALUE!</v>
          </cell>
          <cell r="BR1005" t="e">
            <v>#VALUE!</v>
          </cell>
          <cell r="BS1005">
            <v>12</v>
          </cell>
          <cell r="BT1005" t="e">
            <v>#VALUE!</v>
          </cell>
          <cell r="BU1005" t="str">
            <v/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</row>
        <row r="1006">
          <cell r="A1006" t="str">
            <v>187Year</v>
          </cell>
          <cell r="B1006" t="str">
            <v>Year</v>
          </cell>
          <cell r="C1006">
            <v>187</v>
          </cell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1</v>
          </cell>
          <cell r="BO1006" t="e">
            <v>#VALUE!</v>
          </cell>
          <cell r="BP1006" t="e">
            <v>#VALUE!</v>
          </cell>
          <cell r="BQ1006" t="e">
            <v>#VALUE!</v>
          </cell>
          <cell r="BR1006" t="e">
            <v>#VALUE!</v>
          </cell>
          <cell r="BS1006">
            <v>12</v>
          </cell>
          <cell r="BT1006" t="e">
            <v>#VALUE!</v>
          </cell>
          <cell r="BU1006" t="str">
            <v/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</row>
        <row r="1007">
          <cell r="A1007" t="str">
            <v>188Year</v>
          </cell>
          <cell r="B1007" t="str">
            <v>Year</v>
          </cell>
          <cell r="C1007">
            <v>188</v>
          </cell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1</v>
          </cell>
          <cell r="BO1007" t="e">
            <v>#VALUE!</v>
          </cell>
          <cell r="BP1007" t="e">
            <v>#VALUE!</v>
          </cell>
          <cell r="BQ1007" t="e">
            <v>#VALUE!</v>
          </cell>
          <cell r="BR1007" t="e">
            <v>#VALUE!</v>
          </cell>
          <cell r="BS1007">
            <v>12</v>
          </cell>
          <cell r="BT1007" t="e">
            <v>#VALUE!</v>
          </cell>
          <cell r="BU1007" t="str">
            <v/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</row>
        <row r="1008">
          <cell r="A1008" t="str">
            <v>189Year</v>
          </cell>
          <cell r="B1008" t="str">
            <v>Year</v>
          </cell>
          <cell r="C1008">
            <v>189</v>
          </cell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1</v>
          </cell>
          <cell r="BO1008" t="e">
            <v>#VALUE!</v>
          </cell>
          <cell r="BP1008" t="e">
            <v>#VALUE!</v>
          </cell>
          <cell r="BQ1008" t="e">
            <v>#VALUE!</v>
          </cell>
          <cell r="BR1008" t="e">
            <v>#VALUE!</v>
          </cell>
          <cell r="BS1008">
            <v>12</v>
          </cell>
          <cell r="BT1008" t="e">
            <v>#VALUE!</v>
          </cell>
          <cell r="BU1008" t="str">
            <v/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</row>
        <row r="1009">
          <cell r="A1009" t="str">
            <v>190Year</v>
          </cell>
          <cell r="B1009" t="str">
            <v>Year</v>
          </cell>
          <cell r="C1009">
            <v>190</v>
          </cell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1</v>
          </cell>
          <cell r="BO1009" t="e">
            <v>#VALUE!</v>
          </cell>
          <cell r="BP1009" t="e">
            <v>#VALUE!</v>
          </cell>
          <cell r="BQ1009" t="e">
            <v>#VALUE!</v>
          </cell>
          <cell r="BR1009" t="e">
            <v>#VALUE!</v>
          </cell>
          <cell r="BS1009">
            <v>12</v>
          </cell>
          <cell r="BT1009" t="e">
            <v>#VALUE!</v>
          </cell>
          <cell r="BU1009" t="str">
            <v/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</row>
        <row r="1010">
          <cell r="A1010" t="str">
            <v>191Year</v>
          </cell>
          <cell r="B1010" t="str">
            <v>Year</v>
          </cell>
          <cell r="C1010">
            <v>191</v>
          </cell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1</v>
          </cell>
          <cell r="BO1010" t="e">
            <v>#VALUE!</v>
          </cell>
          <cell r="BP1010" t="e">
            <v>#VALUE!</v>
          </cell>
          <cell r="BQ1010" t="e">
            <v>#VALUE!</v>
          </cell>
          <cell r="BR1010" t="e">
            <v>#VALUE!</v>
          </cell>
          <cell r="BS1010">
            <v>12</v>
          </cell>
          <cell r="BT1010" t="e">
            <v>#VALUE!</v>
          </cell>
          <cell r="BU1010" t="str">
            <v/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</row>
        <row r="1011">
          <cell r="A1011" t="str">
            <v>192Year</v>
          </cell>
          <cell r="B1011" t="str">
            <v>Year</v>
          </cell>
          <cell r="C1011">
            <v>192</v>
          </cell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1</v>
          </cell>
          <cell r="BO1011" t="e">
            <v>#VALUE!</v>
          </cell>
          <cell r="BP1011" t="e">
            <v>#VALUE!</v>
          </cell>
          <cell r="BQ1011" t="e">
            <v>#VALUE!</v>
          </cell>
          <cell r="BR1011" t="e">
            <v>#VALUE!</v>
          </cell>
          <cell r="BS1011">
            <v>12</v>
          </cell>
          <cell r="BT1011" t="e">
            <v>#VALUE!</v>
          </cell>
          <cell r="BU1011" t="str">
            <v/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</row>
        <row r="1012">
          <cell r="A1012" t="str">
            <v>193Year</v>
          </cell>
          <cell r="B1012" t="str">
            <v>Year</v>
          </cell>
          <cell r="C1012">
            <v>193</v>
          </cell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1</v>
          </cell>
          <cell r="BO1012" t="e">
            <v>#VALUE!</v>
          </cell>
          <cell r="BP1012" t="e">
            <v>#VALUE!</v>
          </cell>
          <cell r="BQ1012" t="e">
            <v>#VALUE!</v>
          </cell>
          <cell r="BR1012" t="e">
            <v>#VALUE!</v>
          </cell>
          <cell r="BS1012">
            <v>12</v>
          </cell>
          <cell r="BT1012" t="e">
            <v>#VALUE!</v>
          </cell>
          <cell r="BU1012" t="str">
            <v/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</row>
        <row r="1013">
          <cell r="A1013" t="str">
            <v>194Year</v>
          </cell>
          <cell r="B1013" t="str">
            <v>Year</v>
          </cell>
          <cell r="C1013">
            <v>194</v>
          </cell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1</v>
          </cell>
          <cell r="BO1013" t="e">
            <v>#VALUE!</v>
          </cell>
          <cell r="BP1013" t="e">
            <v>#VALUE!</v>
          </cell>
          <cell r="BQ1013" t="e">
            <v>#VALUE!</v>
          </cell>
          <cell r="BR1013" t="e">
            <v>#VALUE!</v>
          </cell>
          <cell r="BS1013">
            <v>12</v>
          </cell>
          <cell r="BT1013" t="e">
            <v>#VALUE!</v>
          </cell>
          <cell r="BU1013" t="str">
            <v/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</row>
        <row r="1014">
          <cell r="A1014" t="str">
            <v>195Year</v>
          </cell>
          <cell r="B1014" t="str">
            <v>Year</v>
          </cell>
          <cell r="C1014">
            <v>195</v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1</v>
          </cell>
          <cell r="BO1014" t="e">
            <v>#VALUE!</v>
          </cell>
          <cell r="BP1014" t="e">
            <v>#VALUE!</v>
          </cell>
          <cell r="BQ1014" t="e">
            <v>#VALUE!</v>
          </cell>
          <cell r="BR1014" t="e">
            <v>#VALUE!</v>
          </cell>
          <cell r="BS1014">
            <v>12</v>
          </cell>
          <cell r="BT1014" t="e">
            <v>#VALUE!</v>
          </cell>
          <cell r="BU1014" t="str">
            <v/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</row>
        <row r="1015">
          <cell r="A1015" t="str">
            <v>196Year</v>
          </cell>
          <cell r="B1015" t="str">
            <v>Year</v>
          </cell>
          <cell r="C1015">
            <v>196</v>
          </cell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1</v>
          </cell>
          <cell r="BO1015" t="e">
            <v>#VALUE!</v>
          </cell>
          <cell r="BP1015" t="e">
            <v>#VALUE!</v>
          </cell>
          <cell r="BQ1015" t="e">
            <v>#VALUE!</v>
          </cell>
          <cell r="BR1015" t="e">
            <v>#VALUE!</v>
          </cell>
          <cell r="BS1015">
            <v>12</v>
          </cell>
          <cell r="BT1015" t="e">
            <v>#VALUE!</v>
          </cell>
          <cell r="BU1015" t="str">
            <v/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</row>
        <row r="1016">
          <cell r="A1016" t="str">
            <v>197Year</v>
          </cell>
          <cell r="B1016" t="str">
            <v>Year</v>
          </cell>
          <cell r="C1016">
            <v>197</v>
          </cell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1</v>
          </cell>
          <cell r="BO1016" t="e">
            <v>#VALUE!</v>
          </cell>
          <cell r="BP1016" t="e">
            <v>#VALUE!</v>
          </cell>
          <cell r="BQ1016" t="e">
            <v>#VALUE!</v>
          </cell>
          <cell r="BR1016" t="e">
            <v>#VALUE!</v>
          </cell>
          <cell r="BS1016">
            <v>12</v>
          </cell>
          <cell r="BT1016" t="e">
            <v>#VALUE!</v>
          </cell>
          <cell r="BU1016" t="str">
            <v/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</row>
        <row r="1017">
          <cell r="A1017" t="str">
            <v>198Year</v>
          </cell>
          <cell r="B1017" t="str">
            <v>Year</v>
          </cell>
          <cell r="C1017">
            <v>198</v>
          </cell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1</v>
          </cell>
          <cell r="BO1017" t="e">
            <v>#VALUE!</v>
          </cell>
          <cell r="BP1017" t="e">
            <v>#VALUE!</v>
          </cell>
          <cell r="BQ1017" t="e">
            <v>#VALUE!</v>
          </cell>
          <cell r="BR1017" t="e">
            <v>#VALUE!</v>
          </cell>
          <cell r="BS1017">
            <v>12</v>
          </cell>
          <cell r="BT1017" t="e">
            <v>#VALUE!</v>
          </cell>
          <cell r="BU1017" t="str">
            <v/>
          </cell>
          <cell r="CG1017">
            <v>0</v>
          </cell>
          <cell r="CH1017">
            <v>0</v>
          </cell>
          <cell r="CI1017">
            <v>0</v>
          </cell>
          <cell r="CJ1017">
            <v>0</v>
          </cell>
          <cell r="CK1017">
            <v>0</v>
          </cell>
        </row>
        <row r="1018">
          <cell r="A1018" t="str">
            <v>199Year</v>
          </cell>
          <cell r="B1018" t="str">
            <v>Year</v>
          </cell>
          <cell r="C1018">
            <v>199</v>
          </cell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1</v>
          </cell>
          <cell r="BO1018" t="e">
            <v>#VALUE!</v>
          </cell>
          <cell r="BP1018" t="e">
            <v>#VALUE!</v>
          </cell>
          <cell r="BQ1018" t="e">
            <v>#VALUE!</v>
          </cell>
          <cell r="BR1018" t="e">
            <v>#VALUE!</v>
          </cell>
          <cell r="BS1018">
            <v>12</v>
          </cell>
          <cell r="BT1018" t="e">
            <v>#VALUE!</v>
          </cell>
          <cell r="BU1018" t="str">
            <v/>
          </cell>
          <cell r="CG1018">
            <v>0</v>
          </cell>
          <cell r="CH1018">
            <v>0</v>
          </cell>
          <cell r="CI1018">
            <v>0</v>
          </cell>
          <cell r="CJ1018">
            <v>0</v>
          </cell>
          <cell r="CK1018">
            <v>0</v>
          </cell>
        </row>
        <row r="1019">
          <cell r="A1019" t="str">
            <v>200Year</v>
          </cell>
          <cell r="B1019" t="str">
            <v>Year</v>
          </cell>
          <cell r="C1019">
            <v>200</v>
          </cell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J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1</v>
          </cell>
          <cell r="BO1019" t="e">
            <v>#VALUE!</v>
          </cell>
          <cell r="BP1019" t="e">
            <v>#VALUE!</v>
          </cell>
          <cell r="BQ1019" t="e">
            <v>#VALUE!</v>
          </cell>
          <cell r="BR1019" t="e">
            <v>#VALUE!</v>
          </cell>
          <cell r="BS1019">
            <v>12</v>
          </cell>
          <cell r="BT1019" t="e">
            <v>#VALUE!</v>
          </cell>
          <cell r="BU1019" t="str">
            <v/>
          </cell>
          <cell r="CG1019">
            <v>0</v>
          </cell>
          <cell r="CH1019">
            <v>0</v>
          </cell>
          <cell r="CI1019">
            <v>0</v>
          </cell>
          <cell r="CJ1019">
            <v>0</v>
          </cell>
          <cell r="CK1019">
            <v>0</v>
          </cell>
        </row>
      </sheetData>
      <sheetData sheetId="4">
        <row r="2">
          <cell r="U2" t="str">
            <v>Q1</v>
          </cell>
        </row>
        <row r="3">
          <cell r="F3" t="str">
            <v>87 Georgia</v>
          </cell>
          <cell r="U3" t="str">
            <v>Q2</v>
          </cell>
        </row>
        <row r="4">
          <cell r="U4" t="str">
            <v>Q3</v>
          </cell>
        </row>
        <row r="5">
          <cell r="F5" t="str">
            <v>Q2</v>
          </cell>
          <cell r="G5">
            <v>332.7</v>
          </cell>
          <cell r="U5" t="str">
            <v>Q4</v>
          </cell>
        </row>
        <row r="6">
          <cell r="U6" t="str">
            <v>Year</v>
          </cell>
        </row>
        <row r="9">
          <cell r="A9" t="str">
            <v>1Q2</v>
          </cell>
          <cell r="B9">
            <v>1</v>
          </cell>
          <cell r="C9" t="str">
            <v>Abasheva Anna</v>
          </cell>
          <cell r="E9" t="str">
            <v>Medical Representative</v>
          </cell>
          <cell r="H9">
            <v>395525</v>
          </cell>
          <cell r="N9">
            <v>664482</v>
          </cell>
          <cell r="S9">
            <v>39552.5</v>
          </cell>
          <cell r="T9">
            <v>704035</v>
          </cell>
        </row>
        <row r="10">
          <cell r="A10" t="str">
            <v>2Q2</v>
          </cell>
          <cell r="B10">
            <v>2</v>
          </cell>
          <cell r="C10" t="str">
            <v>Aitbenbetova Dinara</v>
          </cell>
          <cell r="E10" t="str">
            <v>Medical Representative</v>
          </cell>
          <cell r="H10">
            <v>395525</v>
          </cell>
          <cell r="N10">
            <v>316420</v>
          </cell>
          <cell r="S10">
            <v>79105</v>
          </cell>
          <cell r="T10">
            <v>395525</v>
          </cell>
        </row>
        <row r="11">
          <cell r="A11" t="str">
            <v>3Q2</v>
          </cell>
          <cell r="B11">
            <v>3</v>
          </cell>
          <cell r="C11" t="str">
            <v>Akhmadiyeva Gulzhan</v>
          </cell>
          <cell r="E11" t="str">
            <v>Medical Representative</v>
          </cell>
          <cell r="H11">
            <v>395525</v>
          </cell>
          <cell r="N11">
            <v>284778</v>
          </cell>
          <cell r="S11">
            <v>79105</v>
          </cell>
          <cell r="T11">
            <v>363883</v>
          </cell>
        </row>
        <row r="12">
          <cell r="A12" t="str">
            <v>4Q2</v>
          </cell>
          <cell r="B12">
            <v>4</v>
          </cell>
          <cell r="C12" t="str">
            <v>Akhmetova (Imanzhanova) Sholpan</v>
          </cell>
          <cell r="E12" t="str">
            <v>Medical Representative</v>
          </cell>
          <cell r="H12">
            <v>395525</v>
          </cell>
          <cell r="N12">
            <v>259464.4</v>
          </cell>
          <cell r="S12">
            <v>79105</v>
          </cell>
          <cell r="T12">
            <v>338569</v>
          </cell>
        </row>
        <row r="13">
          <cell r="A13" t="str">
            <v>5Q2</v>
          </cell>
          <cell r="B13">
            <v>5</v>
          </cell>
          <cell r="C13" t="str">
            <v>Aliyev Askar</v>
          </cell>
          <cell r="E13" t="str">
            <v>Medical Representative</v>
          </cell>
          <cell r="H13">
            <v>395525</v>
          </cell>
          <cell r="N13">
            <v>791050</v>
          </cell>
          <cell r="S13">
            <v>79105</v>
          </cell>
          <cell r="T13">
            <v>870155</v>
          </cell>
        </row>
        <row r="14">
          <cell r="A14" t="str">
            <v>6Q2</v>
          </cell>
          <cell r="B14">
            <v>6</v>
          </cell>
          <cell r="C14" t="str">
            <v>Altynbassova Shynar</v>
          </cell>
          <cell r="E14" t="str">
            <v>Medical Representative</v>
          </cell>
          <cell r="H14">
            <v>395525</v>
          </cell>
          <cell r="N14">
            <v>791050</v>
          </cell>
          <cell r="S14">
            <v>79105</v>
          </cell>
          <cell r="T14">
            <v>870155</v>
          </cell>
        </row>
        <row r="15">
          <cell r="A15" t="str">
            <v>7Q2</v>
          </cell>
          <cell r="B15">
            <v>7</v>
          </cell>
          <cell r="C15" t="str">
            <v>Alzhanova Zhuldyz</v>
          </cell>
          <cell r="E15" t="str">
            <v>Pharm Representative</v>
          </cell>
          <cell r="H15">
            <v>395525</v>
          </cell>
          <cell r="N15">
            <v>506272</v>
          </cell>
          <cell r="S15">
            <v>79105</v>
          </cell>
          <cell r="T15">
            <v>585377</v>
          </cell>
        </row>
        <row r="16">
          <cell r="A16" t="str">
            <v>8Q2</v>
          </cell>
          <cell r="B16">
            <v>8</v>
          </cell>
          <cell r="C16" t="str">
            <v>Arestova Yelena</v>
          </cell>
          <cell r="E16" t="str">
            <v>Medical Representative</v>
          </cell>
          <cell r="H16">
            <v>395525</v>
          </cell>
          <cell r="N16">
            <v>316420</v>
          </cell>
          <cell r="S16">
            <v>79105</v>
          </cell>
          <cell r="T16">
            <v>395525</v>
          </cell>
        </row>
        <row r="17">
          <cell r="A17" t="str">
            <v>9Q2</v>
          </cell>
          <cell r="B17">
            <v>9</v>
          </cell>
          <cell r="C17" t="str">
            <v>Auyelbekova Syndykul</v>
          </cell>
          <cell r="E17" t="str">
            <v>Medical Representative</v>
          </cell>
          <cell r="H17">
            <v>395525</v>
          </cell>
          <cell r="N17">
            <v>791050</v>
          </cell>
          <cell r="S17">
            <v>39552.5</v>
          </cell>
          <cell r="T17">
            <v>830603</v>
          </cell>
        </row>
        <row r="18">
          <cell r="A18" t="str">
            <v>10Q2</v>
          </cell>
          <cell r="B18">
            <v>10</v>
          </cell>
          <cell r="C18" t="str">
            <v>Aybolova Zhazira</v>
          </cell>
          <cell r="E18" t="str">
            <v>Medical Representative</v>
          </cell>
          <cell r="H18">
            <v>395525</v>
          </cell>
          <cell r="N18">
            <v>379704</v>
          </cell>
          <cell r="S18">
            <v>79105</v>
          </cell>
          <cell r="T18">
            <v>458809</v>
          </cell>
        </row>
        <row r="19">
          <cell r="A19" t="str">
            <v>11Q2</v>
          </cell>
          <cell r="B19">
            <v>11</v>
          </cell>
          <cell r="C19" t="str">
            <v>Baimysheva Mariya</v>
          </cell>
          <cell r="E19" t="str">
            <v>Medical Representative</v>
          </cell>
          <cell r="H19">
            <v>395525</v>
          </cell>
          <cell r="N19">
            <v>791050</v>
          </cell>
          <cell r="S19">
            <v>79105</v>
          </cell>
          <cell r="T19">
            <v>870155</v>
          </cell>
        </row>
        <row r="20">
          <cell r="A20" t="str">
            <v>12Q2</v>
          </cell>
          <cell r="B20">
            <v>12</v>
          </cell>
          <cell r="C20" t="str">
            <v>Bakisheva Aliya</v>
          </cell>
          <cell r="E20" t="str">
            <v>Medical Representative</v>
          </cell>
          <cell r="H20">
            <v>395525</v>
          </cell>
          <cell r="N20">
            <v>648661</v>
          </cell>
          <cell r="S20">
            <v>79105</v>
          </cell>
          <cell r="T20">
            <v>727766</v>
          </cell>
        </row>
        <row r="21">
          <cell r="A21" t="str">
            <v>13Q2</v>
          </cell>
          <cell r="B21">
            <v>13</v>
          </cell>
          <cell r="C21" t="str">
            <v>Balanesku Irina</v>
          </cell>
          <cell r="E21" t="str">
            <v>Medical Representative</v>
          </cell>
          <cell r="H21">
            <v>395525</v>
          </cell>
          <cell r="N21">
            <v>303763.20000000007</v>
          </cell>
          <cell r="S21">
            <v>79105</v>
          </cell>
          <cell r="T21">
            <v>382868</v>
          </cell>
        </row>
        <row r="22">
          <cell r="A22" t="str">
            <v>14Q2</v>
          </cell>
          <cell r="B22">
            <v>14</v>
          </cell>
          <cell r="C22" t="str">
            <v>Balmagambetova Zamza</v>
          </cell>
          <cell r="E22" t="str">
            <v>Medical Representative</v>
          </cell>
          <cell r="H22">
            <v>395525</v>
          </cell>
          <cell r="N22">
            <v>259464.4</v>
          </cell>
          <cell r="S22">
            <v>79105</v>
          </cell>
          <cell r="T22">
            <v>338569</v>
          </cell>
        </row>
        <row r="23">
          <cell r="A23" t="str">
            <v>15Q2</v>
          </cell>
          <cell r="B23">
            <v>15</v>
          </cell>
          <cell r="C23" t="str">
            <v>Bayzakova Gulzhan</v>
          </cell>
          <cell r="E23" t="str">
            <v>Medical Representative</v>
          </cell>
          <cell r="H23">
            <v>395525</v>
          </cell>
          <cell r="N23">
            <v>474630</v>
          </cell>
          <cell r="S23">
            <v>39552.5</v>
          </cell>
          <cell r="T23">
            <v>514183</v>
          </cell>
        </row>
        <row r="24">
          <cell r="A24" t="str">
            <v>16Q2</v>
          </cell>
          <cell r="B24">
            <v>16</v>
          </cell>
          <cell r="C24" t="str">
            <v>Bekbauova Saltanat</v>
          </cell>
          <cell r="E24" t="str">
            <v>Medical Representative</v>
          </cell>
          <cell r="H24">
            <v>395525</v>
          </cell>
          <cell r="N24">
            <v>537914</v>
          </cell>
          <cell r="S24">
            <v>79105</v>
          </cell>
          <cell r="T24">
            <v>617019</v>
          </cell>
        </row>
        <row r="25">
          <cell r="A25" t="str">
            <v>17Q2</v>
          </cell>
          <cell r="B25">
            <v>17</v>
          </cell>
          <cell r="C25" t="str">
            <v>Boyarova Alfiya</v>
          </cell>
          <cell r="E25" t="str">
            <v>Medical Representative</v>
          </cell>
          <cell r="H25">
            <v>395525</v>
          </cell>
          <cell r="N25">
            <v>0</v>
          </cell>
          <cell r="S25">
            <v>0</v>
          </cell>
          <cell r="T25">
            <v>0</v>
          </cell>
        </row>
        <row r="26">
          <cell r="A26" t="str">
            <v>18Q2</v>
          </cell>
          <cell r="B26">
            <v>18</v>
          </cell>
          <cell r="C26" t="str">
            <v>Brialinova Inkar</v>
          </cell>
          <cell r="E26" t="str">
            <v>Medical Representative</v>
          </cell>
          <cell r="H26">
            <v>395525</v>
          </cell>
          <cell r="N26">
            <v>0</v>
          </cell>
          <cell r="S26">
            <v>0</v>
          </cell>
          <cell r="T26">
            <v>0</v>
          </cell>
        </row>
        <row r="27">
          <cell r="A27" t="str">
            <v>19Q2</v>
          </cell>
          <cell r="B27">
            <v>19</v>
          </cell>
          <cell r="C27" t="str">
            <v>Donayeva Nazira</v>
          </cell>
          <cell r="E27" t="str">
            <v>Medical Representative</v>
          </cell>
          <cell r="H27">
            <v>395525</v>
          </cell>
          <cell r="N27">
            <v>316420</v>
          </cell>
          <cell r="S27">
            <v>79105</v>
          </cell>
          <cell r="T27">
            <v>395525</v>
          </cell>
        </row>
        <row r="28">
          <cell r="A28" t="str">
            <v>20Q2</v>
          </cell>
          <cell r="B28">
            <v>20</v>
          </cell>
          <cell r="C28" t="str">
            <v>Dratkov Grigoriy</v>
          </cell>
          <cell r="E28" t="str">
            <v>Pharm Representative</v>
          </cell>
          <cell r="H28">
            <v>395525</v>
          </cell>
          <cell r="N28">
            <v>506272</v>
          </cell>
          <cell r="S28">
            <v>79105</v>
          </cell>
          <cell r="T28">
            <v>585377</v>
          </cell>
        </row>
        <row r="29">
          <cell r="A29" t="str">
            <v>21Q2</v>
          </cell>
          <cell r="B29">
            <v>21</v>
          </cell>
          <cell r="C29" t="str">
            <v>Feist Yekaterina</v>
          </cell>
          <cell r="E29" t="str">
            <v>Medical Representative</v>
          </cell>
          <cell r="H29">
            <v>395525</v>
          </cell>
          <cell r="N29">
            <v>474630</v>
          </cell>
          <cell r="S29">
            <v>79105</v>
          </cell>
          <cell r="T29">
            <v>553735</v>
          </cell>
        </row>
        <row r="30">
          <cell r="A30" t="str">
            <v>22Q2</v>
          </cell>
          <cell r="B30">
            <v>22</v>
          </cell>
          <cell r="C30" t="str">
            <v>Galiyeva Saule</v>
          </cell>
          <cell r="E30" t="str">
            <v>Regional Manager</v>
          </cell>
          <cell r="H30">
            <v>726000</v>
          </cell>
          <cell r="N30">
            <v>871200</v>
          </cell>
          <cell r="S30">
            <v>145200</v>
          </cell>
          <cell r="T30">
            <v>1016400</v>
          </cell>
        </row>
        <row r="31">
          <cell r="A31" t="str">
            <v>23Q2</v>
          </cell>
          <cell r="B31">
            <v>23</v>
          </cell>
          <cell r="C31" t="str">
            <v>Gulyakova Olga</v>
          </cell>
          <cell r="E31" t="str">
            <v>Medical Representative</v>
          </cell>
          <cell r="H31">
            <v>395525</v>
          </cell>
          <cell r="N31">
            <v>348062</v>
          </cell>
          <cell r="S31">
            <v>39552.5</v>
          </cell>
          <cell r="T31">
            <v>387615</v>
          </cell>
        </row>
        <row r="32">
          <cell r="A32" t="str">
            <v>24Q2</v>
          </cell>
          <cell r="B32">
            <v>24</v>
          </cell>
          <cell r="C32" t="str">
            <v>Inkarbekova Nurbibi</v>
          </cell>
          <cell r="E32" t="str">
            <v>Medical Representative</v>
          </cell>
          <cell r="H32">
            <v>395525</v>
          </cell>
          <cell r="N32">
            <v>316420</v>
          </cell>
          <cell r="S32">
            <v>79105</v>
          </cell>
          <cell r="T32">
            <v>395525</v>
          </cell>
        </row>
        <row r="33">
          <cell r="A33" t="str">
            <v>25Q2</v>
          </cell>
          <cell r="B33">
            <v>25</v>
          </cell>
          <cell r="C33" t="str">
            <v>Issakhanova Assem</v>
          </cell>
          <cell r="E33" t="str">
            <v>Medical Representative</v>
          </cell>
          <cell r="H33">
            <v>395525</v>
          </cell>
          <cell r="N33">
            <v>348061.99999999994</v>
          </cell>
          <cell r="S33">
            <v>39552.5</v>
          </cell>
          <cell r="T33">
            <v>387615</v>
          </cell>
        </row>
        <row r="34">
          <cell r="A34" t="str">
            <v>26Q2</v>
          </cell>
          <cell r="B34">
            <v>26</v>
          </cell>
          <cell r="C34" t="str">
            <v>Issakova Dina</v>
          </cell>
          <cell r="E34" t="str">
            <v>Medical Representative</v>
          </cell>
          <cell r="H34">
            <v>395525</v>
          </cell>
          <cell r="N34">
            <v>316420</v>
          </cell>
          <cell r="S34">
            <v>79105</v>
          </cell>
          <cell r="T34">
            <v>395525</v>
          </cell>
        </row>
        <row r="35">
          <cell r="A35" t="str">
            <v>27Q2</v>
          </cell>
          <cell r="B35">
            <v>27</v>
          </cell>
          <cell r="C35" t="str">
            <v>Itakhunov Rassul</v>
          </cell>
          <cell r="E35" t="str">
            <v>Pharm Representative</v>
          </cell>
          <cell r="H35">
            <v>395525</v>
          </cell>
          <cell r="N35">
            <v>506272</v>
          </cell>
          <cell r="S35">
            <v>79105</v>
          </cell>
          <cell r="T35">
            <v>585377</v>
          </cell>
        </row>
        <row r="36">
          <cell r="A36" t="str">
            <v>28Q2</v>
          </cell>
          <cell r="B36">
            <v>28</v>
          </cell>
          <cell r="C36" t="str">
            <v>Kadyrova Azaliya</v>
          </cell>
          <cell r="E36" t="str">
            <v>Medical Representative</v>
          </cell>
          <cell r="H36">
            <v>395525</v>
          </cell>
          <cell r="N36">
            <v>379704</v>
          </cell>
          <cell r="S36">
            <v>39552.5</v>
          </cell>
          <cell r="T36">
            <v>419257</v>
          </cell>
        </row>
        <row r="37">
          <cell r="A37" t="str">
            <v>29Q2</v>
          </cell>
          <cell r="B37">
            <v>29</v>
          </cell>
          <cell r="C37" t="str">
            <v>Kalistratova Alexandra</v>
          </cell>
          <cell r="E37" t="str">
            <v>Medical Representative</v>
          </cell>
          <cell r="H37">
            <v>395525</v>
          </cell>
          <cell r="N37">
            <v>348061.99999999994</v>
          </cell>
          <cell r="S37">
            <v>79105</v>
          </cell>
          <cell r="T37">
            <v>427167</v>
          </cell>
        </row>
        <row r="38">
          <cell r="A38" t="str">
            <v>30Q2</v>
          </cell>
          <cell r="B38">
            <v>30</v>
          </cell>
          <cell r="C38" t="str">
            <v>Kassenova Gulshat</v>
          </cell>
          <cell r="E38" t="str">
            <v>Medical Representative</v>
          </cell>
          <cell r="H38">
            <v>395525</v>
          </cell>
          <cell r="N38">
            <v>537914</v>
          </cell>
          <cell r="S38">
            <v>39552.5</v>
          </cell>
          <cell r="T38">
            <v>577467</v>
          </cell>
        </row>
        <row r="39">
          <cell r="A39" t="str">
            <v>31Q2</v>
          </cell>
          <cell r="B39">
            <v>31</v>
          </cell>
          <cell r="C39" t="str">
            <v>Khalikova Nuriya</v>
          </cell>
          <cell r="E39" t="str">
            <v>Medical Representative</v>
          </cell>
          <cell r="H39">
            <v>395525</v>
          </cell>
          <cell r="N39">
            <v>791050</v>
          </cell>
          <cell r="S39">
            <v>79105</v>
          </cell>
          <cell r="T39">
            <v>870155</v>
          </cell>
        </row>
        <row r="40">
          <cell r="A40" t="str">
            <v>32Q2</v>
          </cell>
          <cell r="B40">
            <v>32</v>
          </cell>
          <cell r="C40" t="str">
            <v>Kuchshanova Akmaral</v>
          </cell>
          <cell r="E40" t="str">
            <v>Medical Representative</v>
          </cell>
          <cell r="H40">
            <v>395525</v>
          </cell>
          <cell r="N40">
            <v>316420</v>
          </cell>
          <cell r="S40">
            <v>79105</v>
          </cell>
          <cell r="T40">
            <v>395525</v>
          </cell>
        </row>
        <row r="41">
          <cell r="A41" t="str">
            <v>33Q2</v>
          </cell>
          <cell r="B41">
            <v>33</v>
          </cell>
          <cell r="C41" t="str">
            <v>Kussainova Dilara</v>
          </cell>
          <cell r="E41" t="str">
            <v>Medical Representative</v>
          </cell>
          <cell r="H41">
            <v>395525</v>
          </cell>
          <cell r="N41">
            <v>442988</v>
          </cell>
          <cell r="S41">
            <v>79105</v>
          </cell>
          <cell r="T41">
            <v>522093</v>
          </cell>
        </row>
        <row r="42">
          <cell r="A42" t="str">
            <v>34Q2</v>
          </cell>
          <cell r="B42">
            <v>34</v>
          </cell>
          <cell r="C42" t="str">
            <v>Kutdussova Liliya</v>
          </cell>
          <cell r="E42" t="str">
            <v>Medical Representative</v>
          </cell>
          <cell r="H42">
            <v>395525</v>
          </cell>
          <cell r="N42">
            <v>0</v>
          </cell>
          <cell r="S42">
            <v>0</v>
          </cell>
          <cell r="T42">
            <v>0</v>
          </cell>
        </row>
        <row r="43">
          <cell r="A43" t="str">
            <v>35Q2</v>
          </cell>
          <cell r="B43">
            <v>35</v>
          </cell>
          <cell r="C43" t="str">
            <v>Kutlymuratov Assylatdin</v>
          </cell>
          <cell r="E43" t="str">
            <v>Medical Representative</v>
          </cell>
          <cell r="H43">
            <v>395525</v>
          </cell>
          <cell r="N43">
            <v>316420</v>
          </cell>
          <cell r="S43">
            <v>39552.5</v>
          </cell>
          <cell r="T43">
            <v>355973</v>
          </cell>
        </row>
        <row r="44">
          <cell r="A44" t="str">
            <v>36Q2</v>
          </cell>
          <cell r="B44">
            <v>36</v>
          </cell>
          <cell r="C44" t="str">
            <v>Kuxa Anna</v>
          </cell>
          <cell r="E44" t="str">
            <v>Regional Manager</v>
          </cell>
          <cell r="H44">
            <v>726000</v>
          </cell>
          <cell r="N44">
            <v>638880</v>
          </cell>
          <cell r="S44">
            <v>108900</v>
          </cell>
          <cell r="T44">
            <v>747780</v>
          </cell>
        </row>
        <row r="45">
          <cell r="A45" t="str">
            <v>37Q2</v>
          </cell>
          <cell r="B45">
            <v>37</v>
          </cell>
          <cell r="C45" t="str">
            <v>Kuzikeyeva Dinara</v>
          </cell>
          <cell r="E45" t="str">
            <v>Regional Manager</v>
          </cell>
          <cell r="H45">
            <v>726000</v>
          </cell>
          <cell r="N45">
            <v>1452000</v>
          </cell>
          <cell r="S45">
            <v>145200</v>
          </cell>
          <cell r="T45">
            <v>1597200</v>
          </cell>
        </row>
        <row r="46">
          <cell r="A46" t="str">
            <v>38Q2</v>
          </cell>
          <cell r="B46">
            <v>38</v>
          </cell>
          <cell r="C46" t="str">
            <v>Kuznetsova Natalya</v>
          </cell>
          <cell r="E46" t="str">
            <v>Medical Representative</v>
          </cell>
          <cell r="H46">
            <v>395525</v>
          </cell>
          <cell r="N46">
            <v>303763.20000000007</v>
          </cell>
          <cell r="S46">
            <v>79105</v>
          </cell>
          <cell r="T46">
            <v>382868</v>
          </cell>
        </row>
        <row r="47">
          <cell r="A47" t="str">
            <v>39Q2</v>
          </cell>
          <cell r="B47">
            <v>39</v>
          </cell>
          <cell r="C47" t="str">
            <v>Litvinenko Tatyana</v>
          </cell>
          <cell r="E47" t="str">
            <v>Pharm Representative</v>
          </cell>
          <cell r="H47">
            <v>395525</v>
          </cell>
          <cell r="N47">
            <v>537914</v>
          </cell>
          <cell r="S47">
            <v>79105</v>
          </cell>
          <cell r="T47">
            <v>617019</v>
          </cell>
        </row>
        <row r="48">
          <cell r="A48" t="str">
            <v>40Q2</v>
          </cell>
          <cell r="B48">
            <v>40</v>
          </cell>
          <cell r="C48" t="str">
            <v>Maisutova Almagul</v>
          </cell>
          <cell r="E48" t="str">
            <v>Regional Manager</v>
          </cell>
          <cell r="H48">
            <v>726000</v>
          </cell>
          <cell r="N48">
            <v>580800</v>
          </cell>
          <cell r="S48">
            <v>145200</v>
          </cell>
          <cell r="T48">
            <v>726000</v>
          </cell>
        </row>
        <row r="49">
          <cell r="A49" t="str">
            <v>41Q2</v>
          </cell>
          <cell r="B49">
            <v>41</v>
          </cell>
          <cell r="C49" t="str">
            <v>Mamedova Zarina</v>
          </cell>
          <cell r="E49" t="str">
            <v>Medical Representative</v>
          </cell>
          <cell r="H49">
            <v>395525</v>
          </cell>
          <cell r="N49">
            <v>0</v>
          </cell>
          <cell r="S49">
            <v>0</v>
          </cell>
          <cell r="T49">
            <v>0</v>
          </cell>
        </row>
        <row r="50">
          <cell r="A50" t="str">
            <v>42Q2</v>
          </cell>
          <cell r="B50">
            <v>42</v>
          </cell>
          <cell r="C50" t="str">
            <v>Mamutova Aliya</v>
          </cell>
          <cell r="E50" t="str">
            <v>Medical Representative</v>
          </cell>
          <cell r="H50">
            <v>395525</v>
          </cell>
          <cell r="N50">
            <v>759408.00000000012</v>
          </cell>
          <cell r="S50">
            <v>79105</v>
          </cell>
          <cell r="T50">
            <v>838513</v>
          </cell>
        </row>
        <row r="51">
          <cell r="A51" t="str">
            <v>43Q2</v>
          </cell>
          <cell r="B51">
            <v>43</v>
          </cell>
          <cell r="C51" t="str">
            <v>Manapbayeva Assel</v>
          </cell>
          <cell r="E51" t="str">
            <v>Medical Representative</v>
          </cell>
          <cell r="H51">
            <v>395525</v>
          </cell>
          <cell r="N51">
            <v>316420</v>
          </cell>
          <cell r="S51">
            <v>79105</v>
          </cell>
          <cell r="T51">
            <v>395525</v>
          </cell>
        </row>
        <row r="52">
          <cell r="A52" t="str">
            <v>44Q2</v>
          </cell>
          <cell r="B52">
            <v>44</v>
          </cell>
          <cell r="C52" t="str">
            <v>Maximenko Alexandr</v>
          </cell>
          <cell r="E52" t="str">
            <v>Pharm Representative</v>
          </cell>
          <cell r="H52">
            <v>395525</v>
          </cell>
          <cell r="N52">
            <v>442988.00000000006</v>
          </cell>
          <cell r="S52">
            <v>79105</v>
          </cell>
          <cell r="T52">
            <v>522093</v>
          </cell>
        </row>
        <row r="53">
          <cell r="A53" t="str">
            <v>45Q2</v>
          </cell>
          <cell r="B53">
            <v>45</v>
          </cell>
          <cell r="C53" t="str">
            <v>Meirbek Ainur</v>
          </cell>
          <cell r="E53" t="str">
            <v>Medical Representative</v>
          </cell>
          <cell r="H53">
            <v>395525</v>
          </cell>
          <cell r="N53">
            <v>259464.4</v>
          </cell>
          <cell r="S53">
            <v>79105</v>
          </cell>
          <cell r="T53">
            <v>338569</v>
          </cell>
        </row>
        <row r="54">
          <cell r="A54" t="str">
            <v>46Q2</v>
          </cell>
          <cell r="B54">
            <v>46</v>
          </cell>
          <cell r="C54" t="str">
            <v>Nakipbekova Gulzhan</v>
          </cell>
          <cell r="E54" t="str">
            <v>Medical Representative</v>
          </cell>
          <cell r="H54">
            <v>395525</v>
          </cell>
          <cell r="N54">
            <v>259464.4</v>
          </cell>
          <cell r="S54">
            <v>39552.5</v>
          </cell>
          <cell r="T54">
            <v>299017</v>
          </cell>
        </row>
        <row r="55">
          <cell r="A55" t="str">
            <v>47Q2</v>
          </cell>
          <cell r="B55">
            <v>47</v>
          </cell>
          <cell r="C55" t="str">
            <v>Novokhatnyaya Anastasiya</v>
          </cell>
          <cell r="E55" t="str">
            <v>Medical Representative</v>
          </cell>
          <cell r="H55">
            <v>395525</v>
          </cell>
          <cell r="N55">
            <v>648661</v>
          </cell>
          <cell r="S55">
            <v>39552.5</v>
          </cell>
          <cell r="T55">
            <v>688214</v>
          </cell>
        </row>
        <row r="56">
          <cell r="A56" t="str">
            <v>48Q2</v>
          </cell>
          <cell r="B56">
            <v>48</v>
          </cell>
          <cell r="C56" t="str">
            <v>Omarova Aizhan</v>
          </cell>
          <cell r="E56" t="str">
            <v>Medical Representative</v>
          </cell>
          <cell r="H56">
            <v>395525</v>
          </cell>
          <cell r="N56">
            <v>791050</v>
          </cell>
          <cell r="S56">
            <v>39552.5</v>
          </cell>
          <cell r="T56">
            <v>830603</v>
          </cell>
        </row>
        <row r="57">
          <cell r="A57" t="str">
            <v>49Q2</v>
          </cell>
          <cell r="B57">
            <v>49</v>
          </cell>
          <cell r="C57" t="str">
            <v>Ospanova Anar</v>
          </cell>
          <cell r="E57" t="str">
            <v>Medical Representative</v>
          </cell>
          <cell r="H57">
            <v>395525</v>
          </cell>
          <cell r="N57">
            <v>664482</v>
          </cell>
          <cell r="S57">
            <v>79105</v>
          </cell>
          <cell r="T57">
            <v>743587</v>
          </cell>
        </row>
        <row r="58">
          <cell r="A58" t="str">
            <v>50Q2</v>
          </cell>
          <cell r="B58">
            <v>50</v>
          </cell>
          <cell r="C58" t="str">
            <v>Ossipova Anna</v>
          </cell>
          <cell r="E58" t="str">
            <v>Pharm Representative</v>
          </cell>
          <cell r="H58">
            <v>395525</v>
          </cell>
          <cell r="N58">
            <v>743587.00000000012</v>
          </cell>
          <cell r="S58">
            <v>39552.5</v>
          </cell>
          <cell r="T58">
            <v>783140</v>
          </cell>
        </row>
        <row r="59">
          <cell r="A59" t="str">
            <v>51Q2</v>
          </cell>
          <cell r="B59">
            <v>51</v>
          </cell>
          <cell r="C59" t="str">
            <v>Pavlutskikh Yelena</v>
          </cell>
          <cell r="E59" t="str">
            <v>Medical Representative</v>
          </cell>
          <cell r="H59">
            <v>395525</v>
          </cell>
          <cell r="N59">
            <v>506272</v>
          </cell>
          <cell r="S59">
            <v>39552.5</v>
          </cell>
          <cell r="T59">
            <v>545825</v>
          </cell>
        </row>
        <row r="60">
          <cell r="A60" t="str">
            <v>52Q2</v>
          </cell>
          <cell r="B60">
            <v>52</v>
          </cell>
          <cell r="C60" t="str">
            <v>Rakhimzhanova Gulnar</v>
          </cell>
          <cell r="E60" t="str">
            <v>Medical Representative</v>
          </cell>
          <cell r="H60">
            <v>395525</v>
          </cell>
          <cell r="N60">
            <v>474630</v>
          </cell>
          <cell r="S60">
            <v>79105</v>
          </cell>
          <cell r="T60">
            <v>553735</v>
          </cell>
        </row>
        <row r="61">
          <cell r="A61" t="str">
            <v>53Q2</v>
          </cell>
          <cell r="B61">
            <v>53</v>
          </cell>
          <cell r="C61" t="str">
            <v>Sadvakassova Zhanat</v>
          </cell>
          <cell r="E61" t="str">
            <v>Pharm Representative</v>
          </cell>
          <cell r="H61">
            <v>395525</v>
          </cell>
          <cell r="N61">
            <v>506272</v>
          </cell>
          <cell r="S61">
            <v>79105</v>
          </cell>
          <cell r="T61">
            <v>585377</v>
          </cell>
        </row>
        <row r="62">
          <cell r="A62" t="str">
            <v>54Q2</v>
          </cell>
          <cell r="B62">
            <v>54</v>
          </cell>
          <cell r="C62" t="str">
            <v>Sagimbayeva Lyazat</v>
          </cell>
          <cell r="E62" t="str">
            <v>Pharm Representative</v>
          </cell>
          <cell r="H62">
            <v>395525</v>
          </cell>
          <cell r="N62">
            <v>0</v>
          </cell>
          <cell r="S62">
            <v>0</v>
          </cell>
          <cell r="T62">
            <v>0</v>
          </cell>
        </row>
        <row r="63">
          <cell r="A63" t="str">
            <v>55Q2</v>
          </cell>
          <cell r="B63">
            <v>55</v>
          </cell>
          <cell r="C63" t="str">
            <v>Sakalbayeva Aliya</v>
          </cell>
          <cell r="E63" t="str">
            <v>Medical Representative</v>
          </cell>
          <cell r="H63">
            <v>395525</v>
          </cell>
          <cell r="N63">
            <v>221494</v>
          </cell>
          <cell r="S63">
            <v>39552.5</v>
          </cell>
          <cell r="T63">
            <v>261047</v>
          </cell>
        </row>
        <row r="64">
          <cell r="A64" t="str">
            <v>56Q2</v>
          </cell>
          <cell r="B64">
            <v>56</v>
          </cell>
          <cell r="C64" t="str">
            <v>Sarbassova Dina (Shymkent)</v>
          </cell>
          <cell r="E64" t="str">
            <v>Pharm Representative</v>
          </cell>
          <cell r="H64">
            <v>263683.33333333331</v>
          </cell>
          <cell r="N64">
            <v>0</v>
          </cell>
          <cell r="S64">
            <v>0</v>
          </cell>
          <cell r="T64">
            <v>0</v>
          </cell>
        </row>
        <row r="65">
          <cell r="A65" t="str">
            <v>57Q2</v>
          </cell>
          <cell r="B65">
            <v>57</v>
          </cell>
          <cell r="C65" t="str">
            <v>Sariyeva Ainur</v>
          </cell>
          <cell r="E65" t="str">
            <v>Pharm Representative</v>
          </cell>
          <cell r="H65">
            <v>395525</v>
          </cell>
          <cell r="N65">
            <v>221494.00000000003</v>
          </cell>
          <cell r="S65">
            <v>79105</v>
          </cell>
          <cell r="T65">
            <v>300599</v>
          </cell>
        </row>
        <row r="66">
          <cell r="A66" t="str">
            <v>58Q2</v>
          </cell>
          <cell r="B66">
            <v>58</v>
          </cell>
          <cell r="C66" t="str">
            <v>Sarsenbayeva Saniya</v>
          </cell>
          <cell r="E66" t="str">
            <v>Medical Representative</v>
          </cell>
          <cell r="H66">
            <v>395525</v>
          </cell>
          <cell r="N66">
            <v>474630</v>
          </cell>
          <cell r="S66">
            <v>79105</v>
          </cell>
          <cell r="T66">
            <v>553735</v>
          </cell>
        </row>
        <row r="67">
          <cell r="A67" t="str">
            <v>59Q2</v>
          </cell>
          <cell r="B67">
            <v>59</v>
          </cell>
          <cell r="C67" t="str">
            <v>Simachkova Yelena</v>
          </cell>
          <cell r="E67" t="str">
            <v>Pharm Representative</v>
          </cell>
          <cell r="H67">
            <v>131841.66666666666</v>
          </cell>
          <cell r="N67">
            <v>168757.33333333334</v>
          </cell>
          <cell r="S67">
            <v>0</v>
          </cell>
          <cell r="T67">
            <v>168757</v>
          </cell>
        </row>
        <row r="68">
          <cell r="A68" t="str">
            <v>60Q2</v>
          </cell>
          <cell r="B68">
            <v>60</v>
          </cell>
          <cell r="C68" t="str">
            <v>Soni Laura</v>
          </cell>
          <cell r="E68" t="str">
            <v>Medical Representative</v>
          </cell>
          <cell r="H68">
            <v>395525</v>
          </cell>
          <cell r="N68">
            <v>316420</v>
          </cell>
          <cell r="S68">
            <v>79105</v>
          </cell>
          <cell r="T68">
            <v>395525</v>
          </cell>
        </row>
        <row r="69">
          <cell r="A69" t="str">
            <v>61Q2</v>
          </cell>
          <cell r="B69">
            <v>61</v>
          </cell>
          <cell r="C69" t="str">
            <v>Suttubayeva Gulnar</v>
          </cell>
          <cell r="E69" t="str">
            <v>Regional Manager</v>
          </cell>
          <cell r="H69">
            <v>726000</v>
          </cell>
          <cell r="N69">
            <v>1422960</v>
          </cell>
          <cell r="S69">
            <v>145200</v>
          </cell>
          <cell r="T69">
            <v>1568160</v>
          </cell>
        </row>
        <row r="70">
          <cell r="A70" t="str">
            <v>62Q2</v>
          </cell>
          <cell r="B70">
            <v>62</v>
          </cell>
          <cell r="C70" t="str">
            <v>Tasbulatova Saule</v>
          </cell>
          <cell r="E70" t="str">
            <v>Medical Representative</v>
          </cell>
          <cell r="H70">
            <v>395525</v>
          </cell>
          <cell r="N70">
            <v>791050</v>
          </cell>
          <cell r="S70">
            <v>79105</v>
          </cell>
          <cell r="T70">
            <v>870155</v>
          </cell>
        </row>
        <row r="71">
          <cell r="A71" t="str">
            <v>63Q2</v>
          </cell>
          <cell r="B71">
            <v>63</v>
          </cell>
          <cell r="C71" t="str">
            <v>Temirbayeva Akzhunis</v>
          </cell>
          <cell r="E71" t="str">
            <v>Medical Representative</v>
          </cell>
          <cell r="H71">
            <v>395525</v>
          </cell>
          <cell r="N71">
            <v>259464.4</v>
          </cell>
          <cell r="S71">
            <v>39552.5</v>
          </cell>
          <cell r="T71">
            <v>299017</v>
          </cell>
        </row>
        <row r="72">
          <cell r="A72" t="str">
            <v>64Q2</v>
          </cell>
          <cell r="B72">
            <v>64</v>
          </cell>
          <cell r="C72" t="str">
            <v>Tilessova Altynay</v>
          </cell>
          <cell r="E72" t="str">
            <v>Medical Representative</v>
          </cell>
          <cell r="H72">
            <v>395525</v>
          </cell>
          <cell r="N72">
            <v>259464.4</v>
          </cell>
          <cell r="S72">
            <v>79105</v>
          </cell>
          <cell r="T72">
            <v>338569</v>
          </cell>
        </row>
        <row r="73">
          <cell r="A73" t="str">
            <v>65Q2</v>
          </cell>
          <cell r="B73">
            <v>65</v>
          </cell>
          <cell r="C73" t="str">
            <v>Tipalov Sergey</v>
          </cell>
          <cell r="E73" t="str">
            <v>Medical Representative</v>
          </cell>
          <cell r="H73">
            <v>395525</v>
          </cell>
          <cell r="N73">
            <v>664482</v>
          </cell>
          <cell r="S73">
            <v>39552.5</v>
          </cell>
          <cell r="T73">
            <v>704035</v>
          </cell>
        </row>
        <row r="74">
          <cell r="A74" t="str">
            <v>66Q2</v>
          </cell>
          <cell r="B74">
            <v>66</v>
          </cell>
          <cell r="C74" t="str">
            <v>Ungarbayeva Zhanna</v>
          </cell>
          <cell r="E74" t="str">
            <v>Medical Representative</v>
          </cell>
          <cell r="H74">
            <v>395525</v>
          </cell>
          <cell r="N74">
            <v>221494</v>
          </cell>
          <cell r="S74">
            <v>79105</v>
          </cell>
          <cell r="T74">
            <v>300599</v>
          </cell>
        </row>
        <row r="75">
          <cell r="A75" t="str">
            <v>67Q2</v>
          </cell>
          <cell r="B75">
            <v>67</v>
          </cell>
          <cell r="C75" t="str">
            <v>Yerkin Nadiyam</v>
          </cell>
          <cell r="E75" t="str">
            <v>Medical Representative</v>
          </cell>
          <cell r="H75">
            <v>395525</v>
          </cell>
          <cell r="N75">
            <v>316420</v>
          </cell>
          <cell r="S75">
            <v>79105</v>
          </cell>
          <cell r="T75">
            <v>395525</v>
          </cell>
        </row>
        <row r="76">
          <cell r="A76" t="str">
            <v>68Q2</v>
          </cell>
          <cell r="B76">
            <v>68</v>
          </cell>
          <cell r="C76" t="str">
            <v>Yesbolova Gulnur</v>
          </cell>
          <cell r="E76" t="str">
            <v>Medical Representative</v>
          </cell>
          <cell r="H76">
            <v>395525</v>
          </cell>
          <cell r="N76">
            <v>316420</v>
          </cell>
          <cell r="S76">
            <v>79105</v>
          </cell>
          <cell r="T76">
            <v>395525</v>
          </cell>
        </row>
        <row r="77">
          <cell r="A77" t="str">
            <v>69Q2</v>
          </cell>
          <cell r="B77">
            <v>69</v>
          </cell>
          <cell r="C77" t="str">
            <v>Yevseyenko Larissa</v>
          </cell>
          <cell r="E77" t="str">
            <v>Regional Manager</v>
          </cell>
          <cell r="H77">
            <v>726000</v>
          </cell>
          <cell r="N77">
            <v>1103520</v>
          </cell>
          <cell r="S77">
            <v>145200</v>
          </cell>
          <cell r="T77">
            <v>1248720</v>
          </cell>
        </row>
        <row r="78">
          <cell r="A78" t="str">
            <v>70Q2</v>
          </cell>
          <cell r="B78">
            <v>70</v>
          </cell>
          <cell r="C78" t="str">
            <v>Yu Vitaliya</v>
          </cell>
          <cell r="E78" t="str">
            <v>Medical Representative</v>
          </cell>
          <cell r="H78">
            <v>395525</v>
          </cell>
          <cell r="N78">
            <v>316420</v>
          </cell>
          <cell r="S78">
            <v>79105</v>
          </cell>
          <cell r="T78">
            <v>395525</v>
          </cell>
        </row>
        <row r="79">
          <cell r="A79" t="str">
            <v>71Q2</v>
          </cell>
          <cell r="B79">
            <v>71</v>
          </cell>
          <cell r="C79" t="str">
            <v>Zhanabekova Kamshat</v>
          </cell>
          <cell r="E79" t="str">
            <v>Medical Representative</v>
          </cell>
          <cell r="H79">
            <v>395525</v>
          </cell>
          <cell r="N79">
            <v>442988</v>
          </cell>
          <cell r="S79">
            <v>79105</v>
          </cell>
          <cell r="T79">
            <v>522093</v>
          </cell>
        </row>
        <row r="80">
          <cell r="A80" t="str">
            <v>72Q2</v>
          </cell>
          <cell r="B80">
            <v>72</v>
          </cell>
          <cell r="C80" t="str">
            <v>Zhazylbekova Aitolkyn</v>
          </cell>
          <cell r="E80" t="str">
            <v>Medical Representative</v>
          </cell>
          <cell r="H80">
            <v>395525</v>
          </cell>
          <cell r="N80">
            <v>648661</v>
          </cell>
          <cell r="S80">
            <v>79105</v>
          </cell>
          <cell r="T80">
            <v>727766</v>
          </cell>
        </row>
        <row r="81">
          <cell r="A81" t="str">
            <v>73Q2</v>
          </cell>
          <cell r="B81">
            <v>73</v>
          </cell>
          <cell r="C81" t="str">
            <v>Zhmailova Yelena</v>
          </cell>
          <cell r="E81" t="str">
            <v>Regional Manager</v>
          </cell>
          <cell r="H81">
            <v>726000</v>
          </cell>
          <cell r="N81">
            <v>493680</v>
          </cell>
          <cell r="S81">
            <v>145200</v>
          </cell>
          <cell r="T81">
            <v>638880</v>
          </cell>
        </row>
        <row r="82">
          <cell r="A82" t="str">
            <v>74Q2</v>
          </cell>
          <cell r="B82">
            <v>74</v>
          </cell>
          <cell r="C82" t="str">
            <v>Kaderov Nursultan</v>
          </cell>
          <cell r="E82" t="str">
            <v>Medical Representative</v>
          </cell>
          <cell r="H82">
            <v>395525</v>
          </cell>
          <cell r="N82">
            <v>791050</v>
          </cell>
          <cell r="S82">
            <v>79105</v>
          </cell>
          <cell r="T82">
            <v>870155</v>
          </cell>
        </row>
        <row r="83">
          <cell r="A83" t="str">
            <v>75Q2</v>
          </cell>
          <cell r="B83">
            <v>75</v>
          </cell>
          <cell r="C83" t="str">
            <v>Ospanova Zhumagul</v>
          </cell>
          <cell r="E83" t="str">
            <v>Medical Representative</v>
          </cell>
          <cell r="H83">
            <v>395525</v>
          </cell>
          <cell r="N83">
            <v>664482</v>
          </cell>
          <cell r="S83">
            <v>79105</v>
          </cell>
          <cell r="T83">
            <v>743587</v>
          </cell>
        </row>
        <row r="84">
          <cell r="A84" t="str">
            <v>76Q2</v>
          </cell>
          <cell r="B84">
            <v>76</v>
          </cell>
          <cell r="C84" t="str">
            <v>Zhanuzakova Gulbakyt</v>
          </cell>
          <cell r="E84" t="str">
            <v>Medical Representative</v>
          </cell>
          <cell r="H84">
            <v>395525</v>
          </cell>
          <cell r="N84">
            <v>0</v>
          </cell>
          <cell r="S84">
            <v>0</v>
          </cell>
          <cell r="T84">
            <v>0</v>
          </cell>
        </row>
        <row r="85">
          <cell r="A85" t="str">
            <v>77Q2</v>
          </cell>
          <cell r="B85">
            <v>77</v>
          </cell>
          <cell r="C85" t="str">
            <v>Nurikhanova Alissa</v>
          </cell>
          <cell r="E85" t="str">
            <v>Regional Manager</v>
          </cell>
          <cell r="H85">
            <v>726000</v>
          </cell>
          <cell r="N85">
            <v>493680</v>
          </cell>
          <cell r="S85">
            <v>72600</v>
          </cell>
          <cell r="T85">
            <v>566280</v>
          </cell>
        </row>
        <row r="86">
          <cell r="A86" t="str">
            <v>78Q2</v>
          </cell>
          <cell r="B86">
            <v>78</v>
          </cell>
          <cell r="C86" t="str">
            <v>Konurub Roza</v>
          </cell>
          <cell r="E86" t="str">
            <v>Medical Representative</v>
          </cell>
          <cell r="H86">
            <v>395525</v>
          </cell>
          <cell r="N86">
            <v>537914</v>
          </cell>
          <cell r="S86">
            <v>79105</v>
          </cell>
          <cell r="T86">
            <v>617019</v>
          </cell>
        </row>
        <row r="87">
          <cell r="A87" t="str">
            <v>79Q2</v>
          </cell>
          <cell r="B87">
            <v>79</v>
          </cell>
          <cell r="C87" t="str">
            <v>Tulemyrzayeva Madina</v>
          </cell>
          <cell r="E87" t="str">
            <v>Regional Manager</v>
          </cell>
          <cell r="H87">
            <v>0</v>
          </cell>
          <cell r="N87">
            <v>0</v>
          </cell>
          <cell r="S87">
            <v>0</v>
          </cell>
          <cell r="T87">
            <v>0</v>
          </cell>
        </row>
        <row r="88">
          <cell r="A88" t="str">
            <v>80Q2</v>
          </cell>
          <cell r="B88">
            <v>80</v>
          </cell>
          <cell r="C88" t="str">
            <v>Kusmanova Shynar</v>
          </cell>
          <cell r="E88" t="str">
            <v>Pharm Representative</v>
          </cell>
          <cell r="H88">
            <v>131841.66666666666</v>
          </cell>
          <cell r="N88">
            <v>258409.66666666669</v>
          </cell>
          <cell r="S88">
            <v>0</v>
          </cell>
          <cell r="T88">
            <v>258410</v>
          </cell>
        </row>
        <row r="89">
          <cell r="A89" t="str">
            <v>81Q2</v>
          </cell>
          <cell r="B89">
            <v>81</v>
          </cell>
          <cell r="C89" t="str">
            <v>Salikhova Akbota</v>
          </cell>
          <cell r="E89" t="str">
            <v>Medical Representative</v>
          </cell>
          <cell r="H89">
            <v>263683.33333333331</v>
          </cell>
          <cell r="N89">
            <v>527366.66666666651</v>
          </cell>
          <cell r="S89">
            <v>0</v>
          </cell>
          <cell r="T89">
            <v>527367</v>
          </cell>
        </row>
        <row r="90">
          <cell r="A90" t="str">
            <v>82Q2</v>
          </cell>
          <cell r="B90">
            <v>82</v>
          </cell>
          <cell r="C90" t="str">
            <v>Turganbayeva Zhazira</v>
          </cell>
          <cell r="E90" t="str">
            <v>Medical Representative</v>
          </cell>
          <cell r="H90">
            <v>131841.66666666666</v>
          </cell>
          <cell r="N90">
            <v>0</v>
          </cell>
          <cell r="S90">
            <v>0</v>
          </cell>
          <cell r="T90">
            <v>0</v>
          </cell>
        </row>
        <row r="91">
          <cell r="A91" t="str">
            <v>83Q2</v>
          </cell>
          <cell r="B91">
            <v>83</v>
          </cell>
          <cell r="C91" t="str">
            <v>Makenova Yuliya</v>
          </cell>
          <cell r="E91" t="str">
            <v>Medical Representative</v>
          </cell>
          <cell r="H91">
            <v>131841.66666666666</v>
          </cell>
          <cell r="N91">
            <v>210946.66666666666</v>
          </cell>
          <cell r="S91">
            <v>13184.166666666666</v>
          </cell>
          <cell r="T91">
            <v>224131</v>
          </cell>
        </row>
        <row r="92">
          <cell r="A92" t="str">
            <v>84Q2</v>
          </cell>
          <cell r="B92">
            <v>84</v>
          </cell>
          <cell r="C92" t="str">
            <v>Sarbassova Dina (Astana)</v>
          </cell>
          <cell r="E92" t="str">
            <v>Medical Representative</v>
          </cell>
          <cell r="H92">
            <v>131841.66666666666</v>
          </cell>
          <cell r="N92">
            <v>101254.39999999999</v>
          </cell>
          <cell r="S92">
            <v>0</v>
          </cell>
          <cell r="T92">
            <v>101254</v>
          </cell>
        </row>
        <row r="93">
          <cell r="A93" t="str">
            <v>85Q2</v>
          </cell>
          <cell r="B93">
            <v>85</v>
          </cell>
          <cell r="C93" t="str">
            <v>Zhakenova Botagoz (замещение Калдыбаевой Н.)</v>
          </cell>
          <cell r="E93" t="str">
            <v>Medical Representative</v>
          </cell>
          <cell r="H93">
            <v>263683.33333333331</v>
          </cell>
          <cell r="N93">
            <v>147662.66666666666</v>
          </cell>
          <cell r="S93">
            <v>26368.333333333332</v>
          </cell>
          <cell r="T93">
            <v>174031</v>
          </cell>
        </row>
        <row r="94">
          <cell r="A94" t="str">
            <v>86Q2</v>
          </cell>
          <cell r="B94">
            <v>86</v>
          </cell>
          <cell r="C94" t="str">
            <v>Dikambayev Zhiger</v>
          </cell>
          <cell r="E94" t="str">
            <v>Medical Representative</v>
          </cell>
          <cell r="H94">
            <v>0</v>
          </cell>
          <cell r="N94">
            <v>0</v>
          </cell>
          <cell r="S94">
            <v>0</v>
          </cell>
          <cell r="T94">
            <v>0</v>
          </cell>
        </row>
        <row r="95">
          <cell r="A95" t="str">
            <v>87Q2</v>
          </cell>
          <cell r="B95">
            <v>87</v>
          </cell>
          <cell r="C95" t="str">
            <v>Dubova Yevgeniya</v>
          </cell>
          <cell r="E95" t="str">
            <v>Medical Representative</v>
          </cell>
          <cell r="H95">
            <v>197762.5</v>
          </cell>
          <cell r="N95">
            <v>395525</v>
          </cell>
          <cell r="S95">
            <v>39552.5</v>
          </cell>
          <cell r="T95">
            <v>435078</v>
          </cell>
        </row>
        <row r="96">
          <cell r="A96" t="str">
            <v>88Q2</v>
          </cell>
          <cell r="B96">
            <v>88</v>
          </cell>
          <cell r="C96" t="str">
            <v>Kalacheva Larissa</v>
          </cell>
          <cell r="E96" t="str">
            <v>Medical Representative</v>
          </cell>
          <cell r="H96">
            <v>0</v>
          </cell>
          <cell r="N96">
            <v>0</v>
          </cell>
          <cell r="S96">
            <v>0</v>
          </cell>
          <cell r="T96">
            <v>0</v>
          </cell>
        </row>
        <row r="97">
          <cell r="A97" t="str">
            <v>89Q2</v>
          </cell>
          <cell r="B97">
            <v>89</v>
          </cell>
          <cell r="C97" t="str">
            <v>Kalen Temirlan</v>
          </cell>
          <cell r="E97" t="str">
            <v>Medical Representative</v>
          </cell>
          <cell r="H97">
            <v>0</v>
          </cell>
          <cell r="N97">
            <v>0</v>
          </cell>
          <cell r="S97">
            <v>0</v>
          </cell>
          <cell r="T97">
            <v>0</v>
          </cell>
        </row>
        <row r="98">
          <cell r="A98" t="str">
            <v>90Q2</v>
          </cell>
          <cell r="B98">
            <v>90</v>
          </cell>
          <cell r="C98" t="str">
            <v>Kassanova Elmira</v>
          </cell>
          <cell r="E98" t="str">
            <v>Medical Representative</v>
          </cell>
          <cell r="H98">
            <v>263683.33333333331</v>
          </cell>
          <cell r="N98">
            <v>316420</v>
          </cell>
          <cell r="S98">
            <v>26368.333333333332</v>
          </cell>
          <cell r="T98">
            <v>342788</v>
          </cell>
        </row>
        <row r="99">
          <cell r="A99" t="str">
            <v>91Q2</v>
          </cell>
          <cell r="B99">
            <v>91</v>
          </cell>
          <cell r="C99" t="str">
            <v>Nassyrov Farukh</v>
          </cell>
          <cell r="E99" t="str">
            <v>Pharm Representative</v>
          </cell>
          <cell r="H99">
            <v>0</v>
          </cell>
          <cell r="N99">
            <v>0</v>
          </cell>
          <cell r="S99">
            <v>0</v>
          </cell>
          <cell r="T99">
            <v>0</v>
          </cell>
        </row>
        <row r="100">
          <cell r="A100" t="str">
            <v>92Q2</v>
          </cell>
          <cell r="B100">
            <v>92</v>
          </cell>
          <cell r="C100" t="str">
            <v>Volkova Svetlana</v>
          </cell>
          <cell r="E100" t="str">
            <v>Medical Representative</v>
          </cell>
          <cell r="H100">
            <v>0</v>
          </cell>
          <cell r="N100">
            <v>0</v>
          </cell>
          <cell r="S100">
            <v>0</v>
          </cell>
          <cell r="T100">
            <v>0</v>
          </cell>
        </row>
        <row r="101">
          <cell r="A101" t="str">
            <v>93Q2</v>
          </cell>
          <cell r="B101">
            <v>93</v>
          </cell>
          <cell r="C101" t="str">
            <v/>
          </cell>
          <cell r="E101" t="str">
            <v/>
          </cell>
          <cell r="H101">
            <v>0</v>
          </cell>
          <cell r="N101">
            <v>0</v>
          </cell>
          <cell r="S101">
            <v>0</v>
          </cell>
          <cell r="T101">
            <v>0</v>
          </cell>
        </row>
        <row r="102">
          <cell r="A102" t="str">
            <v>94Q2</v>
          </cell>
          <cell r="B102">
            <v>94</v>
          </cell>
          <cell r="C102" t="str">
            <v/>
          </cell>
          <cell r="E102" t="str">
            <v/>
          </cell>
          <cell r="H102">
            <v>0</v>
          </cell>
          <cell r="N102">
            <v>0</v>
          </cell>
          <cell r="S102">
            <v>0</v>
          </cell>
          <cell r="T102">
            <v>0</v>
          </cell>
        </row>
        <row r="103">
          <cell r="A103" t="str">
            <v>95Q2</v>
          </cell>
          <cell r="B103">
            <v>95</v>
          </cell>
          <cell r="C103" t="str">
            <v/>
          </cell>
          <cell r="E103" t="str">
            <v/>
          </cell>
          <cell r="H103">
            <v>0</v>
          </cell>
          <cell r="N103">
            <v>0</v>
          </cell>
          <cell r="S103">
            <v>0</v>
          </cell>
          <cell r="T103">
            <v>0</v>
          </cell>
        </row>
        <row r="104">
          <cell r="A104" t="str">
            <v>96Q2</v>
          </cell>
          <cell r="B104">
            <v>96</v>
          </cell>
          <cell r="C104" t="str">
            <v/>
          </cell>
          <cell r="E104" t="str">
            <v/>
          </cell>
          <cell r="H104">
            <v>0</v>
          </cell>
          <cell r="N104">
            <v>0</v>
          </cell>
          <cell r="S104">
            <v>0</v>
          </cell>
          <cell r="T104">
            <v>0</v>
          </cell>
        </row>
        <row r="105">
          <cell r="A105" t="str">
            <v>97Q2</v>
          </cell>
          <cell r="B105">
            <v>97</v>
          </cell>
          <cell r="C105" t="str">
            <v/>
          </cell>
          <cell r="E105" t="str">
            <v/>
          </cell>
          <cell r="H105">
            <v>0</v>
          </cell>
          <cell r="N105">
            <v>0</v>
          </cell>
          <cell r="S105">
            <v>0</v>
          </cell>
          <cell r="T105">
            <v>0</v>
          </cell>
        </row>
        <row r="106">
          <cell r="A106" t="str">
            <v>98Q2</v>
          </cell>
          <cell r="B106">
            <v>98</v>
          </cell>
          <cell r="C106" t="str">
            <v/>
          </cell>
          <cell r="E106" t="str">
            <v/>
          </cell>
          <cell r="H106">
            <v>0</v>
          </cell>
          <cell r="N106">
            <v>0</v>
          </cell>
          <cell r="S106">
            <v>0</v>
          </cell>
          <cell r="T106">
            <v>0</v>
          </cell>
        </row>
        <row r="107">
          <cell r="A107" t="str">
            <v>99Q2</v>
          </cell>
          <cell r="B107">
            <v>99</v>
          </cell>
          <cell r="C107" t="str">
            <v/>
          </cell>
          <cell r="E107" t="str">
            <v/>
          </cell>
          <cell r="H107">
            <v>0</v>
          </cell>
          <cell r="N107">
            <v>0</v>
          </cell>
          <cell r="S107">
            <v>0</v>
          </cell>
          <cell r="T107">
            <v>0</v>
          </cell>
        </row>
        <row r="108">
          <cell r="A108" t="str">
            <v>100Q2</v>
          </cell>
          <cell r="B108">
            <v>100</v>
          </cell>
          <cell r="C108" t="str">
            <v/>
          </cell>
          <cell r="E108" t="str">
            <v/>
          </cell>
          <cell r="H108">
            <v>0</v>
          </cell>
          <cell r="N108">
            <v>0</v>
          </cell>
          <cell r="S108">
            <v>0</v>
          </cell>
          <cell r="T108">
            <v>0</v>
          </cell>
        </row>
        <row r="109">
          <cell r="A109" t="str">
            <v>101Q2</v>
          </cell>
          <cell r="B109">
            <v>101</v>
          </cell>
          <cell r="C109" t="str">
            <v/>
          </cell>
          <cell r="E109" t="str">
            <v/>
          </cell>
          <cell r="H109">
            <v>0</v>
          </cell>
          <cell r="N109">
            <v>0</v>
          </cell>
          <cell r="S109">
            <v>0</v>
          </cell>
          <cell r="T109">
            <v>0</v>
          </cell>
        </row>
        <row r="110">
          <cell r="A110" t="str">
            <v>102Q2</v>
          </cell>
          <cell r="B110">
            <v>102</v>
          </cell>
          <cell r="C110" t="str">
            <v/>
          </cell>
          <cell r="E110" t="str">
            <v/>
          </cell>
          <cell r="H110">
            <v>0</v>
          </cell>
          <cell r="N110">
            <v>0</v>
          </cell>
          <cell r="S110">
            <v>0</v>
          </cell>
          <cell r="T110">
            <v>0</v>
          </cell>
        </row>
        <row r="111">
          <cell r="A111" t="str">
            <v>103Q2</v>
          </cell>
          <cell r="B111">
            <v>103</v>
          </cell>
          <cell r="C111" t="str">
            <v/>
          </cell>
          <cell r="E111" t="str">
            <v/>
          </cell>
          <cell r="H111">
            <v>0</v>
          </cell>
          <cell r="N111">
            <v>0</v>
          </cell>
          <cell r="S111">
            <v>0</v>
          </cell>
          <cell r="T111">
            <v>0</v>
          </cell>
        </row>
        <row r="112">
          <cell r="A112" t="str">
            <v>104Q2</v>
          </cell>
          <cell r="B112">
            <v>104</v>
          </cell>
          <cell r="C112" t="str">
            <v/>
          </cell>
          <cell r="E112" t="str">
            <v/>
          </cell>
          <cell r="H112">
            <v>0</v>
          </cell>
          <cell r="N112">
            <v>0</v>
          </cell>
          <cell r="S112">
            <v>0</v>
          </cell>
          <cell r="T112">
            <v>0</v>
          </cell>
        </row>
        <row r="113">
          <cell r="A113" t="str">
            <v>105Q2</v>
          </cell>
          <cell r="B113">
            <v>105</v>
          </cell>
          <cell r="C113" t="str">
            <v/>
          </cell>
          <cell r="E113" t="str">
            <v/>
          </cell>
          <cell r="H113">
            <v>0</v>
          </cell>
          <cell r="N113">
            <v>0</v>
          </cell>
          <cell r="S113">
            <v>0</v>
          </cell>
          <cell r="T113">
            <v>0</v>
          </cell>
        </row>
        <row r="114">
          <cell r="A114" t="str">
            <v>106Q2</v>
          </cell>
          <cell r="B114">
            <v>106</v>
          </cell>
          <cell r="C114" t="str">
            <v/>
          </cell>
          <cell r="E114" t="str">
            <v/>
          </cell>
          <cell r="H114">
            <v>0</v>
          </cell>
          <cell r="N114">
            <v>0</v>
          </cell>
          <cell r="S114">
            <v>0</v>
          </cell>
          <cell r="T114">
            <v>0</v>
          </cell>
        </row>
        <row r="115">
          <cell r="A115" t="str">
            <v>107Q2</v>
          </cell>
          <cell r="B115">
            <v>107</v>
          </cell>
          <cell r="C115" t="str">
            <v/>
          </cell>
          <cell r="E115" t="str">
            <v/>
          </cell>
          <cell r="H115">
            <v>0</v>
          </cell>
          <cell r="N115">
            <v>0</v>
          </cell>
          <cell r="S115">
            <v>0</v>
          </cell>
          <cell r="T115">
            <v>0</v>
          </cell>
        </row>
        <row r="116">
          <cell r="A116" t="str">
            <v>108Q2</v>
          </cell>
          <cell r="B116">
            <v>108</v>
          </cell>
          <cell r="C116" t="str">
            <v/>
          </cell>
          <cell r="E116" t="str">
            <v/>
          </cell>
          <cell r="H116">
            <v>0</v>
          </cell>
          <cell r="N116">
            <v>0</v>
          </cell>
          <cell r="S116">
            <v>0</v>
          </cell>
          <cell r="T116">
            <v>0</v>
          </cell>
        </row>
        <row r="117">
          <cell r="A117" t="str">
            <v>109Q2</v>
          </cell>
          <cell r="B117">
            <v>109</v>
          </cell>
          <cell r="C117" t="str">
            <v/>
          </cell>
          <cell r="E117" t="str">
            <v/>
          </cell>
          <cell r="H117">
            <v>0</v>
          </cell>
          <cell r="N117">
            <v>0</v>
          </cell>
          <cell r="S117">
            <v>0</v>
          </cell>
          <cell r="T117">
            <v>0</v>
          </cell>
        </row>
        <row r="118">
          <cell r="A118" t="str">
            <v>110Q2</v>
          </cell>
          <cell r="B118">
            <v>110</v>
          </cell>
          <cell r="C118" t="str">
            <v/>
          </cell>
          <cell r="E118" t="str">
            <v/>
          </cell>
          <cell r="H118">
            <v>0</v>
          </cell>
          <cell r="N118">
            <v>0</v>
          </cell>
          <cell r="S118">
            <v>0</v>
          </cell>
          <cell r="T118">
            <v>0</v>
          </cell>
        </row>
        <row r="119">
          <cell r="A119" t="str">
            <v>111Q2</v>
          </cell>
          <cell r="B119">
            <v>111</v>
          </cell>
          <cell r="C119" t="str">
            <v/>
          </cell>
          <cell r="E119" t="str">
            <v/>
          </cell>
          <cell r="H119">
            <v>0</v>
          </cell>
          <cell r="N119">
            <v>0</v>
          </cell>
          <cell r="S119">
            <v>0</v>
          </cell>
          <cell r="T119">
            <v>0</v>
          </cell>
        </row>
        <row r="120">
          <cell r="A120" t="str">
            <v>112Q2</v>
          </cell>
          <cell r="B120">
            <v>112</v>
          </cell>
          <cell r="C120" t="str">
            <v/>
          </cell>
          <cell r="E120" t="str">
            <v/>
          </cell>
          <cell r="H120">
            <v>0</v>
          </cell>
          <cell r="N120">
            <v>0</v>
          </cell>
          <cell r="S120">
            <v>0</v>
          </cell>
          <cell r="T120">
            <v>0</v>
          </cell>
        </row>
        <row r="121">
          <cell r="A121" t="str">
            <v>113Q2</v>
          </cell>
          <cell r="B121">
            <v>113</v>
          </cell>
          <cell r="C121" t="str">
            <v/>
          </cell>
          <cell r="E121" t="str">
            <v/>
          </cell>
          <cell r="H121">
            <v>0</v>
          </cell>
          <cell r="N121">
            <v>0</v>
          </cell>
          <cell r="S121">
            <v>0</v>
          </cell>
          <cell r="T121">
            <v>0</v>
          </cell>
        </row>
        <row r="122">
          <cell r="A122" t="str">
            <v>114Q2</v>
          </cell>
          <cell r="B122">
            <v>114</v>
          </cell>
          <cell r="C122" t="str">
            <v/>
          </cell>
          <cell r="E122" t="str">
            <v/>
          </cell>
          <cell r="H122">
            <v>0</v>
          </cell>
          <cell r="N122">
            <v>0</v>
          </cell>
          <cell r="S122">
            <v>0</v>
          </cell>
          <cell r="T122">
            <v>0</v>
          </cell>
        </row>
        <row r="123">
          <cell r="A123" t="str">
            <v>115Q2</v>
          </cell>
          <cell r="B123">
            <v>115</v>
          </cell>
          <cell r="C123" t="str">
            <v/>
          </cell>
          <cell r="E123" t="str">
            <v/>
          </cell>
          <cell r="H123">
            <v>0</v>
          </cell>
          <cell r="N123">
            <v>0</v>
          </cell>
          <cell r="S123">
            <v>0</v>
          </cell>
          <cell r="T123">
            <v>0</v>
          </cell>
        </row>
        <row r="124">
          <cell r="A124" t="str">
            <v>116Q2</v>
          </cell>
          <cell r="B124">
            <v>116</v>
          </cell>
          <cell r="C124" t="str">
            <v/>
          </cell>
          <cell r="E124" t="str">
            <v/>
          </cell>
          <cell r="H124">
            <v>0</v>
          </cell>
          <cell r="N124">
            <v>0</v>
          </cell>
          <cell r="S124">
            <v>0</v>
          </cell>
          <cell r="T124">
            <v>0</v>
          </cell>
        </row>
        <row r="125">
          <cell r="A125" t="str">
            <v>117Q2</v>
          </cell>
          <cell r="B125">
            <v>117</v>
          </cell>
          <cell r="C125" t="str">
            <v/>
          </cell>
          <cell r="E125" t="str">
            <v/>
          </cell>
          <cell r="H125">
            <v>0</v>
          </cell>
          <cell r="N125">
            <v>0</v>
          </cell>
          <cell r="S125">
            <v>0</v>
          </cell>
          <cell r="T125">
            <v>0</v>
          </cell>
        </row>
        <row r="126">
          <cell r="A126" t="str">
            <v>118Q2</v>
          </cell>
          <cell r="B126">
            <v>118</v>
          </cell>
          <cell r="C126" t="str">
            <v/>
          </cell>
          <cell r="E126" t="str">
            <v/>
          </cell>
          <cell r="H126">
            <v>0</v>
          </cell>
          <cell r="N126">
            <v>0</v>
          </cell>
          <cell r="S126">
            <v>0</v>
          </cell>
          <cell r="T126">
            <v>0</v>
          </cell>
        </row>
        <row r="127">
          <cell r="A127" t="str">
            <v>119Q2</v>
          </cell>
          <cell r="B127">
            <v>119</v>
          </cell>
          <cell r="C127" t="str">
            <v/>
          </cell>
          <cell r="E127" t="str">
            <v/>
          </cell>
          <cell r="H127">
            <v>0</v>
          </cell>
          <cell r="N127">
            <v>0</v>
          </cell>
          <cell r="S127">
            <v>0</v>
          </cell>
          <cell r="T127">
            <v>0</v>
          </cell>
        </row>
        <row r="128">
          <cell r="A128" t="str">
            <v>120Q2</v>
          </cell>
          <cell r="B128">
            <v>120</v>
          </cell>
          <cell r="C128" t="str">
            <v/>
          </cell>
          <cell r="E128" t="str">
            <v/>
          </cell>
          <cell r="H128">
            <v>0</v>
          </cell>
          <cell r="N128">
            <v>0</v>
          </cell>
          <cell r="S128">
            <v>0</v>
          </cell>
          <cell r="T128">
            <v>0</v>
          </cell>
        </row>
        <row r="129">
          <cell r="A129" t="str">
            <v>121Q2</v>
          </cell>
          <cell r="B129">
            <v>121</v>
          </cell>
          <cell r="C129" t="str">
            <v/>
          </cell>
          <cell r="E129" t="str">
            <v/>
          </cell>
          <cell r="H129">
            <v>0</v>
          </cell>
          <cell r="N129">
            <v>0</v>
          </cell>
          <cell r="S129">
            <v>0</v>
          </cell>
          <cell r="T129">
            <v>0</v>
          </cell>
        </row>
        <row r="130">
          <cell r="A130" t="str">
            <v>122Q2</v>
          </cell>
          <cell r="B130">
            <v>122</v>
          </cell>
          <cell r="C130" t="str">
            <v/>
          </cell>
          <cell r="E130" t="str">
            <v/>
          </cell>
          <cell r="H130">
            <v>0</v>
          </cell>
          <cell r="N130">
            <v>0</v>
          </cell>
          <cell r="S130">
            <v>0</v>
          </cell>
          <cell r="T130">
            <v>0</v>
          </cell>
        </row>
        <row r="131">
          <cell r="A131" t="str">
            <v>123Q2</v>
          </cell>
          <cell r="B131">
            <v>123</v>
          </cell>
          <cell r="C131" t="str">
            <v/>
          </cell>
          <cell r="E131" t="str">
            <v/>
          </cell>
          <cell r="H131">
            <v>0</v>
          </cell>
          <cell r="N131">
            <v>0</v>
          </cell>
          <cell r="S131">
            <v>0</v>
          </cell>
          <cell r="T131">
            <v>0</v>
          </cell>
        </row>
        <row r="132">
          <cell r="A132" t="str">
            <v>124Q2</v>
          </cell>
          <cell r="B132">
            <v>124</v>
          </cell>
          <cell r="C132" t="str">
            <v/>
          </cell>
          <cell r="E132" t="str">
            <v/>
          </cell>
          <cell r="H132">
            <v>0</v>
          </cell>
          <cell r="N132">
            <v>0</v>
          </cell>
          <cell r="S132">
            <v>0</v>
          </cell>
          <cell r="T132">
            <v>0</v>
          </cell>
        </row>
        <row r="133">
          <cell r="A133" t="str">
            <v>125Q2</v>
          </cell>
          <cell r="B133">
            <v>125</v>
          </cell>
          <cell r="C133" t="str">
            <v/>
          </cell>
          <cell r="E133" t="str">
            <v/>
          </cell>
          <cell r="H133">
            <v>0</v>
          </cell>
          <cell r="N133">
            <v>0</v>
          </cell>
          <cell r="S133">
            <v>0</v>
          </cell>
          <cell r="T133">
            <v>0</v>
          </cell>
        </row>
        <row r="134">
          <cell r="A134" t="str">
            <v>126Q2</v>
          </cell>
          <cell r="B134">
            <v>126</v>
          </cell>
          <cell r="C134" t="str">
            <v/>
          </cell>
          <cell r="E134" t="str">
            <v/>
          </cell>
          <cell r="H134">
            <v>0</v>
          </cell>
          <cell r="N134">
            <v>0</v>
          </cell>
          <cell r="S134">
            <v>0</v>
          </cell>
          <cell r="T134">
            <v>0</v>
          </cell>
        </row>
        <row r="135">
          <cell r="A135" t="str">
            <v>127Q2</v>
          </cell>
          <cell r="B135">
            <v>127</v>
          </cell>
          <cell r="C135" t="str">
            <v/>
          </cell>
          <cell r="E135" t="str">
            <v/>
          </cell>
          <cell r="H135">
            <v>0</v>
          </cell>
          <cell r="N135">
            <v>0</v>
          </cell>
          <cell r="S135">
            <v>0</v>
          </cell>
          <cell r="T135">
            <v>0</v>
          </cell>
        </row>
        <row r="136">
          <cell r="A136" t="str">
            <v>128Q2</v>
          </cell>
          <cell r="B136">
            <v>128</v>
          </cell>
          <cell r="C136" t="str">
            <v/>
          </cell>
          <cell r="E136" t="str">
            <v/>
          </cell>
          <cell r="H136">
            <v>0</v>
          </cell>
          <cell r="N136">
            <v>0</v>
          </cell>
          <cell r="S136">
            <v>0</v>
          </cell>
          <cell r="T136">
            <v>0</v>
          </cell>
        </row>
        <row r="137">
          <cell r="A137" t="str">
            <v>129Q2</v>
          </cell>
          <cell r="B137">
            <v>129</v>
          </cell>
          <cell r="C137" t="str">
            <v/>
          </cell>
          <cell r="E137" t="str">
            <v/>
          </cell>
          <cell r="H137">
            <v>0</v>
          </cell>
          <cell r="N137">
            <v>0</v>
          </cell>
          <cell r="S137">
            <v>0</v>
          </cell>
          <cell r="T137">
            <v>0</v>
          </cell>
        </row>
        <row r="138">
          <cell r="A138" t="str">
            <v>130Q2</v>
          </cell>
          <cell r="B138">
            <v>130</v>
          </cell>
          <cell r="C138" t="str">
            <v/>
          </cell>
          <cell r="E138" t="str">
            <v/>
          </cell>
          <cell r="H138">
            <v>0</v>
          </cell>
          <cell r="N138">
            <v>0</v>
          </cell>
          <cell r="S138">
            <v>0</v>
          </cell>
          <cell r="T138">
            <v>0</v>
          </cell>
        </row>
        <row r="139">
          <cell r="A139" t="str">
            <v>131Q2</v>
          </cell>
          <cell r="B139">
            <v>131</v>
          </cell>
          <cell r="C139" t="str">
            <v/>
          </cell>
          <cell r="E139" t="str">
            <v/>
          </cell>
          <cell r="H139">
            <v>0</v>
          </cell>
          <cell r="N139">
            <v>0</v>
          </cell>
          <cell r="S139">
            <v>0</v>
          </cell>
          <cell r="T139">
            <v>0</v>
          </cell>
        </row>
        <row r="140">
          <cell r="A140" t="str">
            <v>132Q2</v>
          </cell>
          <cell r="B140">
            <v>132</v>
          </cell>
          <cell r="C140" t="str">
            <v/>
          </cell>
          <cell r="E140" t="str">
            <v/>
          </cell>
          <cell r="H140">
            <v>0</v>
          </cell>
          <cell r="N140">
            <v>0</v>
          </cell>
          <cell r="S140">
            <v>0</v>
          </cell>
          <cell r="T140">
            <v>0</v>
          </cell>
        </row>
        <row r="141">
          <cell r="A141" t="str">
            <v>133Q2</v>
          </cell>
          <cell r="B141">
            <v>133</v>
          </cell>
          <cell r="C141" t="str">
            <v/>
          </cell>
          <cell r="E141" t="str">
            <v/>
          </cell>
          <cell r="H141">
            <v>0</v>
          </cell>
          <cell r="N141">
            <v>0</v>
          </cell>
          <cell r="S141">
            <v>0</v>
          </cell>
          <cell r="T141">
            <v>0</v>
          </cell>
        </row>
        <row r="142">
          <cell r="A142" t="str">
            <v>134Q2</v>
          </cell>
          <cell r="B142">
            <v>134</v>
          </cell>
          <cell r="C142" t="str">
            <v/>
          </cell>
          <cell r="E142" t="str">
            <v/>
          </cell>
          <cell r="H142">
            <v>0</v>
          </cell>
          <cell r="N142">
            <v>0</v>
          </cell>
          <cell r="S142">
            <v>0</v>
          </cell>
          <cell r="T142">
            <v>0</v>
          </cell>
        </row>
        <row r="143">
          <cell r="A143" t="str">
            <v>135Q2</v>
          </cell>
          <cell r="B143">
            <v>135</v>
          </cell>
          <cell r="C143" t="str">
            <v/>
          </cell>
          <cell r="E143" t="str">
            <v/>
          </cell>
          <cell r="H143">
            <v>0</v>
          </cell>
          <cell r="N143">
            <v>0</v>
          </cell>
          <cell r="S143">
            <v>0</v>
          </cell>
          <cell r="T143">
            <v>0</v>
          </cell>
        </row>
        <row r="144">
          <cell r="A144" t="str">
            <v>136Q2</v>
          </cell>
          <cell r="B144">
            <v>136</v>
          </cell>
          <cell r="C144" t="str">
            <v/>
          </cell>
          <cell r="E144" t="str">
            <v/>
          </cell>
          <cell r="H144">
            <v>0</v>
          </cell>
          <cell r="N144">
            <v>0</v>
          </cell>
          <cell r="S144">
            <v>0</v>
          </cell>
          <cell r="T144">
            <v>0</v>
          </cell>
        </row>
        <row r="145">
          <cell r="A145" t="str">
            <v>137Q2</v>
          </cell>
          <cell r="B145">
            <v>137</v>
          </cell>
          <cell r="C145" t="str">
            <v/>
          </cell>
          <cell r="E145" t="str">
            <v/>
          </cell>
          <cell r="H145">
            <v>0</v>
          </cell>
          <cell r="N145">
            <v>0</v>
          </cell>
          <cell r="S145">
            <v>0</v>
          </cell>
          <cell r="T145">
            <v>0</v>
          </cell>
        </row>
        <row r="146">
          <cell r="A146" t="str">
            <v>138Q2</v>
          </cell>
          <cell r="B146">
            <v>138</v>
          </cell>
          <cell r="C146" t="str">
            <v/>
          </cell>
          <cell r="E146" t="str">
            <v/>
          </cell>
          <cell r="H146">
            <v>0</v>
          </cell>
          <cell r="N146">
            <v>0</v>
          </cell>
          <cell r="S146">
            <v>0</v>
          </cell>
          <cell r="T146">
            <v>0</v>
          </cell>
        </row>
        <row r="147">
          <cell r="A147" t="str">
            <v>139Q2</v>
          </cell>
          <cell r="B147">
            <v>139</v>
          </cell>
          <cell r="C147" t="str">
            <v/>
          </cell>
          <cell r="E147" t="str">
            <v/>
          </cell>
          <cell r="H147">
            <v>0</v>
          </cell>
          <cell r="N147">
            <v>0</v>
          </cell>
          <cell r="S147">
            <v>0</v>
          </cell>
          <cell r="T147">
            <v>0</v>
          </cell>
        </row>
        <row r="148">
          <cell r="A148" t="str">
            <v>140Q2</v>
          </cell>
          <cell r="B148">
            <v>140</v>
          </cell>
          <cell r="C148" t="str">
            <v/>
          </cell>
          <cell r="E148" t="str">
            <v/>
          </cell>
          <cell r="H148">
            <v>0</v>
          </cell>
          <cell r="N148">
            <v>0</v>
          </cell>
          <cell r="S148">
            <v>0</v>
          </cell>
          <cell r="T148">
            <v>0</v>
          </cell>
        </row>
        <row r="149">
          <cell r="A149" t="str">
            <v>141Q2</v>
          </cell>
          <cell r="B149">
            <v>141</v>
          </cell>
          <cell r="C149" t="str">
            <v/>
          </cell>
          <cell r="E149" t="str">
            <v/>
          </cell>
          <cell r="H149">
            <v>0</v>
          </cell>
          <cell r="N149">
            <v>0</v>
          </cell>
          <cell r="S149">
            <v>0</v>
          </cell>
          <cell r="T149">
            <v>0</v>
          </cell>
        </row>
        <row r="150">
          <cell r="A150" t="str">
            <v>142Q2</v>
          </cell>
          <cell r="B150">
            <v>142</v>
          </cell>
          <cell r="C150" t="str">
            <v/>
          </cell>
          <cell r="E150" t="str">
            <v/>
          </cell>
          <cell r="H150">
            <v>0</v>
          </cell>
          <cell r="N150">
            <v>0</v>
          </cell>
          <cell r="S150">
            <v>0</v>
          </cell>
          <cell r="T150">
            <v>0</v>
          </cell>
        </row>
        <row r="151">
          <cell r="A151" t="str">
            <v>143Q2</v>
          </cell>
          <cell r="B151">
            <v>143</v>
          </cell>
          <cell r="C151" t="str">
            <v/>
          </cell>
          <cell r="E151" t="str">
            <v/>
          </cell>
          <cell r="H151">
            <v>0</v>
          </cell>
          <cell r="N151">
            <v>0</v>
          </cell>
          <cell r="S151">
            <v>0</v>
          </cell>
          <cell r="T151">
            <v>0</v>
          </cell>
        </row>
        <row r="152">
          <cell r="A152" t="str">
            <v>144Q2</v>
          </cell>
          <cell r="B152">
            <v>144</v>
          </cell>
          <cell r="C152" t="str">
            <v/>
          </cell>
          <cell r="E152" t="str">
            <v/>
          </cell>
          <cell r="H152">
            <v>0</v>
          </cell>
          <cell r="N152">
            <v>0</v>
          </cell>
          <cell r="S152">
            <v>0</v>
          </cell>
          <cell r="T152">
            <v>0</v>
          </cell>
        </row>
        <row r="153">
          <cell r="A153" t="str">
            <v>145Q2</v>
          </cell>
          <cell r="B153">
            <v>145</v>
          </cell>
          <cell r="C153" t="str">
            <v/>
          </cell>
          <cell r="E153" t="str">
            <v/>
          </cell>
          <cell r="H153">
            <v>0</v>
          </cell>
          <cell r="N153">
            <v>0</v>
          </cell>
          <cell r="S153">
            <v>0</v>
          </cell>
          <cell r="T153">
            <v>0</v>
          </cell>
        </row>
        <row r="154">
          <cell r="A154" t="str">
            <v>146Q2</v>
          </cell>
          <cell r="B154">
            <v>146</v>
          </cell>
          <cell r="C154" t="str">
            <v/>
          </cell>
          <cell r="E154" t="str">
            <v/>
          </cell>
          <cell r="H154">
            <v>0</v>
          </cell>
          <cell r="N154">
            <v>0</v>
          </cell>
          <cell r="S154">
            <v>0</v>
          </cell>
          <cell r="T154">
            <v>0</v>
          </cell>
        </row>
        <row r="155">
          <cell r="A155" t="str">
            <v>147Q2</v>
          </cell>
          <cell r="B155">
            <v>147</v>
          </cell>
          <cell r="C155" t="str">
            <v/>
          </cell>
          <cell r="E155" t="str">
            <v/>
          </cell>
          <cell r="H155">
            <v>0</v>
          </cell>
          <cell r="N155">
            <v>0</v>
          </cell>
          <cell r="S155">
            <v>0</v>
          </cell>
          <cell r="T155">
            <v>0</v>
          </cell>
        </row>
        <row r="156">
          <cell r="A156" t="str">
            <v>148Q2</v>
          </cell>
          <cell r="B156">
            <v>148</v>
          </cell>
          <cell r="C156" t="str">
            <v/>
          </cell>
          <cell r="E156" t="str">
            <v/>
          </cell>
          <cell r="H156">
            <v>0</v>
          </cell>
          <cell r="N156">
            <v>0</v>
          </cell>
          <cell r="S156">
            <v>0</v>
          </cell>
          <cell r="T156">
            <v>0</v>
          </cell>
        </row>
        <row r="157">
          <cell r="A157" t="str">
            <v>149Q2</v>
          </cell>
          <cell r="B157">
            <v>149</v>
          </cell>
          <cell r="C157" t="str">
            <v/>
          </cell>
          <cell r="E157" t="str">
            <v/>
          </cell>
          <cell r="H157">
            <v>0</v>
          </cell>
          <cell r="N157">
            <v>0</v>
          </cell>
          <cell r="S157">
            <v>0</v>
          </cell>
          <cell r="T157">
            <v>0</v>
          </cell>
        </row>
        <row r="158">
          <cell r="A158" t="str">
            <v>150Q2</v>
          </cell>
          <cell r="B158">
            <v>150</v>
          </cell>
          <cell r="C158" t="str">
            <v/>
          </cell>
          <cell r="E158" t="str">
            <v/>
          </cell>
          <cell r="H158">
            <v>0</v>
          </cell>
          <cell r="N158">
            <v>0</v>
          </cell>
          <cell r="S158">
            <v>0</v>
          </cell>
          <cell r="T158">
            <v>0</v>
          </cell>
        </row>
        <row r="159">
          <cell r="A159" t="str">
            <v>151Q2</v>
          </cell>
          <cell r="B159">
            <v>151</v>
          </cell>
          <cell r="C159" t="str">
            <v/>
          </cell>
          <cell r="E159" t="str">
            <v/>
          </cell>
          <cell r="H159">
            <v>0</v>
          </cell>
          <cell r="N159">
            <v>0</v>
          </cell>
          <cell r="S159">
            <v>0</v>
          </cell>
          <cell r="T159">
            <v>0</v>
          </cell>
        </row>
        <row r="160">
          <cell r="A160" t="str">
            <v>152Q2</v>
          </cell>
          <cell r="B160">
            <v>152</v>
          </cell>
          <cell r="C160" t="str">
            <v/>
          </cell>
          <cell r="E160" t="str">
            <v/>
          </cell>
          <cell r="H160">
            <v>0</v>
          </cell>
          <cell r="N160">
            <v>0</v>
          </cell>
          <cell r="S160">
            <v>0</v>
          </cell>
          <cell r="T160">
            <v>0</v>
          </cell>
        </row>
        <row r="161">
          <cell r="A161" t="str">
            <v>153Q2</v>
          </cell>
          <cell r="B161">
            <v>153</v>
          </cell>
          <cell r="C161" t="str">
            <v/>
          </cell>
          <cell r="E161" t="str">
            <v/>
          </cell>
          <cell r="H161">
            <v>0</v>
          </cell>
          <cell r="N161">
            <v>0</v>
          </cell>
          <cell r="S161">
            <v>0</v>
          </cell>
          <cell r="T161">
            <v>0</v>
          </cell>
        </row>
        <row r="162">
          <cell r="A162" t="str">
            <v>154Q2</v>
          </cell>
          <cell r="B162">
            <v>154</v>
          </cell>
          <cell r="C162" t="str">
            <v/>
          </cell>
          <cell r="E162" t="str">
            <v/>
          </cell>
          <cell r="H162">
            <v>0</v>
          </cell>
          <cell r="N162">
            <v>0</v>
          </cell>
          <cell r="S162">
            <v>0</v>
          </cell>
          <cell r="T162">
            <v>0</v>
          </cell>
        </row>
        <row r="163">
          <cell r="A163" t="str">
            <v>155Q2</v>
          </cell>
          <cell r="B163">
            <v>155</v>
          </cell>
          <cell r="C163" t="str">
            <v/>
          </cell>
          <cell r="E163" t="str">
            <v/>
          </cell>
          <cell r="H163">
            <v>0</v>
          </cell>
          <cell r="N163">
            <v>0</v>
          </cell>
          <cell r="S163">
            <v>0</v>
          </cell>
          <cell r="T163">
            <v>0</v>
          </cell>
        </row>
        <row r="164">
          <cell r="A164" t="str">
            <v>156Q2</v>
          </cell>
          <cell r="B164">
            <v>156</v>
          </cell>
          <cell r="C164" t="str">
            <v/>
          </cell>
          <cell r="E164" t="str">
            <v/>
          </cell>
          <cell r="H164">
            <v>0</v>
          </cell>
          <cell r="N164">
            <v>0</v>
          </cell>
          <cell r="S164">
            <v>0</v>
          </cell>
          <cell r="T164">
            <v>0</v>
          </cell>
        </row>
        <row r="165">
          <cell r="A165" t="str">
            <v>157Q2</v>
          </cell>
          <cell r="B165">
            <v>157</v>
          </cell>
          <cell r="C165" t="str">
            <v/>
          </cell>
          <cell r="E165" t="str">
            <v/>
          </cell>
          <cell r="H165">
            <v>0</v>
          </cell>
          <cell r="N165">
            <v>0</v>
          </cell>
          <cell r="S165">
            <v>0</v>
          </cell>
          <cell r="T165">
            <v>0</v>
          </cell>
        </row>
        <row r="166">
          <cell r="A166" t="str">
            <v>158Q2</v>
          </cell>
          <cell r="B166">
            <v>158</v>
          </cell>
          <cell r="C166" t="str">
            <v/>
          </cell>
          <cell r="E166" t="str">
            <v/>
          </cell>
          <cell r="H166">
            <v>0</v>
          </cell>
          <cell r="N166">
            <v>0</v>
          </cell>
          <cell r="S166">
            <v>0</v>
          </cell>
          <cell r="T166">
            <v>0</v>
          </cell>
        </row>
        <row r="167">
          <cell r="A167" t="str">
            <v>159Q2</v>
          </cell>
          <cell r="B167">
            <v>159</v>
          </cell>
          <cell r="C167" t="str">
            <v/>
          </cell>
          <cell r="E167" t="str">
            <v/>
          </cell>
          <cell r="H167">
            <v>0</v>
          </cell>
          <cell r="N167">
            <v>0</v>
          </cell>
          <cell r="S167">
            <v>0</v>
          </cell>
          <cell r="T167">
            <v>0</v>
          </cell>
        </row>
        <row r="168">
          <cell r="A168" t="str">
            <v>160Q2</v>
          </cell>
          <cell r="B168">
            <v>160</v>
          </cell>
          <cell r="C168" t="str">
            <v/>
          </cell>
          <cell r="E168" t="str">
            <v/>
          </cell>
          <cell r="H168">
            <v>0</v>
          </cell>
          <cell r="N168">
            <v>0</v>
          </cell>
          <cell r="S168">
            <v>0</v>
          </cell>
          <cell r="T168">
            <v>0</v>
          </cell>
        </row>
        <row r="169">
          <cell r="A169" t="str">
            <v>161Q2</v>
          </cell>
          <cell r="B169">
            <v>161</v>
          </cell>
          <cell r="C169" t="str">
            <v/>
          </cell>
          <cell r="E169" t="str">
            <v/>
          </cell>
          <cell r="H169">
            <v>0</v>
          </cell>
          <cell r="N169">
            <v>0</v>
          </cell>
          <cell r="S169">
            <v>0</v>
          </cell>
          <cell r="T169">
            <v>0</v>
          </cell>
        </row>
        <row r="170">
          <cell r="A170" t="str">
            <v>162Q2</v>
          </cell>
          <cell r="B170">
            <v>162</v>
          </cell>
          <cell r="C170" t="str">
            <v/>
          </cell>
          <cell r="E170" t="str">
            <v/>
          </cell>
          <cell r="H170">
            <v>0</v>
          </cell>
          <cell r="N170">
            <v>0</v>
          </cell>
          <cell r="S170">
            <v>0</v>
          </cell>
          <cell r="T170">
            <v>0</v>
          </cell>
        </row>
        <row r="171">
          <cell r="A171" t="str">
            <v>163Q2</v>
          </cell>
          <cell r="B171">
            <v>163</v>
          </cell>
          <cell r="C171" t="str">
            <v/>
          </cell>
          <cell r="E171" t="str">
            <v/>
          </cell>
          <cell r="H171">
            <v>0</v>
          </cell>
          <cell r="N171">
            <v>0</v>
          </cell>
          <cell r="S171">
            <v>0</v>
          </cell>
          <cell r="T171">
            <v>0</v>
          </cell>
        </row>
        <row r="172">
          <cell r="A172" t="str">
            <v>164Q2</v>
          </cell>
          <cell r="B172">
            <v>164</v>
          </cell>
          <cell r="C172" t="str">
            <v/>
          </cell>
          <cell r="E172" t="str">
            <v/>
          </cell>
          <cell r="H172">
            <v>0</v>
          </cell>
          <cell r="N172">
            <v>0</v>
          </cell>
          <cell r="S172">
            <v>0</v>
          </cell>
          <cell r="T172">
            <v>0</v>
          </cell>
        </row>
        <row r="173">
          <cell r="A173" t="str">
            <v>165Q2</v>
          </cell>
          <cell r="B173">
            <v>165</v>
          </cell>
          <cell r="C173" t="str">
            <v/>
          </cell>
          <cell r="E173" t="str">
            <v/>
          </cell>
          <cell r="H173">
            <v>0</v>
          </cell>
          <cell r="N173">
            <v>0</v>
          </cell>
          <cell r="S173">
            <v>0</v>
          </cell>
          <cell r="T173">
            <v>0</v>
          </cell>
        </row>
        <row r="174">
          <cell r="A174" t="str">
            <v>166Q2</v>
          </cell>
          <cell r="B174">
            <v>166</v>
          </cell>
          <cell r="C174" t="str">
            <v/>
          </cell>
          <cell r="E174" t="str">
            <v/>
          </cell>
          <cell r="H174">
            <v>0</v>
          </cell>
          <cell r="N174">
            <v>0</v>
          </cell>
          <cell r="S174">
            <v>0</v>
          </cell>
          <cell r="T174">
            <v>0</v>
          </cell>
        </row>
        <row r="175">
          <cell r="A175" t="str">
            <v>167Q2</v>
          </cell>
          <cell r="B175">
            <v>167</v>
          </cell>
          <cell r="C175" t="str">
            <v/>
          </cell>
          <cell r="E175" t="str">
            <v/>
          </cell>
          <cell r="H175">
            <v>0</v>
          </cell>
          <cell r="N175">
            <v>0</v>
          </cell>
          <cell r="S175">
            <v>0</v>
          </cell>
          <cell r="T175">
            <v>0</v>
          </cell>
        </row>
        <row r="176">
          <cell r="A176" t="str">
            <v>168Q2</v>
          </cell>
          <cell r="B176">
            <v>168</v>
          </cell>
          <cell r="C176" t="str">
            <v/>
          </cell>
          <cell r="E176" t="str">
            <v/>
          </cell>
          <cell r="H176">
            <v>0</v>
          </cell>
          <cell r="N176">
            <v>0</v>
          </cell>
          <cell r="S176">
            <v>0</v>
          </cell>
          <cell r="T176">
            <v>0</v>
          </cell>
        </row>
        <row r="177">
          <cell r="A177" t="str">
            <v>169Q2</v>
          </cell>
          <cell r="B177">
            <v>169</v>
          </cell>
          <cell r="C177" t="str">
            <v/>
          </cell>
          <cell r="E177" t="str">
            <v/>
          </cell>
          <cell r="H177">
            <v>0</v>
          </cell>
          <cell r="N177">
            <v>0</v>
          </cell>
          <cell r="S177">
            <v>0</v>
          </cell>
          <cell r="T177">
            <v>0</v>
          </cell>
        </row>
        <row r="178">
          <cell r="A178" t="str">
            <v>170Q2</v>
          </cell>
          <cell r="B178">
            <v>170</v>
          </cell>
          <cell r="C178" t="str">
            <v/>
          </cell>
          <cell r="E178" t="str">
            <v/>
          </cell>
          <cell r="H178">
            <v>0</v>
          </cell>
          <cell r="N178">
            <v>0</v>
          </cell>
          <cell r="S178">
            <v>0</v>
          </cell>
          <cell r="T178">
            <v>0</v>
          </cell>
        </row>
        <row r="179">
          <cell r="A179" t="str">
            <v>171Q2</v>
          </cell>
          <cell r="B179">
            <v>171</v>
          </cell>
          <cell r="C179" t="str">
            <v/>
          </cell>
          <cell r="E179" t="str">
            <v/>
          </cell>
          <cell r="H179">
            <v>0</v>
          </cell>
          <cell r="N179">
            <v>0</v>
          </cell>
          <cell r="S179">
            <v>0</v>
          </cell>
          <cell r="T179">
            <v>0</v>
          </cell>
        </row>
        <row r="180">
          <cell r="A180" t="str">
            <v>172Q2</v>
          </cell>
          <cell r="B180">
            <v>172</v>
          </cell>
          <cell r="C180" t="str">
            <v/>
          </cell>
          <cell r="E180" t="str">
            <v/>
          </cell>
          <cell r="H180">
            <v>0</v>
          </cell>
          <cell r="N180">
            <v>0</v>
          </cell>
          <cell r="S180">
            <v>0</v>
          </cell>
          <cell r="T180">
            <v>0</v>
          </cell>
        </row>
        <row r="181">
          <cell r="A181" t="str">
            <v>173Q2</v>
          </cell>
          <cell r="B181">
            <v>173</v>
          </cell>
          <cell r="C181" t="str">
            <v/>
          </cell>
          <cell r="E181" t="str">
            <v/>
          </cell>
          <cell r="H181">
            <v>0</v>
          </cell>
          <cell r="N181">
            <v>0</v>
          </cell>
          <cell r="S181">
            <v>0</v>
          </cell>
          <cell r="T181">
            <v>0</v>
          </cell>
        </row>
        <row r="182">
          <cell r="A182" t="str">
            <v>174Q2</v>
          </cell>
          <cell r="B182">
            <v>174</v>
          </cell>
          <cell r="C182" t="str">
            <v/>
          </cell>
          <cell r="E182" t="str">
            <v/>
          </cell>
          <cell r="H182">
            <v>0</v>
          </cell>
          <cell r="N182">
            <v>0</v>
          </cell>
          <cell r="S182">
            <v>0</v>
          </cell>
          <cell r="T182">
            <v>0</v>
          </cell>
        </row>
        <row r="183">
          <cell r="A183" t="str">
            <v>175Q2</v>
          </cell>
          <cell r="B183">
            <v>175</v>
          </cell>
          <cell r="C183" t="str">
            <v/>
          </cell>
          <cell r="E183" t="str">
            <v/>
          </cell>
          <cell r="H183">
            <v>0</v>
          </cell>
          <cell r="N183">
            <v>0</v>
          </cell>
          <cell r="S183">
            <v>0</v>
          </cell>
          <cell r="T183">
            <v>0</v>
          </cell>
        </row>
        <row r="184">
          <cell r="A184" t="str">
            <v>176Q2</v>
          </cell>
          <cell r="B184">
            <v>176</v>
          </cell>
          <cell r="C184" t="str">
            <v/>
          </cell>
          <cell r="E184" t="str">
            <v/>
          </cell>
          <cell r="H184">
            <v>0</v>
          </cell>
          <cell r="N184">
            <v>0</v>
          </cell>
          <cell r="S184">
            <v>0</v>
          </cell>
          <cell r="T184">
            <v>0</v>
          </cell>
        </row>
        <row r="185">
          <cell r="A185" t="str">
            <v>177Q2</v>
          </cell>
          <cell r="B185">
            <v>177</v>
          </cell>
          <cell r="C185" t="str">
            <v/>
          </cell>
          <cell r="E185" t="str">
            <v/>
          </cell>
          <cell r="H185">
            <v>0</v>
          </cell>
          <cell r="N185">
            <v>0</v>
          </cell>
          <cell r="S185">
            <v>0</v>
          </cell>
          <cell r="T185">
            <v>0</v>
          </cell>
        </row>
        <row r="186">
          <cell r="A186" t="str">
            <v>178Q2</v>
          </cell>
          <cell r="B186">
            <v>178</v>
          </cell>
          <cell r="C186" t="str">
            <v/>
          </cell>
          <cell r="E186" t="str">
            <v/>
          </cell>
          <cell r="H186">
            <v>0</v>
          </cell>
          <cell r="N186">
            <v>0</v>
          </cell>
          <cell r="S186">
            <v>0</v>
          </cell>
          <cell r="T186">
            <v>0</v>
          </cell>
        </row>
        <row r="187">
          <cell r="A187" t="str">
            <v>179Q2</v>
          </cell>
          <cell r="B187">
            <v>179</v>
          </cell>
          <cell r="C187" t="str">
            <v/>
          </cell>
          <cell r="E187" t="str">
            <v/>
          </cell>
          <cell r="H187">
            <v>0</v>
          </cell>
          <cell r="N187">
            <v>0</v>
          </cell>
          <cell r="S187">
            <v>0</v>
          </cell>
          <cell r="T187">
            <v>0</v>
          </cell>
        </row>
        <row r="188">
          <cell r="A188" t="str">
            <v>180Q2</v>
          </cell>
          <cell r="B188">
            <v>180</v>
          </cell>
          <cell r="C188" t="str">
            <v/>
          </cell>
          <cell r="E188" t="str">
            <v/>
          </cell>
          <cell r="H188">
            <v>0</v>
          </cell>
          <cell r="N188">
            <v>0</v>
          </cell>
          <cell r="S188">
            <v>0</v>
          </cell>
          <cell r="T188">
            <v>0</v>
          </cell>
        </row>
        <row r="189">
          <cell r="A189" t="str">
            <v>181Q2</v>
          </cell>
          <cell r="B189">
            <v>181</v>
          </cell>
          <cell r="C189" t="str">
            <v/>
          </cell>
          <cell r="E189" t="str">
            <v/>
          </cell>
          <cell r="H189">
            <v>0</v>
          </cell>
          <cell r="N189">
            <v>0</v>
          </cell>
          <cell r="S189">
            <v>0</v>
          </cell>
          <cell r="T189">
            <v>0</v>
          </cell>
        </row>
        <row r="190">
          <cell r="A190" t="str">
            <v>182Q2</v>
          </cell>
          <cell r="B190">
            <v>182</v>
          </cell>
          <cell r="C190" t="str">
            <v/>
          </cell>
          <cell r="E190" t="str">
            <v/>
          </cell>
          <cell r="H190">
            <v>0</v>
          </cell>
          <cell r="N190">
            <v>0</v>
          </cell>
          <cell r="S190">
            <v>0</v>
          </cell>
          <cell r="T190">
            <v>0</v>
          </cell>
        </row>
        <row r="191">
          <cell r="A191" t="str">
            <v>183Q2</v>
          </cell>
          <cell r="B191">
            <v>183</v>
          </cell>
          <cell r="C191" t="str">
            <v/>
          </cell>
          <cell r="E191" t="str">
            <v/>
          </cell>
          <cell r="H191">
            <v>0</v>
          </cell>
          <cell r="N191">
            <v>0</v>
          </cell>
          <cell r="S191">
            <v>0</v>
          </cell>
          <cell r="T191">
            <v>0</v>
          </cell>
        </row>
        <row r="192">
          <cell r="A192" t="str">
            <v>184Q2</v>
          </cell>
          <cell r="B192">
            <v>184</v>
          </cell>
          <cell r="C192" t="str">
            <v/>
          </cell>
          <cell r="E192" t="str">
            <v/>
          </cell>
          <cell r="H192">
            <v>0</v>
          </cell>
          <cell r="N192">
            <v>0</v>
          </cell>
          <cell r="S192">
            <v>0</v>
          </cell>
          <cell r="T192">
            <v>0</v>
          </cell>
        </row>
        <row r="193">
          <cell r="A193" t="str">
            <v>185Q2</v>
          </cell>
          <cell r="B193">
            <v>185</v>
          </cell>
          <cell r="C193" t="str">
            <v/>
          </cell>
          <cell r="E193" t="str">
            <v/>
          </cell>
          <cell r="H193">
            <v>0</v>
          </cell>
          <cell r="N193">
            <v>0</v>
          </cell>
          <cell r="S193">
            <v>0</v>
          </cell>
          <cell r="T193">
            <v>0</v>
          </cell>
        </row>
        <row r="194">
          <cell r="A194" t="str">
            <v>186Q2</v>
          </cell>
          <cell r="B194">
            <v>186</v>
          </cell>
          <cell r="C194" t="str">
            <v/>
          </cell>
          <cell r="E194" t="str">
            <v/>
          </cell>
          <cell r="H194">
            <v>0</v>
          </cell>
          <cell r="N194">
            <v>0</v>
          </cell>
          <cell r="S194">
            <v>0</v>
          </cell>
          <cell r="T194">
            <v>0</v>
          </cell>
        </row>
        <row r="195">
          <cell r="A195" t="str">
            <v>187Q2</v>
          </cell>
          <cell r="B195">
            <v>187</v>
          </cell>
          <cell r="C195" t="str">
            <v/>
          </cell>
          <cell r="E195" t="str">
            <v/>
          </cell>
          <cell r="H195">
            <v>0</v>
          </cell>
          <cell r="N195">
            <v>0</v>
          </cell>
          <cell r="S195">
            <v>0</v>
          </cell>
          <cell r="T195">
            <v>0</v>
          </cell>
        </row>
        <row r="196">
          <cell r="A196" t="str">
            <v>188Q2</v>
          </cell>
          <cell r="B196">
            <v>188</v>
          </cell>
          <cell r="C196" t="str">
            <v/>
          </cell>
          <cell r="E196" t="str">
            <v/>
          </cell>
          <cell r="H196">
            <v>0</v>
          </cell>
          <cell r="N196">
            <v>0</v>
          </cell>
          <cell r="S196">
            <v>0</v>
          </cell>
          <cell r="T196">
            <v>0</v>
          </cell>
        </row>
        <row r="197">
          <cell r="A197" t="str">
            <v>189Q2</v>
          </cell>
          <cell r="B197">
            <v>189</v>
          </cell>
          <cell r="C197" t="str">
            <v/>
          </cell>
          <cell r="E197" t="str">
            <v/>
          </cell>
          <cell r="H197">
            <v>0</v>
          </cell>
          <cell r="N197">
            <v>0</v>
          </cell>
          <cell r="S197">
            <v>0</v>
          </cell>
          <cell r="T197">
            <v>0</v>
          </cell>
        </row>
        <row r="198">
          <cell r="A198" t="str">
            <v>190Q2</v>
          </cell>
          <cell r="B198">
            <v>190</v>
          </cell>
          <cell r="C198" t="str">
            <v/>
          </cell>
          <cell r="E198" t="str">
            <v/>
          </cell>
          <cell r="H198">
            <v>0</v>
          </cell>
          <cell r="N198">
            <v>0</v>
          </cell>
          <cell r="S198">
            <v>0</v>
          </cell>
          <cell r="T198">
            <v>0</v>
          </cell>
        </row>
        <row r="199">
          <cell r="A199" t="str">
            <v>191Q2</v>
          </cell>
          <cell r="B199">
            <v>191</v>
          </cell>
          <cell r="C199" t="str">
            <v/>
          </cell>
          <cell r="E199" t="str">
            <v/>
          </cell>
          <cell r="H199">
            <v>0</v>
          </cell>
          <cell r="N199">
            <v>0</v>
          </cell>
          <cell r="S199">
            <v>0</v>
          </cell>
          <cell r="T199">
            <v>0</v>
          </cell>
        </row>
        <row r="200">
          <cell r="A200" t="str">
            <v>192Q2</v>
          </cell>
          <cell r="B200">
            <v>192</v>
          </cell>
          <cell r="C200" t="str">
            <v/>
          </cell>
          <cell r="E200" t="str">
            <v/>
          </cell>
          <cell r="H200">
            <v>0</v>
          </cell>
          <cell r="N200">
            <v>0</v>
          </cell>
          <cell r="S200">
            <v>0</v>
          </cell>
          <cell r="T200">
            <v>0</v>
          </cell>
        </row>
        <row r="201">
          <cell r="A201" t="str">
            <v>193Q2</v>
          </cell>
          <cell r="B201">
            <v>193</v>
          </cell>
          <cell r="C201" t="str">
            <v/>
          </cell>
          <cell r="E201" t="str">
            <v/>
          </cell>
          <cell r="H201">
            <v>0</v>
          </cell>
          <cell r="N201">
            <v>0</v>
          </cell>
          <cell r="S201">
            <v>0</v>
          </cell>
          <cell r="T201">
            <v>0</v>
          </cell>
        </row>
        <row r="202">
          <cell r="A202" t="str">
            <v>194Q2</v>
          </cell>
          <cell r="B202">
            <v>194</v>
          </cell>
          <cell r="C202" t="str">
            <v/>
          </cell>
          <cell r="E202" t="str">
            <v/>
          </cell>
          <cell r="H202">
            <v>0</v>
          </cell>
          <cell r="N202">
            <v>0</v>
          </cell>
          <cell r="S202">
            <v>0</v>
          </cell>
          <cell r="T202">
            <v>0</v>
          </cell>
        </row>
        <row r="203">
          <cell r="A203" t="str">
            <v>195Q2</v>
          </cell>
          <cell r="B203">
            <v>195</v>
          </cell>
          <cell r="C203" t="str">
            <v/>
          </cell>
          <cell r="E203" t="str">
            <v/>
          </cell>
          <cell r="H203">
            <v>0</v>
          </cell>
          <cell r="N203">
            <v>0</v>
          </cell>
          <cell r="S203">
            <v>0</v>
          </cell>
          <cell r="T203">
            <v>0</v>
          </cell>
        </row>
        <row r="204">
          <cell r="A204" t="str">
            <v>196Q2</v>
          </cell>
          <cell r="B204">
            <v>196</v>
          </cell>
          <cell r="C204" t="str">
            <v/>
          </cell>
          <cell r="E204" t="str">
            <v/>
          </cell>
          <cell r="H204">
            <v>0</v>
          </cell>
          <cell r="N204">
            <v>0</v>
          </cell>
          <cell r="S204">
            <v>0</v>
          </cell>
          <cell r="T204">
            <v>0</v>
          </cell>
        </row>
        <row r="205">
          <cell r="A205" t="str">
            <v>197Q2</v>
          </cell>
          <cell r="B205">
            <v>197</v>
          </cell>
          <cell r="C205" t="str">
            <v/>
          </cell>
          <cell r="E205" t="str">
            <v/>
          </cell>
          <cell r="H205">
            <v>0</v>
          </cell>
          <cell r="N205">
            <v>0</v>
          </cell>
          <cell r="S205">
            <v>0</v>
          </cell>
          <cell r="T205">
            <v>0</v>
          </cell>
        </row>
        <row r="206">
          <cell r="A206" t="str">
            <v>198Q2</v>
          </cell>
          <cell r="B206">
            <v>198</v>
          </cell>
          <cell r="C206" t="str">
            <v/>
          </cell>
          <cell r="E206" t="str">
            <v/>
          </cell>
          <cell r="H206">
            <v>0</v>
          </cell>
          <cell r="N206">
            <v>0</v>
          </cell>
          <cell r="S206">
            <v>0</v>
          </cell>
          <cell r="T206">
            <v>0</v>
          </cell>
        </row>
        <row r="207">
          <cell r="A207" t="str">
            <v>199Q2</v>
          </cell>
          <cell r="B207">
            <v>199</v>
          </cell>
          <cell r="C207" t="str">
            <v/>
          </cell>
          <cell r="E207" t="str">
            <v/>
          </cell>
          <cell r="H207">
            <v>0</v>
          </cell>
          <cell r="N207">
            <v>0</v>
          </cell>
          <cell r="S207">
            <v>0</v>
          </cell>
          <cell r="T207">
            <v>0</v>
          </cell>
        </row>
        <row r="208">
          <cell r="A208" t="str">
            <v>200Q2</v>
          </cell>
          <cell r="B208">
            <v>200</v>
          </cell>
          <cell r="C208" t="str">
            <v/>
          </cell>
          <cell r="E208" t="str">
            <v/>
          </cell>
          <cell r="H208">
            <v>0</v>
          </cell>
          <cell r="N208">
            <v>0</v>
          </cell>
          <cell r="S208">
            <v>0</v>
          </cell>
          <cell r="T208">
            <v>0</v>
          </cell>
        </row>
        <row r="211">
          <cell r="T211">
            <v>43672924</v>
          </cell>
        </row>
      </sheetData>
      <sheetData sheetId="5"/>
      <sheetData sheetId="6">
        <row r="1">
          <cell r="J1" t="str">
            <v>Q1</v>
          </cell>
          <cell r="K1" t="str">
            <v>Q2</v>
          </cell>
          <cell r="L1" t="str">
            <v>Q3</v>
          </cell>
          <cell r="M1" t="str">
            <v>Q4</v>
          </cell>
        </row>
        <row r="2">
          <cell r="H2" t="str">
            <v>Abasheva Anna</v>
          </cell>
          <cell r="J2">
            <v>0.9</v>
          </cell>
          <cell r="K2">
            <v>0.93</v>
          </cell>
        </row>
        <row r="3">
          <cell r="H3" t="str">
            <v>Abdykadyrova Aizhamal</v>
          </cell>
          <cell r="J3">
            <v>0.99</v>
          </cell>
          <cell r="K3">
            <v>1</v>
          </cell>
        </row>
        <row r="4">
          <cell r="H4" t="str">
            <v>Abdulanova Lyazzat</v>
          </cell>
          <cell r="J4">
            <v>0.93</v>
          </cell>
          <cell r="K4">
            <v>0</v>
          </cell>
        </row>
        <row r="5">
          <cell r="H5" t="str">
            <v>Abdygaziyeva Zhanylmyrza</v>
          </cell>
          <cell r="J5">
            <v>0.99</v>
          </cell>
          <cell r="K5">
            <v>1</v>
          </cell>
        </row>
        <row r="6">
          <cell r="H6" t="str">
            <v>Aybolova Zhazira</v>
          </cell>
          <cell r="J6">
            <v>0.96</v>
          </cell>
          <cell r="K6">
            <v>0.95</v>
          </cell>
        </row>
        <row r="7">
          <cell r="H7" t="str">
            <v>Aitbenbetova Dinara</v>
          </cell>
          <cell r="J7">
            <v>0.96</v>
          </cell>
          <cell r="K7">
            <v>0.98</v>
          </cell>
        </row>
        <row r="8">
          <cell r="H8" t="str">
            <v>Aliyev Askar</v>
          </cell>
          <cell r="J8">
            <v>1</v>
          </cell>
          <cell r="K8">
            <v>0.99</v>
          </cell>
        </row>
        <row r="9">
          <cell r="H9" t="str">
            <v>Tilessova Altynay</v>
          </cell>
          <cell r="J9">
            <v>0.99</v>
          </cell>
          <cell r="K9">
            <v>0.97</v>
          </cell>
        </row>
        <row r="10">
          <cell r="H10" t="str">
            <v>Altynbassova Shynar</v>
          </cell>
          <cell r="J10">
            <v>0.87</v>
          </cell>
          <cell r="K10">
            <v>0.96</v>
          </cell>
        </row>
        <row r="11">
          <cell r="H11" t="str">
            <v>Alzhanova Zhuldyz</v>
          </cell>
          <cell r="J11">
            <v>0.91</v>
          </cell>
          <cell r="K11">
            <v>1</v>
          </cell>
        </row>
        <row r="12">
          <cell r="H12" t="str">
            <v>Arestova Yelena</v>
          </cell>
          <cell r="J12">
            <v>0.94</v>
          </cell>
          <cell r="K12">
            <v>0.96</v>
          </cell>
        </row>
        <row r="13">
          <cell r="H13" t="str">
            <v>Auyelbekova Syndykul</v>
          </cell>
          <cell r="J13">
            <v>0.92</v>
          </cell>
          <cell r="K13">
            <v>0.93</v>
          </cell>
        </row>
        <row r="14">
          <cell r="H14" t="str">
            <v>Akhmadiyeva Gulzhan</v>
          </cell>
          <cell r="J14">
            <v>0.95</v>
          </cell>
          <cell r="K14">
            <v>0.95</v>
          </cell>
        </row>
        <row r="15">
          <cell r="H15" t="str">
            <v>Bayzakova Gulzhan</v>
          </cell>
          <cell r="J15">
            <v>0.82</v>
          </cell>
          <cell r="K15">
            <v>0.86</v>
          </cell>
        </row>
        <row r="16">
          <cell r="H16" t="str">
            <v>Baimysheva Mariya</v>
          </cell>
          <cell r="J16">
            <v>0.95</v>
          </cell>
          <cell r="K16">
            <v>0.98</v>
          </cell>
        </row>
        <row r="17">
          <cell r="H17" t="str">
            <v>Bakisheva Aliya</v>
          </cell>
          <cell r="J17">
            <v>0.97</v>
          </cell>
          <cell r="K17">
            <v>1</v>
          </cell>
        </row>
        <row r="18">
          <cell r="H18" t="str">
            <v>Balanesku Irina</v>
          </cell>
          <cell r="J18">
            <v>0.98</v>
          </cell>
          <cell r="K18">
            <v>0.98</v>
          </cell>
        </row>
        <row r="19">
          <cell r="H19" t="str">
            <v>Balmagambetova Zamza</v>
          </cell>
          <cell r="J19">
            <v>0.95</v>
          </cell>
          <cell r="K19">
            <v>0.96</v>
          </cell>
        </row>
        <row r="20">
          <cell r="H20" t="str">
            <v>Bekbauova Saltanat</v>
          </cell>
          <cell r="J20">
            <v>0.87</v>
          </cell>
          <cell r="K20">
            <v>0.97</v>
          </cell>
        </row>
        <row r="21">
          <cell r="H21" t="str">
            <v>Boyarova Alfiya</v>
          </cell>
          <cell r="J21">
            <v>0.81</v>
          </cell>
          <cell r="K21">
            <v>0.85</v>
          </cell>
        </row>
        <row r="22">
          <cell r="H22" t="str">
            <v>Brialinova Inkar</v>
          </cell>
          <cell r="J22">
            <v>0.99</v>
          </cell>
          <cell r="K22">
            <v>0.98</v>
          </cell>
        </row>
        <row r="23">
          <cell r="H23" t="str">
            <v>Morshneva (Burda) Irina</v>
          </cell>
          <cell r="J23">
            <v>0.66</v>
          </cell>
          <cell r="K23">
            <v>0</v>
          </cell>
        </row>
        <row r="24">
          <cell r="H24" t="str">
            <v>Gulyakova Olga</v>
          </cell>
          <cell r="J24">
            <v>0.95</v>
          </cell>
          <cell r="K24">
            <v>0.87</v>
          </cell>
        </row>
        <row r="25">
          <cell r="H25" t="str">
            <v>Donayeva Nazira</v>
          </cell>
          <cell r="J25">
            <v>0.93</v>
          </cell>
          <cell r="K25">
            <v>0.95</v>
          </cell>
        </row>
        <row r="26">
          <cell r="H26" t="str">
            <v>Dratkov Grigoriy</v>
          </cell>
          <cell r="J26">
            <v>1</v>
          </cell>
          <cell r="K26">
            <v>1</v>
          </cell>
        </row>
        <row r="27">
          <cell r="H27" t="str">
            <v>Dubova Yevgeniya</v>
          </cell>
          <cell r="J27">
            <v>0</v>
          </cell>
          <cell r="K27">
            <v>1</v>
          </cell>
        </row>
        <row r="28">
          <cell r="H28" t="str">
            <v>Yerkebayeva Gulmira</v>
          </cell>
          <cell r="J28">
            <v>0.97</v>
          </cell>
          <cell r="K28">
            <v>0</v>
          </cell>
        </row>
        <row r="29">
          <cell r="H29" t="str">
            <v>Yerkin Nadiyam</v>
          </cell>
          <cell r="J29">
            <v>0.98</v>
          </cell>
          <cell r="K29">
            <v>0.96</v>
          </cell>
        </row>
        <row r="30">
          <cell r="H30" t="str">
            <v>Yesbolova Gulnur</v>
          </cell>
          <cell r="J30">
            <v>0.99</v>
          </cell>
          <cell r="K30">
            <v>0.99</v>
          </cell>
        </row>
        <row r="31">
          <cell r="H31" t="str">
            <v>Zhazylbekova Aitolkyn</v>
          </cell>
          <cell r="J31">
            <v>0.97</v>
          </cell>
          <cell r="K31">
            <v>0.98</v>
          </cell>
        </row>
        <row r="32">
          <cell r="H32" t="str">
            <v>Zhakenova Botagoz (замещение Калдыбаевой Н.)</v>
          </cell>
          <cell r="J32">
            <v>0</v>
          </cell>
          <cell r="K32">
            <v>0.83</v>
          </cell>
        </row>
        <row r="33">
          <cell r="H33" t="str">
            <v>Zhanabekova Kamshat</v>
          </cell>
          <cell r="J33">
            <v>0.99</v>
          </cell>
          <cell r="K33">
            <v>0.97</v>
          </cell>
        </row>
        <row r="34">
          <cell r="H34" t="str">
            <v>Akhmetova (Imanzhanova) Sholpan</v>
          </cell>
          <cell r="J34">
            <v>0.97</v>
          </cell>
          <cell r="K34">
            <v>0.97</v>
          </cell>
        </row>
        <row r="35">
          <cell r="H35" t="str">
            <v>Inkarbekova Nurbibi</v>
          </cell>
          <cell r="J35">
            <v>0.98</v>
          </cell>
          <cell r="K35">
            <v>0.98</v>
          </cell>
        </row>
        <row r="36">
          <cell r="H36" t="str">
            <v>Issakova Dina</v>
          </cell>
          <cell r="J36">
            <v>0.79</v>
          </cell>
          <cell r="K36">
            <v>0.96</v>
          </cell>
        </row>
        <row r="37">
          <cell r="H37" t="str">
            <v>Issakhanova Assem</v>
          </cell>
          <cell r="J37">
            <v>0.95</v>
          </cell>
          <cell r="K37">
            <v>0.93</v>
          </cell>
        </row>
        <row r="38">
          <cell r="H38" t="str">
            <v>Itakhunov Rassul</v>
          </cell>
          <cell r="J38">
            <v>0.91</v>
          </cell>
          <cell r="K38">
            <v>0.97</v>
          </cell>
        </row>
        <row r="39">
          <cell r="H39" t="str">
            <v>Kaderov Nursultan</v>
          </cell>
          <cell r="J39">
            <v>0.92</v>
          </cell>
          <cell r="K39">
            <v>1</v>
          </cell>
        </row>
        <row r="40">
          <cell r="H40" t="str">
            <v>Kadyrova Azaliya</v>
          </cell>
          <cell r="J40">
            <v>0.87</v>
          </cell>
          <cell r="K40">
            <v>0.85</v>
          </cell>
        </row>
        <row r="41">
          <cell r="H41" t="str">
            <v>Kalistratova Alexandra</v>
          </cell>
          <cell r="J41">
            <v>1</v>
          </cell>
          <cell r="K41">
            <v>0.98</v>
          </cell>
        </row>
        <row r="42">
          <cell r="H42" t="str">
            <v>Karimova Nazgul</v>
          </cell>
          <cell r="J42">
            <v>0.91</v>
          </cell>
          <cell r="K42">
            <v>0.92</v>
          </cell>
        </row>
        <row r="43">
          <cell r="H43" t="str">
            <v>Kassanova Elmira</v>
          </cell>
          <cell r="J43">
            <v>0</v>
          </cell>
          <cell r="K43">
            <v>0.93</v>
          </cell>
        </row>
        <row r="44">
          <cell r="H44" t="str">
            <v>Kassenova Gulshat</v>
          </cell>
          <cell r="J44">
            <v>0.96</v>
          </cell>
          <cell r="K44">
            <v>0.94</v>
          </cell>
        </row>
        <row r="45">
          <cell r="H45" t="str">
            <v>Ossipova Anna</v>
          </cell>
          <cell r="J45">
            <v>0.93</v>
          </cell>
          <cell r="K45">
            <v>0.94</v>
          </cell>
        </row>
        <row r="46">
          <cell r="H46" t="str">
            <v>Kussainova Dilara</v>
          </cell>
          <cell r="J46">
            <v>0.99</v>
          </cell>
          <cell r="K46">
            <v>0.98</v>
          </cell>
        </row>
        <row r="47">
          <cell r="H47" t="str">
            <v>Kusmanova Shynar</v>
          </cell>
          <cell r="J47">
            <v>0</v>
          </cell>
          <cell r="K47">
            <v>0</v>
          </cell>
        </row>
        <row r="48">
          <cell r="H48" t="str">
            <v>Kutdussova Liliya</v>
          </cell>
          <cell r="J48">
            <v>0.99</v>
          </cell>
          <cell r="K48">
            <v>0.97</v>
          </cell>
        </row>
        <row r="49">
          <cell r="H49" t="str">
            <v>Kutlymuratov Assylatdin</v>
          </cell>
          <cell r="J49">
            <v>0.94</v>
          </cell>
          <cell r="K49">
            <v>0.89</v>
          </cell>
        </row>
        <row r="50">
          <cell r="H50" t="str">
            <v>Kuchshanova Akmaral</v>
          </cell>
          <cell r="J50">
            <v>1</v>
          </cell>
          <cell r="K50">
            <v>0.98</v>
          </cell>
        </row>
        <row r="51">
          <cell r="H51" t="str">
            <v>Litvinenko Tatyana</v>
          </cell>
          <cell r="J51">
            <v>0.87</v>
          </cell>
          <cell r="K51">
            <v>0.97</v>
          </cell>
        </row>
        <row r="52">
          <cell r="H52" t="str">
            <v>Makenova Yuliya</v>
          </cell>
          <cell r="J52">
            <v>0</v>
          </cell>
          <cell r="K52">
            <v>0.94</v>
          </cell>
        </row>
        <row r="53">
          <cell r="H53" t="str">
            <v>Maximenko Alexandr</v>
          </cell>
          <cell r="J53">
            <v>0.91</v>
          </cell>
          <cell r="K53">
            <v>0.96</v>
          </cell>
        </row>
        <row r="54">
          <cell r="H54" t="str">
            <v>Mamedova Zarina</v>
          </cell>
          <cell r="J54">
            <v>0.97</v>
          </cell>
          <cell r="K54">
            <v>0.96</v>
          </cell>
        </row>
        <row r="55">
          <cell r="H55" t="str">
            <v>Mamutova Aliya</v>
          </cell>
          <cell r="J55">
            <v>0.96</v>
          </cell>
          <cell r="K55">
            <v>0.96</v>
          </cell>
        </row>
        <row r="56">
          <cell r="H56" t="str">
            <v>Manapbayeva Assel</v>
          </cell>
          <cell r="J56">
            <v>0.94</v>
          </cell>
          <cell r="K56">
            <v>0.97</v>
          </cell>
        </row>
        <row r="57">
          <cell r="H57" t="str">
            <v>Meirbek Ainur</v>
          </cell>
          <cell r="J57">
            <v>0.91</v>
          </cell>
          <cell r="K57">
            <v>0.98</v>
          </cell>
        </row>
        <row r="58">
          <cell r="H58" t="str">
            <v>N/A</v>
          </cell>
          <cell r="J58">
            <v>0</v>
          </cell>
          <cell r="K58">
            <v>0</v>
          </cell>
        </row>
        <row r="59">
          <cell r="H59" t="str">
            <v>Nakipbekova Gulzhan</v>
          </cell>
          <cell r="J59">
            <v>0.95</v>
          </cell>
          <cell r="K59">
            <v>0.92</v>
          </cell>
        </row>
        <row r="60">
          <cell r="H60" t="str">
            <v>Kuznetsova Natalya</v>
          </cell>
          <cell r="J60">
            <v>0.99</v>
          </cell>
          <cell r="K60">
            <v>0.98</v>
          </cell>
        </row>
        <row r="61">
          <cell r="H61" t="str">
            <v>Nauryzbayeva Shynar</v>
          </cell>
          <cell r="J61">
            <v>1</v>
          </cell>
          <cell r="K61">
            <v>0</v>
          </cell>
        </row>
        <row r="62">
          <cell r="H62" t="str">
            <v>Novokhatnyaya Anastasiya</v>
          </cell>
          <cell r="J62">
            <v>0.88</v>
          </cell>
          <cell r="K62">
            <v>0.83</v>
          </cell>
        </row>
        <row r="63">
          <cell r="H63" t="str">
            <v>N/A</v>
          </cell>
          <cell r="J63">
            <v>0.94</v>
          </cell>
          <cell r="K63">
            <v>1</v>
          </cell>
        </row>
        <row r="64">
          <cell r="H64" t="str">
            <v>Nurikhanova Alissa</v>
          </cell>
          <cell r="J64">
            <v>0.97</v>
          </cell>
          <cell r="K64">
            <v>0.95</v>
          </cell>
        </row>
        <row r="65">
          <cell r="H65" t="str">
            <v>Omarova Aizhan</v>
          </cell>
          <cell r="J65">
            <v>0.97</v>
          </cell>
          <cell r="K65">
            <v>0.94</v>
          </cell>
        </row>
        <row r="66">
          <cell r="H66" t="str">
            <v>Ospanova Anar</v>
          </cell>
          <cell r="J66">
            <v>0.98</v>
          </cell>
          <cell r="K66">
            <v>0.97</v>
          </cell>
        </row>
        <row r="67">
          <cell r="H67" t="str">
            <v>Ospanova Zhumagul</v>
          </cell>
          <cell r="J67">
            <v>0.82</v>
          </cell>
          <cell r="K67">
            <v>0.97</v>
          </cell>
        </row>
        <row r="68">
          <cell r="H68" t="str">
            <v>Pavlutskikh Yelena</v>
          </cell>
          <cell r="J68">
            <v>0.95</v>
          </cell>
          <cell r="K68">
            <v>0.93</v>
          </cell>
        </row>
        <row r="69">
          <cell r="H69" t="str">
            <v>Rakhimzhanova Gulnar</v>
          </cell>
          <cell r="J69">
            <v>0.99</v>
          </cell>
          <cell r="K69">
            <v>1</v>
          </cell>
        </row>
        <row r="70">
          <cell r="H70" t="str">
            <v>Sagimbayeva Lyazat</v>
          </cell>
          <cell r="J70">
            <v>0.99</v>
          </cell>
          <cell r="K70">
            <v>0.99</v>
          </cell>
        </row>
        <row r="71">
          <cell r="H71" t="str">
            <v>Sadvakassova Zhanat</v>
          </cell>
          <cell r="J71">
            <v>0.99</v>
          </cell>
          <cell r="K71">
            <v>0.99</v>
          </cell>
        </row>
        <row r="72">
          <cell r="H72" t="str">
            <v>Sakalbayeva Aliya</v>
          </cell>
          <cell r="J72">
            <v>0.97</v>
          </cell>
          <cell r="K72">
            <v>0.93</v>
          </cell>
        </row>
        <row r="73">
          <cell r="H73" t="str">
            <v>Salikhova Akbota</v>
          </cell>
          <cell r="J73">
            <v>0</v>
          </cell>
          <cell r="K73">
            <v>0</v>
          </cell>
        </row>
        <row r="74">
          <cell r="H74" t="str">
            <v>Sarbassova Dina (Astana)</v>
          </cell>
          <cell r="J74">
            <v>0.83</v>
          </cell>
          <cell r="K74">
            <v>0</v>
          </cell>
        </row>
        <row r="75">
          <cell r="H75" t="str">
            <v>Sariyeva Ainur</v>
          </cell>
          <cell r="J75">
            <v>0.89</v>
          </cell>
          <cell r="K75">
            <v>0.99</v>
          </cell>
        </row>
        <row r="76">
          <cell r="H76" t="str">
            <v>Sarsenbayeva Saniya</v>
          </cell>
          <cell r="J76">
            <v>0.83</v>
          </cell>
          <cell r="K76">
            <v>0.99</v>
          </cell>
        </row>
        <row r="77">
          <cell r="H77" t="str">
            <v>Sidorenko Yevgeniya</v>
          </cell>
          <cell r="J77">
            <v>0.98</v>
          </cell>
          <cell r="K77">
            <v>0</v>
          </cell>
        </row>
        <row r="78">
          <cell r="H78" t="str">
            <v>Simachkova Yelena</v>
          </cell>
          <cell r="J78">
            <v>0.9</v>
          </cell>
          <cell r="K78">
            <v>0</v>
          </cell>
        </row>
        <row r="79">
          <cell r="H79" t="str">
            <v>Soni Laura</v>
          </cell>
          <cell r="J79">
            <v>0.99</v>
          </cell>
          <cell r="K79">
            <v>0.99</v>
          </cell>
        </row>
        <row r="80">
          <cell r="H80" t="str">
            <v>Tasbulatova Saule</v>
          </cell>
          <cell r="J80">
            <v>1</v>
          </cell>
          <cell r="K80">
            <v>1</v>
          </cell>
        </row>
        <row r="81">
          <cell r="H81" t="str">
            <v>Temirbayeva Akzhunis</v>
          </cell>
          <cell r="J81">
            <v>0.97</v>
          </cell>
          <cell r="K81">
            <v>0.93</v>
          </cell>
        </row>
        <row r="82">
          <cell r="H82" t="str">
            <v>Tilessova Altynay</v>
          </cell>
          <cell r="J82">
            <v>0.99</v>
          </cell>
          <cell r="K82">
            <v>0.97</v>
          </cell>
        </row>
        <row r="83">
          <cell r="H83" t="str">
            <v>Tipalov Sergey</v>
          </cell>
          <cell r="J83">
            <v>0.98</v>
          </cell>
          <cell r="K83">
            <v>0.9</v>
          </cell>
        </row>
        <row r="84">
          <cell r="H84" t="str">
            <v>N/A</v>
          </cell>
          <cell r="J84">
            <v>1</v>
          </cell>
          <cell r="K84">
            <v>0.97</v>
          </cell>
        </row>
        <row r="85">
          <cell r="H85" t="str">
            <v>Ungarbayeva Zhanna</v>
          </cell>
          <cell r="J85">
            <v>0.92</v>
          </cell>
          <cell r="K85">
            <v>0.97</v>
          </cell>
        </row>
        <row r="86">
          <cell r="H86" t="str">
            <v>N/A</v>
          </cell>
          <cell r="J86">
            <v>0.85</v>
          </cell>
          <cell r="K86">
            <v>0</v>
          </cell>
        </row>
        <row r="87">
          <cell r="H87" t="str">
            <v>Feist Yekaterina</v>
          </cell>
          <cell r="J87">
            <v>0.84</v>
          </cell>
          <cell r="K87">
            <v>0.99</v>
          </cell>
        </row>
        <row r="88">
          <cell r="H88" t="str">
            <v>Khalikova Nuriya</v>
          </cell>
          <cell r="J88">
            <v>0.92</v>
          </cell>
          <cell r="K88">
            <v>0.97</v>
          </cell>
        </row>
        <row r="89">
          <cell r="H89" t="str">
            <v>N/A</v>
          </cell>
          <cell r="J89">
            <v>1</v>
          </cell>
          <cell r="K89">
            <v>1</v>
          </cell>
        </row>
        <row r="90">
          <cell r="H90" t="str">
            <v>Eshbayeva Chinara</v>
          </cell>
          <cell r="J90">
            <v>0.99</v>
          </cell>
          <cell r="K90">
            <v>1</v>
          </cell>
        </row>
        <row r="91">
          <cell r="H91" t="str">
            <v>Yu Vitaliya</v>
          </cell>
          <cell r="J91">
            <v>0.96</v>
          </cell>
          <cell r="K91">
            <v>0.97</v>
          </cell>
        </row>
        <row r="92">
          <cell r="H92" t="str">
            <v>Beyshenbayeva Gulzat</v>
          </cell>
          <cell r="J92">
            <v>0.97</v>
          </cell>
          <cell r="K92">
            <v>0.99</v>
          </cell>
        </row>
        <row r="93">
          <cell r="H93" t="str">
            <v>Galiyeva Saule</v>
          </cell>
          <cell r="J93">
            <v>0.93</v>
          </cell>
          <cell r="K93">
            <v>0.96875</v>
          </cell>
        </row>
        <row r="94">
          <cell r="H94" t="str">
            <v>Yevseyenko Larissa</v>
          </cell>
          <cell r="J94">
            <v>0.91</v>
          </cell>
          <cell r="K94">
            <v>0.95</v>
          </cell>
        </row>
        <row r="95">
          <cell r="H95" t="str">
            <v>Zhmailova Yelena</v>
          </cell>
          <cell r="J95">
            <v>0.97</v>
          </cell>
          <cell r="K95">
            <v>0.98</v>
          </cell>
        </row>
        <row r="96">
          <cell r="H96" t="str">
            <v>Zarpullayeva Gulnara</v>
          </cell>
          <cell r="J96">
            <v>0.92</v>
          </cell>
          <cell r="K96">
            <v>0.94</v>
          </cell>
        </row>
        <row r="97">
          <cell r="H97" t="str">
            <v>Kuzikeyeva Dinara</v>
          </cell>
          <cell r="J97">
            <v>0.94</v>
          </cell>
          <cell r="K97">
            <v>0.95</v>
          </cell>
        </row>
        <row r="98">
          <cell r="H98" t="str">
            <v>Kuxa Anna</v>
          </cell>
          <cell r="J98">
            <v>0.92</v>
          </cell>
          <cell r="K98">
            <v>0.92</v>
          </cell>
        </row>
        <row r="99">
          <cell r="H99" t="str">
            <v>Maisutova Almagul</v>
          </cell>
          <cell r="J99">
            <v>0.98</v>
          </cell>
          <cell r="K99">
            <v>0.97</v>
          </cell>
        </row>
        <row r="100">
          <cell r="H100" t="str">
            <v>Nurikhanova Alissa</v>
          </cell>
          <cell r="J100">
            <v>0.97</v>
          </cell>
          <cell r="K100">
            <v>0.95</v>
          </cell>
        </row>
        <row r="101">
          <cell r="H101" t="str">
            <v>Suttubayeva Gulnar</v>
          </cell>
          <cell r="J101">
            <v>0.92</v>
          </cell>
          <cell r="K101">
            <v>0.97</v>
          </cell>
        </row>
        <row r="102">
          <cell r="H102" t="str">
            <v>Sarbassova Dina (Shymkent)</v>
          </cell>
          <cell r="J102">
            <v>1</v>
          </cell>
          <cell r="K102">
            <v>1</v>
          </cell>
        </row>
        <row r="103">
          <cell r="H103" t="str">
            <v>Sarbassova Dina (Astana)</v>
          </cell>
          <cell r="J103">
            <v>1</v>
          </cell>
          <cell r="K103">
            <v>1</v>
          </cell>
        </row>
        <row r="104">
          <cell r="H104" t="str">
            <v>Turganbayeva Zhazira</v>
          </cell>
          <cell r="J104">
            <v>1</v>
          </cell>
          <cell r="K104">
            <v>1</v>
          </cell>
        </row>
        <row r="105">
          <cell r="H105" t="str">
            <v>Ossipova Anna</v>
          </cell>
          <cell r="J105">
            <v>0.94</v>
          </cell>
          <cell r="K105">
            <v>0.94</v>
          </cell>
        </row>
        <row r="106">
          <cell r="H106" t="str">
            <v>Zhanuzakova Gulbakyt</v>
          </cell>
          <cell r="J106">
            <v>1</v>
          </cell>
          <cell r="K106">
            <v>1</v>
          </cell>
        </row>
        <row r="107">
          <cell r="H107" t="str">
            <v>Konurub Roza</v>
          </cell>
          <cell r="J107">
            <v>1</v>
          </cell>
          <cell r="K107">
            <v>1</v>
          </cell>
        </row>
        <row r="108">
          <cell r="H108" t="str">
            <v>Tulemyrzayeva Madina</v>
          </cell>
          <cell r="J108">
            <v>1</v>
          </cell>
          <cell r="K108">
            <v>1</v>
          </cell>
        </row>
      </sheetData>
      <sheetData sheetId="7">
        <row r="2">
          <cell r="N2" t="str">
            <v>Q1</v>
          </cell>
          <cell r="O2" t="str">
            <v>Q2</v>
          </cell>
          <cell r="P2" t="str">
            <v>Q3</v>
          </cell>
          <cell r="Q2" t="str">
            <v>Q4</v>
          </cell>
        </row>
        <row r="3">
          <cell r="L3" t="str">
            <v>Beyshenbayeva Gulzat</v>
          </cell>
          <cell r="N3">
            <v>0</v>
          </cell>
          <cell r="O3">
            <v>1.0666666666666667</v>
          </cell>
        </row>
        <row r="4">
          <cell r="L4" t="str">
            <v>Galiyeva Saule</v>
          </cell>
          <cell r="N4">
            <v>0.61</v>
          </cell>
          <cell r="O4">
            <v>0.77777777777777779</v>
          </cell>
        </row>
        <row r="5">
          <cell r="L5" t="str">
            <v>Yevseyenko Larissa</v>
          </cell>
          <cell r="N5">
            <v>0.68666666666666665</v>
          </cell>
          <cell r="O5">
            <v>0.82804232804232802</v>
          </cell>
        </row>
        <row r="6">
          <cell r="L6" t="str">
            <v>Zhmailova Yelena</v>
          </cell>
          <cell r="N6">
            <v>0.57666666666666677</v>
          </cell>
          <cell r="O6">
            <v>0.75555555555555554</v>
          </cell>
        </row>
        <row r="7">
          <cell r="L7" t="str">
            <v>Zarpullayeva Gulnara</v>
          </cell>
          <cell r="N7">
            <v>0.73</v>
          </cell>
          <cell r="O7">
            <v>0</v>
          </cell>
        </row>
        <row r="8">
          <cell r="L8" t="str">
            <v>Kuzikeyeva Dinara</v>
          </cell>
          <cell r="N8">
            <v>0.56999999999999995</v>
          </cell>
          <cell r="O8">
            <v>0.7592592592592593</v>
          </cell>
        </row>
        <row r="9">
          <cell r="L9" t="str">
            <v>Kuxa Anna</v>
          </cell>
          <cell r="N9">
            <v>0.64666666666666661</v>
          </cell>
          <cell r="O9">
            <v>0.74814814814814812</v>
          </cell>
        </row>
        <row r="10">
          <cell r="L10" t="str">
            <v>Maisutova Almagul</v>
          </cell>
          <cell r="N10">
            <v>0.79666666666666675</v>
          </cell>
          <cell r="O10">
            <v>0.79945799457994582</v>
          </cell>
        </row>
        <row r="11">
          <cell r="L11" t="str">
            <v>Nurikhanova Alissa</v>
          </cell>
          <cell r="N11">
            <v>0</v>
          </cell>
          <cell r="O11">
            <v>0.42222222222222222</v>
          </cell>
        </row>
        <row r="12">
          <cell r="L12" t="str">
            <v>Suttubayeva Gulnar</v>
          </cell>
          <cell r="N12">
            <v>0.68333333333333324</v>
          </cell>
          <cell r="O12">
            <v>0.89972899728997291</v>
          </cell>
        </row>
        <row r="13">
          <cell r="L13" t="str">
            <v>Tulemyrzayeva Madina</v>
          </cell>
          <cell r="N13">
            <v>1</v>
          </cell>
          <cell r="O13">
            <v>1</v>
          </cell>
        </row>
      </sheetData>
      <sheetData sheetId="8">
        <row r="1">
          <cell r="BT1" t="str">
            <v>RU</v>
          </cell>
          <cell r="BU1" t="str">
            <v>EN</v>
          </cell>
        </row>
        <row r="2">
          <cell r="BT2" t="str">
            <v>Абашева, Анна</v>
          </cell>
          <cell r="BU2" t="str">
            <v>Abasheva Anna</v>
          </cell>
        </row>
        <row r="3">
          <cell r="BT3" t="str">
            <v>Абдикадирова, Айжамал</v>
          </cell>
          <cell r="BU3" t="str">
            <v>Abdykadyrova Aizhamal</v>
          </cell>
        </row>
        <row r="4">
          <cell r="BT4" t="str">
            <v>Абдуланова, Ляззат</v>
          </cell>
          <cell r="BU4" t="str">
            <v>Abdulanova Lyazzat</v>
          </cell>
        </row>
        <row r="5">
          <cell r="BT5" t="str">
            <v>Абдыгазиева, Жанылмырза</v>
          </cell>
          <cell r="BU5" t="str">
            <v>Abdygaziyeva Zhanylmyrza</v>
          </cell>
        </row>
        <row r="6">
          <cell r="BT6" t="str">
            <v>Айтбенбетова, Динара</v>
          </cell>
          <cell r="BU6" t="str">
            <v>Aitbenbetova Dinara</v>
          </cell>
        </row>
        <row r="7">
          <cell r="BT7" t="str">
            <v>Ахмадиева, Гульжан</v>
          </cell>
          <cell r="BU7" t="str">
            <v>Akhmadiyeva Gulzhan</v>
          </cell>
        </row>
        <row r="8">
          <cell r="BT8" t="str">
            <v>Иманжанова, Шолпан</v>
          </cell>
          <cell r="BU8" t="str">
            <v>Akhmetova (Imanzhanova) Sholpan</v>
          </cell>
        </row>
        <row r="9">
          <cell r="BT9" t="str">
            <v>Алиев, Аскар</v>
          </cell>
          <cell r="BU9" t="str">
            <v>Aliyev Askar</v>
          </cell>
        </row>
        <row r="10">
          <cell r="BT10" t="str">
            <v>Алтынбасова, Шынар</v>
          </cell>
          <cell r="BU10" t="str">
            <v>Altynbassova Shynar</v>
          </cell>
        </row>
        <row r="11">
          <cell r="BT11" t="str">
            <v>Альжанова, Жулдыз</v>
          </cell>
          <cell r="BU11" t="str">
            <v>Alzhanova Zhuldyz</v>
          </cell>
        </row>
        <row r="12">
          <cell r="BT12" t="str">
            <v>Арестова, Елена</v>
          </cell>
          <cell r="BU12" t="str">
            <v>Arestova Yelena</v>
          </cell>
        </row>
        <row r="13">
          <cell r="BT13" t="str">
            <v>Ауелбекова, Сындыкуль</v>
          </cell>
          <cell r="BU13" t="str">
            <v>Auyelbekova Syndykul</v>
          </cell>
        </row>
        <row r="14">
          <cell r="BT14" t="str">
            <v>Айболова, Жазира</v>
          </cell>
          <cell r="BU14" t="str">
            <v>Aybolova Zhazira</v>
          </cell>
        </row>
        <row r="15">
          <cell r="BT15" t="str">
            <v>Баймышева, Мария</v>
          </cell>
          <cell r="BU15" t="str">
            <v>Baimysheva Mariya</v>
          </cell>
        </row>
        <row r="16">
          <cell r="BT16" t="str">
            <v>Бакишева, Алия</v>
          </cell>
          <cell r="BU16" t="str">
            <v>Bakisheva Aliya</v>
          </cell>
        </row>
        <row r="17">
          <cell r="BT17" t="str">
            <v>Баланеску, Ирина</v>
          </cell>
          <cell r="BU17" t="str">
            <v>Balanesku Irina</v>
          </cell>
        </row>
        <row r="18">
          <cell r="BT18" t="str">
            <v>Балмагамбетова, Замза</v>
          </cell>
          <cell r="BU18" t="str">
            <v>Balmagambetova Zamza</v>
          </cell>
        </row>
        <row r="19">
          <cell r="BT19" t="str">
            <v>Байзакова, Гульжан</v>
          </cell>
          <cell r="BU19" t="str">
            <v>Bayzakova Gulzhan</v>
          </cell>
        </row>
        <row r="20">
          <cell r="BT20" t="str">
            <v>Бекбауова, Салтанат</v>
          </cell>
          <cell r="BU20" t="str">
            <v>Bekbauova Saltanat</v>
          </cell>
        </row>
        <row r="21">
          <cell r="BU21" t="str">
            <v>Bekesheva Zalina</v>
          </cell>
        </row>
        <row r="22">
          <cell r="BT22" t="str">
            <v>Боярова, Альфия</v>
          </cell>
          <cell r="BU22" t="str">
            <v>Boyarova Alfiya</v>
          </cell>
        </row>
        <row r="23">
          <cell r="BT23" t="str">
            <v>Бриалинова, Инкар</v>
          </cell>
          <cell r="BU23" t="str">
            <v>Brialinova Inkar</v>
          </cell>
        </row>
        <row r="24">
          <cell r="BT24" t="str">
            <v>Донаева, Назира</v>
          </cell>
          <cell r="BU24" t="str">
            <v>Donayeva Nazira</v>
          </cell>
        </row>
        <row r="25">
          <cell r="BT25" t="str">
            <v>Дратков, Григорий</v>
          </cell>
          <cell r="BU25" t="str">
            <v>Dratkov Grigoriy</v>
          </cell>
        </row>
        <row r="26">
          <cell r="BT26" t="str">
            <v>Дубова, Евгения</v>
          </cell>
          <cell r="BU26" t="str">
            <v>Dubova Yevgeniya</v>
          </cell>
        </row>
        <row r="27">
          <cell r="BT27" t="str">
            <v>Фейст, Екатерина</v>
          </cell>
          <cell r="BU27" t="str">
            <v>Feist Yekaterina</v>
          </cell>
        </row>
        <row r="28">
          <cell r="BT28" t="str">
            <v>Галиева, Сауле</v>
          </cell>
          <cell r="BU28" t="str">
            <v>Galiyeva Saule</v>
          </cell>
        </row>
        <row r="29">
          <cell r="BT29" t="str">
            <v>Гулякова, Ольга</v>
          </cell>
          <cell r="BU29" t="str">
            <v>Gulyakova Olga</v>
          </cell>
        </row>
        <row r="30">
          <cell r="BT30" t="str">
            <v>Инкарбекова, Нурбиби</v>
          </cell>
          <cell r="BU30" t="str">
            <v>Inkarbekova Nurbibi</v>
          </cell>
        </row>
        <row r="31">
          <cell r="BT31" t="str">
            <v>Исаханова, Асем</v>
          </cell>
          <cell r="BU31" t="str">
            <v>Issakhanova Assem</v>
          </cell>
        </row>
        <row r="32">
          <cell r="BT32" t="str">
            <v>Исакова, Дина</v>
          </cell>
          <cell r="BU32" t="str">
            <v>Issakova Dina</v>
          </cell>
        </row>
        <row r="33">
          <cell r="BT33" t="str">
            <v>Итахунов, Расул</v>
          </cell>
          <cell r="BU33" t="str">
            <v>Itakhunov Rassul</v>
          </cell>
        </row>
        <row r="34">
          <cell r="BT34" t="str">
            <v>Кадеров, Нурсултан</v>
          </cell>
          <cell r="BU34" t="str">
            <v>Kaderov Nursultan</v>
          </cell>
        </row>
        <row r="35">
          <cell r="BT35" t="str">
            <v>Кадырова, Азалия</v>
          </cell>
          <cell r="BU35" t="str">
            <v>Kadyrova Azaliya</v>
          </cell>
        </row>
        <row r="36">
          <cell r="BT36" t="str">
            <v>Калистратова, Александра</v>
          </cell>
          <cell r="BU36" t="str">
            <v>Kalistratova Alexandra</v>
          </cell>
        </row>
        <row r="37">
          <cell r="BT37" t="str">
            <v>Каримова, Назгуль</v>
          </cell>
          <cell r="BU37" t="str">
            <v>Karimova Nazgul</v>
          </cell>
        </row>
        <row r="38">
          <cell r="BT38" t="str">
            <v>Касанова, Эльмира</v>
          </cell>
          <cell r="BU38" t="str">
            <v>Kassanova Elmira</v>
          </cell>
        </row>
        <row r="39">
          <cell r="BT39" t="str">
            <v>Касенова, Гульшат</v>
          </cell>
          <cell r="BU39" t="str">
            <v>Kassenova Gulshat</v>
          </cell>
        </row>
        <row r="41">
          <cell r="BT41" t="str">
            <v>Халикова, Нурия</v>
          </cell>
          <cell r="BU41" t="str">
            <v>Khalikova Nuriya</v>
          </cell>
        </row>
        <row r="42">
          <cell r="BU42" t="str">
            <v>Konurub Roza</v>
          </cell>
        </row>
        <row r="43">
          <cell r="BT43" t="str">
            <v>Кущанова, Акмарал</v>
          </cell>
          <cell r="BU43" t="str">
            <v>Kuchshanova Akmaral</v>
          </cell>
        </row>
        <row r="44">
          <cell r="BT44" t="str">
            <v>Кусманова, Шинар</v>
          </cell>
          <cell r="BU44" t="str">
            <v>Kusmanova Shynar</v>
          </cell>
        </row>
        <row r="45">
          <cell r="BT45" t="str">
            <v>Кусаинова, Дилара</v>
          </cell>
          <cell r="BU45" t="str">
            <v>Kussainova Dilara</v>
          </cell>
        </row>
        <row r="46">
          <cell r="BT46" t="str">
            <v>Кутдусова, Лилия</v>
          </cell>
          <cell r="BU46" t="str">
            <v>Kutdussova Liliya</v>
          </cell>
        </row>
        <row r="47">
          <cell r="BT47" t="str">
            <v>Кутлымуратов, Асылатдин</v>
          </cell>
          <cell r="BU47" t="str">
            <v>Kutlymuratov Assylatdin</v>
          </cell>
        </row>
        <row r="48">
          <cell r="BT48" t="str">
            <v>Кукса, Анна</v>
          </cell>
          <cell r="BU48" t="str">
            <v>Kuxa Anna</v>
          </cell>
        </row>
        <row r="49">
          <cell r="BT49" t="str">
            <v>Кузикеева, Динара</v>
          </cell>
          <cell r="BU49" t="str">
            <v>Kuzikeyeva Dinara</v>
          </cell>
        </row>
        <row r="50">
          <cell r="BT50" t="str">
            <v>Наталья, Кузнецова</v>
          </cell>
          <cell r="BU50" t="str">
            <v>Kuznetsova Natalya</v>
          </cell>
        </row>
        <row r="51">
          <cell r="BT51" t="str">
            <v>Литвиненко, Татьяна</v>
          </cell>
          <cell r="BU51" t="str">
            <v>Litvinenko Tatyana</v>
          </cell>
        </row>
        <row r="52">
          <cell r="BT52" t="str">
            <v>Майсутова, Алмагуль</v>
          </cell>
          <cell r="BU52" t="str">
            <v>Maisutova Almagul</v>
          </cell>
        </row>
        <row r="53">
          <cell r="BT53" t="str">
            <v>Макенова, Юлия</v>
          </cell>
          <cell r="BU53" t="str">
            <v>Makenova Yuliya</v>
          </cell>
        </row>
        <row r="54">
          <cell r="BT54" t="str">
            <v>Мамедова, Зарина</v>
          </cell>
          <cell r="BU54" t="str">
            <v>Mamedova Zarina</v>
          </cell>
        </row>
        <row r="55">
          <cell r="BT55" t="str">
            <v>Мамутова, Алия</v>
          </cell>
          <cell r="BU55" t="str">
            <v>Mamutova Aliya</v>
          </cell>
        </row>
        <row r="56">
          <cell r="BT56" t="str">
            <v>Манапбаева, Асель</v>
          </cell>
          <cell r="BU56" t="str">
            <v>Manapbayeva Assel</v>
          </cell>
        </row>
        <row r="57">
          <cell r="BT57" t="str">
            <v>Максименко, Александр</v>
          </cell>
          <cell r="BU57" t="str">
            <v>Maximenko Alexandr</v>
          </cell>
        </row>
        <row r="58">
          <cell r="BT58" t="str">
            <v>Мейрбек, Айнура</v>
          </cell>
          <cell r="BU58" t="str">
            <v>Meirbek Ainur</v>
          </cell>
        </row>
        <row r="59">
          <cell r="BT59" t="str">
            <v>Миронцева, Оксана</v>
          </cell>
        </row>
        <row r="60">
          <cell r="BT60" t="str">
            <v>Бурда, Ирина</v>
          </cell>
          <cell r="BU60" t="str">
            <v>Morshneva (Burda) Irina</v>
          </cell>
        </row>
        <row r="61">
          <cell r="BT61" t="str">
            <v>Накипбекова, Гульжан</v>
          </cell>
          <cell r="BU61" t="str">
            <v>Nakipbekova Gulzhan</v>
          </cell>
        </row>
        <row r="62">
          <cell r="BT62" t="str">
            <v>Наурызбаева, Шынар</v>
          </cell>
          <cell r="BU62" t="str">
            <v>Nauryzbayeva Shynar</v>
          </cell>
        </row>
        <row r="63">
          <cell r="BT63" t="str">
            <v>Новохатняя, Анастасия</v>
          </cell>
          <cell r="BU63" t="str">
            <v>Novokhatnyaya Anastasiya</v>
          </cell>
        </row>
        <row r="64">
          <cell r="BT64" t="str">
            <v>Нуриханова, Алиса</v>
          </cell>
          <cell r="BU64" t="str">
            <v>Nurikhanova Alissa</v>
          </cell>
        </row>
        <row r="65">
          <cell r="BT65" t="str">
            <v>Нурбекова, Венера</v>
          </cell>
        </row>
        <row r="66">
          <cell r="BT66" t="str">
            <v>Омарова, Айжан</v>
          </cell>
          <cell r="BU66" t="str">
            <v>Omarova Aizhan</v>
          </cell>
        </row>
        <row r="67">
          <cell r="BU67" t="str">
            <v>Orazbayeva Saya</v>
          </cell>
        </row>
        <row r="68">
          <cell r="BT68" t="str">
            <v>Оспанова, Анар</v>
          </cell>
          <cell r="BU68" t="str">
            <v>Ospanova Anar</v>
          </cell>
        </row>
        <row r="69">
          <cell r="BT69" t="str">
            <v>Оспанова, Жумагуль</v>
          </cell>
          <cell r="BU69" t="str">
            <v>Ospanova Zhumagul</v>
          </cell>
        </row>
        <row r="70">
          <cell r="BT70" t="str">
            <v>Кирпичева, Анна</v>
          </cell>
          <cell r="BU70" t="str">
            <v>Ossipova Anna</v>
          </cell>
        </row>
        <row r="71">
          <cell r="BT71" t="str">
            <v>Павлуцких, Елена</v>
          </cell>
          <cell r="BU71" t="str">
            <v>Pavlutskikh Yelena</v>
          </cell>
        </row>
        <row r="72">
          <cell r="BT72" t="str">
            <v>Рахимжанова, Гульнара</v>
          </cell>
          <cell r="BU72" t="str">
            <v>Rakhimzhanova Gulnar</v>
          </cell>
        </row>
        <row r="73">
          <cell r="BT73" t="str">
            <v>Садвакасова, Жанат</v>
          </cell>
          <cell r="BU73" t="str">
            <v>Sadvakassova Zhanat</v>
          </cell>
        </row>
        <row r="74">
          <cell r="BT74" t="str">
            <v>Сагимбаева, Ляззат</v>
          </cell>
          <cell r="BU74" t="str">
            <v>Sagimbayeva Lyazat</v>
          </cell>
        </row>
        <row r="75">
          <cell r="BT75" t="str">
            <v>Сакалбаева, Алия</v>
          </cell>
          <cell r="BU75" t="str">
            <v>Sakalbayeva Aliya</v>
          </cell>
        </row>
        <row r="76">
          <cell r="BT76" t="str">
            <v>Салихова, Акбота</v>
          </cell>
          <cell r="BU76" t="str">
            <v>Salikhova Akbota</v>
          </cell>
        </row>
        <row r="77">
          <cell r="BT77" t="str">
            <v>Сарбасова, Дина</v>
          </cell>
          <cell r="BU77" t="str">
            <v>Sarbassova Dina (Astana)</v>
          </cell>
        </row>
        <row r="78">
          <cell r="BT78" t="str">
            <v>Сарбасова, Дина</v>
          </cell>
          <cell r="BU78" t="str">
            <v>Sarbassova Dina (Shymkent)</v>
          </cell>
        </row>
        <row r="79">
          <cell r="BT79" t="str">
            <v>Сариева, Айнур</v>
          </cell>
          <cell r="BU79" t="str">
            <v>Sariyeva Ainur</v>
          </cell>
        </row>
        <row r="80">
          <cell r="BT80" t="str">
            <v>Сарсенбаева, Сания</v>
          </cell>
          <cell r="BU80" t="str">
            <v>Sarsenbayeva Saniya</v>
          </cell>
        </row>
        <row r="81">
          <cell r="BT81" t="str">
            <v>Сидоренко, Евгения</v>
          </cell>
          <cell r="BU81" t="str">
            <v>Sidorenko Yevgeniya</v>
          </cell>
        </row>
        <row r="82">
          <cell r="BT82" t="str">
            <v>Симачкова, Елена</v>
          </cell>
          <cell r="BU82" t="str">
            <v>Simachkova Yelena</v>
          </cell>
        </row>
        <row r="83">
          <cell r="BT83" t="str">
            <v>Сони, Лаура</v>
          </cell>
          <cell r="BU83" t="str">
            <v>Soni Laura</v>
          </cell>
        </row>
        <row r="84">
          <cell r="BT84" t="str">
            <v>Суттубаева, Гульнар</v>
          </cell>
          <cell r="BU84" t="str">
            <v>Suttubayeva Gulnar</v>
          </cell>
        </row>
        <row r="85">
          <cell r="BT85" t="str">
            <v>Тасбулатова, Сауле</v>
          </cell>
          <cell r="BU85" t="str">
            <v>Tasbulatova Saule</v>
          </cell>
        </row>
        <row r="86">
          <cell r="BT86" t="str">
            <v>Темирбаева, Акжунус</v>
          </cell>
          <cell r="BU86" t="str">
            <v>Temirbayeva Akzhunis</v>
          </cell>
        </row>
        <row r="87">
          <cell r="BT87" t="str">
            <v>Тилесова, Алтынай</v>
          </cell>
          <cell r="BU87" t="str">
            <v>Tilessova Altynay</v>
          </cell>
        </row>
        <row r="88">
          <cell r="BT88" t="str">
            <v>Тилесова, Алтынай</v>
          </cell>
        </row>
        <row r="89">
          <cell r="BT89" t="str">
            <v>Типалов, Сергей</v>
          </cell>
          <cell r="BU89" t="str">
            <v>Tipalov Sergey</v>
          </cell>
        </row>
        <row r="90">
          <cell r="BT90" t="str">
            <v>Цой, Надежда</v>
          </cell>
        </row>
        <row r="91">
          <cell r="BT91" t="str">
            <v>Тюлемишева, Гульмира</v>
          </cell>
        </row>
        <row r="92">
          <cell r="BU92" t="str">
            <v>Tulebayeva Karylgash</v>
          </cell>
        </row>
        <row r="93">
          <cell r="BU93" t="str">
            <v>Tulemyrzayeva Madina</v>
          </cell>
        </row>
        <row r="94">
          <cell r="BU94" t="str">
            <v>Turganbayeva Zhazira</v>
          </cell>
        </row>
        <row r="95">
          <cell r="BT95" t="str">
            <v>Унгарбаева, Жанна</v>
          </cell>
          <cell r="BU95" t="str">
            <v>Ungarbayeva Zhanna</v>
          </cell>
        </row>
        <row r="96">
          <cell r="BT96" t="str">
            <v>Утегенова, Акмарал</v>
          </cell>
        </row>
        <row r="97">
          <cell r="BU97" t="str">
            <v>Volkova Svetlana (замещение Моршневой И)</v>
          </cell>
        </row>
        <row r="98">
          <cell r="BU98" t="str">
            <v>Yakim Ilya</v>
          </cell>
        </row>
        <row r="99">
          <cell r="BT99" t="str">
            <v>Еркебаева, Гульмира</v>
          </cell>
          <cell r="BU99" t="str">
            <v>Yerkebayeva Gulmira</v>
          </cell>
        </row>
        <row r="100">
          <cell r="BT100" t="str">
            <v>Еркын, Надиям</v>
          </cell>
          <cell r="BU100" t="str">
            <v>Yerkin Nadiyam</v>
          </cell>
        </row>
        <row r="101">
          <cell r="BT101" t="str">
            <v>Есболова, Гульнур</v>
          </cell>
          <cell r="BU101" t="str">
            <v>Yesbolova Gulnur</v>
          </cell>
        </row>
        <row r="102">
          <cell r="BT102" t="str">
            <v>Евсеенко, Лариса</v>
          </cell>
          <cell r="BU102" t="str">
            <v>Yevseyenko Larissa</v>
          </cell>
        </row>
        <row r="103">
          <cell r="BT103" t="str">
            <v>Ю, Виталия</v>
          </cell>
          <cell r="BU103" t="str">
            <v>Yu Vitaliya</v>
          </cell>
        </row>
        <row r="104">
          <cell r="BT104" t="str">
            <v>Жакенова, Ботагоз</v>
          </cell>
          <cell r="BU104" t="str">
            <v>Zhakenova Botagoz (замещение Калдыбаевой Н.)</v>
          </cell>
        </row>
        <row r="105">
          <cell r="BT105" t="str">
            <v>Жанабекова, Камшат</v>
          </cell>
          <cell r="BU105" t="str">
            <v>Zhanabekova Kamshat</v>
          </cell>
        </row>
        <row r="106">
          <cell r="BU106" t="str">
            <v>Zhanuzakova Gulbakyt</v>
          </cell>
        </row>
        <row r="107">
          <cell r="BT107" t="str">
            <v>Жазылбекова, Айтолкын</v>
          </cell>
          <cell r="BU107" t="str">
            <v>Zhazylbekova Aitolkyn</v>
          </cell>
        </row>
        <row r="108">
          <cell r="BT108" t="str">
            <v>Жмайлова, Елена</v>
          </cell>
          <cell r="BU108" t="str">
            <v>Zhmailova Yelena</v>
          </cell>
        </row>
        <row r="109">
          <cell r="BT109" t="str">
            <v>Эшбаева, Чынара</v>
          </cell>
          <cell r="BU109" t="str">
            <v>Eshbayeva Chinara</v>
          </cell>
        </row>
        <row r="110">
          <cell r="BT110" t="str">
            <v>Бейшенбаева, Гульзат</v>
          </cell>
          <cell r="BU110" t="str">
            <v>Beyshenbayeva Gulzat</v>
          </cell>
        </row>
        <row r="111">
          <cell r="BT111" t="str">
            <v>Зарпуллаева, Гульнара</v>
          </cell>
          <cell r="BU111" t="str">
            <v>Zarpullayeva Gulnara</v>
          </cell>
        </row>
        <row r="113">
          <cell r="BT113" t="str">
            <v>Цай, Феликс</v>
          </cell>
        </row>
        <row r="114">
          <cell r="BT114" t="str">
            <v>Амирханова, Роза</v>
          </cell>
        </row>
        <row r="115">
          <cell r="BT115" t="str">
            <v>Бектасова, Сауле</v>
          </cell>
        </row>
        <row r="116">
          <cell r="BT116" t="str">
            <v>Колмакова, Лариса</v>
          </cell>
        </row>
        <row r="117">
          <cell r="BT117" t="str">
            <v>Умутбаева, Айжан</v>
          </cell>
        </row>
        <row r="118">
          <cell r="BT118" t="str">
            <v>Яким, Илья</v>
          </cell>
        </row>
        <row r="121">
          <cell r="BT121" t="str">
            <v>Исмаилова, Кенуль</v>
          </cell>
        </row>
        <row r="122">
          <cell r="BT122" t="str">
            <v>Чернушевич, Инна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workbookViewId="0">
      <selection activeCell="B2" sqref="B2"/>
    </sheetView>
  </sheetViews>
  <sheetFormatPr defaultRowHeight="14.5" x14ac:dyDescent="0.35"/>
  <cols>
    <col min="1" max="1" width="3.81640625" bestFit="1" customWidth="1"/>
    <col min="2" max="2" width="43.7265625" bestFit="1" customWidth="1"/>
    <col min="3" max="3" width="20.453125" bestFit="1" customWidth="1"/>
    <col min="4" max="4" width="11.36328125" bestFit="1" customWidth="1"/>
    <col min="5" max="5" width="54.54296875" bestFit="1" customWidth="1"/>
    <col min="6" max="6" width="55.08984375" bestFit="1" customWidth="1"/>
    <col min="8" max="9" width="7.453125" bestFit="1" customWidth="1"/>
    <col min="10" max="11" width="6.08984375" bestFit="1" customWidth="1"/>
    <col min="12" max="12" width="7.6328125" bestFit="1" customWidth="1"/>
  </cols>
  <sheetData>
    <row r="1" spans="1:12" s="12" customForma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</row>
    <row r="2" spans="1:12" x14ac:dyDescent="0.35">
      <c r="A2" s="3">
        <v>1</v>
      </c>
      <c r="B2" s="4" t="s">
        <v>11</v>
      </c>
      <c r="C2" s="5" t="s">
        <v>12</v>
      </c>
      <c r="D2" s="6">
        <v>41017</v>
      </c>
      <c r="E2" s="7"/>
      <c r="F2" s="6"/>
      <c r="H2" s="5" t="s">
        <v>13</v>
      </c>
      <c r="I2" s="5" t="s">
        <v>13</v>
      </c>
      <c r="J2" s="5"/>
      <c r="K2" s="5"/>
      <c r="L2" s="5"/>
    </row>
    <row r="3" spans="1:12" x14ac:dyDescent="0.35">
      <c r="A3" s="3">
        <v>2</v>
      </c>
      <c r="B3" s="4" t="s">
        <v>14</v>
      </c>
      <c r="C3" s="5" t="s">
        <v>12</v>
      </c>
      <c r="D3" s="6">
        <v>40763</v>
      </c>
      <c r="E3" s="6"/>
      <c r="F3" s="7"/>
      <c r="H3" s="5" t="s">
        <v>13</v>
      </c>
      <c r="I3" s="5"/>
      <c r="J3" s="5"/>
      <c r="K3" s="5"/>
      <c r="L3" s="5"/>
    </row>
    <row r="4" spans="1:12" x14ac:dyDescent="0.35">
      <c r="A4" s="3">
        <v>3</v>
      </c>
      <c r="B4" s="5" t="s">
        <v>15</v>
      </c>
      <c r="C4" s="5" t="s">
        <v>12</v>
      </c>
      <c r="D4" s="6">
        <v>41745</v>
      </c>
      <c r="E4" s="6"/>
      <c r="F4" s="6"/>
      <c r="H4" s="5" t="s">
        <v>13</v>
      </c>
      <c r="I4" s="5" t="s">
        <v>13</v>
      </c>
      <c r="J4" s="5"/>
      <c r="K4" s="5"/>
      <c r="L4" s="5"/>
    </row>
    <row r="5" spans="1:12" x14ac:dyDescent="0.35">
      <c r="A5" s="3">
        <v>4</v>
      </c>
      <c r="B5" s="5" t="s">
        <v>16</v>
      </c>
      <c r="C5" s="5" t="s">
        <v>12</v>
      </c>
      <c r="D5" s="6">
        <v>40686</v>
      </c>
      <c r="E5" s="6"/>
      <c r="F5" s="6"/>
      <c r="H5" s="5" t="s">
        <v>13</v>
      </c>
      <c r="I5" s="5" t="s">
        <v>13</v>
      </c>
      <c r="J5" s="5"/>
      <c r="K5" s="5"/>
      <c r="L5" s="5"/>
    </row>
    <row r="6" spans="1:12" x14ac:dyDescent="0.35">
      <c r="A6" s="3">
        <v>5</v>
      </c>
      <c r="B6" s="8" t="s">
        <v>17</v>
      </c>
      <c r="C6" s="5" t="s">
        <v>12</v>
      </c>
      <c r="D6" s="6">
        <v>40680</v>
      </c>
      <c r="E6" s="6"/>
      <c r="F6" s="6"/>
      <c r="H6" s="5" t="s">
        <v>13</v>
      </c>
      <c r="I6" s="8" t="s">
        <v>13</v>
      </c>
      <c r="J6" s="5"/>
      <c r="K6" s="5"/>
      <c r="L6" s="5"/>
    </row>
    <row r="7" spans="1:12" x14ac:dyDescent="0.35">
      <c r="A7" s="3">
        <v>6</v>
      </c>
      <c r="B7" s="5" t="s">
        <v>18</v>
      </c>
      <c r="C7" s="5" t="s">
        <v>12</v>
      </c>
      <c r="D7" s="6">
        <v>41564</v>
      </c>
      <c r="E7" s="6"/>
      <c r="F7" s="6"/>
      <c r="H7" s="5" t="s">
        <v>13</v>
      </c>
      <c r="I7" s="5" t="s">
        <v>13</v>
      </c>
      <c r="J7" s="5"/>
      <c r="K7" s="5"/>
      <c r="L7" s="5"/>
    </row>
    <row r="8" spans="1:12" x14ac:dyDescent="0.35">
      <c r="A8" s="3">
        <v>7</v>
      </c>
      <c r="B8" s="5" t="s">
        <v>19</v>
      </c>
      <c r="C8" s="5" t="s">
        <v>12</v>
      </c>
      <c r="D8" s="6">
        <v>42681</v>
      </c>
      <c r="E8" s="6"/>
      <c r="F8" s="6"/>
      <c r="H8" s="5" t="s">
        <v>13</v>
      </c>
      <c r="I8" s="8" t="s">
        <v>13</v>
      </c>
      <c r="J8" s="5"/>
      <c r="K8" s="5"/>
      <c r="L8" s="5"/>
    </row>
    <row r="9" spans="1:12" x14ac:dyDescent="0.35">
      <c r="A9" s="3">
        <v>8</v>
      </c>
      <c r="B9" s="5" t="s">
        <v>20</v>
      </c>
      <c r="C9" s="5" t="s">
        <v>21</v>
      </c>
      <c r="D9" s="6">
        <v>42226</v>
      </c>
      <c r="E9" s="6"/>
      <c r="F9" s="6"/>
      <c r="H9" s="5" t="s">
        <v>13</v>
      </c>
      <c r="I9" s="8" t="s">
        <v>13</v>
      </c>
      <c r="J9" s="5"/>
      <c r="K9" s="5"/>
      <c r="L9" s="5"/>
    </row>
    <row r="10" spans="1:12" x14ac:dyDescent="0.35">
      <c r="A10" s="3">
        <v>9</v>
      </c>
      <c r="B10" s="8" t="s">
        <v>22</v>
      </c>
      <c r="C10" s="5" t="s">
        <v>12</v>
      </c>
      <c r="D10" s="6">
        <v>42051</v>
      </c>
      <c r="E10" s="6"/>
      <c r="F10" s="6"/>
      <c r="H10" s="5" t="s">
        <v>13</v>
      </c>
      <c r="I10" s="8" t="s">
        <v>13</v>
      </c>
      <c r="J10" s="5"/>
      <c r="K10" s="5"/>
      <c r="L10" s="5"/>
    </row>
    <row r="11" spans="1:12" x14ac:dyDescent="0.35">
      <c r="A11" s="3">
        <v>10</v>
      </c>
      <c r="B11" s="5" t="s">
        <v>23</v>
      </c>
      <c r="C11" s="5" t="s">
        <v>12</v>
      </c>
      <c r="D11" s="6">
        <v>41345</v>
      </c>
      <c r="E11" s="6"/>
      <c r="F11" s="6"/>
      <c r="H11" s="5" t="s">
        <v>13</v>
      </c>
      <c r="I11" s="8" t="s">
        <v>13</v>
      </c>
      <c r="J11" s="5"/>
      <c r="K11" s="5"/>
      <c r="L11" s="5"/>
    </row>
    <row r="12" spans="1:12" x14ac:dyDescent="0.35">
      <c r="A12" s="3">
        <v>11</v>
      </c>
      <c r="B12" s="5" t="s">
        <v>24</v>
      </c>
      <c r="C12" s="5" t="s">
        <v>12</v>
      </c>
      <c r="D12" s="6">
        <v>41897</v>
      </c>
      <c r="E12" s="6"/>
      <c r="F12" s="6"/>
      <c r="H12" s="5" t="s">
        <v>13</v>
      </c>
      <c r="I12" s="8" t="s">
        <v>13</v>
      </c>
      <c r="J12" s="5"/>
      <c r="K12" s="5"/>
      <c r="L12" s="5"/>
    </row>
    <row r="13" spans="1:12" x14ac:dyDescent="0.35">
      <c r="A13" s="3">
        <v>12</v>
      </c>
      <c r="B13" s="8" t="s">
        <v>25</v>
      </c>
      <c r="C13" s="5" t="s">
        <v>12</v>
      </c>
      <c r="D13" s="6">
        <v>42675</v>
      </c>
      <c r="E13" s="6"/>
      <c r="F13" s="6"/>
      <c r="H13" s="5" t="s">
        <v>13</v>
      </c>
      <c r="I13" s="8" t="s">
        <v>13</v>
      </c>
      <c r="J13" s="5"/>
      <c r="K13" s="5"/>
      <c r="L13" s="5"/>
    </row>
    <row r="14" spans="1:12" x14ac:dyDescent="0.35">
      <c r="A14" s="3">
        <v>13</v>
      </c>
      <c r="B14" s="8" t="s">
        <v>26</v>
      </c>
      <c r="C14" s="5" t="s">
        <v>12</v>
      </c>
      <c r="D14" s="6">
        <v>40683</v>
      </c>
      <c r="E14" s="6"/>
      <c r="F14" s="6"/>
      <c r="H14" s="5" t="s">
        <v>13</v>
      </c>
      <c r="I14" s="8" t="s">
        <v>13</v>
      </c>
      <c r="J14" s="5"/>
      <c r="K14" s="5"/>
      <c r="L14" s="5"/>
    </row>
    <row r="15" spans="1:12" x14ac:dyDescent="0.35">
      <c r="A15" s="3">
        <v>14</v>
      </c>
      <c r="B15" s="5" t="s">
        <v>27</v>
      </c>
      <c r="C15" s="5" t="s">
        <v>12</v>
      </c>
      <c r="D15" s="6">
        <v>40819</v>
      </c>
      <c r="E15" s="6"/>
      <c r="F15" s="6"/>
      <c r="H15" s="5" t="s">
        <v>13</v>
      </c>
      <c r="I15" s="8" t="s">
        <v>13</v>
      </c>
      <c r="J15" s="5"/>
      <c r="K15" s="5"/>
      <c r="L15" s="5"/>
    </row>
    <row r="16" spans="1:12" x14ac:dyDescent="0.35">
      <c r="A16" s="3">
        <v>15</v>
      </c>
      <c r="B16" s="5" t="s">
        <v>28</v>
      </c>
      <c r="C16" s="5" t="s">
        <v>12</v>
      </c>
      <c r="D16" s="6">
        <v>41414</v>
      </c>
      <c r="E16" s="6"/>
      <c r="F16" s="6"/>
      <c r="H16" s="5" t="s">
        <v>13</v>
      </c>
      <c r="I16" s="8" t="s">
        <v>13</v>
      </c>
      <c r="J16" s="5"/>
      <c r="K16" s="5"/>
      <c r="L16" s="5"/>
    </row>
    <row r="17" spans="1:12" x14ac:dyDescent="0.35">
      <c r="A17" s="3">
        <v>16</v>
      </c>
      <c r="B17" s="5" t="s">
        <v>29</v>
      </c>
      <c r="C17" s="5" t="s">
        <v>12</v>
      </c>
      <c r="D17" s="6">
        <v>42370</v>
      </c>
      <c r="E17" s="6"/>
      <c r="F17" s="6"/>
      <c r="H17" s="5" t="s">
        <v>13</v>
      </c>
      <c r="I17" s="8" t="s">
        <v>13</v>
      </c>
      <c r="J17" s="5"/>
      <c r="K17" s="5"/>
      <c r="L17" s="5"/>
    </row>
    <row r="18" spans="1:12" x14ac:dyDescent="0.35">
      <c r="A18" s="3">
        <v>17</v>
      </c>
      <c r="B18" s="8" t="s">
        <v>30</v>
      </c>
      <c r="C18" s="5" t="s">
        <v>12</v>
      </c>
      <c r="D18" s="6">
        <v>41353</v>
      </c>
      <c r="E18" s="6"/>
      <c r="F18" s="6"/>
      <c r="H18" s="5" t="s">
        <v>13</v>
      </c>
      <c r="I18" s="8" t="s">
        <v>13</v>
      </c>
      <c r="J18" s="5"/>
      <c r="K18" s="5"/>
      <c r="L18" s="5"/>
    </row>
    <row r="19" spans="1:12" x14ac:dyDescent="0.35">
      <c r="A19" s="3">
        <v>18</v>
      </c>
      <c r="B19" s="5" t="s">
        <v>31</v>
      </c>
      <c r="C19" s="5" t="s">
        <v>12</v>
      </c>
      <c r="D19" s="6">
        <v>42066</v>
      </c>
      <c r="E19" s="6">
        <v>42807</v>
      </c>
      <c r="F19" s="6"/>
      <c r="H19" s="5" t="s">
        <v>13</v>
      </c>
      <c r="I19" s="8"/>
      <c r="J19" s="5"/>
      <c r="K19" s="5"/>
      <c r="L19" s="5"/>
    </row>
    <row r="20" spans="1:12" x14ac:dyDescent="0.35">
      <c r="A20" s="3">
        <v>19</v>
      </c>
      <c r="B20" s="5" t="s">
        <v>32</v>
      </c>
      <c r="C20" s="5" t="s">
        <v>12</v>
      </c>
      <c r="D20" s="6">
        <v>40591</v>
      </c>
      <c r="E20" s="6"/>
      <c r="F20" s="6"/>
      <c r="H20" s="5" t="s">
        <v>13</v>
      </c>
      <c r="I20" s="8" t="s">
        <v>13</v>
      </c>
      <c r="J20" s="5"/>
      <c r="K20" s="5"/>
      <c r="L20" s="5"/>
    </row>
    <row r="21" spans="1:12" x14ac:dyDescent="0.35">
      <c r="A21" s="3">
        <v>20</v>
      </c>
      <c r="B21" s="5" t="s">
        <v>33</v>
      </c>
      <c r="C21" s="5" t="s">
        <v>12</v>
      </c>
      <c r="D21" s="6">
        <v>41715</v>
      </c>
      <c r="E21" s="6"/>
      <c r="F21" s="6"/>
      <c r="H21" s="5" t="s">
        <v>13</v>
      </c>
      <c r="I21" s="8" t="s">
        <v>13</v>
      </c>
      <c r="J21" s="5"/>
      <c r="K21" s="5"/>
      <c r="L21" s="5"/>
    </row>
    <row r="22" spans="1:12" x14ac:dyDescent="0.35">
      <c r="A22" s="3">
        <v>21</v>
      </c>
      <c r="B22" s="5" t="s">
        <v>34</v>
      </c>
      <c r="C22" s="5" t="s">
        <v>12</v>
      </c>
      <c r="D22" s="6">
        <v>42583</v>
      </c>
      <c r="E22" s="6"/>
      <c r="F22" s="6"/>
      <c r="H22" s="5" t="s">
        <v>13</v>
      </c>
      <c r="I22" s="5" t="s">
        <v>13</v>
      </c>
      <c r="J22" s="5"/>
      <c r="K22" s="5"/>
      <c r="L22" s="5"/>
    </row>
    <row r="23" spans="1:12" x14ac:dyDescent="0.35">
      <c r="A23" s="3">
        <v>22</v>
      </c>
      <c r="B23" s="5" t="s">
        <v>35</v>
      </c>
      <c r="C23" s="5" t="s">
        <v>21</v>
      </c>
      <c r="D23" s="6">
        <v>42522</v>
      </c>
      <c r="E23" s="6"/>
      <c r="F23" s="6"/>
      <c r="H23" s="5" t="s">
        <v>13</v>
      </c>
      <c r="I23" s="8" t="s">
        <v>13</v>
      </c>
      <c r="J23" s="5"/>
      <c r="K23" s="5"/>
      <c r="L23" s="5"/>
    </row>
    <row r="24" spans="1:12" x14ac:dyDescent="0.35">
      <c r="A24" s="3">
        <v>23</v>
      </c>
      <c r="B24" s="5" t="s">
        <v>36</v>
      </c>
      <c r="C24" s="5" t="s">
        <v>12</v>
      </c>
      <c r="D24" s="6">
        <v>41891</v>
      </c>
      <c r="E24" s="6"/>
      <c r="F24" s="6"/>
      <c r="H24" s="5" t="s">
        <v>13</v>
      </c>
      <c r="I24" s="8" t="s">
        <v>13</v>
      </c>
      <c r="J24" s="5"/>
      <c r="K24" s="5"/>
      <c r="L24" s="5"/>
    </row>
    <row r="25" spans="1:12" x14ac:dyDescent="0.35">
      <c r="A25" s="3">
        <v>24</v>
      </c>
      <c r="B25" s="5" t="s">
        <v>37</v>
      </c>
      <c r="C25" s="5" t="s">
        <v>38</v>
      </c>
      <c r="D25" s="6">
        <v>40680</v>
      </c>
      <c r="E25" s="6"/>
      <c r="F25" s="6"/>
      <c r="H25" s="5" t="s">
        <v>13</v>
      </c>
      <c r="I25" s="8" t="s">
        <v>13</v>
      </c>
      <c r="J25" s="5"/>
      <c r="K25" s="5"/>
      <c r="L25" s="5"/>
    </row>
    <row r="26" spans="1:12" x14ac:dyDescent="0.35">
      <c r="A26" s="3">
        <v>25</v>
      </c>
      <c r="B26" s="5" t="s">
        <v>39</v>
      </c>
      <c r="C26" s="5" t="s">
        <v>12</v>
      </c>
      <c r="D26" s="6">
        <v>41918</v>
      </c>
      <c r="E26" s="6"/>
      <c r="F26" s="6"/>
      <c r="H26" s="5" t="s">
        <v>13</v>
      </c>
      <c r="I26" s="8" t="s">
        <v>13</v>
      </c>
      <c r="J26" s="5"/>
      <c r="K26" s="5"/>
      <c r="L26" s="5"/>
    </row>
    <row r="27" spans="1:12" x14ac:dyDescent="0.35">
      <c r="A27" s="3">
        <v>26</v>
      </c>
      <c r="B27" s="8" t="s">
        <v>40</v>
      </c>
      <c r="C27" s="5" t="s">
        <v>12</v>
      </c>
      <c r="D27" s="6">
        <v>42513</v>
      </c>
      <c r="E27" s="6"/>
      <c r="F27" s="6"/>
      <c r="H27" s="5" t="s">
        <v>13</v>
      </c>
      <c r="I27" s="8" t="s">
        <v>13</v>
      </c>
      <c r="J27" s="5"/>
      <c r="K27" s="5"/>
      <c r="L27" s="5"/>
    </row>
    <row r="28" spans="1:12" x14ac:dyDescent="0.35">
      <c r="A28" s="3">
        <v>27</v>
      </c>
      <c r="B28" s="5" t="s">
        <v>41</v>
      </c>
      <c r="C28" s="5" t="s">
        <v>12</v>
      </c>
      <c r="D28" s="6">
        <v>40686</v>
      </c>
      <c r="E28" s="6"/>
      <c r="F28" s="6"/>
      <c r="H28" s="5" t="s">
        <v>13</v>
      </c>
      <c r="I28" s="8" t="s">
        <v>13</v>
      </c>
      <c r="J28" s="5"/>
      <c r="K28" s="5"/>
      <c r="L28" s="5"/>
    </row>
    <row r="29" spans="1:12" x14ac:dyDescent="0.35">
      <c r="A29" s="3">
        <v>28</v>
      </c>
      <c r="B29" s="5" t="s">
        <v>42</v>
      </c>
      <c r="C29" s="5" t="s">
        <v>12</v>
      </c>
      <c r="D29" s="6">
        <v>40676</v>
      </c>
      <c r="E29" s="6">
        <v>42795</v>
      </c>
      <c r="F29" s="6"/>
      <c r="H29" s="5" t="s">
        <v>13</v>
      </c>
      <c r="I29" s="8"/>
      <c r="J29" s="5"/>
      <c r="K29" s="5"/>
      <c r="L29" s="5"/>
    </row>
    <row r="30" spans="1:12" x14ac:dyDescent="0.35">
      <c r="A30" s="3">
        <v>29</v>
      </c>
      <c r="B30" s="5" t="s">
        <v>42</v>
      </c>
      <c r="C30" s="5" t="s">
        <v>12</v>
      </c>
      <c r="D30" s="6">
        <v>40676</v>
      </c>
      <c r="E30" s="6"/>
      <c r="F30" s="6">
        <v>42826</v>
      </c>
      <c r="H30" s="5" t="s">
        <v>13</v>
      </c>
      <c r="I30" s="8" t="s">
        <v>13</v>
      </c>
      <c r="J30" s="5"/>
      <c r="K30" s="5"/>
      <c r="L30" s="5"/>
    </row>
    <row r="31" spans="1:12" x14ac:dyDescent="0.35">
      <c r="A31" s="3">
        <v>30</v>
      </c>
      <c r="B31" s="5" t="s">
        <v>43</v>
      </c>
      <c r="C31" s="5" t="s">
        <v>21</v>
      </c>
      <c r="D31" s="6">
        <v>42417</v>
      </c>
      <c r="E31" s="6"/>
      <c r="F31" s="6"/>
      <c r="H31" s="5" t="s">
        <v>13</v>
      </c>
      <c r="I31" s="5" t="s">
        <v>13</v>
      </c>
      <c r="J31" s="5"/>
      <c r="K31" s="5"/>
      <c r="L31" s="5"/>
    </row>
    <row r="32" spans="1:12" x14ac:dyDescent="0.35">
      <c r="A32" s="3">
        <v>31</v>
      </c>
      <c r="B32" s="5" t="s">
        <v>44</v>
      </c>
      <c r="C32" s="5" t="s">
        <v>12</v>
      </c>
      <c r="D32" s="6">
        <v>41919</v>
      </c>
      <c r="E32" s="6"/>
      <c r="F32" s="6"/>
      <c r="H32" s="5" t="s">
        <v>13</v>
      </c>
      <c r="I32" s="8" t="s">
        <v>13</v>
      </c>
      <c r="J32" s="5"/>
      <c r="K32" s="5"/>
      <c r="L32" s="5"/>
    </row>
    <row r="33" spans="1:12" x14ac:dyDescent="0.35">
      <c r="A33" s="3">
        <v>32</v>
      </c>
      <c r="B33" s="5" t="s">
        <v>45</v>
      </c>
      <c r="C33" s="5" t="s">
        <v>12</v>
      </c>
      <c r="D33" s="6">
        <v>41555</v>
      </c>
      <c r="E33" s="6"/>
      <c r="F33" s="6"/>
      <c r="H33" s="5" t="s">
        <v>13</v>
      </c>
      <c r="I33" s="8" t="s">
        <v>13</v>
      </c>
      <c r="J33" s="5"/>
      <c r="K33" s="5"/>
      <c r="L33" s="5"/>
    </row>
    <row r="34" spans="1:12" x14ac:dyDescent="0.35">
      <c r="A34" s="3">
        <v>33</v>
      </c>
      <c r="B34" s="8" t="s">
        <v>46</v>
      </c>
      <c r="C34" s="5" t="s">
        <v>12</v>
      </c>
      <c r="D34" s="6">
        <v>42552</v>
      </c>
      <c r="E34" s="6"/>
      <c r="F34" s="6"/>
      <c r="H34" s="5" t="s">
        <v>13</v>
      </c>
      <c r="I34" s="8" t="s">
        <v>13</v>
      </c>
      <c r="J34" s="5"/>
      <c r="K34" s="5"/>
      <c r="L34" s="5"/>
    </row>
    <row r="35" spans="1:12" x14ac:dyDescent="0.35">
      <c r="A35" s="3">
        <v>34</v>
      </c>
      <c r="B35" s="5" t="s">
        <v>47</v>
      </c>
      <c r="C35" s="5" t="s">
        <v>12</v>
      </c>
      <c r="D35" s="6">
        <v>41228</v>
      </c>
      <c r="E35" s="6"/>
      <c r="F35" s="6"/>
      <c r="H35" s="5" t="s">
        <v>13</v>
      </c>
      <c r="I35" s="8" t="s">
        <v>13</v>
      </c>
      <c r="J35" s="5"/>
      <c r="K35" s="5"/>
      <c r="L35" s="5"/>
    </row>
    <row r="36" spans="1:12" x14ac:dyDescent="0.35">
      <c r="A36" s="3">
        <v>35</v>
      </c>
      <c r="B36" s="5" t="s">
        <v>48</v>
      </c>
      <c r="C36" s="5" t="s">
        <v>12</v>
      </c>
      <c r="D36" s="6">
        <v>41739</v>
      </c>
      <c r="E36" s="6"/>
      <c r="F36" s="6"/>
      <c r="H36" s="5" t="s">
        <v>13</v>
      </c>
      <c r="I36" s="8" t="s">
        <v>13</v>
      </c>
      <c r="J36" s="5"/>
      <c r="K36" s="5"/>
      <c r="L36" s="5"/>
    </row>
    <row r="37" spans="1:12" x14ac:dyDescent="0.35">
      <c r="A37" s="3">
        <v>36</v>
      </c>
      <c r="B37" s="5" t="s">
        <v>49</v>
      </c>
      <c r="C37" s="5" t="s">
        <v>12</v>
      </c>
      <c r="D37" s="6">
        <v>39776</v>
      </c>
      <c r="E37" s="6"/>
      <c r="F37" s="6"/>
      <c r="H37" s="5" t="s">
        <v>13</v>
      </c>
      <c r="I37" s="8" t="s">
        <v>13</v>
      </c>
      <c r="J37" s="5"/>
      <c r="K37" s="5"/>
      <c r="L37" s="5"/>
    </row>
    <row r="38" spans="1:12" x14ac:dyDescent="0.35">
      <c r="A38" s="3">
        <v>37</v>
      </c>
      <c r="B38" s="5" t="s">
        <v>50</v>
      </c>
      <c r="C38" s="5" t="s">
        <v>12</v>
      </c>
      <c r="D38" s="6">
        <v>41043</v>
      </c>
      <c r="E38" s="6"/>
      <c r="F38" s="6"/>
      <c r="H38" s="5" t="s">
        <v>13</v>
      </c>
      <c r="I38" s="8" t="s">
        <v>13</v>
      </c>
      <c r="J38" s="5"/>
      <c r="K38" s="5"/>
      <c r="L38" s="5"/>
    </row>
    <row r="39" spans="1:12" x14ac:dyDescent="0.35">
      <c r="A39" s="3">
        <v>38</v>
      </c>
      <c r="B39" s="5" t="s">
        <v>51</v>
      </c>
      <c r="C39" s="5" t="s">
        <v>12</v>
      </c>
      <c r="D39" s="6">
        <v>42348</v>
      </c>
      <c r="E39" s="6"/>
      <c r="F39" s="6"/>
      <c r="H39" s="5" t="s">
        <v>13</v>
      </c>
      <c r="I39" s="8" t="s">
        <v>13</v>
      </c>
      <c r="J39" s="5"/>
      <c r="K39" s="5"/>
      <c r="L39" s="5"/>
    </row>
    <row r="40" spans="1:12" x14ac:dyDescent="0.35">
      <c r="A40" s="3">
        <v>39</v>
      </c>
      <c r="B40" s="5" t="s">
        <v>52</v>
      </c>
      <c r="C40" s="5" t="s">
        <v>38</v>
      </c>
      <c r="D40" s="6">
        <v>40686</v>
      </c>
      <c r="E40" s="6"/>
      <c r="F40" s="6"/>
      <c r="H40" s="5" t="s">
        <v>13</v>
      </c>
      <c r="I40" s="8" t="s">
        <v>13</v>
      </c>
      <c r="J40" s="5"/>
      <c r="K40" s="5"/>
      <c r="L40" s="5"/>
    </row>
    <row r="41" spans="1:12" x14ac:dyDescent="0.35">
      <c r="A41" s="3">
        <v>40</v>
      </c>
      <c r="B41" s="5" t="s">
        <v>53</v>
      </c>
      <c r="C41" s="5" t="s">
        <v>38</v>
      </c>
      <c r="D41" s="6">
        <v>40983</v>
      </c>
      <c r="E41" s="6"/>
      <c r="F41" s="6"/>
      <c r="H41" s="5" t="s">
        <v>13</v>
      </c>
      <c r="I41" s="8" t="s">
        <v>13</v>
      </c>
      <c r="J41" s="5"/>
      <c r="K41" s="5"/>
      <c r="L41" s="5"/>
    </row>
    <row r="42" spans="1:12" x14ac:dyDescent="0.35">
      <c r="A42" s="3">
        <v>41</v>
      </c>
      <c r="B42" s="5" t="s">
        <v>54</v>
      </c>
      <c r="C42" s="5" t="s">
        <v>12</v>
      </c>
      <c r="D42" s="6">
        <v>41652</v>
      </c>
      <c r="E42" s="6"/>
      <c r="F42" s="6"/>
      <c r="H42" s="5" t="s">
        <v>13</v>
      </c>
      <c r="I42" s="8" t="s">
        <v>13</v>
      </c>
      <c r="J42" s="5"/>
      <c r="K42" s="5"/>
      <c r="L42" s="5"/>
    </row>
    <row r="43" spans="1:12" x14ac:dyDescent="0.35">
      <c r="A43" s="3">
        <v>42</v>
      </c>
      <c r="B43" s="5" t="s">
        <v>55</v>
      </c>
      <c r="C43" s="5" t="s">
        <v>21</v>
      </c>
      <c r="D43" s="6">
        <v>41008</v>
      </c>
      <c r="E43" s="6"/>
      <c r="F43" s="6"/>
      <c r="H43" s="5" t="s">
        <v>13</v>
      </c>
      <c r="I43" s="8" t="s">
        <v>13</v>
      </c>
      <c r="J43" s="5"/>
      <c r="K43" s="5"/>
      <c r="L43" s="5"/>
    </row>
    <row r="44" spans="1:12" x14ac:dyDescent="0.35">
      <c r="A44" s="3">
        <v>43</v>
      </c>
      <c r="B44" s="5" t="s">
        <v>56</v>
      </c>
      <c r="C44" s="5" t="s">
        <v>38</v>
      </c>
      <c r="D44" s="6">
        <v>41640</v>
      </c>
      <c r="E44" s="6"/>
      <c r="F44" s="6"/>
      <c r="H44" s="5" t="s">
        <v>13</v>
      </c>
      <c r="I44" s="8" t="s">
        <v>13</v>
      </c>
      <c r="J44" s="5"/>
      <c r="K44" s="5"/>
      <c r="L44" s="5"/>
    </row>
    <row r="45" spans="1:12" x14ac:dyDescent="0.35">
      <c r="A45" s="3">
        <v>44</v>
      </c>
      <c r="B45" s="5" t="s">
        <v>57</v>
      </c>
      <c r="C45" s="5" t="s">
        <v>12</v>
      </c>
      <c r="D45" s="6">
        <v>41173</v>
      </c>
      <c r="E45" s="6"/>
      <c r="F45" s="6"/>
      <c r="H45" s="5" t="s">
        <v>13</v>
      </c>
      <c r="I45" s="8" t="s">
        <v>13</v>
      </c>
      <c r="J45" s="5"/>
      <c r="K45" s="5"/>
      <c r="L45" s="5"/>
    </row>
    <row r="46" spans="1:12" x14ac:dyDescent="0.35">
      <c r="A46" s="3">
        <v>45</v>
      </c>
      <c r="B46" s="5" t="s">
        <v>58</v>
      </c>
      <c r="C46" s="5" t="s">
        <v>12</v>
      </c>
      <c r="D46" s="6">
        <v>40676</v>
      </c>
      <c r="E46" s="6"/>
      <c r="F46" s="6"/>
      <c r="H46" s="5" t="s">
        <v>13</v>
      </c>
      <c r="I46" s="8" t="s">
        <v>13</v>
      </c>
      <c r="J46" s="5"/>
      <c r="K46" s="5"/>
      <c r="L46" s="5"/>
    </row>
    <row r="47" spans="1:12" x14ac:dyDescent="0.35">
      <c r="A47" s="3">
        <v>46</v>
      </c>
      <c r="B47" s="5" t="s">
        <v>59</v>
      </c>
      <c r="C47" s="5" t="s">
        <v>12</v>
      </c>
      <c r="D47" s="6">
        <v>42552</v>
      </c>
      <c r="E47" s="6"/>
      <c r="F47" s="6"/>
      <c r="H47" s="5" t="s">
        <v>13</v>
      </c>
      <c r="I47" s="8" t="s">
        <v>13</v>
      </c>
      <c r="J47" s="5"/>
      <c r="K47" s="5"/>
      <c r="L47" s="5"/>
    </row>
    <row r="48" spans="1:12" x14ac:dyDescent="0.35">
      <c r="A48" s="3">
        <v>47</v>
      </c>
      <c r="B48" s="5" t="s">
        <v>60</v>
      </c>
      <c r="C48" s="5" t="s">
        <v>21</v>
      </c>
      <c r="D48" s="6">
        <v>40861</v>
      </c>
      <c r="E48" s="6"/>
      <c r="F48" s="6"/>
      <c r="H48" s="5" t="s">
        <v>13</v>
      </c>
      <c r="I48" s="8" t="s">
        <v>13</v>
      </c>
      <c r="J48" s="5"/>
      <c r="K48" s="5"/>
      <c r="L48" s="5"/>
    </row>
    <row r="49" spans="1:12" x14ac:dyDescent="0.35">
      <c r="A49" s="3">
        <v>48</v>
      </c>
      <c r="B49" s="5" t="s">
        <v>61</v>
      </c>
      <c r="C49" s="5" t="s">
        <v>12</v>
      </c>
      <c r="D49" s="6">
        <v>40676</v>
      </c>
      <c r="E49" s="6"/>
      <c r="F49" s="6"/>
      <c r="H49" s="5" t="s">
        <v>13</v>
      </c>
      <c r="I49" s="8" t="s">
        <v>13</v>
      </c>
      <c r="J49" s="5"/>
      <c r="K49" s="5"/>
      <c r="L49" s="5"/>
    </row>
    <row r="50" spans="1:12" x14ac:dyDescent="0.35">
      <c r="A50" s="3">
        <v>49</v>
      </c>
      <c r="B50" s="8" t="s">
        <v>62</v>
      </c>
      <c r="C50" s="5" t="s">
        <v>12</v>
      </c>
      <c r="D50" s="6">
        <v>40680</v>
      </c>
      <c r="E50" s="6">
        <v>42794</v>
      </c>
      <c r="F50" s="6"/>
      <c r="H50" s="5" t="s">
        <v>13</v>
      </c>
      <c r="I50" s="8"/>
      <c r="J50" s="5"/>
      <c r="K50" s="5"/>
      <c r="L50" s="5"/>
    </row>
    <row r="51" spans="1:12" x14ac:dyDescent="0.35">
      <c r="A51" s="3">
        <v>50</v>
      </c>
      <c r="B51" s="5" t="s">
        <v>63</v>
      </c>
      <c r="C51" s="5" t="s">
        <v>12</v>
      </c>
      <c r="D51" s="6">
        <v>40983</v>
      </c>
      <c r="E51" s="6"/>
      <c r="F51" s="6"/>
      <c r="H51" s="5" t="s">
        <v>13</v>
      </c>
      <c r="I51" s="8" t="s">
        <v>13</v>
      </c>
      <c r="J51" s="5"/>
      <c r="K51" s="5"/>
      <c r="L51" s="5"/>
    </row>
    <row r="52" spans="1:12" x14ac:dyDescent="0.35">
      <c r="A52" s="3">
        <v>51</v>
      </c>
      <c r="B52" s="5" t="s">
        <v>64</v>
      </c>
      <c r="C52" s="5" t="s">
        <v>12</v>
      </c>
      <c r="D52" s="6">
        <v>41738</v>
      </c>
      <c r="E52" s="6"/>
      <c r="F52" s="6"/>
      <c r="H52" s="5" t="s">
        <v>13</v>
      </c>
      <c r="I52" s="8"/>
      <c r="J52" s="5"/>
      <c r="K52" s="5"/>
      <c r="L52" s="5"/>
    </row>
    <row r="53" spans="1:12" x14ac:dyDescent="0.35">
      <c r="A53" s="3">
        <v>52</v>
      </c>
      <c r="B53" s="5" t="s">
        <v>65</v>
      </c>
      <c r="C53" s="5" t="s">
        <v>12</v>
      </c>
      <c r="D53" s="6">
        <v>40683</v>
      </c>
      <c r="E53" s="6"/>
      <c r="F53" s="6"/>
      <c r="H53" s="5" t="s">
        <v>13</v>
      </c>
      <c r="I53" s="8" t="s">
        <v>13</v>
      </c>
      <c r="J53" s="5"/>
      <c r="K53" s="5"/>
      <c r="L53" s="5"/>
    </row>
    <row r="54" spans="1:12" x14ac:dyDescent="0.35">
      <c r="A54" s="3">
        <v>53</v>
      </c>
      <c r="B54" s="5" t="s">
        <v>66</v>
      </c>
      <c r="C54" s="5" t="s">
        <v>12</v>
      </c>
      <c r="D54" s="6">
        <v>40676</v>
      </c>
      <c r="E54" s="6">
        <v>42829</v>
      </c>
      <c r="F54" s="6"/>
      <c r="H54" s="5" t="s">
        <v>13</v>
      </c>
      <c r="I54" s="8"/>
      <c r="J54" s="5"/>
      <c r="K54" s="5"/>
      <c r="L54" s="5"/>
    </row>
    <row r="55" spans="1:12" x14ac:dyDescent="0.35">
      <c r="A55" s="3">
        <v>54</v>
      </c>
      <c r="B55" s="5" t="s">
        <v>67</v>
      </c>
      <c r="C55" s="5" t="s">
        <v>12</v>
      </c>
      <c r="D55" s="6">
        <v>42461</v>
      </c>
      <c r="E55" s="6"/>
      <c r="F55" s="6"/>
      <c r="H55" s="5" t="s">
        <v>13</v>
      </c>
      <c r="I55" s="8" t="s">
        <v>13</v>
      </c>
      <c r="J55" s="5"/>
      <c r="K55" s="5"/>
      <c r="L55" s="5"/>
    </row>
    <row r="56" spans="1:12" x14ac:dyDescent="0.35">
      <c r="A56" s="3">
        <v>55</v>
      </c>
      <c r="B56" s="5" t="s">
        <v>68</v>
      </c>
      <c r="C56" s="5" t="s">
        <v>12</v>
      </c>
      <c r="D56" s="6">
        <v>42681</v>
      </c>
      <c r="E56" s="6"/>
      <c r="F56" s="6"/>
      <c r="H56" s="5" t="s">
        <v>13</v>
      </c>
      <c r="I56" s="8" t="s">
        <v>13</v>
      </c>
      <c r="J56" s="5"/>
      <c r="K56" s="5"/>
      <c r="L56" s="5"/>
    </row>
    <row r="57" spans="1:12" x14ac:dyDescent="0.35">
      <c r="A57" s="3">
        <v>56</v>
      </c>
      <c r="B57" s="5" t="s">
        <v>69</v>
      </c>
      <c r="C57" s="5" t="s">
        <v>21</v>
      </c>
      <c r="D57" s="6">
        <v>42045</v>
      </c>
      <c r="E57" s="6"/>
      <c r="F57" s="6"/>
      <c r="H57" s="5" t="s">
        <v>13</v>
      </c>
      <c r="I57" s="8" t="s">
        <v>13</v>
      </c>
      <c r="J57" s="5"/>
      <c r="K57" s="5"/>
      <c r="L57" s="5"/>
    </row>
    <row r="58" spans="1:12" x14ac:dyDescent="0.35">
      <c r="A58" s="3">
        <v>57</v>
      </c>
      <c r="B58" s="5" t="s">
        <v>70</v>
      </c>
      <c r="C58" s="5" t="s">
        <v>12</v>
      </c>
      <c r="D58" s="6">
        <v>40680</v>
      </c>
      <c r="E58" s="6"/>
      <c r="F58" s="6"/>
      <c r="H58" s="5" t="s">
        <v>13</v>
      </c>
      <c r="I58" s="8" t="s">
        <v>13</v>
      </c>
      <c r="J58" s="5"/>
      <c r="K58" s="5"/>
      <c r="L58" s="5"/>
    </row>
    <row r="59" spans="1:12" x14ac:dyDescent="0.35">
      <c r="A59" s="3">
        <v>58</v>
      </c>
      <c r="B59" s="5" t="s">
        <v>71</v>
      </c>
      <c r="C59" s="5" t="s">
        <v>12</v>
      </c>
      <c r="D59" s="6">
        <v>41792</v>
      </c>
      <c r="E59" s="6"/>
      <c r="F59" s="6"/>
      <c r="H59" s="5" t="s">
        <v>13</v>
      </c>
      <c r="I59" s="8" t="s">
        <v>13</v>
      </c>
      <c r="J59" s="5"/>
      <c r="K59" s="5"/>
      <c r="L59" s="5"/>
    </row>
    <row r="60" spans="1:12" x14ac:dyDescent="0.35">
      <c r="A60" s="3">
        <v>59</v>
      </c>
      <c r="B60" s="8" t="s">
        <v>72</v>
      </c>
      <c r="C60" s="5" t="s">
        <v>21</v>
      </c>
      <c r="D60" s="6">
        <v>41288</v>
      </c>
      <c r="E60" s="6"/>
      <c r="F60" s="6"/>
      <c r="H60" s="5" t="s">
        <v>13</v>
      </c>
      <c r="I60" s="5" t="s">
        <v>13</v>
      </c>
      <c r="J60" s="5"/>
      <c r="K60" s="5"/>
      <c r="L60" s="5"/>
    </row>
    <row r="61" spans="1:12" x14ac:dyDescent="0.35">
      <c r="A61" s="3">
        <v>60</v>
      </c>
      <c r="B61" s="5" t="s">
        <v>73</v>
      </c>
      <c r="C61" s="5" t="s">
        <v>21</v>
      </c>
      <c r="D61" s="6">
        <v>41813</v>
      </c>
      <c r="E61" s="6"/>
      <c r="F61" s="6"/>
      <c r="H61" s="5" t="s">
        <v>13</v>
      </c>
      <c r="I61" s="8" t="s">
        <v>13</v>
      </c>
      <c r="J61" s="5"/>
      <c r="K61" s="5"/>
      <c r="L61" s="5"/>
    </row>
    <row r="62" spans="1:12" x14ac:dyDescent="0.35">
      <c r="A62" s="3">
        <v>61</v>
      </c>
      <c r="B62" s="5" t="s">
        <v>74</v>
      </c>
      <c r="C62" s="5" t="s">
        <v>12</v>
      </c>
      <c r="D62" s="6">
        <v>41198</v>
      </c>
      <c r="E62" s="6"/>
      <c r="F62" s="6"/>
      <c r="H62" s="5" t="s">
        <v>13</v>
      </c>
      <c r="I62" s="8" t="s">
        <v>13</v>
      </c>
      <c r="J62" s="5"/>
      <c r="K62" s="5"/>
      <c r="L62" s="5"/>
    </row>
    <row r="63" spans="1:12" x14ac:dyDescent="0.35">
      <c r="A63" s="3">
        <v>62</v>
      </c>
      <c r="B63" s="5" t="s">
        <v>75</v>
      </c>
      <c r="C63" s="5" t="s">
        <v>21</v>
      </c>
      <c r="D63" s="6">
        <v>42654</v>
      </c>
      <c r="E63" s="6">
        <v>42887</v>
      </c>
      <c r="F63" s="6"/>
      <c r="H63" s="5" t="s">
        <v>13</v>
      </c>
      <c r="I63" s="8" t="s">
        <v>13</v>
      </c>
      <c r="J63" s="5"/>
      <c r="K63" s="5"/>
      <c r="L63" s="5"/>
    </row>
    <row r="64" spans="1:12" x14ac:dyDescent="0.35">
      <c r="A64" s="3">
        <v>63</v>
      </c>
      <c r="B64" s="5" t="s">
        <v>76</v>
      </c>
      <c r="C64" s="5" t="s">
        <v>21</v>
      </c>
      <c r="D64" s="6">
        <v>41738</v>
      </c>
      <c r="E64" s="6"/>
      <c r="F64" s="6"/>
      <c r="H64" s="5" t="s">
        <v>13</v>
      </c>
      <c r="I64" s="8" t="s">
        <v>13</v>
      </c>
      <c r="J64" s="5"/>
      <c r="K64" s="5"/>
      <c r="L64" s="5"/>
    </row>
    <row r="65" spans="1:12" x14ac:dyDescent="0.35">
      <c r="A65" s="3">
        <v>64</v>
      </c>
      <c r="B65" s="8" t="s">
        <v>77</v>
      </c>
      <c r="C65" s="5" t="s">
        <v>12</v>
      </c>
      <c r="D65" s="6">
        <v>42585</v>
      </c>
      <c r="E65" s="6"/>
      <c r="F65" s="6"/>
      <c r="H65" s="5" t="s">
        <v>13</v>
      </c>
      <c r="I65" s="8" t="s">
        <v>13</v>
      </c>
      <c r="J65" s="5"/>
      <c r="K65" s="5"/>
      <c r="L65" s="5"/>
    </row>
    <row r="66" spans="1:12" x14ac:dyDescent="0.35">
      <c r="A66" s="3">
        <v>65</v>
      </c>
      <c r="B66" s="5" t="s">
        <v>78</v>
      </c>
      <c r="C66" s="5" t="s">
        <v>12</v>
      </c>
      <c r="D66" s="6">
        <v>41414</v>
      </c>
      <c r="E66" s="6">
        <v>42845</v>
      </c>
      <c r="F66" s="6"/>
      <c r="H66" s="5" t="s">
        <v>13</v>
      </c>
      <c r="I66" s="8"/>
      <c r="J66" s="5"/>
      <c r="K66" s="5"/>
      <c r="L66" s="5"/>
    </row>
    <row r="67" spans="1:12" x14ac:dyDescent="0.35">
      <c r="A67" s="3">
        <v>66</v>
      </c>
      <c r="B67" s="8" t="s">
        <v>79</v>
      </c>
      <c r="C67" s="5" t="s">
        <v>21</v>
      </c>
      <c r="D67" s="6">
        <v>41445</v>
      </c>
      <c r="E67" s="6">
        <v>42868</v>
      </c>
      <c r="F67" s="6"/>
      <c r="H67" s="5" t="s">
        <v>13</v>
      </c>
      <c r="I67" s="8" t="s">
        <v>13</v>
      </c>
      <c r="J67" s="5"/>
      <c r="K67" s="5"/>
      <c r="L67" s="5"/>
    </row>
    <row r="68" spans="1:12" x14ac:dyDescent="0.35">
      <c r="A68" s="3">
        <v>67</v>
      </c>
      <c r="B68" s="5" t="s">
        <v>80</v>
      </c>
      <c r="C68" s="5" t="s">
        <v>12</v>
      </c>
      <c r="D68" s="6">
        <v>42186</v>
      </c>
      <c r="E68" s="6"/>
      <c r="F68" s="6"/>
      <c r="H68" s="5" t="s">
        <v>13</v>
      </c>
      <c r="I68" s="8" t="s">
        <v>13</v>
      </c>
      <c r="J68" s="5"/>
      <c r="K68" s="5"/>
      <c r="L68" s="5"/>
    </row>
    <row r="69" spans="1:12" x14ac:dyDescent="0.35">
      <c r="A69" s="3">
        <v>68</v>
      </c>
      <c r="B69" s="5" t="s">
        <v>81</v>
      </c>
      <c r="C69" s="5" t="s">
        <v>38</v>
      </c>
      <c r="D69" s="6">
        <v>40680</v>
      </c>
      <c r="E69" s="6"/>
      <c r="F69" s="6"/>
      <c r="H69" s="5" t="s">
        <v>13</v>
      </c>
      <c r="I69" s="8" t="s">
        <v>13</v>
      </c>
      <c r="J69" s="5"/>
      <c r="K69" s="5"/>
      <c r="L69" s="5"/>
    </row>
    <row r="70" spans="1:12" x14ac:dyDescent="0.35">
      <c r="A70" s="3">
        <v>69</v>
      </c>
      <c r="B70" s="5" t="s">
        <v>82</v>
      </c>
      <c r="C70" s="5" t="s">
        <v>12</v>
      </c>
      <c r="D70" s="6">
        <v>40680</v>
      </c>
      <c r="E70" s="6"/>
      <c r="F70" s="6"/>
      <c r="H70" s="5" t="s">
        <v>13</v>
      </c>
      <c r="I70" s="8" t="s">
        <v>13</v>
      </c>
      <c r="J70" s="5"/>
      <c r="K70" s="5"/>
      <c r="L70" s="5"/>
    </row>
    <row r="71" spans="1:12" x14ac:dyDescent="0.35">
      <c r="A71" s="3">
        <v>70</v>
      </c>
      <c r="B71" s="5" t="s">
        <v>83</v>
      </c>
      <c r="C71" s="5" t="s">
        <v>12</v>
      </c>
      <c r="D71" s="6">
        <v>40983</v>
      </c>
      <c r="E71" s="6"/>
      <c r="F71" s="6"/>
      <c r="H71" s="5" t="s">
        <v>13</v>
      </c>
      <c r="I71" s="8" t="s">
        <v>13</v>
      </c>
      <c r="J71" s="5"/>
      <c r="K71" s="5"/>
      <c r="L71" s="5"/>
    </row>
    <row r="72" spans="1:12" x14ac:dyDescent="0.35">
      <c r="A72" s="3">
        <v>71</v>
      </c>
      <c r="B72" s="5" t="s">
        <v>84</v>
      </c>
      <c r="C72" s="5" t="s">
        <v>12</v>
      </c>
      <c r="D72" s="6">
        <v>41080</v>
      </c>
      <c r="E72" s="6"/>
      <c r="F72" s="6"/>
      <c r="H72" s="5" t="s">
        <v>13</v>
      </c>
      <c r="I72" s="8" t="s">
        <v>13</v>
      </c>
      <c r="J72" s="5"/>
      <c r="K72" s="5"/>
      <c r="L72" s="5"/>
    </row>
    <row r="73" spans="1:12" x14ac:dyDescent="0.35">
      <c r="A73" s="3">
        <v>72</v>
      </c>
      <c r="B73" s="5" t="s">
        <v>85</v>
      </c>
      <c r="C73" s="5" t="s">
        <v>12</v>
      </c>
      <c r="D73" s="6">
        <v>42625</v>
      </c>
      <c r="E73" s="6"/>
      <c r="F73" s="6"/>
      <c r="H73" s="5" t="s">
        <v>13</v>
      </c>
      <c r="I73" s="8" t="s">
        <v>13</v>
      </c>
      <c r="J73" s="5"/>
      <c r="K73" s="5"/>
      <c r="L73" s="5"/>
    </row>
    <row r="74" spans="1:12" x14ac:dyDescent="0.35">
      <c r="A74" s="3">
        <v>73</v>
      </c>
      <c r="B74" s="5" t="s">
        <v>86</v>
      </c>
      <c r="C74" s="5" t="s">
        <v>12</v>
      </c>
      <c r="D74" s="6">
        <v>41330</v>
      </c>
      <c r="E74" s="6">
        <v>42768</v>
      </c>
      <c r="F74" s="6"/>
      <c r="H74" s="5" t="s">
        <v>13</v>
      </c>
      <c r="I74" s="8"/>
      <c r="J74" s="5"/>
      <c r="K74" s="5"/>
      <c r="L74" s="5"/>
    </row>
    <row r="75" spans="1:12" x14ac:dyDescent="0.35">
      <c r="A75" s="3">
        <v>74</v>
      </c>
      <c r="B75" s="5" t="s">
        <v>87</v>
      </c>
      <c r="C75" s="5" t="s">
        <v>12</v>
      </c>
      <c r="D75" s="6">
        <v>41919</v>
      </c>
      <c r="E75" s="6"/>
      <c r="F75" s="6"/>
      <c r="H75" s="5" t="s">
        <v>13</v>
      </c>
      <c r="I75" s="8" t="s">
        <v>13</v>
      </c>
      <c r="J75" s="5"/>
      <c r="K75" s="5"/>
      <c r="L75" s="5"/>
    </row>
    <row r="76" spans="1:12" x14ac:dyDescent="0.35">
      <c r="A76" s="3">
        <v>75</v>
      </c>
      <c r="B76" s="5" t="s">
        <v>88</v>
      </c>
      <c r="C76" s="5" t="s">
        <v>12</v>
      </c>
      <c r="D76" s="6">
        <v>41529</v>
      </c>
      <c r="E76" s="6"/>
      <c r="F76" s="6"/>
      <c r="H76" s="5" t="s">
        <v>13</v>
      </c>
      <c r="I76" s="8"/>
      <c r="J76" s="5"/>
      <c r="K76" s="5"/>
      <c r="L76" s="5"/>
    </row>
    <row r="77" spans="1:12" x14ac:dyDescent="0.35">
      <c r="A77" s="3">
        <v>76</v>
      </c>
      <c r="B77" s="5" t="s">
        <v>89</v>
      </c>
      <c r="C77" s="5" t="s">
        <v>12</v>
      </c>
      <c r="D77" s="6">
        <v>40787</v>
      </c>
      <c r="E77" s="6"/>
      <c r="F77" s="6"/>
      <c r="H77" s="5" t="s">
        <v>13</v>
      </c>
      <c r="I77" s="8" t="s">
        <v>13</v>
      </c>
      <c r="J77" s="5"/>
      <c r="K77" s="5"/>
      <c r="L77" s="5"/>
    </row>
    <row r="78" spans="1:12" x14ac:dyDescent="0.35">
      <c r="A78" s="3">
        <v>77</v>
      </c>
      <c r="B78" s="5" t="s">
        <v>90</v>
      </c>
      <c r="C78" s="5" t="s">
        <v>12</v>
      </c>
      <c r="D78" s="6">
        <v>40695</v>
      </c>
      <c r="E78" s="6"/>
      <c r="F78" s="6"/>
      <c r="H78" s="5" t="s">
        <v>13</v>
      </c>
      <c r="I78" s="8" t="s">
        <v>13</v>
      </c>
      <c r="J78" s="5"/>
      <c r="K78" s="5"/>
      <c r="L78" s="5"/>
    </row>
    <row r="79" spans="1:12" x14ac:dyDescent="0.35">
      <c r="A79" s="3">
        <v>78</v>
      </c>
      <c r="B79" s="5" t="s">
        <v>91</v>
      </c>
      <c r="C79" s="5" t="s">
        <v>38</v>
      </c>
      <c r="D79" s="6">
        <v>40680</v>
      </c>
      <c r="E79" s="6"/>
      <c r="F79" s="6"/>
      <c r="H79" s="5" t="s">
        <v>13</v>
      </c>
      <c r="I79" s="8" t="s">
        <v>13</v>
      </c>
      <c r="J79" s="5"/>
      <c r="K79" s="5"/>
      <c r="L79" s="5"/>
    </row>
    <row r="80" spans="1:12" x14ac:dyDescent="0.35">
      <c r="A80" s="3">
        <v>79</v>
      </c>
      <c r="B80" s="8" t="s">
        <v>92</v>
      </c>
      <c r="C80" s="5" t="s">
        <v>12</v>
      </c>
      <c r="D80" s="6">
        <v>42186</v>
      </c>
      <c r="E80" s="6"/>
      <c r="F80" s="6"/>
      <c r="H80" s="5" t="s">
        <v>13</v>
      </c>
      <c r="I80" s="8" t="s">
        <v>13</v>
      </c>
      <c r="J80" s="5"/>
      <c r="K80" s="5"/>
      <c r="L80" s="5"/>
    </row>
    <row r="81" spans="1:12" x14ac:dyDescent="0.35">
      <c r="A81" s="3">
        <v>80</v>
      </c>
      <c r="B81" s="5" t="s">
        <v>93</v>
      </c>
      <c r="C81" s="5" t="s">
        <v>12</v>
      </c>
      <c r="D81" s="6">
        <v>40680</v>
      </c>
      <c r="E81" s="6"/>
      <c r="F81" s="6"/>
      <c r="H81" s="5" t="s">
        <v>13</v>
      </c>
      <c r="I81" s="8" t="s">
        <v>13</v>
      </c>
      <c r="J81" s="5"/>
      <c r="K81" s="5"/>
      <c r="L81" s="5"/>
    </row>
    <row r="82" spans="1:12" x14ac:dyDescent="0.35">
      <c r="A82" s="3">
        <v>81</v>
      </c>
      <c r="B82" s="5" t="s">
        <v>94</v>
      </c>
      <c r="C82" s="5" t="s">
        <v>12</v>
      </c>
      <c r="D82" s="6">
        <v>41353</v>
      </c>
      <c r="E82" s="6"/>
      <c r="F82" s="6"/>
      <c r="H82" s="5" t="s">
        <v>13</v>
      </c>
      <c r="I82" s="8" t="s">
        <v>13</v>
      </c>
      <c r="J82" s="5"/>
      <c r="K82" s="5"/>
      <c r="L82" s="5"/>
    </row>
    <row r="83" spans="1:12" x14ac:dyDescent="0.35">
      <c r="A83" s="3">
        <v>82</v>
      </c>
      <c r="B83" s="5" t="s">
        <v>95</v>
      </c>
      <c r="C83" s="5" t="s">
        <v>38</v>
      </c>
      <c r="D83" s="6">
        <v>40676</v>
      </c>
      <c r="E83" s="6"/>
      <c r="F83" s="6"/>
      <c r="H83" s="5" t="s">
        <v>13</v>
      </c>
      <c r="I83" s="8" t="s">
        <v>13</v>
      </c>
      <c r="J83" s="5"/>
      <c r="K83" s="5"/>
      <c r="L83" s="5"/>
    </row>
    <row r="84" spans="1:12" x14ac:dyDescent="0.35">
      <c r="A84" s="3">
        <v>83</v>
      </c>
      <c r="B84" s="8" t="s">
        <v>96</v>
      </c>
      <c r="C84" s="5" t="s">
        <v>38</v>
      </c>
      <c r="D84" s="6">
        <v>40676</v>
      </c>
      <c r="E84" s="6">
        <v>42767</v>
      </c>
      <c r="F84" s="6"/>
      <c r="H84" s="5" t="s">
        <v>13</v>
      </c>
      <c r="I84" s="8"/>
      <c r="J84" s="5"/>
      <c r="K84" s="5"/>
      <c r="L84" s="5"/>
    </row>
    <row r="85" spans="1:12" x14ac:dyDescent="0.35">
      <c r="A85" s="3">
        <v>84</v>
      </c>
      <c r="B85" s="5" t="s">
        <v>97</v>
      </c>
      <c r="C85" s="5" t="s">
        <v>12</v>
      </c>
      <c r="D85" s="6">
        <v>42705</v>
      </c>
      <c r="E85" s="6"/>
      <c r="F85" s="6"/>
      <c r="H85" s="5" t="s">
        <v>13</v>
      </c>
      <c r="I85" s="8" t="s">
        <v>13</v>
      </c>
      <c r="J85" s="5"/>
      <c r="K85" s="5"/>
      <c r="L85" s="5"/>
    </row>
    <row r="86" spans="1:12" x14ac:dyDescent="0.35">
      <c r="A86" s="3">
        <v>85</v>
      </c>
      <c r="B86" s="5" t="s">
        <v>98</v>
      </c>
      <c r="C86" s="5" t="s">
        <v>12</v>
      </c>
      <c r="D86" s="6">
        <v>42705</v>
      </c>
      <c r="E86" s="6"/>
      <c r="F86" s="6"/>
      <c r="H86" s="5" t="s">
        <v>13</v>
      </c>
      <c r="I86" s="8" t="s">
        <v>13</v>
      </c>
      <c r="J86" s="5"/>
      <c r="K86" s="5"/>
      <c r="L86" s="5"/>
    </row>
    <row r="87" spans="1:12" x14ac:dyDescent="0.35">
      <c r="A87" s="3">
        <v>86</v>
      </c>
      <c r="B87" s="5" t="s">
        <v>99</v>
      </c>
      <c r="C87" s="5" t="s">
        <v>21</v>
      </c>
      <c r="D87" s="6">
        <v>41899</v>
      </c>
      <c r="E87" s="6">
        <v>42767</v>
      </c>
      <c r="F87" s="6"/>
      <c r="H87" s="5" t="s">
        <v>13</v>
      </c>
      <c r="I87" s="8"/>
      <c r="J87" s="5"/>
      <c r="K87" s="5"/>
      <c r="L87" s="5"/>
    </row>
    <row r="88" spans="1:12" x14ac:dyDescent="0.35">
      <c r="A88" s="3">
        <v>87</v>
      </c>
      <c r="B88" s="5" t="s">
        <v>100</v>
      </c>
      <c r="C88" s="5" t="s">
        <v>12</v>
      </c>
      <c r="D88" s="9">
        <v>41771</v>
      </c>
      <c r="E88" s="6"/>
      <c r="F88" s="6">
        <v>42826</v>
      </c>
      <c r="H88" s="8"/>
      <c r="I88" s="8" t="s">
        <v>13</v>
      </c>
      <c r="J88" s="5"/>
      <c r="K88" s="5"/>
      <c r="L88" s="5"/>
    </row>
    <row r="89" spans="1:12" x14ac:dyDescent="0.35">
      <c r="A89" s="3">
        <v>88</v>
      </c>
      <c r="B89" s="5" t="s">
        <v>66</v>
      </c>
      <c r="C89" s="5" t="s">
        <v>38</v>
      </c>
      <c r="D89" s="6">
        <v>40676</v>
      </c>
      <c r="E89" s="6"/>
      <c r="F89" s="6">
        <v>42826</v>
      </c>
      <c r="H89" s="8"/>
      <c r="I89" s="8" t="s">
        <v>13</v>
      </c>
      <c r="J89" s="5"/>
      <c r="K89" s="5"/>
      <c r="L89" s="5"/>
    </row>
    <row r="90" spans="1:12" x14ac:dyDescent="0.35">
      <c r="A90" s="3">
        <v>89</v>
      </c>
      <c r="B90" s="8" t="s">
        <v>101</v>
      </c>
      <c r="C90" s="5" t="s">
        <v>12</v>
      </c>
      <c r="D90" s="6">
        <v>42005</v>
      </c>
      <c r="E90" s="6">
        <v>42634</v>
      </c>
      <c r="F90" s="6">
        <v>42826</v>
      </c>
      <c r="H90" s="5"/>
      <c r="I90" s="8" t="s">
        <v>13</v>
      </c>
      <c r="J90" s="5"/>
      <c r="K90" s="5"/>
      <c r="L90" s="5"/>
    </row>
    <row r="91" spans="1:12" x14ac:dyDescent="0.35">
      <c r="A91" s="3">
        <v>90</v>
      </c>
      <c r="B91" s="5" t="s">
        <v>102</v>
      </c>
      <c r="C91" s="5" t="s">
        <v>38</v>
      </c>
      <c r="D91" s="6">
        <v>42936</v>
      </c>
      <c r="E91" s="6"/>
      <c r="F91" s="6"/>
      <c r="H91" s="5"/>
      <c r="I91" s="8" t="s">
        <v>13</v>
      </c>
      <c r="J91" s="5"/>
      <c r="K91" s="5"/>
      <c r="L91" s="5"/>
    </row>
    <row r="92" spans="1:12" x14ac:dyDescent="0.35">
      <c r="A92" s="3">
        <v>91</v>
      </c>
      <c r="B92" s="5" t="s">
        <v>103</v>
      </c>
      <c r="C92" s="5" t="s">
        <v>21</v>
      </c>
      <c r="D92" s="6">
        <v>41699</v>
      </c>
      <c r="E92" s="6"/>
      <c r="F92" s="6">
        <v>42887</v>
      </c>
      <c r="H92" s="5"/>
      <c r="I92" s="8" t="s">
        <v>13</v>
      </c>
      <c r="J92" s="5"/>
      <c r="K92" s="5"/>
      <c r="L92" s="5"/>
    </row>
    <row r="93" spans="1:12" x14ac:dyDescent="0.35">
      <c r="A93" s="3">
        <v>92</v>
      </c>
      <c r="B93" s="5" t="s">
        <v>104</v>
      </c>
      <c r="C93" s="5" t="s">
        <v>12</v>
      </c>
      <c r="D93" s="6">
        <v>41533</v>
      </c>
      <c r="E93" s="6"/>
      <c r="F93" s="6">
        <v>42856</v>
      </c>
      <c r="H93" s="5"/>
      <c r="I93" s="8" t="s">
        <v>13</v>
      </c>
      <c r="J93" s="5"/>
      <c r="K93" s="5"/>
      <c r="L93" s="5"/>
    </row>
    <row r="94" spans="1:12" x14ac:dyDescent="0.35">
      <c r="A94" s="3">
        <v>93</v>
      </c>
      <c r="B94" s="8" t="s">
        <v>105</v>
      </c>
      <c r="C94" s="5" t="s">
        <v>12</v>
      </c>
      <c r="D94" s="9">
        <v>41529</v>
      </c>
      <c r="E94" s="6"/>
      <c r="F94" s="6">
        <v>42887</v>
      </c>
      <c r="H94" s="5"/>
      <c r="I94" s="8" t="s">
        <v>13</v>
      </c>
      <c r="J94" s="5"/>
      <c r="K94" s="5"/>
      <c r="L94" s="5"/>
    </row>
    <row r="95" spans="1:12" x14ac:dyDescent="0.35">
      <c r="A95" s="3">
        <v>94</v>
      </c>
      <c r="B95" s="5" t="s">
        <v>106</v>
      </c>
      <c r="C95" s="5" t="s">
        <v>12</v>
      </c>
      <c r="D95" s="6">
        <v>42781</v>
      </c>
      <c r="E95" s="6"/>
      <c r="F95" s="6"/>
      <c r="H95" s="5" t="s">
        <v>13</v>
      </c>
      <c r="I95" s="8" t="s">
        <v>13</v>
      </c>
      <c r="J95" s="5"/>
      <c r="K95" s="5"/>
      <c r="L95" s="5"/>
    </row>
    <row r="96" spans="1:12" x14ac:dyDescent="0.35">
      <c r="A96" s="3">
        <v>95</v>
      </c>
      <c r="B96" s="5" t="s">
        <v>107</v>
      </c>
      <c r="C96" s="5" t="s">
        <v>12</v>
      </c>
      <c r="D96" s="6">
        <v>42654</v>
      </c>
      <c r="E96" s="6"/>
      <c r="F96" s="6">
        <v>42887</v>
      </c>
      <c r="H96" s="5"/>
      <c r="I96" s="8" t="s">
        <v>13</v>
      </c>
      <c r="J96" s="5"/>
      <c r="K96" s="5"/>
      <c r="L96" s="5"/>
    </row>
    <row r="97" spans="1:12" x14ac:dyDescent="0.35">
      <c r="A97" s="3">
        <v>96</v>
      </c>
      <c r="B97" s="5" t="s">
        <v>108</v>
      </c>
      <c r="C97" s="5" t="s">
        <v>12</v>
      </c>
      <c r="D97" s="6">
        <v>42767</v>
      </c>
      <c r="E97" s="6"/>
      <c r="F97" s="6"/>
      <c r="H97" s="5"/>
      <c r="I97" s="8" t="s">
        <v>13</v>
      </c>
      <c r="J97" s="5"/>
      <c r="K97" s="5"/>
      <c r="L97" s="5"/>
    </row>
    <row r="98" spans="1:12" x14ac:dyDescent="0.35">
      <c r="A98" s="3">
        <v>97</v>
      </c>
      <c r="B98" s="5" t="s">
        <v>109</v>
      </c>
      <c r="C98" s="5" t="s">
        <v>12</v>
      </c>
      <c r="D98" s="6">
        <v>42826</v>
      </c>
      <c r="E98" s="6"/>
      <c r="F98" s="6"/>
      <c r="H98" s="5"/>
      <c r="I98" s="8" t="s">
        <v>13</v>
      </c>
      <c r="J98" s="5"/>
      <c r="K98" s="5"/>
      <c r="L98" s="5"/>
    </row>
    <row r="99" spans="1:12" x14ac:dyDescent="0.35">
      <c r="A99" s="3">
        <v>98</v>
      </c>
      <c r="B99" s="5" t="s">
        <v>110</v>
      </c>
      <c r="C99" s="5" t="s">
        <v>12</v>
      </c>
      <c r="D99" s="6">
        <v>41625</v>
      </c>
      <c r="E99" s="6">
        <v>42516</v>
      </c>
      <c r="F99" s="6">
        <v>42807</v>
      </c>
      <c r="H99" s="5"/>
      <c r="I99" s="8" t="s">
        <v>13</v>
      </c>
      <c r="J99" s="5"/>
      <c r="K99" s="5"/>
      <c r="L99" s="5"/>
    </row>
    <row r="100" spans="1:12" x14ac:dyDescent="0.35">
      <c r="A100" s="3">
        <v>99</v>
      </c>
      <c r="B100" s="5" t="s">
        <v>111</v>
      </c>
      <c r="C100" s="5" t="s">
        <v>12</v>
      </c>
      <c r="D100" s="6">
        <v>42845</v>
      </c>
      <c r="E100" s="6"/>
      <c r="F100" s="6"/>
      <c r="H100" s="5"/>
      <c r="I100" s="8" t="s">
        <v>13</v>
      </c>
      <c r="J100" s="5"/>
      <c r="K100" s="5"/>
      <c r="L100" s="5"/>
    </row>
    <row r="101" spans="1:12" x14ac:dyDescent="0.35">
      <c r="A101" s="3">
        <v>100</v>
      </c>
      <c r="B101" s="5" t="s">
        <v>112</v>
      </c>
      <c r="C101" s="5" t="s">
        <v>12</v>
      </c>
      <c r="D101" s="6">
        <v>41156</v>
      </c>
      <c r="E101" s="6">
        <v>42739</v>
      </c>
      <c r="F101" s="6"/>
      <c r="H101" s="5"/>
      <c r="I101" s="8"/>
      <c r="J101" s="5"/>
      <c r="K101" s="5"/>
      <c r="L101" s="5"/>
    </row>
    <row r="102" spans="1:12" x14ac:dyDescent="0.35">
      <c r="A102" s="3">
        <v>101</v>
      </c>
      <c r="B102" s="8" t="s">
        <v>113</v>
      </c>
      <c r="C102" s="8" t="s">
        <v>12</v>
      </c>
      <c r="D102" s="9">
        <v>42887</v>
      </c>
      <c r="E102" s="6"/>
      <c r="F102" s="6"/>
      <c r="H102" s="5"/>
      <c r="I102" s="5" t="s">
        <v>13</v>
      </c>
      <c r="J102" s="5"/>
      <c r="K102" s="5"/>
      <c r="L102" s="5"/>
    </row>
    <row r="103" spans="1:12" x14ac:dyDescent="0.35">
      <c r="A103" s="3">
        <v>102</v>
      </c>
      <c r="B103" s="8" t="s">
        <v>114</v>
      </c>
      <c r="C103" s="8" t="s">
        <v>12</v>
      </c>
      <c r="D103" s="6">
        <v>42739</v>
      </c>
      <c r="E103" s="6"/>
      <c r="F103" s="6"/>
      <c r="H103" s="5"/>
      <c r="I103" s="5" t="s">
        <v>13</v>
      </c>
      <c r="J103" s="5"/>
      <c r="K103" s="5"/>
      <c r="L103" s="5"/>
    </row>
    <row r="104" spans="1:12" x14ac:dyDescent="0.35">
      <c r="A104" s="3">
        <v>103</v>
      </c>
      <c r="B104" s="8" t="s">
        <v>115</v>
      </c>
      <c r="C104" s="8" t="s">
        <v>12</v>
      </c>
      <c r="D104" s="6">
        <v>42375</v>
      </c>
      <c r="E104" s="6">
        <v>42660</v>
      </c>
      <c r="F104" s="6"/>
      <c r="H104" s="5"/>
      <c r="I104" s="5"/>
      <c r="J104" s="5"/>
      <c r="K104" s="5"/>
      <c r="L104" s="5"/>
    </row>
    <row r="105" spans="1:12" x14ac:dyDescent="0.35">
      <c r="A105" s="3">
        <v>104</v>
      </c>
      <c r="B105" s="8" t="s">
        <v>116</v>
      </c>
      <c r="C105" s="8" t="s">
        <v>12</v>
      </c>
      <c r="D105" s="6">
        <v>40676</v>
      </c>
      <c r="E105" s="6">
        <v>42362</v>
      </c>
      <c r="F105" s="6"/>
      <c r="H105" s="5"/>
      <c r="I105" s="5"/>
      <c r="J105" s="5"/>
      <c r="K105" s="5"/>
      <c r="L105" s="5"/>
    </row>
    <row r="106" spans="1:12" x14ac:dyDescent="0.35">
      <c r="A106" s="3">
        <v>105</v>
      </c>
      <c r="B106" s="5" t="s">
        <v>117</v>
      </c>
      <c r="C106" s="8" t="s">
        <v>12</v>
      </c>
      <c r="D106" s="6">
        <v>41922</v>
      </c>
      <c r="E106" s="9">
        <v>42666</v>
      </c>
      <c r="F106" s="6">
        <v>42919</v>
      </c>
      <c r="H106" s="5"/>
      <c r="I106" s="5"/>
      <c r="J106" s="5"/>
      <c r="K106" s="5"/>
      <c r="L106" s="5"/>
    </row>
    <row r="107" spans="1:12" x14ac:dyDescent="0.35">
      <c r="A107" s="3">
        <v>106</v>
      </c>
      <c r="B107" s="8" t="s">
        <v>118</v>
      </c>
      <c r="C107" s="8" t="s">
        <v>21</v>
      </c>
      <c r="D107" s="6">
        <v>42891</v>
      </c>
      <c r="E107" s="6"/>
      <c r="F107" s="6"/>
      <c r="H107" s="5"/>
      <c r="I107" s="8" t="s">
        <v>13</v>
      </c>
      <c r="J107" s="5"/>
      <c r="K107" s="5"/>
      <c r="L107" s="5"/>
    </row>
    <row r="108" spans="1:12" x14ac:dyDescent="0.35">
      <c r="A108" s="3">
        <v>107</v>
      </c>
      <c r="B108" s="8" t="s">
        <v>119</v>
      </c>
      <c r="C108" s="8" t="s">
        <v>12</v>
      </c>
      <c r="D108" s="6">
        <v>41716</v>
      </c>
      <c r="E108" s="6">
        <v>42020</v>
      </c>
      <c r="F108" s="6"/>
      <c r="H108" s="5"/>
      <c r="I108" s="8"/>
      <c r="J108" s="5"/>
      <c r="K108" s="5"/>
      <c r="L108" s="5"/>
    </row>
    <row r="109" spans="1:12" x14ac:dyDescent="0.35">
      <c r="A109" s="3">
        <v>108</v>
      </c>
      <c r="B109" s="8" t="s">
        <v>120</v>
      </c>
      <c r="C109" s="8" t="s">
        <v>12</v>
      </c>
      <c r="D109" s="6">
        <v>42835</v>
      </c>
      <c r="E109" s="6"/>
      <c r="F109" s="6"/>
      <c r="H109" s="5"/>
      <c r="I109" s="5" t="s">
        <v>13</v>
      </c>
      <c r="J109" s="5"/>
      <c r="K109" s="5"/>
      <c r="L109" s="5"/>
    </row>
    <row r="110" spans="1:12" x14ac:dyDescent="0.35">
      <c r="A110" s="3">
        <v>109</v>
      </c>
      <c r="B110" s="5" t="s">
        <v>121</v>
      </c>
      <c r="C110" s="8" t="s">
        <v>12</v>
      </c>
      <c r="D110" s="6">
        <v>42115</v>
      </c>
      <c r="E110" s="6">
        <v>42646</v>
      </c>
      <c r="F110" s="6"/>
      <c r="H110" s="5"/>
      <c r="I110" s="5"/>
      <c r="J110" s="5"/>
      <c r="K110" s="5"/>
      <c r="L110" s="5"/>
    </row>
    <row r="111" spans="1:12" x14ac:dyDescent="0.35">
      <c r="A111" s="3">
        <v>110</v>
      </c>
      <c r="B111" s="5"/>
      <c r="C111" s="8"/>
      <c r="D111" s="6"/>
      <c r="E111" s="6"/>
      <c r="F111" s="6"/>
      <c r="H111" s="5"/>
      <c r="I111" s="5"/>
      <c r="J111" s="5"/>
      <c r="K111" s="5"/>
      <c r="L111" s="5"/>
    </row>
    <row r="112" spans="1:12" x14ac:dyDescent="0.35">
      <c r="A112" s="3">
        <v>111</v>
      </c>
      <c r="B112" s="5"/>
      <c r="C112" s="8"/>
      <c r="D112" s="6"/>
      <c r="E112" s="6"/>
      <c r="F112" s="6"/>
      <c r="H112" s="5"/>
      <c r="I112" s="5"/>
      <c r="J112" s="5"/>
      <c r="K112" s="5"/>
      <c r="L112" s="5"/>
    </row>
    <row r="113" spans="1:12" x14ac:dyDescent="0.35">
      <c r="A113" s="3">
        <v>112</v>
      </c>
      <c r="B113" s="5"/>
      <c r="C113" s="8"/>
      <c r="D113" s="6"/>
      <c r="E113" s="6"/>
      <c r="F113" s="6"/>
      <c r="H113" s="5"/>
      <c r="I113" s="5"/>
      <c r="J113" s="5"/>
      <c r="K113" s="5"/>
      <c r="L113" s="5"/>
    </row>
    <row r="114" spans="1:12" x14ac:dyDescent="0.35">
      <c r="A114" s="3">
        <v>113</v>
      </c>
      <c r="B114" s="5"/>
      <c r="C114" s="8"/>
      <c r="D114" s="6"/>
      <c r="E114" s="6"/>
      <c r="F114" s="6"/>
      <c r="H114" s="5"/>
      <c r="I114" s="5"/>
      <c r="J114" s="5"/>
      <c r="K114" s="5"/>
      <c r="L114" s="5"/>
    </row>
    <row r="115" spans="1:12" x14ac:dyDescent="0.35">
      <c r="A115" s="3">
        <v>114</v>
      </c>
      <c r="B115" s="5"/>
      <c r="C115" s="8"/>
      <c r="D115" s="6"/>
      <c r="E115" s="6"/>
      <c r="F115" s="6"/>
      <c r="H115" s="5"/>
      <c r="I115" s="5"/>
      <c r="J115" s="5"/>
      <c r="K115" s="5"/>
      <c r="L115" s="5"/>
    </row>
    <row r="116" spans="1:12" x14ac:dyDescent="0.35">
      <c r="A116" s="3">
        <v>115</v>
      </c>
      <c r="B116" s="5"/>
      <c r="C116" s="8"/>
      <c r="D116" s="6"/>
      <c r="E116" s="6"/>
      <c r="F116" s="6"/>
      <c r="H116" s="5"/>
      <c r="I116" s="5"/>
      <c r="J116" s="5"/>
      <c r="K116" s="5"/>
      <c r="L116" s="5"/>
    </row>
    <row r="117" spans="1:12" x14ac:dyDescent="0.35">
      <c r="A117" s="3">
        <v>116</v>
      </c>
      <c r="B117" s="5"/>
      <c r="C117" s="8"/>
      <c r="D117" s="6"/>
      <c r="E117" s="6"/>
      <c r="F117" s="6"/>
      <c r="H117" s="5"/>
      <c r="I117" s="5"/>
      <c r="J117" s="5"/>
      <c r="K117" s="5"/>
      <c r="L117" s="5"/>
    </row>
  </sheetData>
  <dataValidations count="2">
    <dataValidation type="list" allowBlank="1" showInputMessage="1" showErrorMessage="1" sqref="C2:C117" xr:uid="{978FB98A-B785-4D93-BA23-2CA6A5D3D342}">
      <formula1>$Z$13:$Z$15</formula1>
    </dataValidation>
    <dataValidation type="list" allowBlank="1" showInputMessage="1" showErrorMessage="1" sqref="H2:L117" xr:uid="{B6DD326D-0A0D-4E53-9E11-12689EB1541A}">
      <formula1>$Z$6:$Z$7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370D-A64C-4A38-BED0-AD8AAB2D1D43}">
  <dimension ref="A3:W112"/>
  <sheetViews>
    <sheetView workbookViewId="0">
      <selection activeCell="E3" sqref="E3"/>
    </sheetView>
  </sheetViews>
  <sheetFormatPr defaultRowHeight="14.5" x14ac:dyDescent="0.35"/>
  <sheetData>
    <row r="3" spans="1:23" ht="15" thickBot="1" x14ac:dyDescent="0.4"/>
    <row r="4" spans="1:23" ht="15" thickBot="1" x14ac:dyDescent="0.4">
      <c r="B4" s="13" t="s">
        <v>122</v>
      </c>
      <c r="C4" s="14"/>
      <c r="D4" s="15" t="s">
        <v>122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7"/>
    </row>
    <row r="5" spans="1:23" x14ac:dyDescent="0.35">
      <c r="C5" s="14"/>
      <c r="D5" s="18" t="s">
        <v>123</v>
      </c>
      <c r="E5" s="19"/>
      <c r="F5" s="19"/>
      <c r="G5" s="19"/>
      <c r="H5" s="20"/>
      <c r="I5" s="21" t="s">
        <v>124</v>
      </c>
      <c r="J5" s="22"/>
      <c r="K5" s="22"/>
      <c r="L5" s="22"/>
      <c r="M5" s="23"/>
      <c r="N5" s="24" t="s">
        <v>125</v>
      </c>
      <c r="O5" s="25"/>
      <c r="P5" s="25"/>
      <c r="Q5" s="25"/>
      <c r="R5" s="26"/>
      <c r="S5" s="27" t="s">
        <v>126</v>
      </c>
      <c r="T5" s="28"/>
      <c r="U5" s="28"/>
      <c r="V5" s="28"/>
      <c r="W5" s="29"/>
    </row>
    <row r="6" spans="1:23" ht="46" x14ac:dyDescent="0.35">
      <c r="A6" s="1" t="s">
        <v>0</v>
      </c>
      <c r="B6" s="2" t="s">
        <v>127</v>
      </c>
      <c r="C6" s="14"/>
      <c r="D6" s="30" t="s">
        <v>128</v>
      </c>
      <c r="E6" s="31" t="s">
        <v>129</v>
      </c>
      <c r="F6" s="32" t="s">
        <v>130</v>
      </c>
      <c r="G6" s="32" t="s">
        <v>131</v>
      </c>
      <c r="H6" s="33" t="s">
        <v>132</v>
      </c>
      <c r="I6" s="30" t="s">
        <v>133</v>
      </c>
      <c r="J6" s="34" t="s">
        <v>134</v>
      </c>
      <c r="K6" s="35" t="s">
        <v>135</v>
      </c>
      <c r="L6" s="35" t="s">
        <v>136</v>
      </c>
      <c r="M6" s="36" t="s">
        <v>137</v>
      </c>
      <c r="N6" s="30" t="s">
        <v>138</v>
      </c>
      <c r="O6" s="37" t="s">
        <v>139</v>
      </c>
      <c r="P6" s="38" t="s">
        <v>140</v>
      </c>
      <c r="Q6" s="38" t="s">
        <v>141</v>
      </c>
      <c r="R6" s="39" t="s">
        <v>142</v>
      </c>
      <c r="S6" s="30" t="s">
        <v>143</v>
      </c>
      <c r="T6" s="40" t="s">
        <v>144</v>
      </c>
      <c r="U6" s="41" t="s">
        <v>145</v>
      </c>
      <c r="V6" s="41" t="s">
        <v>146</v>
      </c>
      <c r="W6" s="42" t="s">
        <v>147</v>
      </c>
    </row>
    <row r="7" spans="1:23" x14ac:dyDescent="0.35">
      <c r="A7" s="3">
        <v>1</v>
      </c>
      <c r="B7" s="8" t="s">
        <v>148</v>
      </c>
      <c r="C7" s="43" t="str">
        <f t="shared" ref="C7:C20" si="0">IF(COUNTIF($B$7:$B$22,B7)&gt;1,"DUPLICATE","")</f>
        <v/>
      </c>
      <c r="D7" s="44">
        <v>0.5</v>
      </c>
      <c r="E7" s="5" t="s">
        <v>149</v>
      </c>
      <c r="F7" s="5" t="s">
        <v>150</v>
      </c>
      <c r="G7" s="5"/>
      <c r="H7" s="5"/>
      <c r="I7" s="44">
        <v>0.25</v>
      </c>
      <c r="J7" s="5" t="s">
        <v>151</v>
      </c>
      <c r="K7" s="5" t="s">
        <v>152</v>
      </c>
      <c r="L7" s="5"/>
      <c r="M7" s="5"/>
      <c r="N7" s="44">
        <v>0.1</v>
      </c>
      <c r="O7" s="5" t="s">
        <v>153</v>
      </c>
      <c r="P7" s="5" t="s">
        <v>154</v>
      </c>
      <c r="Q7" s="5"/>
      <c r="R7" s="5"/>
      <c r="S7" s="45">
        <f>1-D7-I7-N7</f>
        <v>0.15</v>
      </c>
      <c r="T7" s="5" t="s">
        <v>155</v>
      </c>
      <c r="U7" s="5"/>
      <c r="V7" s="5"/>
      <c r="W7" s="5"/>
    </row>
    <row r="8" spans="1:23" x14ac:dyDescent="0.35">
      <c r="A8" s="3">
        <v>2</v>
      </c>
      <c r="B8" s="5" t="s">
        <v>156</v>
      </c>
      <c r="C8" s="43" t="str">
        <f t="shared" si="0"/>
        <v/>
      </c>
      <c r="D8" s="44">
        <v>0.3</v>
      </c>
      <c r="E8" s="5" t="s">
        <v>157</v>
      </c>
      <c r="F8" s="5" t="s">
        <v>158</v>
      </c>
      <c r="G8" s="5"/>
      <c r="H8" s="5"/>
      <c r="I8" s="44">
        <v>0.25</v>
      </c>
      <c r="J8" s="5" t="s">
        <v>159</v>
      </c>
      <c r="K8" s="5" t="s">
        <v>160</v>
      </c>
      <c r="L8" s="5" t="s">
        <v>161</v>
      </c>
      <c r="M8" s="5"/>
      <c r="N8" s="44">
        <v>0.25</v>
      </c>
      <c r="O8" s="5" t="s">
        <v>151</v>
      </c>
      <c r="P8" s="5"/>
      <c r="Q8" s="5"/>
      <c r="R8" s="5"/>
      <c r="S8" s="45">
        <f t="shared" ref="S8:S22" si="1">1-D8-I8-N8</f>
        <v>0.19999999999999996</v>
      </c>
      <c r="T8" s="5" t="s">
        <v>162</v>
      </c>
      <c r="U8" s="5" t="s">
        <v>150</v>
      </c>
      <c r="V8" s="5" t="s">
        <v>149</v>
      </c>
      <c r="W8" s="5"/>
    </row>
    <row r="9" spans="1:23" x14ac:dyDescent="0.35">
      <c r="A9" s="3">
        <v>3</v>
      </c>
      <c r="B9" s="5" t="s">
        <v>163</v>
      </c>
      <c r="C9" s="43" t="str">
        <f t="shared" si="0"/>
        <v/>
      </c>
      <c r="D9" s="44">
        <v>0.1</v>
      </c>
      <c r="E9" s="5" t="s">
        <v>149</v>
      </c>
      <c r="F9" s="5" t="s">
        <v>150</v>
      </c>
      <c r="G9" s="5"/>
      <c r="H9" s="5"/>
      <c r="I9" s="44">
        <v>0.3</v>
      </c>
      <c r="J9" s="5" t="s">
        <v>159</v>
      </c>
      <c r="K9" s="5" t="s">
        <v>160</v>
      </c>
      <c r="L9" s="5" t="s">
        <v>161</v>
      </c>
      <c r="M9" s="5"/>
      <c r="N9" s="44">
        <v>0.3</v>
      </c>
      <c r="O9" s="5" t="s">
        <v>151</v>
      </c>
      <c r="P9" s="5"/>
      <c r="Q9" s="5"/>
      <c r="R9" s="5"/>
      <c r="S9" s="45">
        <f t="shared" si="1"/>
        <v>0.3000000000000001</v>
      </c>
      <c r="T9" s="5" t="s">
        <v>162</v>
      </c>
      <c r="U9" s="5"/>
      <c r="V9" s="5"/>
      <c r="W9" s="5"/>
    </row>
    <row r="10" spans="1:23" x14ac:dyDescent="0.35">
      <c r="A10" s="3">
        <v>4</v>
      </c>
      <c r="B10" s="5" t="s">
        <v>164</v>
      </c>
      <c r="C10" s="43" t="str">
        <f t="shared" si="0"/>
        <v/>
      </c>
      <c r="D10" s="44">
        <v>0.45</v>
      </c>
      <c r="E10" s="8" t="s">
        <v>157</v>
      </c>
      <c r="F10" s="5"/>
      <c r="G10" s="5"/>
      <c r="H10" s="5"/>
      <c r="I10" s="44">
        <v>0.25</v>
      </c>
      <c r="J10" s="5" t="s">
        <v>158</v>
      </c>
      <c r="K10" s="5"/>
      <c r="L10" s="5"/>
      <c r="M10" s="5"/>
      <c r="N10" s="44">
        <v>0.25</v>
      </c>
      <c r="O10" s="5" t="s">
        <v>150</v>
      </c>
      <c r="P10" s="5" t="s">
        <v>165</v>
      </c>
      <c r="Q10" s="5"/>
      <c r="R10" s="5"/>
      <c r="S10" s="45">
        <f t="shared" si="1"/>
        <v>5.0000000000000044E-2</v>
      </c>
      <c r="T10" s="5" t="s">
        <v>149</v>
      </c>
      <c r="U10" s="5"/>
      <c r="V10" s="5"/>
      <c r="W10" s="5"/>
    </row>
    <row r="11" spans="1:23" x14ac:dyDescent="0.35">
      <c r="A11" s="3">
        <v>5</v>
      </c>
      <c r="B11" s="5" t="s">
        <v>166</v>
      </c>
      <c r="C11" s="43" t="str">
        <f t="shared" si="0"/>
        <v/>
      </c>
      <c r="D11" s="44">
        <v>0.4</v>
      </c>
      <c r="E11" s="8" t="s">
        <v>149</v>
      </c>
      <c r="F11" s="5"/>
      <c r="G11" s="5"/>
      <c r="H11" s="5"/>
      <c r="I11" s="44">
        <v>0.35</v>
      </c>
      <c r="J11" s="5" t="s">
        <v>150</v>
      </c>
      <c r="K11" s="5"/>
      <c r="L11" s="5"/>
      <c r="M11" s="5"/>
      <c r="N11" s="44">
        <v>0.25</v>
      </c>
      <c r="O11" s="5" t="s">
        <v>153</v>
      </c>
      <c r="P11" s="5" t="s">
        <v>154</v>
      </c>
      <c r="Q11" s="5"/>
      <c r="R11" s="5"/>
      <c r="S11" s="45">
        <f t="shared" si="1"/>
        <v>0</v>
      </c>
      <c r="T11" s="5"/>
      <c r="U11" s="5"/>
      <c r="V11" s="5"/>
      <c r="W11" s="5"/>
    </row>
    <row r="12" spans="1:23" x14ac:dyDescent="0.35">
      <c r="A12" s="3">
        <v>6</v>
      </c>
      <c r="B12" s="5" t="s">
        <v>167</v>
      </c>
      <c r="C12" s="43" t="str">
        <f t="shared" si="0"/>
        <v/>
      </c>
      <c r="D12" s="44">
        <v>0.5</v>
      </c>
      <c r="E12" s="5" t="s">
        <v>168</v>
      </c>
      <c r="F12" s="5"/>
      <c r="G12" s="5"/>
      <c r="H12" s="5"/>
      <c r="I12" s="44">
        <v>0.25</v>
      </c>
      <c r="J12" s="5" t="s">
        <v>169</v>
      </c>
      <c r="K12" s="5"/>
      <c r="L12" s="5"/>
      <c r="M12" s="5"/>
      <c r="N12" s="44">
        <v>0.2</v>
      </c>
      <c r="O12" s="5" t="s">
        <v>170</v>
      </c>
      <c r="P12" s="5"/>
      <c r="Q12" s="5"/>
      <c r="R12" s="5"/>
      <c r="S12" s="45">
        <f t="shared" si="1"/>
        <v>4.9999999999999989E-2</v>
      </c>
      <c r="T12" s="5" t="s">
        <v>171</v>
      </c>
      <c r="U12" s="5"/>
      <c r="V12" s="5"/>
      <c r="W12" s="5"/>
    </row>
    <row r="13" spans="1:23" x14ac:dyDescent="0.35">
      <c r="A13" s="3">
        <v>7</v>
      </c>
      <c r="B13" s="5"/>
      <c r="C13" s="43" t="str">
        <f t="shared" si="0"/>
        <v/>
      </c>
      <c r="D13" s="44"/>
      <c r="E13" s="5"/>
      <c r="F13" s="5"/>
      <c r="G13" s="5"/>
      <c r="H13" s="5"/>
      <c r="I13" s="44"/>
      <c r="J13" s="5"/>
      <c r="K13" s="5"/>
      <c r="L13" s="5"/>
      <c r="M13" s="5"/>
      <c r="N13" s="44"/>
      <c r="O13" s="5"/>
      <c r="P13" s="5"/>
      <c r="Q13" s="5"/>
      <c r="R13" s="5"/>
      <c r="S13" s="45">
        <f t="shared" si="1"/>
        <v>1</v>
      </c>
      <c r="T13" s="5"/>
      <c r="U13" s="5"/>
      <c r="V13" s="5"/>
      <c r="W13" s="5"/>
    </row>
    <row r="14" spans="1:23" x14ac:dyDescent="0.35">
      <c r="A14" s="3">
        <v>8</v>
      </c>
      <c r="B14" s="5"/>
      <c r="C14" s="43" t="str">
        <f t="shared" si="0"/>
        <v/>
      </c>
      <c r="D14" s="44"/>
      <c r="E14" s="5"/>
      <c r="F14" s="5"/>
      <c r="G14" s="5"/>
      <c r="H14" s="5"/>
      <c r="I14" s="44"/>
      <c r="J14" s="5"/>
      <c r="K14" s="5"/>
      <c r="L14" s="5"/>
      <c r="M14" s="5"/>
      <c r="N14" s="44"/>
      <c r="O14" s="5"/>
      <c r="P14" s="5"/>
      <c r="Q14" s="5"/>
      <c r="R14" s="5"/>
      <c r="S14" s="45">
        <f t="shared" si="1"/>
        <v>1</v>
      </c>
      <c r="T14" s="5"/>
      <c r="U14" s="5"/>
      <c r="V14" s="5"/>
      <c r="W14" s="5"/>
    </row>
    <row r="15" spans="1:23" x14ac:dyDescent="0.35">
      <c r="A15" s="3">
        <v>9</v>
      </c>
      <c r="B15" s="5"/>
      <c r="C15" s="43" t="str">
        <f t="shared" si="0"/>
        <v/>
      </c>
      <c r="D15" s="44"/>
      <c r="E15" s="5"/>
      <c r="F15" s="5"/>
      <c r="G15" s="5"/>
      <c r="H15" s="5"/>
      <c r="I15" s="44"/>
      <c r="J15" s="5"/>
      <c r="K15" s="5"/>
      <c r="L15" s="5"/>
      <c r="M15" s="5"/>
      <c r="N15" s="44"/>
      <c r="O15" s="5"/>
      <c r="P15" s="5"/>
      <c r="Q15" s="5"/>
      <c r="R15" s="5"/>
      <c r="S15" s="45">
        <f t="shared" si="1"/>
        <v>1</v>
      </c>
      <c r="T15" s="5"/>
      <c r="U15" s="5"/>
      <c r="V15" s="5"/>
      <c r="W15" s="5"/>
    </row>
    <row r="16" spans="1:23" x14ac:dyDescent="0.35">
      <c r="A16" s="3">
        <v>10</v>
      </c>
      <c r="B16" s="5"/>
      <c r="C16" s="43" t="str">
        <f t="shared" si="0"/>
        <v/>
      </c>
      <c r="D16" s="44"/>
      <c r="E16" s="5"/>
      <c r="F16" s="5"/>
      <c r="G16" s="5"/>
      <c r="H16" s="5"/>
      <c r="I16" s="44"/>
      <c r="J16" s="5"/>
      <c r="K16" s="5"/>
      <c r="L16" s="5"/>
      <c r="M16" s="5"/>
      <c r="N16" s="44"/>
      <c r="O16" s="5"/>
      <c r="P16" s="5"/>
      <c r="Q16" s="5"/>
      <c r="R16" s="5"/>
      <c r="S16" s="45">
        <f t="shared" si="1"/>
        <v>1</v>
      </c>
      <c r="T16" s="5"/>
      <c r="U16" s="5"/>
      <c r="V16" s="5"/>
      <c r="W16" s="5"/>
    </row>
    <row r="17" spans="1:23" x14ac:dyDescent="0.35">
      <c r="A17" s="3">
        <v>11</v>
      </c>
      <c r="B17" s="5"/>
      <c r="C17" s="43" t="str">
        <f t="shared" si="0"/>
        <v/>
      </c>
      <c r="D17" s="44"/>
      <c r="E17" s="5"/>
      <c r="F17" s="5"/>
      <c r="G17" s="5"/>
      <c r="H17" s="5"/>
      <c r="I17" s="44"/>
      <c r="J17" s="5"/>
      <c r="K17" s="5"/>
      <c r="L17" s="5"/>
      <c r="M17" s="5"/>
      <c r="N17" s="44"/>
      <c r="O17" s="5"/>
      <c r="P17" s="5"/>
      <c r="Q17" s="5"/>
      <c r="R17" s="5"/>
      <c r="S17" s="45">
        <f t="shared" si="1"/>
        <v>1</v>
      </c>
      <c r="T17" s="5"/>
      <c r="U17" s="5"/>
      <c r="V17" s="5"/>
      <c r="W17" s="5"/>
    </row>
    <row r="18" spans="1:23" x14ac:dyDescent="0.35">
      <c r="A18" s="3">
        <v>12</v>
      </c>
      <c r="B18" s="5"/>
      <c r="C18" s="43" t="str">
        <f t="shared" si="0"/>
        <v/>
      </c>
      <c r="D18" s="44"/>
      <c r="E18" s="5"/>
      <c r="F18" s="5"/>
      <c r="G18" s="5"/>
      <c r="H18" s="5"/>
      <c r="I18" s="44"/>
      <c r="J18" s="5"/>
      <c r="K18" s="5"/>
      <c r="L18" s="5"/>
      <c r="M18" s="5"/>
      <c r="N18" s="44"/>
      <c r="O18" s="5"/>
      <c r="P18" s="5"/>
      <c r="Q18" s="5"/>
      <c r="R18" s="5"/>
      <c r="S18" s="45">
        <f t="shared" si="1"/>
        <v>1</v>
      </c>
      <c r="T18" s="5"/>
      <c r="U18" s="5"/>
      <c r="V18" s="5"/>
      <c r="W18" s="5"/>
    </row>
    <row r="19" spans="1:23" x14ac:dyDescent="0.35">
      <c r="A19" s="3">
        <v>13</v>
      </c>
      <c r="B19" s="5"/>
      <c r="C19" s="43" t="str">
        <f t="shared" si="0"/>
        <v/>
      </c>
      <c r="D19" s="44"/>
      <c r="E19" s="5"/>
      <c r="F19" s="5"/>
      <c r="G19" s="5"/>
      <c r="H19" s="5"/>
      <c r="I19" s="44"/>
      <c r="J19" s="5"/>
      <c r="K19" s="5"/>
      <c r="L19" s="5"/>
      <c r="M19" s="5"/>
      <c r="N19" s="44"/>
      <c r="O19" s="5"/>
      <c r="P19" s="5"/>
      <c r="Q19" s="5"/>
      <c r="R19" s="5"/>
      <c r="S19" s="45">
        <f t="shared" si="1"/>
        <v>1</v>
      </c>
      <c r="T19" s="5"/>
      <c r="U19" s="5"/>
      <c r="V19" s="5"/>
      <c r="W19" s="5"/>
    </row>
    <row r="20" spans="1:23" x14ac:dyDescent="0.35">
      <c r="A20" s="3">
        <v>14</v>
      </c>
      <c r="B20" s="5"/>
      <c r="C20" s="43" t="str">
        <f t="shared" si="0"/>
        <v/>
      </c>
      <c r="D20" s="44"/>
      <c r="E20" s="5"/>
      <c r="F20" s="5"/>
      <c r="G20" s="5"/>
      <c r="H20" s="5"/>
      <c r="I20" s="44"/>
      <c r="J20" s="5"/>
      <c r="K20" s="5"/>
      <c r="L20" s="5"/>
      <c r="M20" s="5"/>
      <c r="N20" s="44"/>
      <c r="O20" s="5"/>
      <c r="P20" s="5"/>
      <c r="Q20" s="5"/>
      <c r="R20" s="5"/>
      <c r="S20" s="45">
        <f t="shared" si="1"/>
        <v>1</v>
      </c>
      <c r="T20" s="5"/>
      <c r="U20" s="5"/>
      <c r="V20" s="5"/>
      <c r="W20" s="5"/>
    </row>
    <row r="21" spans="1:23" x14ac:dyDescent="0.35">
      <c r="A21" s="3">
        <v>15</v>
      </c>
      <c r="B21" s="5"/>
      <c r="C21" s="43"/>
      <c r="D21" s="44"/>
      <c r="E21" s="5"/>
      <c r="F21" s="5"/>
      <c r="G21" s="5"/>
      <c r="H21" s="5"/>
      <c r="I21" s="44"/>
      <c r="J21" s="5"/>
      <c r="K21" s="5"/>
      <c r="L21" s="5"/>
      <c r="M21" s="5"/>
      <c r="N21" s="44"/>
      <c r="O21" s="5"/>
      <c r="P21" s="5"/>
      <c r="Q21" s="5"/>
      <c r="R21" s="5"/>
      <c r="S21" s="45">
        <f t="shared" si="1"/>
        <v>1</v>
      </c>
      <c r="T21" s="5"/>
      <c r="U21" s="5"/>
      <c r="V21" s="5"/>
      <c r="W21" s="5"/>
    </row>
    <row r="22" spans="1:23" x14ac:dyDescent="0.35">
      <c r="A22" s="3">
        <v>16</v>
      </c>
      <c r="B22" s="5"/>
      <c r="C22" s="43" t="str">
        <f>IF(COUNTIF($B$7:$B$22,B22)&gt;1,"DUPLICATE","")</f>
        <v/>
      </c>
      <c r="D22" s="44"/>
      <c r="E22" s="5"/>
      <c r="F22" s="5"/>
      <c r="G22" s="5"/>
      <c r="H22" s="5"/>
      <c r="I22" s="44"/>
      <c r="J22" s="5"/>
      <c r="K22" s="5"/>
      <c r="L22" s="5"/>
      <c r="M22" s="5"/>
      <c r="N22" s="44"/>
      <c r="O22" s="5"/>
      <c r="P22" s="5"/>
      <c r="Q22" s="5"/>
      <c r="R22" s="5"/>
      <c r="S22" s="45">
        <f t="shared" si="1"/>
        <v>1</v>
      </c>
      <c r="T22" s="5"/>
      <c r="U22" s="5"/>
      <c r="V22" s="5"/>
      <c r="W22" s="5"/>
    </row>
    <row r="23" spans="1:23" x14ac:dyDescent="0.35">
      <c r="C23" s="46"/>
    </row>
    <row r="24" spans="1:23" ht="15" thickBot="1" x14ac:dyDescent="0.4">
      <c r="C24" s="14"/>
    </row>
    <row r="25" spans="1:23" ht="15" thickBot="1" x14ac:dyDescent="0.4">
      <c r="B25" s="13" t="s">
        <v>172</v>
      </c>
      <c r="C25" s="14"/>
      <c r="D25" s="15" t="s">
        <v>172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</row>
    <row r="26" spans="1:23" x14ac:dyDescent="0.35">
      <c r="C26" s="14"/>
      <c r="D26" s="18" t="s">
        <v>123</v>
      </c>
      <c r="E26" s="19"/>
      <c r="F26" s="19"/>
      <c r="G26" s="19"/>
      <c r="H26" s="20"/>
      <c r="I26" s="21" t="s">
        <v>124</v>
      </c>
      <c r="J26" s="22"/>
      <c r="K26" s="22"/>
      <c r="L26" s="22"/>
      <c r="M26" s="23"/>
      <c r="N26" s="24" t="s">
        <v>125</v>
      </c>
      <c r="O26" s="25"/>
      <c r="P26" s="25"/>
      <c r="Q26" s="25"/>
      <c r="R26" s="26"/>
      <c r="S26" s="27" t="s">
        <v>126</v>
      </c>
      <c r="T26" s="28"/>
      <c r="U26" s="28"/>
      <c r="V26" s="28"/>
      <c r="W26" s="29"/>
    </row>
    <row r="27" spans="1:23" ht="46" x14ac:dyDescent="0.35">
      <c r="A27" s="1" t="s">
        <v>0</v>
      </c>
      <c r="B27" s="2" t="s">
        <v>127</v>
      </c>
      <c r="C27" s="14"/>
      <c r="D27" s="30" t="s">
        <v>128</v>
      </c>
      <c r="E27" s="31" t="s">
        <v>129</v>
      </c>
      <c r="F27" s="32" t="s">
        <v>130</v>
      </c>
      <c r="G27" s="32" t="s">
        <v>131</v>
      </c>
      <c r="H27" s="33" t="s">
        <v>132</v>
      </c>
      <c r="I27" s="30" t="s">
        <v>133</v>
      </c>
      <c r="J27" s="34" t="s">
        <v>134</v>
      </c>
      <c r="K27" s="35" t="s">
        <v>135</v>
      </c>
      <c r="L27" s="35" t="s">
        <v>136</v>
      </c>
      <c r="M27" s="36" t="s">
        <v>137</v>
      </c>
      <c r="N27" s="30" t="s">
        <v>138</v>
      </c>
      <c r="O27" s="37" t="s">
        <v>139</v>
      </c>
      <c r="P27" s="38" t="s">
        <v>140</v>
      </c>
      <c r="Q27" s="38" t="s">
        <v>141</v>
      </c>
      <c r="R27" s="39" t="s">
        <v>142</v>
      </c>
      <c r="S27" s="30" t="s">
        <v>143</v>
      </c>
      <c r="T27" s="40" t="s">
        <v>144</v>
      </c>
      <c r="U27" s="41" t="s">
        <v>145</v>
      </c>
      <c r="V27" s="41" t="s">
        <v>146</v>
      </c>
      <c r="W27" s="42" t="s">
        <v>147</v>
      </c>
    </row>
    <row r="28" spans="1:23" x14ac:dyDescent="0.35">
      <c r="A28" s="3">
        <v>1</v>
      </c>
      <c r="B28" s="8" t="s">
        <v>148</v>
      </c>
      <c r="C28" s="43" t="str">
        <f t="shared" ref="C28:C39" si="2">IF(COUNTIF($B$28:$B$43,B28)&gt;1,"DUPLICATE","")</f>
        <v/>
      </c>
      <c r="D28" s="44">
        <v>0.5</v>
      </c>
      <c r="E28" s="5" t="s">
        <v>149</v>
      </c>
      <c r="F28" s="5" t="s">
        <v>150</v>
      </c>
      <c r="G28" s="5"/>
      <c r="H28" s="5"/>
      <c r="I28" s="44">
        <v>0.35</v>
      </c>
      <c r="J28" s="5" t="s">
        <v>151</v>
      </c>
      <c r="K28" s="5" t="s">
        <v>152</v>
      </c>
      <c r="L28" s="5"/>
      <c r="M28" s="5"/>
      <c r="N28" s="44">
        <v>0.1</v>
      </c>
      <c r="O28" s="5" t="s">
        <v>153</v>
      </c>
      <c r="P28" s="5" t="s">
        <v>154</v>
      </c>
      <c r="Q28" s="5"/>
      <c r="R28" s="5"/>
      <c r="S28" s="45">
        <f>1-D28-I28-N28</f>
        <v>5.0000000000000017E-2</v>
      </c>
      <c r="T28" s="5" t="s">
        <v>155</v>
      </c>
      <c r="U28" s="5" t="s">
        <v>173</v>
      </c>
      <c r="V28" s="5"/>
      <c r="W28" s="5"/>
    </row>
    <row r="29" spans="1:23" x14ac:dyDescent="0.35">
      <c r="A29" s="3">
        <v>2</v>
      </c>
      <c r="B29" s="5" t="s">
        <v>156</v>
      </c>
      <c r="C29" s="43" t="str">
        <f t="shared" si="2"/>
        <v/>
      </c>
      <c r="D29" s="44">
        <v>0.3</v>
      </c>
      <c r="E29" s="5" t="s">
        <v>157</v>
      </c>
      <c r="F29" s="5" t="s">
        <v>158</v>
      </c>
      <c r="G29" s="5"/>
      <c r="H29" s="5"/>
      <c r="I29" s="44">
        <v>0.25</v>
      </c>
      <c r="J29" s="5" t="s">
        <v>159</v>
      </c>
      <c r="K29" s="5" t="s">
        <v>160</v>
      </c>
      <c r="L29" s="5" t="s">
        <v>161</v>
      </c>
      <c r="M29" s="5"/>
      <c r="N29" s="44">
        <v>0.25</v>
      </c>
      <c r="O29" s="5" t="s">
        <v>151</v>
      </c>
      <c r="P29" s="5"/>
      <c r="Q29" s="5"/>
      <c r="R29" s="5"/>
      <c r="S29" s="45">
        <f t="shared" ref="S29:S43" si="3">1-D29-I29-N29</f>
        <v>0.19999999999999996</v>
      </c>
      <c r="T29" s="5" t="s">
        <v>162</v>
      </c>
      <c r="U29" s="5" t="s">
        <v>150</v>
      </c>
      <c r="V29" s="5" t="s">
        <v>149</v>
      </c>
      <c r="W29" s="5"/>
    </row>
    <row r="30" spans="1:23" x14ac:dyDescent="0.35">
      <c r="A30" s="3">
        <v>3</v>
      </c>
      <c r="B30" s="8" t="s">
        <v>163</v>
      </c>
      <c r="C30" s="43" t="str">
        <f t="shared" si="2"/>
        <v/>
      </c>
      <c r="D30" s="44">
        <v>0.1</v>
      </c>
      <c r="E30" s="5" t="s">
        <v>149</v>
      </c>
      <c r="F30" s="5" t="s">
        <v>150</v>
      </c>
      <c r="G30" s="5"/>
      <c r="H30" s="5"/>
      <c r="I30" s="44">
        <v>0.3</v>
      </c>
      <c r="J30" s="5" t="s">
        <v>159</v>
      </c>
      <c r="K30" s="5" t="s">
        <v>160</v>
      </c>
      <c r="L30" s="5" t="s">
        <v>161</v>
      </c>
      <c r="M30" s="5"/>
      <c r="N30" s="44">
        <v>0.3</v>
      </c>
      <c r="O30" s="5" t="s">
        <v>151</v>
      </c>
      <c r="P30" s="5"/>
      <c r="Q30" s="5"/>
      <c r="R30" s="5"/>
      <c r="S30" s="45">
        <f t="shared" si="3"/>
        <v>0.3000000000000001</v>
      </c>
      <c r="T30" s="5" t="s">
        <v>162</v>
      </c>
      <c r="U30" s="5"/>
      <c r="V30" s="5"/>
      <c r="W30" s="5"/>
    </row>
    <row r="31" spans="1:23" x14ac:dyDescent="0.35">
      <c r="A31" s="3">
        <v>4</v>
      </c>
      <c r="B31" s="5" t="s">
        <v>164</v>
      </c>
      <c r="C31" s="43" t="str">
        <f t="shared" si="2"/>
        <v/>
      </c>
      <c r="D31" s="44">
        <v>0.45</v>
      </c>
      <c r="E31" s="5" t="s">
        <v>157</v>
      </c>
      <c r="F31" s="5"/>
      <c r="G31" s="5"/>
      <c r="H31" s="5"/>
      <c r="I31" s="44">
        <v>0.25</v>
      </c>
      <c r="J31" s="5" t="s">
        <v>158</v>
      </c>
      <c r="K31" s="5"/>
      <c r="L31" s="5"/>
      <c r="M31" s="5"/>
      <c r="N31" s="44">
        <v>0.25</v>
      </c>
      <c r="O31" s="5" t="s">
        <v>150</v>
      </c>
      <c r="P31" s="5" t="s">
        <v>165</v>
      </c>
      <c r="Q31" s="5"/>
      <c r="R31" s="5"/>
      <c r="S31" s="45">
        <f t="shared" si="3"/>
        <v>5.0000000000000044E-2</v>
      </c>
      <c r="T31" s="5" t="s">
        <v>149</v>
      </c>
      <c r="U31" s="5"/>
      <c r="V31" s="5"/>
      <c r="W31" s="5"/>
    </row>
    <row r="32" spans="1:23" x14ac:dyDescent="0.35">
      <c r="A32" s="3">
        <v>5</v>
      </c>
      <c r="B32" s="5" t="s">
        <v>166</v>
      </c>
      <c r="C32" s="43" t="str">
        <f t="shared" si="2"/>
        <v/>
      </c>
      <c r="D32" s="44">
        <v>0.45</v>
      </c>
      <c r="E32" s="5" t="s">
        <v>149</v>
      </c>
      <c r="F32" s="5"/>
      <c r="G32" s="5"/>
      <c r="H32" s="5"/>
      <c r="I32" s="44">
        <v>0.3</v>
      </c>
      <c r="J32" s="5" t="s">
        <v>150</v>
      </c>
      <c r="K32" s="5"/>
      <c r="L32" s="5"/>
      <c r="M32" s="5"/>
      <c r="N32" s="44">
        <v>0.15</v>
      </c>
      <c r="O32" s="5" t="s">
        <v>153</v>
      </c>
      <c r="P32" s="5" t="s">
        <v>154</v>
      </c>
      <c r="Q32" s="5"/>
      <c r="R32" s="5"/>
      <c r="S32" s="45">
        <f t="shared" si="3"/>
        <v>0.10000000000000006</v>
      </c>
      <c r="T32" s="5" t="s">
        <v>173</v>
      </c>
      <c r="U32" s="5"/>
      <c r="V32" s="5"/>
      <c r="W32" s="5"/>
    </row>
    <row r="33" spans="1:23" x14ac:dyDescent="0.35">
      <c r="A33" s="3">
        <v>6</v>
      </c>
      <c r="B33" s="5" t="s">
        <v>167</v>
      </c>
      <c r="C33" s="43" t="str">
        <f t="shared" si="2"/>
        <v/>
      </c>
      <c r="D33" s="44">
        <v>0.5</v>
      </c>
      <c r="E33" s="5" t="s">
        <v>168</v>
      </c>
      <c r="F33" s="5"/>
      <c r="G33" s="5"/>
      <c r="H33" s="5"/>
      <c r="I33" s="44">
        <v>0.25</v>
      </c>
      <c r="J33" s="5" t="s">
        <v>169</v>
      </c>
      <c r="K33" s="5"/>
      <c r="L33" s="5"/>
      <c r="M33" s="5"/>
      <c r="N33" s="44">
        <v>0.2</v>
      </c>
      <c r="O33" s="5" t="s">
        <v>170</v>
      </c>
      <c r="P33" s="5"/>
      <c r="Q33" s="5"/>
      <c r="R33" s="5"/>
      <c r="S33" s="45">
        <f t="shared" si="3"/>
        <v>4.9999999999999989E-2</v>
      </c>
      <c r="T33" s="5" t="s">
        <v>171</v>
      </c>
      <c r="U33" s="5"/>
      <c r="V33" s="5"/>
      <c r="W33" s="5"/>
    </row>
    <row r="34" spans="1:23" x14ac:dyDescent="0.35">
      <c r="A34" s="3">
        <v>7</v>
      </c>
      <c r="B34" s="5"/>
      <c r="C34" s="43" t="str">
        <f t="shared" si="2"/>
        <v/>
      </c>
      <c r="D34" s="44"/>
      <c r="E34" s="5"/>
      <c r="F34" s="5"/>
      <c r="G34" s="5"/>
      <c r="H34" s="5"/>
      <c r="I34" s="44"/>
      <c r="J34" s="5"/>
      <c r="K34" s="5"/>
      <c r="L34" s="5"/>
      <c r="M34" s="5"/>
      <c r="N34" s="44"/>
      <c r="O34" s="5"/>
      <c r="P34" s="5"/>
      <c r="Q34" s="5"/>
      <c r="R34" s="5"/>
      <c r="S34" s="45">
        <f t="shared" si="3"/>
        <v>1</v>
      </c>
      <c r="T34" s="5"/>
      <c r="U34" s="5"/>
      <c r="V34" s="5"/>
      <c r="W34" s="5"/>
    </row>
    <row r="35" spans="1:23" x14ac:dyDescent="0.35">
      <c r="A35" s="3">
        <v>8</v>
      </c>
      <c r="B35" s="5"/>
      <c r="C35" s="43" t="str">
        <f t="shared" si="2"/>
        <v/>
      </c>
      <c r="D35" s="44"/>
      <c r="E35" s="5"/>
      <c r="F35" s="5"/>
      <c r="G35" s="5"/>
      <c r="H35" s="5"/>
      <c r="I35" s="44"/>
      <c r="J35" s="5"/>
      <c r="K35" s="5"/>
      <c r="L35" s="5"/>
      <c r="M35" s="5"/>
      <c r="N35" s="44"/>
      <c r="O35" s="5"/>
      <c r="P35" s="5"/>
      <c r="Q35" s="5"/>
      <c r="R35" s="5"/>
      <c r="S35" s="45">
        <f t="shared" si="3"/>
        <v>1</v>
      </c>
      <c r="T35" s="5"/>
      <c r="U35" s="5"/>
      <c r="V35" s="5"/>
      <c r="W35" s="5"/>
    </row>
    <row r="36" spans="1:23" x14ac:dyDescent="0.35">
      <c r="A36" s="3">
        <v>9</v>
      </c>
      <c r="B36" s="5"/>
      <c r="C36" s="43" t="str">
        <f t="shared" si="2"/>
        <v/>
      </c>
      <c r="D36" s="44"/>
      <c r="E36" s="5"/>
      <c r="F36" s="5"/>
      <c r="G36" s="5"/>
      <c r="H36" s="5"/>
      <c r="I36" s="44"/>
      <c r="J36" s="5"/>
      <c r="K36" s="5"/>
      <c r="L36" s="5"/>
      <c r="M36" s="5"/>
      <c r="N36" s="44"/>
      <c r="O36" s="5"/>
      <c r="P36" s="5"/>
      <c r="Q36" s="5"/>
      <c r="R36" s="5"/>
      <c r="S36" s="45">
        <f t="shared" si="3"/>
        <v>1</v>
      </c>
      <c r="T36" s="5"/>
      <c r="U36" s="5"/>
      <c r="V36" s="5"/>
      <c r="W36" s="5"/>
    </row>
    <row r="37" spans="1:23" x14ac:dyDescent="0.35">
      <c r="A37" s="3">
        <v>10</v>
      </c>
      <c r="B37" s="5"/>
      <c r="C37" s="43" t="str">
        <f t="shared" si="2"/>
        <v/>
      </c>
      <c r="D37" s="44"/>
      <c r="E37" s="5"/>
      <c r="F37" s="5"/>
      <c r="G37" s="5"/>
      <c r="H37" s="5"/>
      <c r="I37" s="44"/>
      <c r="J37" s="5"/>
      <c r="K37" s="5"/>
      <c r="L37" s="5"/>
      <c r="M37" s="5"/>
      <c r="N37" s="44"/>
      <c r="O37" s="5"/>
      <c r="P37" s="5"/>
      <c r="Q37" s="5"/>
      <c r="R37" s="5"/>
      <c r="S37" s="45">
        <f t="shared" si="3"/>
        <v>1</v>
      </c>
      <c r="T37" s="5"/>
      <c r="U37" s="5"/>
      <c r="V37" s="5"/>
      <c r="W37" s="5"/>
    </row>
    <row r="38" spans="1:23" x14ac:dyDescent="0.35">
      <c r="A38" s="3">
        <v>11</v>
      </c>
      <c r="B38" s="5"/>
      <c r="C38" s="43" t="str">
        <f t="shared" si="2"/>
        <v/>
      </c>
      <c r="D38" s="44"/>
      <c r="E38" s="5"/>
      <c r="F38" s="5"/>
      <c r="G38" s="5"/>
      <c r="H38" s="5"/>
      <c r="I38" s="44"/>
      <c r="J38" s="5"/>
      <c r="K38" s="5"/>
      <c r="L38" s="5"/>
      <c r="M38" s="5"/>
      <c r="N38" s="44"/>
      <c r="O38" s="5"/>
      <c r="P38" s="5"/>
      <c r="Q38" s="5"/>
      <c r="R38" s="5"/>
      <c r="S38" s="45">
        <f t="shared" si="3"/>
        <v>1</v>
      </c>
      <c r="T38" s="5"/>
      <c r="U38" s="5"/>
      <c r="V38" s="5"/>
      <c r="W38" s="5"/>
    </row>
    <row r="39" spans="1:23" x14ac:dyDescent="0.35">
      <c r="A39" s="3">
        <v>12</v>
      </c>
      <c r="B39" s="5"/>
      <c r="C39" s="43" t="str">
        <f t="shared" si="2"/>
        <v/>
      </c>
      <c r="D39" s="44"/>
      <c r="E39" s="5"/>
      <c r="F39" s="5"/>
      <c r="G39" s="5"/>
      <c r="H39" s="5"/>
      <c r="I39" s="44"/>
      <c r="J39" s="5"/>
      <c r="K39" s="5"/>
      <c r="L39" s="5"/>
      <c r="M39" s="5"/>
      <c r="N39" s="44"/>
      <c r="O39" s="5"/>
      <c r="P39" s="5"/>
      <c r="Q39" s="5"/>
      <c r="R39" s="5"/>
      <c r="S39" s="45">
        <f t="shared" si="3"/>
        <v>1</v>
      </c>
      <c r="T39" s="5"/>
      <c r="U39" s="5"/>
      <c r="V39" s="5"/>
      <c r="W39" s="5"/>
    </row>
    <row r="40" spans="1:23" x14ac:dyDescent="0.35">
      <c r="A40" s="3">
        <v>13</v>
      </c>
      <c r="B40" s="5"/>
      <c r="C40" s="43"/>
      <c r="D40" s="44"/>
      <c r="E40" s="5"/>
      <c r="F40" s="5"/>
      <c r="G40" s="5"/>
      <c r="H40" s="5"/>
      <c r="I40" s="44"/>
      <c r="J40" s="5"/>
      <c r="K40" s="5"/>
      <c r="L40" s="5"/>
      <c r="M40" s="5"/>
      <c r="N40" s="44"/>
      <c r="O40" s="5"/>
      <c r="P40" s="5"/>
      <c r="Q40" s="5"/>
      <c r="R40" s="5"/>
      <c r="S40" s="45">
        <f t="shared" si="3"/>
        <v>1</v>
      </c>
      <c r="T40" s="5"/>
      <c r="U40" s="5"/>
      <c r="V40" s="5"/>
      <c r="W40" s="5"/>
    </row>
    <row r="41" spans="1:23" x14ac:dyDescent="0.35">
      <c r="A41" s="3">
        <v>14</v>
      </c>
      <c r="B41" s="5"/>
      <c r="C41" s="43"/>
      <c r="D41" s="44"/>
      <c r="E41" s="5"/>
      <c r="F41" s="5"/>
      <c r="G41" s="5"/>
      <c r="H41" s="5"/>
      <c r="I41" s="44"/>
      <c r="J41" s="5"/>
      <c r="K41" s="5"/>
      <c r="L41" s="5"/>
      <c r="M41" s="5"/>
      <c r="N41" s="44"/>
      <c r="O41" s="5"/>
      <c r="P41" s="5"/>
      <c r="Q41" s="5"/>
      <c r="R41" s="5"/>
      <c r="S41" s="45">
        <f t="shared" si="3"/>
        <v>1</v>
      </c>
      <c r="T41" s="5"/>
      <c r="U41" s="5"/>
      <c r="V41" s="5"/>
      <c r="W41" s="5"/>
    </row>
    <row r="42" spans="1:23" x14ac:dyDescent="0.35">
      <c r="A42" s="3">
        <v>15</v>
      </c>
      <c r="B42" s="5"/>
      <c r="C42" s="43" t="str">
        <f>IF(COUNTIF($B$28:$B$43,B42)&gt;1,"DUPLICATE","")</f>
        <v/>
      </c>
      <c r="D42" s="44"/>
      <c r="E42" s="5"/>
      <c r="F42" s="5"/>
      <c r="G42" s="5"/>
      <c r="H42" s="5"/>
      <c r="I42" s="44"/>
      <c r="J42" s="5"/>
      <c r="K42" s="5"/>
      <c r="L42" s="5"/>
      <c r="M42" s="5"/>
      <c r="N42" s="44"/>
      <c r="O42" s="5"/>
      <c r="P42" s="5"/>
      <c r="Q42" s="5"/>
      <c r="R42" s="5"/>
      <c r="S42" s="45">
        <f t="shared" si="3"/>
        <v>1</v>
      </c>
      <c r="T42" s="5"/>
      <c r="U42" s="5"/>
      <c r="V42" s="5"/>
      <c r="W42" s="5"/>
    </row>
    <row r="43" spans="1:23" x14ac:dyDescent="0.35">
      <c r="A43" s="3">
        <v>16</v>
      </c>
      <c r="B43" s="5"/>
      <c r="C43" s="43" t="str">
        <f>IF(COUNTIF($B$28:$B$43,B43)&gt;1,"DUPLICATE","")</f>
        <v/>
      </c>
      <c r="D43" s="44"/>
      <c r="E43" s="5"/>
      <c r="F43" s="5"/>
      <c r="G43" s="5"/>
      <c r="H43" s="5"/>
      <c r="I43" s="44"/>
      <c r="J43" s="5"/>
      <c r="K43" s="5"/>
      <c r="L43" s="5"/>
      <c r="M43" s="5"/>
      <c r="N43" s="44"/>
      <c r="O43" s="5"/>
      <c r="P43" s="5"/>
      <c r="Q43" s="5"/>
      <c r="R43" s="5"/>
      <c r="S43" s="45">
        <f t="shared" si="3"/>
        <v>1</v>
      </c>
      <c r="T43" s="5"/>
      <c r="U43" s="5"/>
      <c r="V43" s="5"/>
      <c r="W43" s="5"/>
    </row>
    <row r="44" spans="1:23" x14ac:dyDescent="0.35">
      <c r="C44" s="14"/>
    </row>
    <row r="45" spans="1:23" ht="15" thickBot="1" x14ac:dyDescent="0.4">
      <c r="C45" s="14"/>
    </row>
    <row r="46" spans="1:23" ht="15" thickBot="1" x14ac:dyDescent="0.4">
      <c r="B46" s="13" t="s">
        <v>174</v>
      </c>
      <c r="C46" s="14"/>
      <c r="D46" s="15" t="s">
        <v>174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/>
    </row>
    <row r="47" spans="1:23" x14ac:dyDescent="0.35">
      <c r="C47" s="14"/>
      <c r="D47" s="18" t="s">
        <v>123</v>
      </c>
      <c r="E47" s="19"/>
      <c r="F47" s="19"/>
      <c r="G47" s="19"/>
      <c r="H47" s="20"/>
      <c r="I47" s="21" t="s">
        <v>124</v>
      </c>
      <c r="J47" s="22"/>
      <c r="K47" s="22"/>
      <c r="L47" s="22"/>
      <c r="M47" s="23"/>
      <c r="N47" s="24" t="s">
        <v>125</v>
      </c>
      <c r="O47" s="25"/>
      <c r="P47" s="25"/>
      <c r="Q47" s="25"/>
      <c r="R47" s="26"/>
      <c r="S47" s="27" t="s">
        <v>126</v>
      </c>
      <c r="T47" s="28"/>
      <c r="U47" s="28"/>
      <c r="V47" s="28"/>
      <c r="W47" s="29"/>
    </row>
    <row r="48" spans="1:23" ht="46" x14ac:dyDescent="0.35">
      <c r="A48" s="1" t="s">
        <v>0</v>
      </c>
      <c r="B48" s="2" t="s">
        <v>127</v>
      </c>
      <c r="C48" s="14"/>
      <c r="D48" s="30" t="s">
        <v>128</v>
      </c>
      <c r="E48" s="31" t="s">
        <v>129</v>
      </c>
      <c r="F48" s="32" t="s">
        <v>130</v>
      </c>
      <c r="G48" s="32" t="s">
        <v>131</v>
      </c>
      <c r="H48" s="33" t="s">
        <v>132</v>
      </c>
      <c r="I48" s="30" t="s">
        <v>133</v>
      </c>
      <c r="J48" s="34" t="s">
        <v>134</v>
      </c>
      <c r="K48" s="35" t="s">
        <v>135</v>
      </c>
      <c r="L48" s="35" t="s">
        <v>136</v>
      </c>
      <c r="M48" s="36" t="s">
        <v>137</v>
      </c>
      <c r="N48" s="30" t="s">
        <v>138</v>
      </c>
      <c r="O48" s="37" t="s">
        <v>139</v>
      </c>
      <c r="P48" s="38" t="s">
        <v>140</v>
      </c>
      <c r="Q48" s="38" t="s">
        <v>141</v>
      </c>
      <c r="R48" s="39" t="s">
        <v>142</v>
      </c>
      <c r="S48" s="30" t="s">
        <v>143</v>
      </c>
      <c r="T48" s="40" t="s">
        <v>144</v>
      </c>
      <c r="U48" s="41" t="s">
        <v>145</v>
      </c>
      <c r="V48" s="41" t="s">
        <v>146</v>
      </c>
      <c r="W48" s="42" t="s">
        <v>147</v>
      </c>
    </row>
    <row r="49" spans="1:23" x14ac:dyDescent="0.35">
      <c r="A49" s="3">
        <v>1</v>
      </c>
      <c r="B49" s="8"/>
      <c r="C49" s="43" t="str">
        <f t="shared" ref="C49:C66" si="4">IF(COUNTIF($B$49:$B$66,B49)&gt;1,"DUPLICATE","")</f>
        <v/>
      </c>
      <c r="D49" s="44"/>
      <c r="E49" s="5"/>
      <c r="F49" s="5"/>
      <c r="G49" s="5"/>
      <c r="H49" s="5"/>
      <c r="I49" s="44"/>
      <c r="J49" s="5"/>
      <c r="K49" s="5"/>
      <c r="L49" s="5"/>
      <c r="M49" s="5"/>
      <c r="N49" s="44"/>
      <c r="O49" s="5"/>
      <c r="P49" s="5"/>
      <c r="Q49" s="5"/>
      <c r="R49" s="5"/>
      <c r="S49" s="45">
        <f>1-D49-I49-N49</f>
        <v>1</v>
      </c>
      <c r="T49" s="5"/>
      <c r="U49" s="5"/>
      <c r="V49" s="5"/>
      <c r="W49" s="5"/>
    </row>
    <row r="50" spans="1:23" x14ac:dyDescent="0.35">
      <c r="A50" s="3">
        <v>2</v>
      </c>
      <c r="B50" s="5"/>
      <c r="C50" s="43" t="str">
        <f t="shared" si="4"/>
        <v/>
      </c>
      <c r="D50" s="44"/>
      <c r="E50" s="5"/>
      <c r="F50" s="5"/>
      <c r="G50" s="5"/>
      <c r="H50" s="5"/>
      <c r="I50" s="44"/>
      <c r="J50" s="5"/>
      <c r="K50" s="5"/>
      <c r="L50" s="5"/>
      <c r="M50" s="5"/>
      <c r="N50" s="44"/>
      <c r="O50" s="5"/>
      <c r="P50" s="5"/>
      <c r="Q50" s="5"/>
      <c r="R50" s="5"/>
      <c r="S50" s="45">
        <f t="shared" ref="S50:S66" si="5">1-D50-I50-N50</f>
        <v>1</v>
      </c>
      <c r="T50" s="5"/>
      <c r="U50" s="5"/>
      <c r="V50" s="5"/>
      <c r="W50" s="5"/>
    </row>
    <row r="51" spans="1:23" x14ac:dyDescent="0.35">
      <c r="A51" s="3">
        <v>3</v>
      </c>
      <c r="B51" s="5"/>
      <c r="C51" s="43" t="str">
        <f t="shared" si="4"/>
        <v/>
      </c>
      <c r="D51" s="44"/>
      <c r="E51" s="5"/>
      <c r="F51" s="5"/>
      <c r="G51" s="5"/>
      <c r="H51" s="5"/>
      <c r="I51" s="44"/>
      <c r="J51" s="5"/>
      <c r="K51" s="5"/>
      <c r="L51" s="5"/>
      <c r="M51" s="5"/>
      <c r="N51" s="44"/>
      <c r="O51" s="5"/>
      <c r="P51" s="5"/>
      <c r="Q51" s="5"/>
      <c r="R51" s="5"/>
      <c r="S51" s="45">
        <f t="shared" si="5"/>
        <v>1</v>
      </c>
      <c r="T51" s="5"/>
      <c r="U51" s="5"/>
      <c r="V51" s="5"/>
      <c r="W51" s="5"/>
    </row>
    <row r="52" spans="1:23" x14ac:dyDescent="0.35">
      <c r="A52" s="3">
        <v>4</v>
      </c>
      <c r="B52" s="5"/>
      <c r="C52" s="43" t="str">
        <f t="shared" si="4"/>
        <v/>
      </c>
      <c r="D52" s="44"/>
      <c r="E52" s="5"/>
      <c r="F52" s="5"/>
      <c r="G52" s="5"/>
      <c r="H52" s="5"/>
      <c r="I52" s="44"/>
      <c r="J52" s="5"/>
      <c r="K52" s="5"/>
      <c r="L52" s="5"/>
      <c r="M52" s="5"/>
      <c r="N52" s="44"/>
      <c r="O52" s="5"/>
      <c r="P52" s="5"/>
      <c r="Q52" s="5"/>
      <c r="R52" s="5"/>
      <c r="S52" s="45">
        <f t="shared" si="5"/>
        <v>1</v>
      </c>
      <c r="T52" s="5"/>
      <c r="U52" s="5"/>
      <c r="V52" s="5"/>
      <c r="W52" s="5"/>
    </row>
    <row r="53" spans="1:23" x14ac:dyDescent="0.35">
      <c r="A53" s="3">
        <v>5</v>
      </c>
      <c r="B53" s="5"/>
      <c r="C53" s="43" t="str">
        <f t="shared" si="4"/>
        <v/>
      </c>
      <c r="D53" s="44"/>
      <c r="E53" s="5"/>
      <c r="F53" s="5"/>
      <c r="G53" s="5"/>
      <c r="H53" s="5"/>
      <c r="I53" s="44"/>
      <c r="J53" s="5"/>
      <c r="K53" s="5"/>
      <c r="L53" s="5"/>
      <c r="M53" s="5"/>
      <c r="N53" s="44"/>
      <c r="O53" s="5"/>
      <c r="P53" s="5"/>
      <c r="Q53" s="5"/>
      <c r="R53" s="5"/>
      <c r="S53" s="45">
        <f t="shared" si="5"/>
        <v>1</v>
      </c>
      <c r="T53" s="5"/>
      <c r="U53" s="5"/>
      <c r="V53" s="5"/>
      <c r="W53" s="5"/>
    </row>
    <row r="54" spans="1:23" x14ac:dyDescent="0.35">
      <c r="A54" s="3">
        <v>6</v>
      </c>
      <c r="B54" s="5"/>
      <c r="C54" s="43" t="str">
        <f t="shared" si="4"/>
        <v/>
      </c>
      <c r="D54" s="44"/>
      <c r="E54" s="5"/>
      <c r="F54" s="5"/>
      <c r="G54" s="5"/>
      <c r="H54" s="5"/>
      <c r="I54" s="44"/>
      <c r="J54" s="5"/>
      <c r="K54" s="5"/>
      <c r="L54" s="5"/>
      <c r="M54" s="5"/>
      <c r="N54" s="44"/>
      <c r="O54" s="5"/>
      <c r="P54" s="5"/>
      <c r="Q54" s="5"/>
      <c r="R54" s="5"/>
      <c r="S54" s="45">
        <f t="shared" si="5"/>
        <v>1</v>
      </c>
      <c r="T54" s="5"/>
      <c r="U54" s="5"/>
      <c r="V54" s="5"/>
      <c r="W54" s="5"/>
    </row>
    <row r="55" spans="1:23" x14ac:dyDescent="0.35">
      <c r="A55" s="3">
        <v>7</v>
      </c>
      <c r="B55" s="5"/>
      <c r="C55" s="43" t="str">
        <f t="shared" si="4"/>
        <v/>
      </c>
      <c r="D55" s="44"/>
      <c r="E55" s="5"/>
      <c r="F55" s="5"/>
      <c r="G55" s="5"/>
      <c r="H55" s="5"/>
      <c r="I55" s="44"/>
      <c r="J55" s="5"/>
      <c r="K55" s="5"/>
      <c r="L55" s="5"/>
      <c r="M55" s="5"/>
      <c r="N55" s="44"/>
      <c r="O55" s="5"/>
      <c r="P55" s="5"/>
      <c r="Q55" s="5"/>
      <c r="R55" s="5"/>
      <c r="S55" s="45">
        <f t="shared" si="5"/>
        <v>1</v>
      </c>
      <c r="T55" s="5"/>
      <c r="U55" s="5"/>
      <c r="V55" s="5"/>
      <c r="W55" s="5"/>
    </row>
    <row r="56" spans="1:23" x14ac:dyDescent="0.35">
      <c r="A56" s="3">
        <v>8</v>
      </c>
      <c r="B56" s="5"/>
      <c r="C56" s="43" t="str">
        <f t="shared" si="4"/>
        <v/>
      </c>
      <c r="D56" s="44"/>
      <c r="E56" s="5"/>
      <c r="F56" s="5"/>
      <c r="G56" s="5"/>
      <c r="H56" s="5"/>
      <c r="I56" s="44"/>
      <c r="J56" s="5"/>
      <c r="K56" s="5"/>
      <c r="L56" s="5"/>
      <c r="M56" s="5"/>
      <c r="N56" s="44"/>
      <c r="O56" s="5"/>
      <c r="P56" s="5"/>
      <c r="Q56" s="5"/>
      <c r="R56" s="5"/>
      <c r="S56" s="45">
        <f t="shared" si="5"/>
        <v>1</v>
      </c>
      <c r="T56" s="5"/>
      <c r="U56" s="5"/>
      <c r="V56" s="5"/>
      <c r="W56" s="5"/>
    </row>
    <row r="57" spans="1:23" x14ac:dyDescent="0.35">
      <c r="A57" s="3">
        <v>9</v>
      </c>
      <c r="B57" s="5"/>
      <c r="C57" s="43" t="str">
        <f t="shared" si="4"/>
        <v/>
      </c>
      <c r="D57" s="44"/>
      <c r="E57" s="5"/>
      <c r="F57" s="5"/>
      <c r="G57" s="5"/>
      <c r="H57" s="5"/>
      <c r="I57" s="44"/>
      <c r="J57" s="5"/>
      <c r="K57" s="5"/>
      <c r="L57" s="5"/>
      <c r="M57" s="5"/>
      <c r="N57" s="44"/>
      <c r="O57" s="5"/>
      <c r="P57" s="5"/>
      <c r="Q57" s="5"/>
      <c r="R57" s="5"/>
      <c r="S57" s="45">
        <f t="shared" si="5"/>
        <v>1</v>
      </c>
      <c r="T57" s="5"/>
      <c r="U57" s="5"/>
      <c r="V57" s="5"/>
      <c r="W57" s="5"/>
    </row>
    <row r="58" spans="1:23" x14ac:dyDescent="0.35">
      <c r="A58" s="3">
        <v>10</v>
      </c>
      <c r="B58" s="5"/>
      <c r="C58" s="43" t="str">
        <f t="shared" si="4"/>
        <v/>
      </c>
      <c r="D58" s="44"/>
      <c r="E58" s="5"/>
      <c r="F58" s="5"/>
      <c r="G58" s="5"/>
      <c r="H58" s="5"/>
      <c r="I58" s="44"/>
      <c r="J58" s="5"/>
      <c r="K58" s="5"/>
      <c r="L58" s="5"/>
      <c r="M58" s="5"/>
      <c r="N58" s="44"/>
      <c r="O58" s="5"/>
      <c r="P58" s="5"/>
      <c r="Q58" s="5"/>
      <c r="R58" s="5"/>
      <c r="S58" s="45">
        <f t="shared" si="5"/>
        <v>1</v>
      </c>
      <c r="T58" s="5"/>
      <c r="U58" s="5"/>
      <c r="V58" s="5"/>
      <c r="W58" s="5"/>
    </row>
    <row r="59" spans="1:23" x14ac:dyDescent="0.35">
      <c r="A59" s="3">
        <v>11</v>
      </c>
      <c r="B59" s="5"/>
      <c r="C59" s="43" t="str">
        <f t="shared" si="4"/>
        <v/>
      </c>
      <c r="D59" s="44"/>
      <c r="E59" s="5"/>
      <c r="F59" s="5"/>
      <c r="G59" s="5"/>
      <c r="H59" s="5"/>
      <c r="I59" s="44"/>
      <c r="J59" s="5"/>
      <c r="K59" s="5"/>
      <c r="L59" s="5"/>
      <c r="M59" s="5"/>
      <c r="N59" s="44"/>
      <c r="O59" s="5"/>
      <c r="P59" s="5"/>
      <c r="Q59" s="5"/>
      <c r="R59" s="5"/>
      <c r="S59" s="45">
        <f t="shared" si="5"/>
        <v>1</v>
      </c>
      <c r="T59" s="5"/>
      <c r="U59" s="5"/>
      <c r="V59" s="5"/>
      <c r="W59" s="5"/>
    </row>
    <row r="60" spans="1:23" x14ac:dyDescent="0.35">
      <c r="A60" s="3">
        <v>12</v>
      </c>
      <c r="B60" s="5"/>
      <c r="C60" s="43" t="str">
        <f t="shared" si="4"/>
        <v/>
      </c>
      <c r="D60" s="44"/>
      <c r="E60" s="5"/>
      <c r="F60" s="5"/>
      <c r="G60" s="5"/>
      <c r="H60" s="5"/>
      <c r="I60" s="44"/>
      <c r="J60" s="5"/>
      <c r="K60" s="5"/>
      <c r="L60" s="5"/>
      <c r="M60" s="5"/>
      <c r="N60" s="44"/>
      <c r="O60" s="5"/>
      <c r="P60" s="5"/>
      <c r="Q60" s="5"/>
      <c r="R60" s="5"/>
      <c r="S60" s="45">
        <f t="shared" si="5"/>
        <v>1</v>
      </c>
      <c r="T60" s="5"/>
      <c r="U60" s="5"/>
      <c r="V60" s="5"/>
      <c r="W60" s="5"/>
    </row>
    <row r="61" spans="1:23" x14ac:dyDescent="0.35">
      <c r="A61" s="3">
        <v>13</v>
      </c>
      <c r="B61" s="5"/>
      <c r="C61" s="43" t="str">
        <f t="shared" si="4"/>
        <v/>
      </c>
      <c r="D61" s="44"/>
      <c r="E61" s="5"/>
      <c r="F61" s="5"/>
      <c r="G61" s="5"/>
      <c r="H61" s="5"/>
      <c r="I61" s="44"/>
      <c r="J61" s="5"/>
      <c r="K61" s="5"/>
      <c r="L61" s="5"/>
      <c r="M61" s="5"/>
      <c r="N61" s="44"/>
      <c r="O61" s="5"/>
      <c r="P61" s="5"/>
      <c r="Q61" s="5"/>
      <c r="R61" s="5"/>
      <c r="S61" s="45">
        <f t="shared" si="5"/>
        <v>1</v>
      </c>
      <c r="T61" s="5"/>
      <c r="U61" s="5"/>
      <c r="V61" s="5"/>
      <c r="W61" s="5"/>
    </row>
    <row r="62" spans="1:23" x14ac:dyDescent="0.35">
      <c r="A62" s="3">
        <v>14</v>
      </c>
      <c r="B62" s="5"/>
      <c r="C62" s="43" t="str">
        <f t="shared" si="4"/>
        <v/>
      </c>
      <c r="D62" s="44"/>
      <c r="E62" s="5"/>
      <c r="F62" s="5"/>
      <c r="G62" s="5"/>
      <c r="H62" s="5"/>
      <c r="I62" s="44"/>
      <c r="J62" s="5"/>
      <c r="K62" s="5"/>
      <c r="L62" s="5"/>
      <c r="M62" s="5"/>
      <c r="N62" s="44"/>
      <c r="O62" s="5"/>
      <c r="P62" s="5"/>
      <c r="Q62" s="5"/>
      <c r="R62" s="5"/>
      <c r="S62" s="45">
        <f t="shared" si="5"/>
        <v>1</v>
      </c>
      <c r="T62" s="5"/>
      <c r="U62" s="5"/>
      <c r="V62" s="5"/>
      <c r="W62" s="5"/>
    </row>
    <row r="63" spans="1:23" x14ac:dyDescent="0.35">
      <c r="A63" s="3">
        <v>15</v>
      </c>
      <c r="B63" s="5"/>
      <c r="C63" s="43" t="str">
        <f t="shared" si="4"/>
        <v/>
      </c>
      <c r="D63" s="44"/>
      <c r="E63" s="5"/>
      <c r="F63" s="5"/>
      <c r="G63" s="5"/>
      <c r="H63" s="5"/>
      <c r="I63" s="44"/>
      <c r="J63" s="5"/>
      <c r="K63" s="5"/>
      <c r="L63" s="5"/>
      <c r="M63" s="5"/>
      <c r="N63" s="44"/>
      <c r="O63" s="5"/>
      <c r="P63" s="5"/>
      <c r="Q63" s="5"/>
      <c r="R63" s="5"/>
      <c r="S63" s="45">
        <f t="shared" si="5"/>
        <v>1</v>
      </c>
      <c r="T63" s="5"/>
      <c r="U63" s="5"/>
      <c r="V63" s="5"/>
      <c r="W63" s="5"/>
    </row>
    <row r="64" spans="1:23" x14ac:dyDescent="0.35">
      <c r="A64" s="3">
        <v>16</v>
      </c>
      <c r="B64" s="5"/>
      <c r="C64" s="43" t="str">
        <f t="shared" si="4"/>
        <v/>
      </c>
      <c r="D64" s="44"/>
      <c r="E64" s="5"/>
      <c r="F64" s="5"/>
      <c r="G64" s="5"/>
      <c r="H64" s="5"/>
      <c r="I64" s="44"/>
      <c r="J64" s="5"/>
      <c r="K64" s="5"/>
      <c r="L64" s="5"/>
      <c r="M64" s="5"/>
      <c r="N64" s="44"/>
      <c r="O64" s="5"/>
      <c r="P64" s="5"/>
      <c r="Q64" s="5"/>
      <c r="R64" s="5"/>
      <c r="S64" s="45">
        <f t="shared" si="5"/>
        <v>1</v>
      </c>
      <c r="T64" s="5"/>
      <c r="U64" s="5"/>
      <c r="V64" s="5"/>
      <c r="W64" s="5"/>
    </row>
    <row r="65" spans="1:23" x14ac:dyDescent="0.35">
      <c r="A65" s="3">
        <v>17</v>
      </c>
      <c r="B65" s="5"/>
      <c r="C65" s="43" t="str">
        <f t="shared" si="4"/>
        <v/>
      </c>
      <c r="D65" s="44"/>
      <c r="E65" s="5"/>
      <c r="F65" s="5"/>
      <c r="G65" s="5"/>
      <c r="H65" s="5"/>
      <c r="I65" s="44"/>
      <c r="J65" s="5"/>
      <c r="K65" s="5"/>
      <c r="L65" s="5"/>
      <c r="M65" s="5"/>
      <c r="N65" s="44"/>
      <c r="O65" s="5"/>
      <c r="P65" s="5"/>
      <c r="Q65" s="5"/>
      <c r="R65" s="5"/>
      <c r="S65" s="45">
        <f t="shared" si="5"/>
        <v>1</v>
      </c>
      <c r="T65" s="5"/>
      <c r="U65" s="5"/>
      <c r="V65" s="5"/>
      <c r="W65" s="5"/>
    </row>
    <row r="66" spans="1:23" x14ac:dyDescent="0.35">
      <c r="A66" s="3">
        <v>18</v>
      </c>
      <c r="B66" s="5"/>
      <c r="C66" s="43" t="str">
        <f t="shared" si="4"/>
        <v/>
      </c>
      <c r="D66" s="44"/>
      <c r="E66" s="5"/>
      <c r="F66" s="5"/>
      <c r="G66" s="5"/>
      <c r="H66" s="5"/>
      <c r="I66" s="44"/>
      <c r="J66" s="5"/>
      <c r="K66" s="5"/>
      <c r="L66" s="5"/>
      <c r="M66" s="5"/>
      <c r="N66" s="44"/>
      <c r="O66" s="5"/>
      <c r="P66" s="5"/>
      <c r="Q66" s="5"/>
      <c r="R66" s="5"/>
      <c r="S66" s="45">
        <f t="shared" si="5"/>
        <v>1</v>
      </c>
      <c r="T66" s="5"/>
      <c r="U66" s="5"/>
      <c r="V66" s="5"/>
      <c r="W66" s="5"/>
    </row>
    <row r="67" spans="1:23" x14ac:dyDescent="0.35">
      <c r="C67" s="14"/>
    </row>
    <row r="68" spans="1:23" ht="15" thickBot="1" x14ac:dyDescent="0.4">
      <c r="C68" s="14"/>
    </row>
    <row r="69" spans="1:23" ht="15" thickBot="1" x14ac:dyDescent="0.4">
      <c r="B69" s="13" t="s">
        <v>175</v>
      </c>
      <c r="C69" s="14"/>
      <c r="D69" s="15" t="s">
        <v>175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7"/>
    </row>
    <row r="70" spans="1:23" x14ac:dyDescent="0.35">
      <c r="C70" s="14"/>
      <c r="D70" s="18" t="s">
        <v>123</v>
      </c>
      <c r="E70" s="19"/>
      <c r="F70" s="19"/>
      <c r="G70" s="19"/>
      <c r="H70" s="20"/>
      <c r="I70" s="21" t="s">
        <v>124</v>
      </c>
      <c r="J70" s="22"/>
      <c r="K70" s="22"/>
      <c r="L70" s="22"/>
      <c r="M70" s="23"/>
      <c r="N70" s="24" t="s">
        <v>125</v>
      </c>
      <c r="O70" s="25"/>
      <c r="P70" s="25"/>
      <c r="Q70" s="25"/>
      <c r="R70" s="26"/>
      <c r="S70" s="27" t="s">
        <v>126</v>
      </c>
      <c r="T70" s="28"/>
      <c r="U70" s="28"/>
      <c r="V70" s="28"/>
      <c r="W70" s="29"/>
    </row>
    <row r="71" spans="1:23" ht="46" x14ac:dyDescent="0.35">
      <c r="A71" s="1" t="s">
        <v>0</v>
      </c>
      <c r="B71" s="2" t="s">
        <v>127</v>
      </c>
      <c r="C71" s="14"/>
      <c r="D71" s="30" t="s">
        <v>128</v>
      </c>
      <c r="E71" s="31" t="s">
        <v>129</v>
      </c>
      <c r="F71" s="32" t="s">
        <v>130</v>
      </c>
      <c r="G71" s="32" t="s">
        <v>131</v>
      </c>
      <c r="H71" s="33" t="s">
        <v>132</v>
      </c>
      <c r="I71" s="30" t="s">
        <v>133</v>
      </c>
      <c r="J71" s="34" t="s">
        <v>134</v>
      </c>
      <c r="K71" s="35" t="s">
        <v>135</v>
      </c>
      <c r="L71" s="35" t="s">
        <v>136</v>
      </c>
      <c r="M71" s="36" t="s">
        <v>137</v>
      </c>
      <c r="N71" s="30" t="s">
        <v>138</v>
      </c>
      <c r="O71" s="37" t="s">
        <v>139</v>
      </c>
      <c r="P71" s="38" t="s">
        <v>140</v>
      </c>
      <c r="Q71" s="38" t="s">
        <v>141</v>
      </c>
      <c r="R71" s="39" t="s">
        <v>142</v>
      </c>
      <c r="S71" s="30" t="s">
        <v>143</v>
      </c>
      <c r="T71" s="40" t="s">
        <v>144</v>
      </c>
      <c r="U71" s="41" t="s">
        <v>145</v>
      </c>
      <c r="V71" s="41" t="s">
        <v>146</v>
      </c>
      <c r="W71" s="42" t="s">
        <v>147</v>
      </c>
    </row>
    <row r="72" spans="1:23" x14ac:dyDescent="0.35">
      <c r="A72" s="3">
        <v>1</v>
      </c>
      <c r="B72" s="8"/>
      <c r="C72" s="43" t="str">
        <f t="shared" ref="C72:C89" si="6">IF(COUNTIF($B$72:$B$89,B72)&gt;1,"DUPLICATE","")</f>
        <v/>
      </c>
      <c r="D72" s="44"/>
      <c r="E72" s="5"/>
      <c r="F72" s="5"/>
      <c r="G72" s="5"/>
      <c r="H72" s="5"/>
      <c r="I72" s="44"/>
      <c r="J72" s="5"/>
      <c r="K72" s="5"/>
      <c r="L72" s="5"/>
      <c r="M72" s="5"/>
      <c r="N72" s="44"/>
      <c r="O72" s="5"/>
      <c r="P72" s="5"/>
      <c r="Q72" s="5"/>
      <c r="R72" s="5"/>
      <c r="S72" s="45">
        <f>1-D72-I72-N72</f>
        <v>1</v>
      </c>
      <c r="T72" s="5"/>
      <c r="U72" s="5"/>
      <c r="V72" s="5"/>
      <c r="W72" s="5"/>
    </row>
    <row r="73" spans="1:23" x14ac:dyDescent="0.35">
      <c r="A73" s="3">
        <v>2</v>
      </c>
      <c r="B73" s="5"/>
      <c r="C73" s="43" t="str">
        <f t="shared" si="6"/>
        <v/>
      </c>
      <c r="D73" s="44"/>
      <c r="E73" s="5"/>
      <c r="F73" s="5"/>
      <c r="G73" s="5"/>
      <c r="H73" s="5"/>
      <c r="I73" s="44"/>
      <c r="J73" s="5"/>
      <c r="K73" s="5"/>
      <c r="L73" s="5"/>
      <c r="M73" s="5"/>
      <c r="N73" s="44"/>
      <c r="O73" s="5"/>
      <c r="P73" s="5"/>
      <c r="Q73" s="5"/>
      <c r="R73" s="5"/>
      <c r="S73" s="45">
        <f t="shared" ref="S73:S89" si="7">1-D73-I73-N73</f>
        <v>1</v>
      </c>
      <c r="T73" s="5"/>
      <c r="U73" s="5"/>
      <c r="V73" s="5"/>
      <c r="W73" s="5"/>
    </row>
    <row r="74" spans="1:23" x14ac:dyDescent="0.35">
      <c r="A74" s="3">
        <v>3</v>
      </c>
      <c r="B74" s="5"/>
      <c r="C74" s="43" t="str">
        <f t="shared" si="6"/>
        <v/>
      </c>
      <c r="D74" s="44"/>
      <c r="E74" s="5"/>
      <c r="F74" s="5"/>
      <c r="G74" s="5"/>
      <c r="H74" s="5"/>
      <c r="I74" s="44"/>
      <c r="J74" s="5"/>
      <c r="K74" s="5"/>
      <c r="L74" s="5"/>
      <c r="M74" s="5"/>
      <c r="N74" s="44"/>
      <c r="O74" s="5"/>
      <c r="P74" s="5"/>
      <c r="Q74" s="5"/>
      <c r="R74" s="5"/>
      <c r="S74" s="45">
        <f t="shared" si="7"/>
        <v>1</v>
      </c>
      <c r="T74" s="5"/>
      <c r="U74" s="5"/>
      <c r="V74" s="5"/>
      <c r="W74" s="5"/>
    </row>
    <row r="75" spans="1:23" x14ac:dyDescent="0.35">
      <c r="A75" s="3">
        <v>4</v>
      </c>
      <c r="B75" s="5"/>
      <c r="C75" s="43" t="str">
        <f t="shared" si="6"/>
        <v/>
      </c>
      <c r="D75" s="44"/>
      <c r="E75" s="5"/>
      <c r="F75" s="5"/>
      <c r="G75" s="5"/>
      <c r="H75" s="5"/>
      <c r="I75" s="44"/>
      <c r="J75" s="5"/>
      <c r="K75" s="5"/>
      <c r="L75" s="5"/>
      <c r="M75" s="5"/>
      <c r="N75" s="44"/>
      <c r="O75" s="5"/>
      <c r="P75" s="5"/>
      <c r="Q75" s="5"/>
      <c r="R75" s="5"/>
      <c r="S75" s="45">
        <f t="shared" si="7"/>
        <v>1</v>
      </c>
      <c r="T75" s="5"/>
      <c r="U75" s="5"/>
      <c r="V75" s="5"/>
      <c r="W75" s="5"/>
    </row>
    <row r="76" spans="1:23" x14ac:dyDescent="0.35">
      <c r="A76" s="3">
        <v>5</v>
      </c>
      <c r="B76" s="5"/>
      <c r="C76" s="43" t="str">
        <f t="shared" si="6"/>
        <v/>
      </c>
      <c r="D76" s="44"/>
      <c r="E76" s="5"/>
      <c r="F76" s="5"/>
      <c r="G76" s="5"/>
      <c r="H76" s="5"/>
      <c r="I76" s="44"/>
      <c r="J76" s="5"/>
      <c r="K76" s="5"/>
      <c r="L76" s="5"/>
      <c r="M76" s="5"/>
      <c r="N76" s="44"/>
      <c r="O76" s="5"/>
      <c r="P76" s="5"/>
      <c r="Q76" s="5"/>
      <c r="R76" s="5"/>
      <c r="S76" s="45">
        <f t="shared" si="7"/>
        <v>1</v>
      </c>
      <c r="T76" s="5"/>
      <c r="U76" s="5"/>
      <c r="V76" s="5"/>
      <c r="W76" s="5"/>
    </row>
    <row r="77" spans="1:23" x14ac:dyDescent="0.35">
      <c r="A77" s="3">
        <v>6</v>
      </c>
      <c r="B77" s="5"/>
      <c r="C77" s="43" t="str">
        <f t="shared" si="6"/>
        <v/>
      </c>
      <c r="D77" s="44"/>
      <c r="E77" s="5"/>
      <c r="F77" s="5"/>
      <c r="G77" s="5"/>
      <c r="H77" s="5"/>
      <c r="I77" s="44"/>
      <c r="J77" s="5"/>
      <c r="K77" s="5"/>
      <c r="L77" s="5"/>
      <c r="M77" s="5"/>
      <c r="N77" s="44"/>
      <c r="O77" s="5"/>
      <c r="P77" s="5"/>
      <c r="Q77" s="5"/>
      <c r="R77" s="5"/>
      <c r="S77" s="45">
        <f t="shared" si="7"/>
        <v>1</v>
      </c>
      <c r="T77" s="5"/>
      <c r="U77" s="5"/>
      <c r="V77" s="5"/>
      <c r="W77" s="5"/>
    </row>
    <row r="78" spans="1:23" x14ac:dyDescent="0.35">
      <c r="A78" s="3">
        <v>7</v>
      </c>
      <c r="B78" s="5"/>
      <c r="C78" s="43" t="str">
        <f t="shared" si="6"/>
        <v/>
      </c>
      <c r="D78" s="44"/>
      <c r="E78" s="5"/>
      <c r="F78" s="5"/>
      <c r="G78" s="5"/>
      <c r="H78" s="5"/>
      <c r="I78" s="44"/>
      <c r="J78" s="5"/>
      <c r="K78" s="5"/>
      <c r="L78" s="5"/>
      <c r="M78" s="5"/>
      <c r="N78" s="44"/>
      <c r="O78" s="5"/>
      <c r="P78" s="5"/>
      <c r="Q78" s="5"/>
      <c r="R78" s="5"/>
      <c r="S78" s="45">
        <f t="shared" si="7"/>
        <v>1</v>
      </c>
      <c r="T78" s="5"/>
      <c r="U78" s="5"/>
      <c r="V78" s="5"/>
      <c r="W78" s="5"/>
    </row>
    <row r="79" spans="1:23" x14ac:dyDescent="0.35">
      <c r="A79" s="3">
        <v>8</v>
      </c>
      <c r="B79" s="5"/>
      <c r="C79" s="43" t="str">
        <f t="shared" si="6"/>
        <v/>
      </c>
      <c r="D79" s="44"/>
      <c r="E79" s="5"/>
      <c r="F79" s="5"/>
      <c r="G79" s="5"/>
      <c r="H79" s="5"/>
      <c r="I79" s="44"/>
      <c r="J79" s="5"/>
      <c r="K79" s="5"/>
      <c r="L79" s="5"/>
      <c r="M79" s="5"/>
      <c r="N79" s="44"/>
      <c r="O79" s="5"/>
      <c r="P79" s="5"/>
      <c r="Q79" s="5"/>
      <c r="R79" s="5"/>
      <c r="S79" s="45">
        <f t="shared" si="7"/>
        <v>1</v>
      </c>
      <c r="T79" s="5"/>
      <c r="U79" s="5"/>
      <c r="V79" s="5"/>
      <c r="W79" s="5"/>
    </row>
    <row r="80" spans="1:23" x14ac:dyDescent="0.35">
      <c r="A80" s="3">
        <v>9</v>
      </c>
      <c r="B80" s="5"/>
      <c r="C80" s="43" t="str">
        <f t="shared" si="6"/>
        <v/>
      </c>
      <c r="D80" s="44"/>
      <c r="E80" s="5"/>
      <c r="F80" s="5"/>
      <c r="G80" s="5"/>
      <c r="H80" s="5"/>
      <c r="I80" s="44"/>
      <c r="J80" s="5"/>
      <c r="K80" s="5"/>
      <c r="L80" s="5"/>
      <c r="M80" s="5"/>
      <c r="N80" s="44"/>
      <c r="O80" s="5"/>
      <c r="P80" s="5"/>
      <c r="Q80" s="5"/>
      <c r="R80" s="5"/>
      <c r="S80" s="45">
        <f t="shared" si="7"/>
        <v>1</v>
      </c>
      <c r="T80" s="5"/>
      <c r="U80" s="5"/>
      <c r="V80" s="5"/>
      <c r="W80" s="5"/>
    </row>
    <row r="81" spans="1:23" x14ac:dyDescent="0.35">
      <c r="A81" s="3">
        <v>10</v>
      </c>
      <c r="B81" s="5"/>
      <c r="C81" s="43" t="str">
        <f t="shared" si="6"/>
        <v/>
      </c>
      <c r="D81" s="44"/>
      <c r="E81" s="5"/>
      <c r="F81" s="5"/>
      <c r="G81" s="5"/>
      <c r="H81" s="5"/>
      <c r="I81" s="44"/>
      <c r="J81" s="5"/>
      <c r="K81" s="5"/>
      <c r="L81" s="5"/>
      <c r="M81" s="5"/>
      <c r="N81" s="44"/>
      <c r="O81" s="5"/>
      <c r="P81" s="5"/>
      <c r="Q81" s="5"/>
      <c r="R81" s="5"/>
      <c r="S81" s="45">
        <f t="shared" si="7"/>
        <v>1</v>
      </c>
      <c r="T81" s="5"/>
      <c r="U81" s="5"/>
      <c r="V81" s="5"/>
      <c r="W81" s="5"/>
    </row>
    <row r="82" spans="1:23" x14ac:dyDescent="0.35">
      <c r="A82" s="3">
        <v>11</v>
      </c>
      <c r="B82" s="5"/>
      <c r="C82" s="43" t="str">
        <f t="shared" si="6"/>
        <v/>
      </c>
      <c r="D82" s="44"/>
      <c r="E82" s="5"/>
      <c r="F82" s="5"/>
      <c r="G82" s="5"/>
      <c r="H82" s="5"/>
      <c r="I82" s="44"/>
      <c r="J82" s="5"/>
      <c r="K82" s="5"/>
      <c r="L82" s="5"/>
      <c r="M82" s="5"/>
      <c r="N82" s="44"/>
      <c r="O82" s="5"/>
      <c r="P82" s="5"/>
      <c r="Q82" s="5"/>
      <c r="R82" s="5"/>
      <c r="S82" s="45">
        <f t="shared" si="7"/>
        <v>1</v>
      </c>
      <c r="T82" s="5"/>
      <c r="U82" s="5"/>
      <c r="V82" s="5"/>
      <c r="W82" s="5"/>
    </row>
    <row r="83" spans="1:23" x14ac:dyDescent="0.35">
      <c r="A83" s="3">
        <v>12</v>
      </c>
      <c r="B83" s="5"/>
      <c r="C83" s="43" t="str">
        <f t="shared" si="6"/>
        <v/>
      </c>
      <c r="D83" s="44"/>
      <c r="E83" s="5"/>
      <c r="F83" s="5"/>
      <c r="G83" s="5"/>
      <c r="H83" s="5"/>
      <c r="I83" s="44"/>
      <c r="J83" s="5"/>
      <c r="K83" s="5"/>
      <c r="L83" s="5"/>
      <c r="M83" s="5"/>
      <c r="N83" s="44"/>
      <c r="O83" s="5"/>
      <c r="P83" s="5"/>
      <c r="Q83" s="5"/>
      <c r="R83" s="5"/>
      <c r="S83" s="45">
        <f t="shared" si="7"/>
        <v>1</v>
      </c>
      <c r="T83" s="5"/>
      <c r="U83" s="5"/>
      <c r="V83" s="5"/>
      <c r="W83" s="5"/>
    </row>
    <row r="84" spans="1:23" x14ac:dyDescent="0.35">
      <c r="A84" s="3">
        <v>13</v>
      </c>
      <c r="B84" s="5"/>
      <c r="C84" s="43" t="str">
        <f t="shared" si="6"/>
        <v/>
      </c>
      <c r="D84" s="44"/>
      <c r="E84" s="5"/>
      <c r="F84" s="5"/>
      <c r="G84" s="5"/>
      <c r="H84" s="5"/>
      <c r="I84" s="44"/>
      <c r="J84" s="5"/>
      <c r="K84" s="5"/>
      <c r="L84" s="5"/>
      <c r="M84" s="5"/>
      <c r="N84" s="44"/>
      <c r="O84" s="5"/>
      <c r="P84" s="5"/>
      <c r="Q84" s="5"/>
      <c r="R84" s="5"/>
      <c r="S84" s="45">
        <f t="shared" si="7"/>
        <v>1</v>
      </c>
      <c r="T84" s="5"/>
      <c r="U84" s="5"/>
      <c r="V84" s="5"/>
      <c r="W84" s="5"/>
    </row>
    <row r="85" spans="1:23" x14ac:dyDescent="0.35">
      <c r="A85" s="3">
        <v>14</v>
      </c>
      <c r="B85" s="5"/>
      <c r="C85" s="43" t="str">
        <f t="shared" si="6"/>
        <v/>
      </c>
      <c r="D85" s="44"/>
      <c r="E85" s="5"/>
      <c r="F85" s="5"/>
      <c r="G85" s="5"/>
      <c r="H85" s="5"/>
      <c r="I85" s="44"/>
      <c r="J85" s="5"/>
      <c r="K85" s="5"/>
      <c r="L85" s="5"/>
      <c r="M85" s="5"/>
      <c r="N85" s="44"/>
      <c r="O85" s="5"/>
      <c r="P85" s="5"/>
      <c r="Q85" s="5"/>
      <c r="R85" s="5"/>
      <c r="S85" s="45">
        <f t="shared" si="7"/>
        <v>1</v>
      </c>
      <c r="T85" s="5"/>
      <c r="U85" s="5"/>
      <c r="V85" s="5"/>
      <c r="W85" s="5"/>
    </row>
    <row r="86" spans="1:23" x14ac:dyDescent="0.35">
      <c r="A86" s="3">
        <v>15</v>
      </c>
      <c r="B86" s="5"/>
      <c r="C86" s="43" t="str">
        <f t="shared" si="6"/>
        <v/>
      </c>
      <c r="D86" s="44"/>
      <c r="E86" s="5"/>
      <c r="F86" s="5"/>
      <c r="G86" s="5"/>
      <c r="H86" s="5"/>
      <c r="I86" s="44"/>
      <c r="J86" s="5"/>
      <c r="K86" s="5"/>
      <c r="L86" s="5"/>
      <c r="M86" s="5"/>
      <c r="N86" s="44"/>
      <c r="O86" s="5"/>
      <c r="P86" s="5"/>
      <c r="Q86" s="5"/>
      <c r="R86" s="5"/>
      <c r="S86" s="45">
        <f t="shared" si="7"/>
        <v>1</v>
      </c>
      <c r="T86" s="5"/>
      <c r="U86" s="5"/>
      <c r="V86" s="5"/>
      <c r="W86" s="5"/>
    </row>
    <row r="87" spans="1:23" x14ac:dyDescent="0.35">
      <c r="A87" s="3">
        <v>16</v>
      </c>
      <c r="B87" s="5"/>
      <c r="C87" s="43" t="str">
        <f t="shared" si="6"/>
        <v/>
      </c>
      <c r="D87" s="44"/>
      <c r="E87" s="5"/>
      <c r="F87" s="5"/>
      <c r="G87" s="5"/>
      <c r="H87" s="5"/>
      <c r="I87" s="44"/>
      <c r="J87" s="5"/>
      <c r="K87" s="5"/>
      <c r="L87" s="5"/>
      <c r="M87" s="5"/>
      <c r="N87" s="44"/>
      <c r="O87" s="5"/>
      <c r="P87" s="5"/>
      <c r="Q87" s="5"/>
      <c r="R87" s="5"/>
      <c r="S87" s="45">
        <f t="shared" si="7"/>
        <v>1</v>
      </c>
      <c r="T87" s="5"/>
      <c r="U87" s="5"/>
      <c r="V87" s="5"/>
      <c r="W87" s="5"/>
    </row>
    <row r="88" spans="1:23" x14ac:dyDescent="0.35">
      <c r="A88" s="3">
        <v>17</v>
      </c>
      <c r="B88" s="5"/>
      <c r="C88" s="43" t="str">
        <f t="shared" si="6"/>
        <v/>
      </c>
      <c r="D88" s="44"/>
      <c r="E88" s="5"/>
      <c r="F88" s="5"/>
      <c r="G88" s="5"/>
      <c r="H88" s="5"/>
      <c r="I88" s="44"/>
      <c r="J88" s="5"/>
      <c r="K88" s="5"/>
      <c r="L88" s="5"/>
      <c r="M88" s="5"/>
      <c r="N88" s="44"/>
      <c r="O88" s="5"/>
      <c r="P88" s="5"/>
      <c r="Q88" s="5"/>
      <c r="R88" s="5"/>
      <c r="S88" s="45">
        <f t="shared" si="7"/>
        <v>1</v>
      </c>
      <c r="T88" s="5"/>
      <c r="U88" s="5"/>
      <c r="V88" s="5"/>
      <c r="W88" s="5"/>
    </row>
    <row r="89" spans="1:23" x14ac:dyDescent="0.35">
      <c r="A89" s="3">
        <v>18</v>
      </c>
      <c r="B89" s="5"/>
      <c r="C89" s="43" t="str">
        <f t="shared" si="6"/>
        <v/>
      </c>
      <c r="D89" s="44"/>
      <c r="E89" s="5"/>
      <c r="F89" s="5"/>
      <c r="G89" s="5"/>
      <c r="H89" s="5"/>
      <c r="I89" s="44"/>
      <c r="J89" s="5"/>
      <c r="K89" s="5"/>
      <c r="L89" s="5"/>
      <c r="M89" s="5"/>
      <c r="N89" s="44"/>
      <c r="O89" s="5"/>
      <c r="P89" s="5"/>
      <c r="Q89" s="5"/>
      <c r="R89" s="5"/>
      <c r="S89" s="45">
        <f t="shared" si="7"/>
        <v>1</v>
      </c>
      <c r="T89" s="5"/>
      <c r="U89" s="5"/>
      <c r="V89" s="5"/>
      <c r="W89" s="5"/>
    </row>
    <row r="90" spans="1:23" x14ac:dyDescent="0.35">
      <c r="C90" s="14"/>
    </row>
    <row r="91" spans="1:23" ht="15" thickBot="1" x14ac:dyDescent="0.4">
      <c r="C91" s="14"/>
    </row>
    <row r="92" spans="1:23" ht="15" thickBot="1" x14ac:dyDescent="0.4">
      <c r="B92" s="13" t="s">
        <v>176</v>
      </c>
      <c r="C92" s="14"/>
      <c r="D92" s="15" t="s">
        <v>176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7"/>
    </row>
    <row r="93" spans="1:23" x14ac:dyDescent="0.35">
      <c r="D93" s="18" t="s">
        <v>123</v>
      </c>
      <c r="E93" s="19"/>
      <c r="F93" s="19"/>
      <c r="G93" s="19"/>
      <c r="H93" s="20"/>
      <c r="I93" s="21" t="s">
        <v>124</v>
      </c>
      <c r="J93" s="22"/>
      <c r="K93" s="22"/>
      <c r="L93" s="22"/>
      <c r="M93" s="23"/>
      <c r="N93" s="24" t="s">
        <v>125</v>
      </c>
      <c r="O93" s="25"/>
      <c r="P93" s="25"/>
      <c r="Q93" s="25"/>
      <c r="R93" s="26"/>
      <c r="S93" s="27" t="s">
        <v>126</v>
      </c>
      <c r="T93" s="28"/>
      <c r="U93" s="28"/>
      <c r="V93" s="28"/>
      <c r="W93" s="29"/>
    </row>
    <row r="94" spans="1:23" ht="46" x14ac:dyDescent="0.35">
      <c r="A94" s="3" t="s">
        <v>0</v>
      </c>
      <c r="B94" s="2" t="s">
        <v>127</v>
      </c>
      <c r="C94" s="14"/>
      <c r="D94" s="30" t="s">
        <v>128</v>
      </c>
      <c r="E94" s="31" t="s">
        <v>129</v>
      </c>
      <c r="F94" s="31" t="s">
        <v>130</v>
      </c>
      <c r="G94" s="31" t="s">
        <v>131</v>
      </c>
      <c r="H94" s="31" t="s">
        <v>132</v>
      </c>
      <c r="I94" s="30" t="s">
        <v>133</v>
      </c>
      <c r="J94" s="34" t="s">
        <v>134</v>
      </c>
      <c r="K94" s="35" t="s">
        <v>135</v>
      </c>
      <c r="L94" s="35" t="s">
        <v>136</v>
      </c>
      <c r="M94" s="36" t="s">
        <v>137</v>
      </c>
      <c r="N94" s="30" t="s">
        <v>138</v>
      </c>
      <c r="O94" s="37" t="s">
        <v>139</v>
      </c>
      <c r="P94" s="38" t="s">
        <v>140</v>
      </c>
      <c r="Q94" s="38" t="s">
        <v>141</v>
      </c>
      <c r="R94" s="39" t="s">
        <v>142</v>
      </c>
      <c r="S94" s="30" t="s">
        <v>143</v>
      </c>
      <c r="T94" s="40" t="s">
        <v>144</v>
      </c>
      <c r="U94" s="41" t="s">
        <v>145</v>
      </c>
      <c r="V94" s="41" t="s">
        <v>146</v>
      </c>
      <c r="W94" s="42" t="s">
        <v>147</v>
      </c>
    </row>
    <row r="95" spans="1:23" x14ac:dyDescent="0.35">
      <c r="A95" s="3">
        <v>1</v>
      </c>
      <c r="B95" s="5"/>
      <c r="C95" s="43" t="str">
        <f t="shared" ref="C95:C111" si="8">IF(COUNTIF($B$95:$B$112,B95)&gt;1,"DUPLICATE","")</f>
        <v/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45">
        <f>1-D95-I95-N95</f>
        <v>1</v>
      </c>
      <c r="T95" s="5"/>
      <c r="U95" s="5"/>
      <c r="V95" s="5"/>
      <c r="W95" s="5"/>
    </row>
    <row r="96" spans="1:23" x14ac:dyDescent="0.35">
      <c r="A96" s="3">
        <v>2</v>
      </c>
      <c r="B96" s="5"/>
      <c r="C96" s="43" t="str">
        <f t="shared" si="8"/>
        <v/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45">
        <f t="shared" ref="S96:S112" si="9">1-D96-I96-N96</f>
        <v>1</v>
      </c>
      <c r="T96" s="5"/>
      <c r="U96" s="5"/>
      <c r="V96" s="5"/>
      <c r="W96" s="5"/>
    </row>
    <row r="97" spans="1:23" x14ac:dyDescent="0.35">
      <c r="A97" s="3">
        <v>3</v>
      </c>
      <c r="B97" s="5"/>
      <c r="C97" s="43" t="str">
        <f t="shared" si="8"/>
        <v/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45">
        <f t="shared" si="9"/>
        <v>1</v>
      </c>
      <c r="T97" s="5"/>
      <c r="U97" s="5"/>
      <c r="V97" s="5"/>
      <c r="W97" s="5"/>
    </row>
    <row r="98" spans="1:23" x14ac:dyDescent="0.35">
      <c r="A98" s="3">
        <v>4</v>
      </c>
      <c r="B98" s="5"/>
      <c r="C98" s="43" t="str">
        <f t="shared" si="8"/>
        <v/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45">
        <f t="shared" si="9"/>
        <v>1</v>
      </c>
      <c r="T98" s="5"/>
      <c r="U98" s="5"/>
      <c r="V98" s="5"/>
      <c r="W98" s="5"/>
    </row>
    <row r="99" spans="1:23" x14ac:dyDescent="0.35">
      <c r="A99" s="3">
        <v>5</v>
      </c>
      <c r="B99" s="5"/>
      <c r="C99" s="43" t="str">
        <f t="shared" si="8"/>
        <v/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45">
        <f t="shared" si="9"/>
        <v>1</v>
      </c>
      <c r="T99" s="5"/>
      <c r="U99" s="5"/>
      <c r="V99" s="5"/>
      <c r="W99" s="5"/>
    </row>
    <row r="100" spans="1:23" x14ac:dyDescent="0.35">
      <c r="A100" s="3">
        <v>6</v>
      </c>
      <c r="B100" s="5"/>
      <c r="C100" s="43" t="str">
        <f t="shared" si="8"/>
        <v/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45">
        <f t="shared" si="9"/>
        <v>1</v>
      </c>
      <c r="T100" s="5"/>
      <c r="U100" s="5"/>
      <c r="V100" s="5"/>
      <c r="W100" s="5"/>
    </row>
    <row r="101" spans="1:23" x14ac:dyDescent="0.35">
      <c r="A101" s="3">
        <v>7</v>
      </c>
      <c r="B101" s="5"/>
      <c r="C101" s="43" t="str">
        <f t="shared" si="8"/>
        <v/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45">
        <f t="shared" si="9"/>
        <v>1</v>
      </c>
      <c r="T101" s="5"/>
      <c r="U101" s="5"/>
      <c r="V101" s="5"/>
      <c r="W101" s="5"/>
    </row>
    <row r="102" spans="1:23" x14ac:dyDescent="0.35">
      <c r="A102" s="3">
        <v>8</v>
      </c>
      <c r="B102" s="5"/>
      <c r="C102" s="43" t="str">
        <f t="shared" si="8"/>
        <v/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45">
        <f t="shared" si="9"/>
        <v>1</v>
      </c>
      <c r="T102" s="5"/>
      <c r="U102" s="5"/>
      <c r="V102" s="5"/>
      <c r="W102" s="5"/>
    </row>
    <row r="103" spans="1:23" x14ac:dyDescent="0.35">
      <c r="A103" s="3">
        <v>9</v>
      </c>
      <c r="B103" s="5"/>
      <c r="C103" s="43" t="str">
        <f t="shared" si="8"/>
        <v/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45">
        <f t="shared" si="9"/>
        <v>1</v>
      </c>
      <c r="T103" s="5"/>
      <c r="U103" s="5"/>
      <c r="V103" s="5"/>
      <c r="W103" s="5"/>
    </row>
    <row r="104" spans="1:23" x14ac:dyDescent="0.35">
      <c r="A104" s="3">
        <v>10</v>
      </c>
      <c r="B104" s="5"/>
      <c r="C104" s="43" t="str">
        <f t="shared" si="8"/>
        <v/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45">
        <f t="shared" si="9"/>
        <v>1</v>
      </c>
      <c r="T104" s="5"/>
      <c r="U104" s="5"/>
      <c r="V104" s="5"/>
      <c r="W104" s="5"/>
    </row>
    <row r="105" spans="1:23" x14ac:dyDescent="0.35">
      <c r="A105" s="3">
        <v>11</v>
      </c>
      <c r="B105" s="5"/>
      <c r="C105" s="43" t="str">
        <f t="shared" si="8"/>
        <v/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45">
        <f t="shared" si="9"/>
        <v>1</v>
      </c>
      <c r="T105" s="5"/>
      <c r="U105" s="5"/>
      <c r="V105" s="5"/>
      <c r="W105" s="5"/>
    </row>
    <row r="106" spans="1:23" x14ac:dyDescent="0.35">
      <c r="A106" s="3">
        <v>12</v>
      </c>
      <c r="B106" s="5"/>
      <c r="C106" s="43" t="str">
        <f t="shared" si="8"/>
        <v/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45">
        <f t="shared" si="9"/>
        <v>1</v>
      </c>
      <c r="T106" s="5"/>
      <c r="U106" s="5"/>
      <c r="V106" s="5"/>
      <c r="W106" s="5"/>
    </row>
    <row r="107" spans="1:23" x14ac:dyDescent="0.35">
      <c r="A107" s="3">
        <v>13</v>
      </c>
      <c r="B107" s="5"/>
      <c r="C107" s="43" t="str">
        <f t="shared" si="8"/>
        <v/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45">
        <f t="shared" si="9"/>
        <v>1</v>
      </c>
      <c r="T107" s="5"/>
      <c r="U107" s="5"/>
      <c r="V107" s="5"/>
      <c r="W107" s="5"/>
    </row>
    <row r="108" spans="1:23" x14ac:dyDescent="0.35">
      <c r="A108" s="3">
        <v>14</v>
      </c>
      <c r="B108" s="5"/>
      <c r="C108" s="43" t="str">
        <f t="shared" si="8"/>
        <v/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45">
        <f t="shared" si="9"/>
        <v>1</v>
      </c>
      <c r="T108" s="5"/>
      <c r="U108" s="5"/>
      <c r="V108" s="5"/>
      <c r="W108" s="5"/>
    </row>
    <row r="109" spans="1:23" x14ac:dyDescent="0.35">
      <c r="A109" s="3">
        <v>15</v>
      </c>
      <c r="B109" s="5"/>
      <c r="C109" s="43" t="str">
        <f t="shared" si="8"/>
        <v/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45">
        <f t="shared" si="9"/>
        <v>1</v>
      </c>
      <c r="T109" s="5"/>
      <c r="U109" s="5"/>
      <c r="V109" s="5"/>
      <c r="W109" s="5"/>
    </row>
    <row r="110" spans="1:23" x14ac:dyDescent="0.35">
      <c r="A110" s="3">
        <v>16</v>
      </c>
      <c r="B110" s="5"/>
      <c r="C110" s="43" t="str">
        <f t="shared" si="8"/>
        <v/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45">
        <f t="shared" si="9"/>
        <v>1</v>
      </c>
      <c r="T110" s="5"/>
      <c r="U110" s="5"/>
      <c r="V110" s="5"/>
      <c r="W110" s="5"/>
    </row>
    <row r="111" spans="1:23" x14ac:dyDescent="0.35">
      <c r="A111" s="3">
        <v>17</v>
      </c>
      <c r="B111" s="5"/>
      <c r="C111" s="43" t="str">
        <f t="shared" si="8"/>
        <v/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45">
        <f t="shared" si="9"/>
        <v>1</v>
      </c>
      <c r="T111" s="5"/>
      <c r="U111" s="5"/>
      <c r="V111" s="5"/>
      <c r="W111" s="5"/>
    </row>
    <row r="112" spans="1:23" x14ac:dyDescent="0.35">
      <c r="A112" s="3">
        <v>18</v>
      </c>
      <c r="B112" s="5"/>
      <c r="C112" s="43" t="str">
        <f>IF(COUNTIF($B$95:$B$112,B112)&gt;1,"DUPLICATE","")</f>
        <v/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45">
        <f t="shared" si="9"/>
        <v>1</v>
      </c>
      <c r="T112" s="5"/>
      <c r="U112" s="5"/>
      <c r="V112" s="5"/>
      <c r="W112" s="5"/>
    </row>
  </sheetData>
  <mergeCells count="25">
    <mergeCell ref="D93:H93"/>
    <mergeCell ref="I93:M93"/>
    <mergeCell ref="N93:R93"/>
    <mergeCell ref="S93:W93"/>
    <mergeCell ref="D69:W69"/>
    <mergeCell ref="D70:H70"/>
    <mergeCell ref="I70:M70"/>
    <mergeCell ref="N70:R70"/>
    <mergeCell ref="S70:W70"/>
    <mergeCell ref="D92:W92"/>
    <mergeCell ref="D26:H26"/>
    <mergeCell ref="I26:M26"/>
    <mergeCell ref="N26:R26"/>
    <mergeCell ref="S26:W26"/>
    <mergeCell ref="D46:W46"/>
    <mergeCell ref="D47:H47"/>
    <mergeCell ref="I47:M47"/>
    <mergeCell ref="N47:R47"/>
    <mergeCell ref="S47:W47"/>
    <mergeCell ref="D4:W4"/>
    <mergeCell ref="D5:H5"/>
    <mergeCell ref="I5:M5"/>
    <mergeCell ref="N5:R5"/>
    <mergeCell ref="S5:W5"/>
    <mergeCell ref="D25:W25"/>
  </mergeCells>
  <conditionalFormatting sqref="S7:S22">
    <cfRule type="cellIs" dxfId="14" priority="5" operator="lessThan">
      <formula>0</formula>
    </cfRule>
  </conditionalFormatting>
  <conditionalFormatting sqref="S28:S43">
    <cfRule type="cellIs" dxfId="13" priority="4" operator="lessThan">
      <formula>0</formula>
    </cfRule>
  </conditionalFormatting>
  <conditionalFormatting sqref="S49:S66">
    <cfRule type="cellIs" dxfId="12" priority="3" operator="lessThan">
      <formula>0</formula>
    </cfRule>
  </conditionalFormatting>
  <conditionalFormatting sqref="S72:S89">
    <cfRule type="cellIs" dxfId="11" priority="2" operator="lessThan">
      <formula>0</formula>
    </cfRule>
  </conditionalFormatting>
  <conditionalFormatting sqref="S95:S112">
    <cfRule type="cellIs" dxfId="10" priority="1" operator="lessThan">
      <formula>0</formula>
    </cfRule>
  </conditionalFormatting>
  <dataValidations count="2">
    <dataValidation type="list" allowBlank="1" showInputMessage="1" showErrorMessage="1" sqref="B28:B43 B49:B66 B72:B89 B95:B112 B7:B22" xr:uid="{E8E6457D-41B6-4575-A149-CA4ED6C81062}">
      <formula1>$AN$2:$AN$12</formula1>
    </dataValidation>
    <dataValidation type="list" allowBlank="1" showInputMessage="1" showErrorMessage="1" sqref="O72:R89 O95:R112 E95:H112 J95:M112 T95:W112 E72:H89 J72:M89 T72:W89 E49:H66 J49:M66 T49:W66 E28:H43 J28:M43 T28:W43 O49:R66 O28:R43 T7:W22 J7:M22 E7:H22 O7:R22" xr:uid="{BB9DD8A7-4836-417E-BDB7-652641D12B73}">
      <formula1>$AM$2:$AM$43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0E19-1750-4406-94E8-689148F5D179}">
  <dimension ref="A1:CJ201"/>
  <sheetViews>
    <sheetView workbookViewId="0">
      <selection activeCell="AB3" sqref="AB3"/>
    </sheetView>
  </sheetViews>
  <sheetFormatPr defaultRowHeight="14.5" x14ac:dyDescent="0.35"/>
  <sheetData>
    <row r="1" spans="1:88" ht="115" x14ac:dyDescent="0.35">
      <c r="A1" s="47" t="s">
        <v>177</v>
      </c>
      <c r="B1" s="48" t="s">
        <v>178</v>
      </c>
      <c r="C1" s="49" t="s">
        <v>1</v>
      </c>
      <c r="D1" s="49" t="s">
        <v>2</v>
      </c>
      <c r="E1" s="49" t="s">
        <v>3</v>
      </c>
      <c r="F1" s="49" t="s">
        <v>4</v>
      </c>
      <c r="G1" s="50" t="s">
        <v>5</v>
      </c>
      <c r="H1" s="51" t="s">
        <v>127</v>
      </c>
      <c r="I1" s="52" t="s">
        <v>129</v>
      </c>
      <c r="J1" s="53" t="s">
        <v>130</v>
      </c>
      <c r="K1" s="53" t="s">
        <v>131</v>
      </c>
      <c r="L1" s="53" t="s">
        <v>132</v>
      </c>
      <c r="M1" s="30" t="s">
        <v>128</v>
      </c>
      <c r="N1" s="47" t="s">
        <v>179</v>
      </c>
      <c r="O1" s="47" t="s">
        <v>180</v>
      </c>
      <c r="P1" s="47" t="s">
        <v>181</v>
      </c>
      <c r="Q1" s="47" t="s">
        <v>182</v>
      </c>
      <c r="R1" s="54" t="s">
        <v>183</v>
      </c>
      <c r="S1" s="54" t="s">
        <v>184</v>
      </c>
      <c r="T1" s="54" t="s">
        <v>185</v>
      </c>
      <c r="U1" s="55" t="s">
        <v>186</v>
      </c>
      <c r="V1" s="52" t="s">
        <v>134</v>
      </c>
      <c r="W1" s="53" t="s">
        <v>135</v>
      </c>
      <c r="X1" s="53" t="s">
        <v>136</v>
      </c>
      <c r="Y1" s="53" t="s">
        <v>137</v>
      </c>
      <c r="Z1" s="30" t="s">
        <v>133</v>
      </c>
      <c r="AA1" s="47" t="s">
        <v>187</v>
      </c>
      <c r="AB1" s="47" t="s">
        <v>188</v>
      </c>
      <c r="AC1" s="47" t="s">
        <v>189</v>
      </c>
      <c r="AD1" s="47" t="s">
        <v>190</v>
      </c>
      <c r="AE1" s="54" t="s">
        <v>191</v>
      </c>
      <c r="AF1" s="54" t="s">
        <v>192</v>
      </c>
      <c r="AG1" s="54" t="s">
        <v>193</v>
      </c>
      <c r="AH1" s="54" t="s">
        <v>194</v>
      </c>
      <c r="AI1" s="52" t="s">
        <v>139</v>
      </c>
      <c r="AJ1" s="53" t="s">
        <v>140</v>
      </c>
      <c r="AK1" s="53" t="s">
        <v>141</v>
      </c>
      <c r="AL1" s="53" t="s">
        <v>142</v>
      </c>
      <c r="AM1" s="30" t="s">
        <v>138</v>
      </c>
      <c r="AN1" s="47" t="s">
        <v>195</v>
      </c>
      <c r="AO1" s="47" t="s">
        <v>196</v>
      </c>
      <c r="AP1" s="47" t="s">
        <v>197</v>
      </c>
      <c r="AQ1" s="47" t="s">
        <v>198</v>
      </c>
      <c r="AR1" s="54" t="s">
        <v>199</v>
      </c>
      <c r="AS1" s="54" t="s">
        <v>200</v>
      </c>
      <c r="AT1" s="54" t="s">
        <v>201</v>
      </c>
      <c r="AU1" s="54" t="s">
        <v>202</v>
      </c>
      <c r="AV1" s="52" t="s">
        <v>144</v>
      </c>
      <c r="AW1" s="53" t="s">
        <v>145</v>
      </c>
      <c r="AX1" s="53" t="s">
        <v>146</v>
      </c>
      <c r="AY1" s="53" t="s">
        <v>147</v>
      </c>
      <c r="AZ1" s="30" t="s">
        <v>143</v>
      </c>
      <c r="BA1" s="47" t="s">
        <v>203</v>
      </c>
      <c r="BB1" s="47" t="s">
        <v>204</v>
      </c>
      <c r="BC1" s="47" t="s">
        <v>205</v>
      </c>
      <c r="BD1" s="47" t="s">
        <v>206</v>
      </c>
      <c r="BE1" s="54" t="s">
        <v>207</v>
      </c>
      <c r="BF1" s="54" t="s">
        <v>208</v>
      </c>
      <c r="BG1" s="54" t="s">
        <v>209</v>
      </c>
      <c r="BH1" s="54" t="s">
        <v>210</v>
      </c>
      <c r="BI1" s="53" t="s">
        <v>211</v>
      </c>
      <c r="BJ1" s="56" t="s">
        <v>212</v>
      </c>
      <c r="BK1" s="57" t="s">
        <v>213</v>
      </c>
      <c r="BL1" s="57" t="s">
        <v>214</v>
      </c>
      <c r="BM1" s="58"/>
      <c r="BN1" s="59" t="s">
        <v>215</v>
      </c>
      <c r="BO1" s="59" t="s">
        <v>216</v>
      </c>
      <c r="BP1" s="59" t="s">
        <v>217</v>
      </c>
      <c r="BQ1" s="59" t="s">
        <v>218</v>
      </c>
      <c r="BR1" s="59" t="s">
        <v>219</v>
      </c>
      <c r="BS1" s="59" t="s">
        <v>220</v>
      </c>
      <c r="BT1" s="60" t="s">
        <v>221</v>
      </c>
      <c r="BU1" s="61"/>
      <c r="BV1" s="59" t="s">
        <v>222</v>
      </c>
      <c r="BW1" s="59" t="s">
        <v>222</v>
      </c>
      <c r="BX1" s="59" t="s">
        <v>222</v>
      </c>
      <c r="BY1" s="59" t="s">
        <v>222</v>
      </c>
      <c r="BZ1" s="58"/>
      <c r="CA1" s="58"/>
      <c r="CB1" s="58"/>
      <c r="CC1" s="58"/>
      <c r="CD1" s="58"/>
      <c r="CE1" s="62"/>
      <c r="CF1" s="59" t="s">
        <v>222</v>
      </c>
      <c r="CG1" s="59" t="s">
        <v>223</v>
      </c>
      <c r="CH1" s="59" t="s">
        <v>224</v>
      </c>
      <c r="CI1" s="59" t="s">
        <v>224</v>
      </c>
      <c r="CJ1" s="59" t="s">
        <v>224</v>
      </c>
    </row>
    <row r="2" spans="1:88" x14ac:dyDescent="0.35">
      <c r="A2" s="63" t="s">
        <v>225</v>
      </c>
      <c r="B2" s="64">
        <v>1</v>
      </c>
      <c r="C2" s="65" t="s">
        <v>11</v>
      </c>
      <c r="D2" s="65" t="s">
        <v>12</v>
      </c>
      <c r="E2" s="66">
        <v>41017</v>
      </c>
      <c r="F2" s="66" t="s">
        <v>226</v>
      </c>
      <c r="G2" s="66" t="s">
        <v>226</v>
      </c>
      <c r="H2" s="67" t="s">
        <v>156</v>
      </c>
      <c r="I2" s="68" t="s">
        <v>157</v>
      </c>
      <c r="J2" s="69" t="s">
        <v>158</v>
      </c>
      <c r="K2" s="69">
        <v>0</v>
      </c>
      <c r="L2" s="70">
        <v>0</v>
      </c>
      <c r="M2" s="71">
        <v>0.3</v>
      </c>
      <c r="N2" s="72">
        <v>43699.5</v>
      </c>
      <c r="O2" s="73">
        <v>22237.200000000001</v>
      </c>
      <c r="P2" s="73">
        <v>0</v>
      </c>
      <c r="Q2" s="74">
        <v>0</v>
      </c>
      <c r="R2" s="72">
        <v>50436</v>
      </c>
      <c r="S2" s="73">
        <v>25659.199999999997</v>
      </c>
      <c r="T2" s="73">
        <v>0</v>
      </c>
      <c r="U2" s="75">
        <v>0</v>
      </c>
      <c r="V2" s="68" t="s">
        <v>159</v>
      </c>
      <c r="W2" s="69" t="s">
        <v>160</v>
      </c>
      <c r="X2" s="69" t="s">
        <v>161</v>
      </c>
      <c r="Y2" s="70">
        <v>0</v>
      </c>
      <c r="Z2" s="71">
        <v>0.25</v>
      </c>
      <c r="AA2" s="72">
        <v>43285.5</v>
      </c>
      <c r="AB2" s="73">
        <v>2694.06</v>
      </c>
      <c r="AC2" s="73">
        <v>341</v>
      </c>
      <c r="AD2" s="74">
        <v>0</v>
      </c>
      <c r="AE2" s="72">
        <v>30748</v>
      </c>
      <c r="AF2" s="73">
        <v>2627.54</v>
      </c>
      <c r="AG2" s="73">
        <v>2015</v>
      </c>
      <c r="AH2" s="75">
        <v>0</v>
      </c>
      <c r="AI2" s="68" t="s">
        <v>151</v>
      </c>
      <c r="AJ2" s="69">
        <v>0</v>
      </c>
      <c r="AK2" s="69">
        <v>0</v>
      </c>
      <c r="AL2" s="70">
        <v>0</v>
      </c>
      <c r="AM2" s="71">
        <v>0.25</v>
      </c>
      <c r="AN2" s="72">
        <v>15552.420000000002</v>
      </c>
      <c r="AO2" s="73">
        <v>0</v>
      </c>
      <c r="AP2" s="73">
        <v>0</v>
      </c>
      <c r="AQ2" s="74">
        <v>0</v>
      </c>
      <c r="AR2" s="72">
        <v>17385.03</v>
      </c>
      <c r="AS2" s="73">
        <v>0</v>
      </c>
      <c r="AT2" s="73">
        <v>0</v>
      </c>
      <c r="AU2" s="75">
        <v>0</v>
      </c>
      <c r="AV2" s="68" t="s">
        <v>162</v>
      </c>
      <c r="AW2" s="69" t="s">
        <v>150</v>
      </c>
      <c r="AX2" s="69" t="s">
        <v>149</v>
      </c>
      <c r="AY2" s="70">
        <v>0</v>
      </c>
      <c r="AZ2" s="76">
        <v>0.19999999999999996</v>
      </c>
      <c r="BA2" s="72">
        <v>20892.419999999998</v>
      </c>
      <c r="BB2" s="73">
        <v>2833.65</v>
      </c>
      <c r="BC2" s="73">
        <v>3353.9445000000001</v>
      </c>
      <c r="BD2" s="74">
        <v>0</v>
      </c>
      <c r="BE2" s="72">
        <v>15282.86</v>
      </c>
      <c r="BF2" s="73">
        <v>3368.3</v>
      </c>
      <c r="BG2" s="73">
        <v>2762.6979999999999</v>
      </c>
      <c r="BH2" s="75">
        <v>0</v>
      </c>
      <c r="BI2" s="77">
        <v>154889.69449999998</v>
      </c>
      <c r="BJ2" s="78">
        <v>150284.628</v>
      </c>
      <c r="BK2" s="79" t="s">
        <v>226</v>
      </c>
      <c r="BL2" s="79">
        <v>0.9</v>
      </c>
      <c r="BM2" s="62"/>
      <c r="BN2" s="80" t="s">
        <v>227</v>
      </c>
      <c r="BO2" s="81">
        <v>41108</v>
      </c>
      <c r="BP2" s="82">
        <v>3</v>
      </c>
      <c r="BQ2" s="82">
        <v>1</v>
      </c>
      <c r="BR2" s="82">
        <v>3</v>
      </c>
      <c r="BS2" s="80">
        <v>329604</v>
      </c>
      <c r="BT2" s="83">
        <v>1</v>
      </c>
      <c r="BU2" s="61"/>
      <c r="BV2" s="84">
        <v>0.86699999999999999</v>
      </c>
      <c r="BW2" s="84">
        <v>1.3089999999999999</v>
      </c>
      <c r="BX2" s="84">
        <v>0.89500000000000002</v>
      </c>
      <c r="BY2" s="84">
        <v>1.2649999999999999</v>
      </c>
      <c r="BZ2" s="62"/>
      <c r="CA2" s="85"/>
      <c r="CB2" s="85"/>
      <c r="CC2" s="85"/>
      <c r="CD2" s="85"/>
      <c r="CE2" s="62"/>
      <c r="CF2" s="86">
        <v>1.03</v>
      </c>
      <c r="CG2" s="87">
        <v>1</v>
      </c>
      <c r="CH2" s="87">
        <v>1.3</v>
      </c>
      <c r="CI2" s="87">
        <v>0</v>
      </c>
      <c r="CJ2" s="87">
        <v>0.5</v>
      </c>
    </row>
    <row r="3" spans="1:88" x14ac:dyDescent="0.35">
      <c r="A3" s="88" t="s">
        <v>225</v>
      </c>
      <c r="B3" s="89">
        <v>2</v>
      </c>
      <c r="C3" s="90" t="s">
        <v>14</v>
      </c>
      <c r="D3" s="90" t="s">
        <v>12</v>
      </c>
      <c r="E3" s="91">
        <v>40763</v>
      </c>
      <c r="F3" s="91" t="s">
        <v>226</v>
      </c>
      <c r="G3" s="91" t="s">
        <v>226</v>
      </c>
      <c r="H3" s="92" t="s">
        <v>148</v>
      </c>
      <c r="I3" s="93" t="s">
        <v>149</v>
      </c>
      <c r="J3" s="94" t="s">
        <v>150</v>
      </c>
      <c r="K3" s="94">
        <v>0</v>
      </c>
      <c r="L3" s="95">
        <v>0</v>
      </c>
      <c r="M3" s="96">
        <v>0.5</v>
      </c>
      <c r="N3" s="72">
        <v>0</v>
      </c>
      <c r="O3" s="73">
        <v>0</v>
      </c>
      <c r="P3" s="73">
        <v>0</v>
      </c>
      <c r="Q3" s="74">
        <v>0</v>
      </c>
      <c r="R3" s="72">
        <v>158905.20000000001</v>
      </c>
      <c r="S3" s="73">
        <v>92581</v>
      </c>
      <c r="T3" s="73">
        <v>0</v>
      </c>
      <c r="U3" s="75">
        <v>0</v>
      </c>
      <c r="V3" s="93" t="s">
        <v>151</v>
      </c>
      <c r="W3" s="94" t="s">
        <v>152</v>
      </c>
      <c r="X3" s="94">
        <v>0</v>
      </c>
      <c r="Y3" s="95">
        <v>0</v>
      </c>
      <c r="Z3" s="96">
        <v>0.25</v>
      </c>
      <c r="AA3" s="72">
        <v>0</v>
      </c>
      <c r="AB3" s="73">
        <v>0</v>
      </c>
      <c r="AC3" s="73"/>
      <c r="AD3" s="74"/>
      <c r="AE3" s="72">
        <v>109098</v>
      </c>
      <c r="AF3" s="73">
        <v>22724</v>
      </c>
      <c r="AG3" s="73"/>
      <c r="AH3" s="75"/>
      <c r="AI3" s="93" t="s">
        <v>153</v>
      </c>
      <c r="AJ3" s="94" t="s">
        <v>154</v>
      </c>
      <c r="AK3" s="94">
        <v>0</v>
      </c>
      <c r="AL3" s="95">
        <v>0</v>
      </c>
      <c r="AM3" s="96">
        <v>0.1</v>
      </c>
      <c r="AN3" s="72">
        <v>0</v>
      </c>
      <c r="AO3" s="73">
        <v>0</v>
      </c>
      <c r="AP3" s="73"/>
      <c r="AQ3" s="74"/>
      <c r="AR3" s="72">
        <v>15708</v>
      </c>
      <c r="AS3" s="73">
        <v>26736</v>
      </c>
      <c r="AT3" s="73"/>
      <c r="AU3" s="75"/>
      <c r="AV3" s="93" t="s">
        <v>155</v>
      </c>
      <c r="AW3" s="94">
        <v>0</v>
      </c>
      <c r="AX3" s="94">
        <v>0</v>
      </c>
      <c r="AY3" s="95">
        <v>0</v>
      </c>
      <c r="AZ3" s="97">
        <v>0.15</v>
      </c>
      <c r="BA3" s="72">
        <v>0</v>
      </c>
      <c r="BB3" s="73"/>
      <c r="BC3" s="73"/>
      <c r="BD3" s="74"/>
      <c r="BE3" s="72">
        <v>3320</v>
      </c>
      <c r="BF3" s="73"/>
      <c r="BG3" s="73"/>
      <c r="BH3" s="75"/>
      <c r="BI3" s="98">
        <v>0</v>
      </c>
      <c r="BJ3" s="99">
        <v>429072.2</v>
      </c>
      <c r="BK3" s="100" t="s">
        <v>226</v>
      </c>
      <c r="BL3" s="100">
        <v>0.93</v>
      </c>
      <c r="BM3" s="62"/>
      <c r="BN3" s="80" t="s">
        <v>227</v>
      </c>
      <c r="BO3" s="81">
        <v>40855</v>
      </c>
      <c r="BP3" s="82">
        <v>3</v>
      </c>
      <c r="BQ3" s="82">
        <v>1</v>
      </c>
      <c r="BR3" s="82">
        <v>3</v>
      </c>
      <c r="BS3" s="80">
        <v>329604</v>
      </c>
      <c r="BT3" s="83">
        <v>1</v>
      </c>
      <c r="BU3" s="61"/>
      <c r="BV3" s="84">
        <v>0</v>
      </c>
      <c r="BW3" s="84">
        <v>0</v>
      </c>
      <c r="BX3" s="84">
        <v>0</v>
      </c>
      <c r="BY3" s="84">
        <v>0</v>
      </c>
      <c r="BZ3" s="62"/>
      <c r="CA3" s="85"/>
      <c r="CB3" s="85"/>
      <c r="CC3" s="85"/>
      <c r="CD3" s="85"/>
      <c r="CE3" s="62"/>
      <c r="CF3" s="86">
        <v>0</v>
      </c>
      <c r="CG3" s="87">
        <v>0</v>
      </c>
      <c r="CH3" s="87">
        <v>0</v>
      </c>
      <c r="CI3" s="87">
        <v>0</v>
      </c>
      <c r="CJ3" s="87">
        <v>0.5</v>
      </c>
    </row>
    <row r="4" spans="1:88" x14ac:dyDescent="0.35">
      <c r="A4" s="88" t="s">
        <v>225</v>
      </c>
      <c r="B4" s="89">
        <v>3</v>
      </c>
      <c r="C4" s="90" t="s">
        <v>15</v>
      </c>
      <c r="D4" s="90" t="s">
        <v>12</v>
      </c>
      <c r="E4" s="91">
        <v>41745</v>
      </c>
      <c r="F4" s="91" t="s">
        <v>226</v>
      </c>
      <c r="G4" s="91" t="s">
        <v>226</v>
      </c>
      <c r="H4" s="92" t="s">
        <v>148</v>
      </c>
      <c r="I4" s="93" t="s">
        <v>149</v>
      </c>
      <c r="J4" s="94" t="s">
        <v>150</v>
      </c>
      <c r="K4" s="94">
        <v>0</v>
      </c>
      <c r="L4" s="95">
        <v>0</v>
      </c>
      <c r="M4" s="96">
        <v>0.5</v>
      </c>
      <c r="N4" s="72">
        <v>422723.07</v>
      </c>
      <c r="O4" s="73">
        <v>199408</v>
      </c>
      <c r="P4" s="73">
        <v>0</v>
      </c>
      <c r="Q4" s="74">
        <v>0</v>
      </c>
      <c r="R4" s="72">
        <v>340538.94</v>
      </c>
      <c r="S4" s="73">
        <v>185152.5</v>
      </c>
      <c r="T4" s="73">
        <v>0</v>
      </c>
      <c r="U4" s="75">
        <v>0</v>
      </c>
      <c r="V4" s="93" t="s">
        <v>151</v>
      </c>
      <c r="W4" s="94" t="s">
        <v>152</v>
      </c>
      <c r="X4" s="94">
        <v>0</v>
      </c>
      <c r="Y4" s="95">
        <v>0</v>
      </c>
      <c r="Z4" s="96">
        <v>0.25</v>
      </c>
      <c r="AA4" s="72">
        <v>376824.24</v>
      </c>
      <c r="AB4" s="73">
        <v>37848</v>
      </c>
      <c r="AC4" s="73">
        <v>0</v>
      </c>
      <c r="AD4" s="74">
        <v>0</v>
      </c>
      <c r="AE4" s="72">
        <v>261353.30000000002</v>
      </c>
      <c r="AF4" s="73">
        <v>42873.5</v>
      </c>
      <c r="AG4" s="73">
        <v>0</v>
      </c>
      <c r="AH4" s="75">
        <v>0</v>
      </c>
      <c r="AI4" s="93" t="s">
        <v>153</v>
      </c>
      <c r="AJ4" s="94" t="s">
        <v>154</v>
      </c>
      <c r="AK4" s="94">
        <v>0</v>
      </c>
      <c r="AL4" s="95">
        <v>0</v>
      </c>
      <c r="AM4" s="96">
        <v>0.1</v>
      </c>
      <c r="AN4" s="72">
        <v>32076</v>
      </c>
      <c r="AO4" s="73">
        <v>34896</v>
      </c>
      <c r="AP4" s="73">
        <v>0</v>
      </c>
      <c r="AQ4" s="74">
        <v>0</v>
      </c>
      <c r="AR4" s="72">
        <v>39732</v>
      </c>
      <c r="AS4" s="73">
        <v>37068</v>
      </c>
      <c r="AT4" s="73">
        <v>0</v>
      </c>
      <c r="AU4" s="75">
        <v>0</v>
      </c>
      <c r="AV4" s="93" t="s">
        <v>155</v>
      </c>
      <c r="AW4" s="94">
        <v>0</v>
      </c>
      <c r="AX4" s="94">
        <v>0</v>
      </c>
      <c r="AY4" s="95">
        <v>0</v>
      </c>
      <c r="AZ4" s="97">
        <v>0.15</v>
      </c>
      <c r="BA4" s="72">
        <v>6225.0000000000009</v>
      </c>
      <c r="BB4" s="73">
        <v>0</v>
      </c>
      <c r="BC4" s="73">
        <v>0</v>
      </c>
      <c r="BD4" s="74">
        <v>0</v>
      </c>
      <c r="BE4" s="72">
        <v>6640.0000000000009</v>
      </c>
      <c r="BF4" s="73">
        <v>0</v>
      </c>
      <c r="BG4" s="73">
        <v>0</v>
      </c>
      <c r="BH4" s="75">
        <v>0</v>
      </c>
      <c r="BI4" s="98">
        <v>1110000.31</v>
      </c>
      <c r="BJ4" s="99">
        <v>913358.24</v>
      </c>
      <c r="BK4" s="100" t="s">
        <v>226</v>
      </c>
      <c r="BL4" s="100">
        <v>0.96</v>
      </c>
      <c r="BM4" s="62"/>
      <c r="BN4" s="80" t="s">
        <v>227</v>
      </c>
      <c r="BO4" s="81">
        <v>41836</v>
      </c>
      <c r="BP4" s="82">
        <v>3</v>
      </c>
      <c r="BQ4" s="82">
        <v>1</v>
      </c>
      <c r="BR4" s="82">
        <v>3</v>
      </c>
      <c r="BS4" s="80">
        <v>329604</v>
      </c>
      <c r="BT4" s="83">
        <v>1</v>
      </c>
      <c r="BU4" s="61"/>
      <c r="BV4" s="84">
        <v>1.1830000000000001</v>
      </c>
      <c r="BW4" s="84">
        <v>1.363</v>
      </c>
      <c r="BX4" s="84">
        <v>0.872</v>
      </c>
      <c r="BY4" s="84">
        <v>0.93799999999999994</v>
      </c>
      <c r="BZ4" s="62"/>
      <c r="CA4" s="85"/>
      <c r="CB4" s="85"/>
      <c r="CC4" s="85"/>
      <c r="CD4" s="85"/>
      <c r="CE4" s="62"/>
      <c r="CF4" s="86">
        <v>1.22</v>
      </c>
      <c r="CG4" s="87">
        <v>1</v>
      </c>
      <c r="CH4" s="87">
        <v>2.5</v>
      </c>
      <c r="CI4" s="87">
        <v>0</v>
      </c>
      <c r="CJ4" s="87">
        <v>1</v>
      </c>
    </row>
    <row r="5" spans="1:88" x14ac:dyDescent="0.35">
      <c r="A5" s="88" t="s">
        <v>225</v>
      </c>
      <c r="B5" s="89">
        <v>4</v>
      </c>
      <c r="C5" s="90" t="s">
        <v>16</v>
      </c>
      <c r="D5" s="90" t="s">
        <v>12</v>
      </c>
      <c r="E5" s="91">
        <v>40686</v>
      </c>
      <c r="F5" s="91" t="s">
        <v>226</v>
      </c>
      <c r="G5" s="91" t="s">
        <v>226</v>
      </c>
      <c r="H5" s="92" t="s">
        <v>148</v>
      </c>
      <c r="I5" s="93" t="s">
        <v>149</v>
      </c>
      <c r="J5" s="94" t="s">
        <v>150</v>
      </c>
      <c r="K5" s="94">
        <v>0</v>
      </c>
      <c r="L5" s="95">
        <v>0</v>
      </c>
      <c r="M5" s="96">
        <v>0.5</v>
      </c>
      <c r="N5" s="72">
        <v>92460.68</v>
      </c>
      <c r="O5" s="73">
        <v>39523</v>
      </c>
      <c r="P5" s="73">
        <v>0</v>
      </c>
      <c r="Q5" s="74">
        <v>0</v>
      </c>
      <c r="R5" s="72">
        <v>68787.149999999994</v>
      </c>
      <c r="S5" s="73">
        <v>41617</v>
      </c>
      <c r="T5" s="73">
        <v>0</v>
      </c>
      <c r="U5" s="75">
        <v>0</v>
      </c>
      <c r="V5" s="93" t="s">
        <v>151</v>
      </c>
      <c r="W5" s="94" t="s">
        <v>152</v>
      </c>
      <c r="X5" s="94">
        <v>0</v>
      </c>
      <c r="Y5" s="95">
        <v>0</v>
      </c>
      <c r="Z5" s="96">
        <v>0.25</v>
      </c>
      <c r="AA5" s="72">
        <v>28529.280000000002</v>
      </c>
      <c r="AB5" s="73">
        <v>18810</v>
      </c>
      <c r="AC5" s="73">
        <v>0</v>
      </c>
      <c r="AD5" s="74">
        <v>0</v>
      </c>
      <c r="AE5" s="72">
        <v>38699.440000000002</v>
      </c>
      <c r="AF5" s="73">
        <v>17575</v>
      </c>
      <c r="AG5" s="73">
        <v>0</v>
      </c>
      <c r="AH5" s="75">
        <v>0</v>
      </c>
      <c r="AI5" s="93" t="s">
        <v>153</v>
      </c>
      <c r="AJ5" s="94" t="s">
        <v>154</v>
      </c>
      <c r="AK5" s="94">
        <v>0</v>
      </c>
      <c r="AL5" s="95">
        <v>0</v>
      </c>
      <c r="AM5" s="96">
        <v>0.1</v>
      </c>
      <c r="AN5" s="72">
        <v>7008</v>
      </c>
      <c r="AO5" s="73">
        <v>17052</v>
      </c>
      <c r="AP5" s="73">
        <v>0</v>
      </c>
      <c r="AQ5" s="74">
        <v>0</v>
      </c>
      <c r="AR5" s="72">
        <v>5544</v>
      </c>
      <c r="AS5" s="73">
        <v>14676</v>
      </c>
      <c r="AT5" s="73">
        <v>0</v>
      </c>
      <c r="AU5" s="75">
        <v>0</v>
      </c>
      <c r="AV5" s="93" t="s">
        <v>155</v>
      </c>
      <c r="AW5" s="94">
        <v>0</v>
      </c>
      <c r="AX5" s="94">
        <v>0</v>
      </c>
      <c r="AY5" s="95">
        <v>0</v>
      </c>
      <c r="AZ5" s="97">
        <v>0.15</v>
      </c>
      <c r="BA5" s="72">
        <v>929.60000000000014</v>
      </c>
      <c r="BB5" s="73">
        <v>0</v>
      </c>
      <c r="BC5" s="73">
        <v>0</v>
      </c>
      <c r="BD5" s="74">
        <v>0</v>
      </c>
      <c r="BE5" s="72">
        <v>1660.0000000000002</v>
      </c>
      <c r="BF5" s="73">
        <v>0</v>
      </c>
      <c r="BG5" s="73">
        <v>0</v>
      </c>
      <c r="BH5" s="75">
        <v>0</v>
      </c>
      <c r="BI5" s="98">
        <v>204312.56</v>
      </c>
      <c r="BJ5" s="99">
        <v>188558.59</v>
      </c>
      <c r="BK5" s="100" t="s">
        <v>226</v>
      </c>
      <c r="BL5" s="100">
        <v>0.95</v>
      </c>
      <c r="BM5" s="62"/>
      <c r="BN5" s="80" t="s">
        <v>227</v>
      </c>
      <c r="BO5" s="81">
        <v>40778</v>
      </c>
      <c r="BP5" s="82">
        <v>3</v>
      </c>
      <c r="BQ5" s="82">
        <v>1</v>
      </c>
      <c r="BR5" s="82">
        <v>3</v>
      </c>
      <c r="BS5" s="80">
        <v>329604</v>
      </c>
      <c r="BT5" s="83">
        <v>1</v>
      </c>
      <c r="BU5" s="61"/>
      <c r="BV5" s="84">
        <v>1.1950000000000001</v>
      </c>
      <c r="BW5" s="84">
        <v>0.84099999999999997</v>
      </c>
      <c r="BX5" s="84">
        <v>1.19</v>
      </c>
      <c r="BY5" s="84">
        <v>0.56000000000000005</v>
      </c>
      <c r="BZ5" s="62"/>
      <c r="CA5" s="85"/>
      <c r="CB5" s="85"/>
      <c r="CC5" s="85"/>
      <c r="CD5" s="85"/>
      <c r="CE5" s="62"/>
      <c r="CF5" s="86">
        <v>1.08</v>
      </c>
      <c r="CG5" s="87">
        <v>1</v>
      </c>
      <c r="CH5" s="87">
        <v>1.8</v>
      </c>
      <c r="CI5" s="87">
        <v>0</v>
      </c>
      <c r="CJ5" s="87">
        <v>1</v>
      </c>
    </row>
    <row r="6" spans="1:88" x14ac:dyDescent="0.35">
      <c r="A6" s="88" t="s">
        <v>225</v>
      </c>
      <c r="B6" s="89">
        <v>5</v>
      </c>
      <c r="C6" s="90" t="s">
        <v>17</v>
      </c>
      <c r="D6" s="90" t="s">
        <v>12</v>
      </c>
      <c r="E6" s="91">
        <v>40680</v>
      </c>
      <c r="F6" s="91" t="s">
        <v>226</v>
      </c>
      <c r="G6" s="91" t="s">
        <v>226</v>
      </c>
      <c r="H6" s="92" t="s">
        <v>164</v>
      </c>
      <c r="I6" s="93" t="s">
        <v>157</v>
      </c>
      <c r="J6" s="94">
        <v>0</v>
      </c>
      <c r="K6" s="94">
        <v>0</v>
      </c>
      <c r="L6" s="95">
        <v>0</v>
      </c>
      <c r="M6" s="96">
        <v>0.45</v>
      </c>
      <c r="N6" s="72">
        <v>103288.5</v>
      </c>
      <c r="O6" s="73">
        <v>0</v>
      </c>
      <c r="P6" s="73">
        <v>0</v>
      </c>
      <c r="Q6" s="74">
        <v>0</v>
      </c>
      <c r="R6" s="72">
        <v>136377</v>
      </c>
      <c r="S6" s="73">
        <v>0</v>
      </c>
      <c r="T6" s="73">
        <v>0</v>
      </c>
      <c r="U6" s="75">
        <v>0</v>
      </c>
      <c r="V6" s="93" t="s">
        <v>158</v>
      </c>
      <c r="W6" s="94">
        <v>0</v>
      </c>
      <c r="X6" s="94">
        <v>0</v>
      </c>
      <c r="Y6" s="95">
        <v>0</v>
      </c>
      <c r="Z6" s="96">
        <v>0.25</v>
      </c>
      <c r="AA6" s="72">
        <v>71108</v>
      </c>
      <c r="AB6" s="73">
        <v>0</v>
      </c>
      <c r="AC6" s="73">
        <v>0</v>
      </c>
      <c r="AD6" s="74">
        <v>0</v>
      </c>
      <c r="AE6" s="72">
        <v>66433.2</v>
      </c>
      <c r="AF6" s="73">
        <v>0</v>
      </c>
      <c r="AG6" s="73">
        <v>0</v>
      </c>
      <c r="AH6" s="75">
        <v>0</v>
      </c>
      <c r="AI6" s="93" t="s">
        <v>150</v>
      </c>
      <c r="AJ6" s="94" t="s">
        <v>165</v>
      </c>
      <c r="AK6" s="94">
        <v>0</v>
      </c>
      <c r="AL6" s="95">
        <v>0</v>
      </c>
      <c r="AM6" s="96">
        <v>0.25</v>
      </c>
      <c r="AN6" s="72">
        <v>7873.4500000000007</v>
      </c>
      <c r="AO6" s="73">
        <v>333.29999999999995</v>
      </c>
      <c r="AP6" s="73">
        <v>0</v>
      </c>
      <c r="AQ6" s="74">
        <v>0</v>
      </c>
      <c r="AR6" s="72">
        <v>9258.1</v>
      </c>
      <c r="AS6" s="73">
        <v>2899.71</v>
      </c>
      <c r="AT6" s="73">
        <v>0</v>
      </c>
      <c r="AU6" s="75">
        <v>0</v>
      </c>
      <c r="AV6" s="93" t="s">
        <v>149</v>
      </c>
      <c r="AW6" s="94">
        <v>0</v>
      </c>
      <c r="AX6" s="94">
        <v>0</v>
      </c>
      <c r="AY6" s="95">
        <v>0</v>
      </c>
      <c r="AZ6" s="97">
        <v>5.0000000000000044E-2</v>
      </c>
      <c r="BA6" s="72">
        <v>8430.5022499999995</v>
      </c>
      <c r="BB6" s="73">
        <v>0</v>
      </c>
      <c r="BC6" s="73">
        <v>0</v>
      </c>
      <c r="BD6" s="74">
        <v>0</v>
      </c>
      <c r="BE6" s="72">
        <v>7945.2600000000011</v>
      </c>
      <c r="BF6" s="73">
        <v>0</v>
      </c>
      <c r="BG6" s="73">
        <v>0</v>
      </c>
      <c r="BH6" s="75">
        <v>0</v>
      </c>
      <c r="BI6" s="98">
        <v>191033.75224999999</v>
      </c>
      <c r="BJ6" s="99">
        <v>222913.27000000002</v>
      </c>
      <c r="BK6" s="100" t="s">
        <v>226</v>
      </c>
      <c r="BL6" s="100">
        <v>0.97</v>
      </c>
      <c r="BM6" s="62"/>
      <c r="BN6" s="80" t="s">
        <v>227</v>
      </c>
      <c r="BO6" s="81">
        <v>40772</v>
      </c>
      <c r="BP6" s="82">
        <v>3</v>
      </c>
      <c r="BQ6" s="82">
        <v>1</v>
      </c>
      <c r="BR6" s="82">
        <v>3</v>
      </c>
      <c r="BS6" s="80">
        <v>329604</v>
      </c>
      <c r="BT6" s="83">
        <v>1</v>
      </c>
      <c r="BU6" s="61"/>
      <c r="BV6" s="84">
        <v>0.75700000000000001</v>
      </c>
      <c r="BW6" s="84">
        <v>1.07</v>
      </c>
      <c r="BX6" s="84">
        <v>0.67500000000000004</v>
      </c>
      <c r="BY6" s="84">
        <v>1.0609999999999999</v>
      </c>
      <c r="BZ6" s="62"/>
      <c r="CA6" s="85"/>
      <c r="CB6" s="85"/>
      <c r="CC6" s="85"/>
      <c r="CD6" s="85"/>
      <c r="CE6" s="62"/>
      <c r="CF6" s="86">
        <v>0.86</v>
      </c>
      <c r="CG6" s="87">
        <v>0</v>
      </c>
      <c r="CH6" s="87">
        <v>0</v>
      </c>
      <c r="CI6" s="87">
        <v>0</v>
      </c>
      <c r="CJ6" s="87">
        <v>1</v>
      </c>
    </row>
    <row r="7" spans="1:88" x14ac:dyDescent="0.35">
      <c r="A7" s="88" t="s">
        <v>225</v>
      </c>
      <c r="B7" s="89">
        <v>6</v>
      </c>
      <c r="C7" s="90" t="s">
        <v>18</v>
      </c>
      <c r="D7" s="90" t="s">
        <v>12</v>
      </c>
      <c r="E7" s="91">
        <v>41564</v>
      </c>
      <c r="F7" s="91" t="s">
        <v>226</v>
      </c>
      <c r="G7" s="91" t="s">
        <v>226</v>
      </c>
      <c r="H7" s="67" t="s">
        <v>148</v>
      </c>
      <c r="I7" s="93" t="s">
        <v>149</v>
      </c>
      <c r="J7" s="94" t="s">
        <v>150</v>
      </c>
      <c r="K7" s="94">
        <v>0</v>
      </c>
      <c r="L7" s="95">
        <v>0</v>
      </c>
      <c r="M7" s="96">
        <v>0.5</v>
      </c>
      <c r="N7" s="72">
        <v>68594.5</v>
      </c>
      <c r="O7" s="73">
        <v>31436</v>
      </c>
      <c r="P7" s="73">
        <v>0</v>
      </c>
      <c r="Q7" s="74">
        <v>0</v>
      </c>
      <c r="R7" s="72">
        <v>55352.619999999995</v>
      </c>
      <c r="S7" s="73">
        <v>39224</v>
      </c>
      <c r="T7" s="73">
        <v>0</v>
      </c>
      <c r="U7" s="75">
        <v>0</v>
      </c>
      <c r="V7" s="93" t="s">
        <v>151</v>
      </c>
      <c r="W7" s="94" t="s">
        <v>152</v>
      </c>
      <c r="X7" s="94">
        <v>0</v>
      </c>
      <c r="Y7" s="95">
        <v>0</v>
      </c>
      <c r="Z7" s="96">
        <v>0.25</v>
      </c>
      <c r="AA7" s="72">
        <v>43784.520000000004</v>
      </c>
      <c r="AB7" s="73">
        <v>11504.5</v>
      </c>
      <c r="AC7" s="73">
        <v>0</v>
      </c>
      <c r="AD7" s="74">
        <v>0</v>
      </c>
      <c r="AE7" s="72">
        <v>36090.86</v>
      </c>
      <c r="AF7" s="73">
        <v>10545</v>
      </c>
      <c r="AG7" s="73">
        <v>0</v>
      </c>
      <c r="AH7" s="75">
        <v>0</v>
      </c>
      <c r="AI7" s="93" t="s">
        <v>153</v>
      </c>
      <c r="AJ7" s="94" t="s">
        <v>154</v>
      </c>
      <c r="AK7" s="94">
        <v>0</v>
      </c>
      <c r="AL7" s="95">
        <v>0</v>
      </c>
      <c r="AM7" s="96">
        <v>0.1</v>
      </c>
      <c r="AN7" s="72">
        <v>2724</v>
      </c>
      <c r="AO7" s="73">
        <v>8616</v>
      </c>
      <c r="AP7" s="73">
        <v>0</v>
      </c>
      <c r="AQ7" s="74">
        <v>0</v>
      </c>
      <c r="AR7" s="72">
        <v>3396</v>
      </c>
      <c r="AS7" s="73">
        <v>6768</v>
      </c>
      <c r="AT7" s="73">
        <v>0</v>
      </c>
      <c r="AU7" s="75">
        <v>0</v>
      </c>
      <c r="AV7" s="93" t="s">
        <v>155</v>
      </c>
      <c r="AW7" s="94">
        <v>0</v>
      </c>
      <c r="AX7" s="94">
        <v>0</v>
      </c>
      <c r="AY7" s="95">
        <v>0</v>
      </c>
      <c r="AZ7" s="97">
        <v>0.15</v>
      </c>
      <c r="BA7" s="72">
        <v>481.40000000000009</v>
      </c>
      <c r="BB7" s="73">
        <v>0</v>
      </c>
      <c r="BC7" s="73">
        <v>0</v>
      </c>
      <c r="BD7" s="74">
        <v>0</v>
      </c>
      <c r="BE7" s="72">
        <v>996.00000000000011</v>
      </c>
      <c r="BF7" s="73">
        <v>0</v>
      </c>
      <c r="BG7" s="73">
        <v>0</v>
      </c>
      <c r="BH7" s="75">
        <v>0</v>
      </c>
      <c r="BI7" s="98">
        <v>167140.92000000001</v>
      </c>
      <c r="BJ7" s="99">
        <v>152372.47999999998</v>
      </c>
      <c r="BK7" s="100" t="s">
        <v>226</v>
      </c>
      <c r="BL7" s="100">
        <v>1</v>
      </c>
      <c r="BM7" s="62"/>
      <c r="BN7" s="80" t="s">
        <v>227</v>
      </c>
      <c r="BO7" s="81">
        <v>41656</v>
      </c>
      <c r="BP7" s="82">
        <v>3</v>
      </c>
      <c r="BQ7" s="82">
        <v>1</v>
      </c>
      <c r="BR7" s="82">
        <v>3</v>
      </c>
      <c r="BS7" s="80">
        <v>329604</v>
      </c>
      <c r="BT7" s="83">
        <v>1</v>
      </c>
      <c r="BU7" s="61"/>
      <c r="BV7" s="84">
        <v>1.0580000000000001</v>
      </c>
      <c r="BW7" s="84">
        <v>1.1859999999999999</v>
      </c>
      <c r="BX7" s="84">
        <v>1.1160000000000001</v>
      </c>
      <c r="BY7" s="84">
        <v>0.48299999999999998</v>
      </c>
      <c r="BZ7" s="62"/>
      <c r="CA7" s="85"/>
      <c r="CB7" s="85"/>
      <c r="CC7" s="85"/>
      <c r="CD7" s="85"/>
      <c r="CE7" s="62"/>
      <c r="CF7" s="86">
        <v>1.1000000000000001</v>
      </c>
      <c r="CG7" s="87">
        <v>1</v>
      </c>
      <c r="CH7" s="87">
        <v>2</v>
      </c>
      <c r="CI7" s="87">
        <v>0</v>
      </c>
      <c r="CJ7" s="87">
        <v>1</v>
      </c>
    </row>
    <row r="8" spans="1:88" x14ac:dyDescent="0.35">
      <c r="A8" s="88" t="s">
        <v>225</v>
      </c>
      <c r="B8" s="89">
        <v>7</v>
      </c>
      <c r="C8" s="90" t="s">
        <v>19</v>
      </c>
      <c r="D8" s="90" t="s">
        <v>12</v>
      </c>
      <c r="E8" s="91">
        <v>42681</v>
      </c>
      <c r="F8" s="91" t="s">
        <v>226</v>
      </c>
      <c r="G8" s="91" t="s">
        <v>226</v>
      </c>
      <c r="H8" s="92" t="s">
        <v>156</v>
      </c>
      <c r="I8" s="93" t="s">
        <v>157</v>
      </c>
      <c r="J8" s="94" t="s">
        <v>158</v>
      </c>
      <c r="K8" s="94">
        <v>0</v>
      </c>
      <c r="L8" s="95">
        <v>0</v>
      </c>
      <c r="M8" s="96">
        <v>0.3</v>
      </c>
      <c r="N8" s="72">
        <v>11502</v>
      </c>
      <c r="O8" s="73">
        <v>1276</v>
      </c>
      <c r="P8" s="73">
        <v>0</v>
      </c>
      <c r="Q8" s="74">
        <v>0</v>
      </c>
      <c r="R8" s="72">
        <v>7155</v>
      </c>
      <c r="S8" s="73">
        <v>1392</v>
      </c>
      <c r="T8" s="73">
        <v>0</v>
      </c>
      <c r="U8" s="75">
        <v>0</v>
      </c>
      <c r="V8" s="93" t="s">
        <v>159</v>
      </c>
      <c r="W8" s="94" t="s">
        <v>160</v>
      </c>
      <c r="X8" s="94" t="s">
        <v>161</v>
      </c>
      <c r="Y8" s="95">
        <v>0</v>
      </c>
      <c r="Z8" s="96">
        <v>0.25</v>
      </c>
      <c r="AA8" s="72">
        <v>10124.5</v>
      </c>
      <c r="AB8" s="73">
        <v>449.01</v>
      </c>
      <c r="AC8" s="73">
        <v>868</v>
      </c>
      <c r="AD8" s="74">
        <v>0</v>
      </c>
      <c r="AE8" s="72">
        <v>5842.5</v>
      </c>
      <c r="AF8" s="73">
        <v>415.75</v>
      </c>
      <c r="AG8" s="73">
        <v>465</v>
      </c>
      <c r="AH8" s="75">
        <v>0</v>
      </c>
      <c r="AI8" s="93" t="s">
        <v>151</v>
      </c>
      <c r="AJ8" s="94">
        <v>0</v>
      </c>
      <c r="AK8" s="94">
        <v>0</v>
      </c>
      <c r="AL8" s="95">
        <v>0</v>
      </c>
      <c r="AM8" s="96">
        <v>0.25</v>
      </c>
      <c r="AN8" s="72">
        <v>8007.35</v>
      </c>
      <c r="AO8" s="73">
        <v>0</v>
      </c>
      <c r="AP8" s="73">
        <v>0</v>
      </c>
      <c r="AQ8" s="74">
        <v>0</v>
      </c>
      <c r="AR8" s="72">
        <v>4424.68</v>
      </c>
      <c r="AS8" s="73">
        <v>0</v>
      </c>
      <c r="AT8" s="73">
        <v>0</v>
      </c>
      <c r="AU8" s="75">
        <v>0</v>
      </c>
      <c r="AV8" s="93" t="s">
        <v>162</v>
      </c>
      <c r="AW8" s="94" t="s">
        <v>150</v>
      </c>
      <c r="AX8" s="94" t="s">
        <v>149</v>
      </c>
      <c r="AY8" s="95">
        <v>0</v>
      </c>
      <c r="AZ8" s="97">
        <v>0.19999999999999996</v>
      </c>
      <c r="BA8" s="72">
        <v>3022.22</v>
      </c>
      <c r="BB8" s="73">
        <v>1059.2</v>
      </c>
      <c r="BC8" s="73">
        <v>656.77600000000007</v>
      </c>
      <c r="BD8" s="74">
        <v>0</v>
      </c>
      <c r="BE8" s="72">
        <v>2310.6999999999998</v>
      </c>
      <c r="BF8" s="73">
        <v>813.45</v>
      </c>
      <c r="BG8" s="73">
        <v>575.21500000000003</v>
      </c>
      <c r="BH8" s="75">
        <v>0</v>
      </c>
      <c r="BI8" s="98">
        <v>36965.055999999997</v>
      </c>
      <c r="BJ8" s="99">
        <v>23394.294999999998</v>
      </c>
      <c r="BK8" s="100" t="s">
        <v>226</v>
      </c>
      <c r="BL8" s="100">
        <v>0.87</v>
      </c>
      <c r="BM8" s="62"/>
      <c r="BN8" s="80" t="s">
        <v>228</v>
      </c>
      <c r="BO8" s="81">
        <v>42773</v>
      </c>
      <c r="BP8" s="82">
        <v>1</v>
      </c>
      <c r="BQ8" s="82">
        <v>3</v>
      </c>
      <c r="BR8" s="82">
        <v>3</v>
      </c>
      <c r="BS8" s="80">
        <v>329604</v>
      </c>
      <c r="BT8" s="83">
        <v>0.33333333333333331</v>
      </c>
      <c r="BU8" s="61"/>
      <c r="BV8" s="84">
        <v>1.4950000000000001</v>
      </c>
      <c r="BW8" s="84">
        <v>1.702</v>
      </c>
      <c r="BX8" s="84">
        <v>1.81</v>
      </c>
      <c r="BY8" s="84">
        <v>1.2809999999999999</v>
      </c>
      <c r="BZ8" s="62"/>
      <c r="CA8" s="85"/>
      <c r="CB8" s="85"/>
      <c r="CC8" s="85"/>
      <c r="CD8" s="85"/>
      <c r="CE8" s="62"/>
      <c r="CF8" s="86">
        <v>1.58</v>
      </c>
      <c r="CG8" s="87">
        <v>1</v>
      </c>
      <c r="CH8" s="87">
        <v>2.5</v>
      </c>
      <c r="CI8" s="87">
        <v>0</v>
      </c>
      <c r="CJ8" s="87">
        <v>0.5</v>
      </c>
    </row>
    <row r="9" spans="1:88" x14ac:dyDescent="0.35">
      <c r="A9" s="88" t="s">
        <v>225</v>
      </c>
      <c r="B9" s="89">
        <v>8</v>
      </c>
      <c r="C9" s="90" t="s">
        <v>20</v>
      </c>
      <c r="D9" s="90" t="s">
        <v>21</v>
      </c>
      <c r="E9" s="91">
        <v>42226</v>
      </c>
      <c r="F9" s="91" t="s">
        <v>226</v>
      </c>
      <c r="G9" s="91" t="s">
        <v>226</v>
      </c>
      <c r="H9" s="92" t="s">
        <v>166</v>
      </c>
      <c r="I9" s="93" t="s">
        <v>149</v>
      </c>
      <c r="J9" s="94">
        <v>0</v>
      </c>
      <c r="K9" s="94">
        <v>0</v>
      </c>
      <c r="L9" s="95">
        <v>0</v>
      </c>
      <c r="M9" s="96">
        <v>0.4</v>
      </c>
      <c r="N9" s="72">
        <v>168610.04499999998</v>
      </c>
      <c r="O9" s="73">
        <v>0</v>
      </c>
      <c r="P9" s="73">
        <v>0</v>
      </c>
      <c r="Q9" s="74">
        <v>0</v>
      </c>
      <c r="R9" s="72">
        <v>158905.20000000001</v>
      </c>
      <c r="S9" s="73">
        <v>0</v>
      </c>
      <c r="T9" s="73">
        <v>0</v>
      </c>
      <c r="U9" s="75">
        <v>0</v>
      </c>
      <c r="V9" s="93" t="s">
        <v>150</v>
      </c>
      <c r="W9" s="94">
        <v>0</v>
      </c>
      <c r="X9" s="94">
        <v>0</v>
      </c>
      <c r="Y9" s="95">
        <v>0</v>
      </c>
      <c r="Z9" s="96">
        <v>0.35</v>
      </c>
      <c r="AA9" s="72">
        <v>78734.5</v>
      </c>
      <c r="AB9" s="73">
        <v>0</v>
      </c>
      <c r="AC9" s="73">
        <v>0</v>
      </c>
      <c r="AD9" s="74">
        <v>0</v>
      </c>
      <c r="AE9" s="72">
        <v>92581</v>
      </c>
      <c r="AF9" s="73">
        <v>0</v>
      </c>
      <c r="AG9" s="73">
        <v>0</v>
      </c>
      <c r="AH9" s="75">
        <v>0</v>
      </c>
      <c r="AI9" s="93" t="s">
        <v>153</v>
      </c>
      <c r="AJ9" s="94" t="s">
        <v>154</v>
      </c>
      <c r="AK9" s="94">
        <v>0</v>
      </c>
      <c r="AL9" s="95">
        <v>0</v>
      </c>
      <c r="AM9" s="96">
        <v>0.25</v>
      </c>
      <c r="AN9" s="72">
        <v>12972</v>
      </c>
      <c r="AO9" s="73">
        <v>25797.599999999999</v>
      </c>
      <c r="AP9" s="73">
        <v>0</v>
      </c>
      <c r="AQ9" s="74">
        <v>0</v>
      </c>
      <c r="AR9" s="72">
        <v>15708</v>
      </c>
      <c r="AS9" s="73">
        <v>26736</v>
      </c>
      <c r="AT9" s="73">
        <v>0</v>
      </c>
      <c r="AU9" s="75">
        <v>0</v>
      </c>
      <c r="AV9" s="93">
        <v>0</v>
      </c>
      <c r="AW9" s="94">
        <v>0</v>
      </c>
      <c r="AX9" s="94">
        <v>0</v>
      </c>
      <c r="AY9" s="95">
        <v>0</v>
      </c>
      <c r="AZ9" s="97">
        <v>0</v>
      </c>
      <c r="BA9" s="72">
        <v>0</v>
      </c>
      <c r="BB9" s="73">
        <v>0</v>
      </c>
      <c r="BC9" s="73">
        <v>0</v>
      </c>
      <c r="BD9" s="74">
        <v>0</v>
      </c>
      <c r="BE9" s="72">
        <v>0</v>
      </c>
      <c r="BF9" s="73">
        <v>0</v>
      </c>
      <c r="BG9" s="73">
        <v>0</v>
      </c>
      <c r="BH9" s="75">
        <v>0</v>
      </c>
      <c r="BI9" s="98">
        <v>286114.14499999996</v>
      </c>
      <c r="BJ9" s="99">
        <v>293930.2</v>
      </c>
      <c r="BK9" s="100" t="s">
        <v>226</v>
      </c>
      <c r="BL9" s="100">
        <v>0.91</v>
      </c>
      <c r="BM9" s="62"/>
      <c r="BN9" s="80" t="s">
        <v>227</v>
      </c>
      <c r="BO9" s="81">
        <v>42318</v>
      </c>
      <c r="BP9" s="82">
        <v>3</v>
      </c>
      <c r="BQ9" s="82">
        <v>1</v>
      </c>
      <c r="BR9" s="82">
        <v>3</v>
      </c>
      <c r="BS9" s="80">
        <v>329604</v>
      </c>
      <c r="BT9" s="83">
        <v>1</v>
      </c>
      <c r="BU9" s="61"/>
      <c r="BV9" s="84">
        <v>1.0609999999999999</v>
      </c>
      <c r="BW9" s="84">
        <v>0.85</v>
      </c>
      <c r="BX9" s="84">
        <v>0.91300000000000003</v>
      </c>
      <c r="BY9" s="84">
        <v>0</v>
      </c>
      <c r="BZ9" s="62"/>
      <c r="CA9" s="85"/>
      <c r="CB9" s="85"/>
      <c r="CC9" s="85"/>
      <c r="CD9" s="85"/>
      <c r="CE9" s="62"/>
      <c r="CF9" s="86">
        <v>0.97</v>
      </c>
      <c r="CG9" s="87">
        <v>1</v>
      </c>
      <c r="CH9" s="87">
        <v>0.85</v>
      </c>
      <c r="CI9" s="87">
        <v>0</v>
      </c>
      <c r="CJ9" s="87">
        <v>0.5</v>
      </c>
    </row>
    <row r="10" spans="1:88" x14ac:dyDescent="0.35">
      <c r="A10" s="88" t="s">
        <v>225</v>
      </c>
      <c r="B10" s="89">
        <v>9</v>
      </c>
      <c r="C10" s="90" t="s">
        <v>22</v>
      </c>
      <c r="D10" s="90" t="s">
        <v>12</v>
      </c>
      <c r="E10" s="91">
        <v>42051</v>
      </c>
      <c r="F10" s="91" t="s">
        <v>226</v>
      </c>
      <c r="G10" s="91" t="s">
        <v>226</v>
      </c>
      <c r="H10" s="92" t="s">
        <v>163</v>
      </c>
      <c r="I10" s="93" t="s">
        <v>149</v>
      </c>
      <c r="J10" s="94" t="s">
        <v>150</v>
      </c>
      <c r="K10" s="94">
        <v>0</v>
      </c>
      <c r="L10" s="95">
        <v>0</v>
      </c>
      <c r="M10" s="96">
        <v>0.1</v>
      </c>
      <c r="N10" s="72">
        <v>21136.1535</v>
      </c>
      <c r="O10" s="73">
        <v>9970.4000000000015</v>
      </c>
      <c r="P10" s="73">
        <v>0</v>
      </c>
      <c r="Q10" s="74">
        <v>0</v>
      </c>
      <c r="R10" s="72">
        <v>17026.947</v>
      </c>
      <c r="S10" s="73">
        <v>9257.625</v>
      </c>
      <c r="T10" s="73">
        <v>0</v>
      </c>
      <c r="U10" s="75">
        <v>0</v>
      </c>
      <c r="V10" s="93" t="s">
        <v>159</v>
      </c>
      <c r="W10" s="94" t="s">
        <v>160</v>
      </c>
      <c r="X10" s="94" t="s">
        <v>161</v>
      </c>
      <c r="Y10" s="95">
        <v>0</v>
      </c>
      <c r="Z10" s="96">
        <v>0.3</v>
      </c>
      <c r="AA10" s="72">
        <v>282509.5</v>
      </c>
      <c r="AB10" s="73">
        <v>9728.5499999999993</v>
      </c>
      <c r="AC10" s="73">
        <v>4712</v>
      </c>
      <c r="AD10" s="74">
        <v>0</v>
      </c>
      <c r="AE10" s="72">
        <v>148192.5</v>
      </c>
      <c r="AF10" s="73">
        <v>9678.66</v>
      </c>
      <c r="AG10" s="73">
        <v>9951</v>
      </c>
      <c r="AH10" s="75">
        <v>0</v>
      </c>
      <c r="AI10" s="93" t="s">
        <v>151</v>
      </c>
      <c r="AJ10" s="94">
        <v>0</v>
      </c>
      <c r="AK10" s="94">
        <v>0</v>
      </c>
      <c r="AL10" s="95">
        <v>0</v>
      </c>
      <c r="AM10" s="96">
        <v>0.3</v>
      </c>
      <c r="AN10" s="72">
        <v>376824.24</v>
      </c>
      <c r="AO10" s="73">
        <v>0</v>
      </c>
      <c r="AP10" s="73">
        <v>0</v>
      </c>
      <c r="AQ10" s="74">
        <v>0</v>
      </c>
      <c r="AR10" s="72">
        <v>261353.30000000002</v>
      </c>
      <c r="AS10" s="73">
        <v>0</v>
      </c>
      <c r="AT10" s="73">
        <v>0</v>
      </c>
      <c r="AU10" s="75">
        <v>0</v>
      </c>
      <c r="AV10" s="93" t="s">
        <v>162</v>
      </c>
      <c r="AW10" s="94">
        <v>0</v>
      </c>
      <c r="AX10" s="94">
        <v>0</v>
      </c>
      <c r="AY10" s="95">
        <v>0</v>
      </c>
      <c r="AZ10" s="97">
        <v>0.3000000000000001</v>
      </c>
      <c r="BA10" s="72">
        <v>90583.560000000012</v>
      </c>
      <c r="BB10" s="73">
        <v>0</v>
      </c>
      <c r="BC10" s="73">
        <v>0</v>
      </c>
      <c r="BD10" s="74">
        <v>0</v>
      </c>
      <c r="BE10" s="72">
        <v>73247.38</v>
      </c>
      <c r="BF10" s="73">
        <v>0</v>
      </c>
      <c r="BG10" s="73">
        <v>0</v>
      </c>
      <c r="BH10" s="75">
        <v>0</v>
      </c>
      <c r="BI10" s="98">
        <v>795464.40350000001</v>
      </c>
      <c r="BJ10" s="99">
        <v>528707.41200000001</v>
      </c>
      <c r="BK10" s="100" t="s">
        <v>226</v>
      </c>
      <c r="BL10" s="100">
        <v>0.94</v>
      </c>
      <c r="BM10" s="62"/>
      <c r="BN10" s="80" t="s">
        <v>227</v>
      </c>
      <c r="BO10" s="81">
        <v>42140</v>
      </c>
      <c r="BP10" s="82">
        <v>3</v>
      </c>
      <c r="BQ10" s="82">
        <v>1</v>
      </c>
      <c r="BR10" s="82">
        <v>3</v>
      </c>
      <c r="BS10" s="80">
        <v>329604</v>
      </c>
      <c r="BT10" s="83">
        <v>1</v>
      </c>
      <c r="BU10" s="61"/>
      <c r="BV10" s="84">
        <v>1.1830000000000001</v>
      </c>
      <c r="BW10" s="84">
        <v>1.7689999999999999</v>
      </c>
      <c r="BX10" s="84">
        <v>1.4419999999999999</v>
      </c>
      <c r="BY10" s="84">
        <v>1.2370000000000001</v>
      </c>
      <c r="BZ10" s="62"/>
      <c r="CA10" s="85"/>
      <c r="CB10" s="85"/>
      <c r="CC10" s="85"/>
      <c r="CD10" s="85"/>
      <c r="CE10" s="62"/>
      <c r="CF10" s="86">
        <v>1.5</v>
      </c>
      <c r="CG10" s="87">
        <v>1</v>
      </c>
      <c r="CH10" s="87">
        <v>2.5</v>
      </c>
      <c r="CI10" s="87">
        <v>0</v>
      </c>
      <c r="CJ10" s="87">
        <v>0.5</v>
      </c>
    </row>
    <row r="11" spans="1:88" x14ac:dyDescent="0.35">
      <c r="A11" s="88" t="s">
        <v>225</v>
      </c>
      <c r="B11" s="89">
        <v>10</v>
      </c>
      <c r="C11" s="90" t="s">
        <v>23</v>
      </c>
      <c r="D11" s="90" t="s">
        <v>12</v>
      </c>
      <c r="E11" s="91">
        <v>41345</v>
      </c>
      <c r="F11" s="91" t="s">
        <v>226</v>
      </c>
      <c r="G11" s="91" t="s">
        <v>226</v>
      </c>
      <c r="H11" s="67" t="s">
        <v>156</v>
      </c>
      <c r="I11" s="93" t="s">
        <v>157</v>
      </c>
      <c r="J11" s="94" t="s">
        <v>158</v>
      </c>
      <c r="K11" s="94">
        <v>0</v>
      </c>
      <c r="L11" s="95">
        <v>0</v>
      </c>
      <c r="M11" s="96">
        <v>0.3</v>
      </c>
      <c r="N11" s="72">
        <v>25650</v>
      </c>
      <c r="O11" s="73">
        <v>11913.199999999999</v>
      </c>
      <c r="P11" s="73">
        <v>0</v>
      </c>
      <c r="Q11" s="74">
        <v>0</v>
      </c>
      <c r="R11" s="72">
        <v>43200</v>
      </c>
      <c r="S11" s="73">
        <v>9001.6</v>
      </c>
      <c r="T11" s="73">
        <v>0</v>
      </c>
      <c r="U11" s="75">
        <v>0</v>
      </c>
      <c r="V11" s="93" t="s">
        <v>159</v>
      </c>
      <c r="W11" s="94" t="s">
        <v>160</v>
      </c>
      <c r="X11" s="94" t="s">
        <v>161</v>
      </c>
      <c r="Y11" s="95">
        <v>0</v>
      </c>
      <c r="Z11" s="96">
        <v>0.25</v>
      </c>
      <c r="AA11" s="72">
        <v>71780</v>
      </c>
      <c r="AB11" s="73">
        <v>1164.0999999999999</v>
      </c>
      <c r="AC11" s="73">
        <v>186</v>
      </c>
      <c r="AD11" s="74">
        <v>0</v>
      </c>
      <c r="AE11" s="72">
        <v>58160</v>
      </c>
      <c r="AF11" s="73">
        <v>1097.58</v>
      </c>
      <c r="AG11" s="73">
        <v>1178</v>
      </c>
      <c r="AH11" s="75">
        <v>0</v>
      </c>
      <c r="AI11" s="93" t="s">
        <v>151</v>
      </c>
      <c r="AJ11" s="94">
        <v>0</v>
      </c>
      <c r="AK11" s="94">
        <v>0</v>
      </c>
      <c r="AL11" s="95">
        <v>0</v>
      </c>
      <c r="AM11" s="96">
        <v>0.25</v>
      </c>
      <c r="AN11" s="72">
        <v>21215.35</v>
      </c>
      <c r="AO11" s="73">
        <v>0</v>
      </c>
      <c r="AP11" s="73">
        <v>0</v>
      </c>
      <c r="AQ11" s="74">
        <v>0</v>
      </c>
      <c r="AR11" s="72">
        <v>17054.830000000002</v>
      </c>
      <c r="AS11" s="73">
        <v>0</v>
      </c>
      <c r="AT11" s="73">
        <v>0</v>
      </c>
      <c r="AU11" s="75">
        <v>0</v>
      </c>
      <c r="AV11" s="93" t="s">
        <v>162</v>
      </c>
      <c r="AW11" s="94" t="s">
        <v>150</v>
      </c>
      <c r="AX11" s="94" t="s">
        <v>149</v>
      </c>
      <c r="AY11" s="95">
        <v>0</v>
      </c>
      <c r="AZ11" s="97">
        <v>0.19999999999999996</v>
      </c>
      <c r="BA11" s="72">
        <v>12095.759999999998</v>
      </c>
      <c r="BB11" s="73">
        <v>3936.4</v>
      </c>
      <c r="BC11" s="73">
        <v>2564.3080000000004</v>
      </c>
      <c r="BD11" s="74">
        <v>0</v>
      </c>
      <c r="BE11" s="72">
        <v>12839.720000000001</v>
      </c>
      <c r="BF11" s="73">
        <v>3138.25</v>
      </c>
      <c r="BG11" s="73">
        <v>1991.902</v>
      </c>
      <c r="BH11" s="75">
        <v>0</v>
      </c>
      <c r="BI11" s="98">
        <v>150505.11799999999</v>
      </c>
      <c r="BJ11" s="99">
        <v>147661.88199999998</v>
      </c>
      <c r="BK11" s="100" t="s">
        <v>226</v>
      </c>
      <c r="BL11" s="100">
        <v>0.92</v>
      </c>
      <c r="BM11" s="62"/>
      <c r="BN11" s="80" t="s">
        <v>227</v>
      </c>
      <c r="BO11" s="81">
        <v>41437</v>
      </c>
      <c r="BP11" s="82">
        <v>3</v>
      </c>
      <c r="BQ11" s="82">
        <v>1</v>
      </c>
      <c r="BR11" s="82">
        <v>3</v>
      </c>
      <c r="BS11" s="80">
        <v>329604</v>
      </c>
      <c r="BT11" s="83">
        <v>1</v>
      </c>
      <c r="BU11" s="61"/>
      <c r="BV11" s="84">
        <v>0.72</v>
      </c>
      <c r="BW11" s="84">
        <v>1.21</v>
      </c>
      <c r="BX11" s="84">
        <v>1.244</v>
      </c>
      <c r="BY11" s="84">
        <v>1.0349999999999999</v>
      </c>
      <c r="BZ11" s="62"/>
      <c r="CA11" s="85"/>
      <c r="CB11" s="85"/>
      <c r="CC11" s="85"/>
      <c r="CD11" s="85"/>
      <c r="CE11" s="62"/>
      <c r="CF11" s="86">
        <v>1.02</v>
      </c>
      <c r="CG11" s="87">
        <v>1</v>
      </c>
      <c r="CH11" s="87">
        <v>1.2</v>
      </c>
      <c r="CI11" s="87">
        <v>0</v>
      </c>
      <c r="CJ11" s="87">
        <v>0.5</v>
      </c>
    </row>
    <row r="12" spans="1:88" x14ac:dyDescent="0.35">
      <c r="A12" s="88" t="s">
        <v>225</v>
      </c>
      <c r="B12" s="89">
        <v>11</v>
      </c>
      <c r="C12" s="90" t="s">
        <v>24</v>
      </c>
      <c r="D12" s="90" t="s">
        <v>12</v>
      </c>
      <c r="E12" s="91">
        <v>41897</v>
      </c>
      <c r="F12" s="91" t="s">
        <v>226</v>
      </c>
      <c r="G12" s="91" t="s">
        <v>226</v>
      </c>
      <c r="H12" s="92" t="s">
        <v>163</v>
      </c>
      <c r="I12" s="93" t="s">
        <v>149</v>
      </c>
      <c r="J12" s="94" t="s">
        <v>150</v>
      </c>
      <c r="K12" s="94">
        <v>0</v>
      </c>
      <c r="L12" s="95">
        <v>0</v>
      </c>
      <c r="M12" s="96">
        <v>0.1</v>
      </c>
      <c r="N12" s="72">
        <v>15049.333000000002</v>
      </c>
      <c r="O12" s="73">
        <v>7744.3250000000007</v>
      </c>
      <c r="P12" s="73">
        <v>0</v>
      </c>
      <c r="Q12" s="74">
        <v>0</v>
      </c>
      <c r="R12" s="72">
        <v>12113.050000000001</v>
      </c>
      <c r="S12" s="73">
        <v>7000.9000000000005</v>
      </c>
      <c r="T12" s="73">
        <v>0</v>
      </c>
      <c r="U12" s="75">
        <v>0</v>
      </c>
      <c r="V12" s="93" t="s">
        <v>159</v>
      </c>
      <c r="W12" s="94" t="s">
        <v>160</v>
      </c>
      <c r="X12" s="94" t="s">
        <v>161</v>
      </c>
      <c r="Y12" s="95">
        <v>0</v>
      </c>
      <c r="Z12" s="96">
        <v>0.3</v>
      </c>
      <c r="AA12" s="72">
        <v>174153.5</v>
      </c>
      <c r="AB12" s="73">
        <v>15831.759999999998</v>
      </c>
      <c r="AC12" s="73">
        <v>3813</v>
      </c>
      <c r="AD12" s="74">
        <v>0</v>
      </c>
      <c r="AE12" s="72">
        <v>166047</v>
      </c>
      <c r="AF12" s="73">
        <v>8980.1999999999989</v>
      </c>
      <c r="AG12" s="73">
        <v>6293</v>
      </c>
      <c r="AH12" s="75">
        <v>0</v>
      </c>
      <c r="AI12" s="93" t="s">
        <v>151</v>
      </c>
      <c r="AJ12" s="94">
        <v>0</v>
      </c>
      <c r="AK12" s="94">
        <v>0</v>
      </c>
      <c r="AL12" s="95">
        <v>0</v>
      </c>
      <c r="AM12" s="96">
        <v>0.3</v>
      </c>
      <c r="AN12" s="72">
        <v>155755.34000000003</v>
      </c>
      <c r="AO12" s="73">
        <v>0</v>
      </c>
      <c r="AP12" s="73">
        <v>0</v>
      </c>
      <c r="AQ12" s="74">
        <v>0</v>
      </c>
      <c r="AR12" s="72">
        <v>128976.12000000001</v>
      </c>
      <c r="AS12" s="73">
        <v>0</v>
      </c>
      <c r="AT12" s="73">
        <v>0</v>
      </c>
      <c r="AU12" s="75">
        <v>0</v>
      </c>
      <c r="AV12" s="93" t="s">
        <v>162</v>
      </c>
      <c r="AW12" s="94">
        <v>0</v>
      </c>
      <c r="AX12" s="94">
        <v>0</v>
      </c>
      <c r="AY12" s="95">
        <v>0</v>
      </c>
      <c r="AZ12" s="97">
        <v>0.3000000000000001</v>
      </c>
      <c r="BA12" s="72">
        <v>33868.94</v>
      </c>
      <c r="BB12" s="73">
        <v>0</v>
      </c>
      <c r="BC12" s="73">
        <v>0</v>
      </c>
      <c r="BD12" s="74">
        <v>0</v>
      </c>
      <c r="BE12" s="72">
        <v>30353.98</v>
      </c>
      <c r="BF12" s="73">
        <v>0</v>
      </c>
      <c r="BG12" s="73">
        <v>0</v>
      </c>
      <c r="BH12" s="75">
        <v>0</v>
      </c>
      <c r="BI12" s="98">
        <v>406216.19800000003</v>
      </c>
      <c r="BJ12" s="99">
        <v>359764.25</v>
      </c>
      <c r="BK12" s="100" t="s">
        <v>226</v>
      </c>
      <c r="BL12" s="100">
        <v>0.96</v>
      </c>
      <c r="BM12" s="62"/>
      <c r="BN12" s="80" t="s">
        <v>227</v>
      </c>
      <c r="BO12" s="81">
        <v>41988</v>
      </c>
      <c r="BP12" s="82">
        <v>3</v>
      </c>
      <c r="BQ12" s="82">
        <v>1</v>
      </c>
      <c r="BR12" s="82">
        <v>3</v>
      </c>
      <c r="BS12" s="80">
        <v>329604</v>
      </c>
      <c r="BT12" s="83">
        <v>1</v>
      </c>
      <c r="BU12" s="61"/>
      <c r="BV12" s="84">
        <v>1.1930000000000001</v>
      </c>
      <c r="BW12" s="84">
        <v>1.069</v>
      </c>
      <c r="BX12" s="84">
        <v>1.208</v>
      </c>
      <c r="BY12" s="84">
        <v>1.1160000000000001</v>
      </c>
      <c r="BZ12" s="62"/>
      <c r="CA12" s="85"/>
      <c r="CB12" s="85"/>
      <c r="CC12" s="85"/>
      <c r="CD12" s="85"/>
      <c r="CE12" s="62"/>
      <c r="CF12" s="86">
        <v>1.1299999999999999</v>
      </c>
      <c r="CG12" s="87">
        <v>1</v>
      </c>
      <c r="CH12" s="87">
        <v>2.15</v>
      </c>
      <c r="CI12" s="87">
        <v>0</v>
      </c>
      <c r="CJ12" s="87">
        <v>1</v>
      </c>
    </row>
    <row r="13" spans="1:88" x14ac:dyDescent="0.35">
      <c r="A13" s="88" t="s">
        <v>225</v>
      </c>
      <c r="B13" s="89">
        <v>12</v>
      </c>
      <c r="C13" s="90" t="s">
        <v>25</v>
      </c>
      <c r="D13" s="90" t="s">
        <v>12</v>
      </c>
      <c r="E13" s="91">
        <v>42675</v>
      </c>
      <c r="F13" s="91" t="s">
        <v>226</v>
      </c>
      <c r="G13" s="91" t="s">
        <v>226</v>
      </c>
      <c r="H13" s="67" t="s">
        <v>156</v>
      </c>
      <c r="I13" s="93" t="s">
        <v>157</v>
      </c>
      <c r="J13" s="94" t="s">
        <v>158</v>
      </c>
      <c r="K13" s="94">
        <v>0</v>
      </c>
      <c r="L13" s="95">
        <v>0</v>
      </c>
      <c r="M13" s="96">
        <v>0.3</v>
      </c>
      <c r="N13" s="72">
        <v>14175</v>
      </c>
      <c r="O13" s="73">
        <v>4176</v>
      </c>
      <c r="P13" s="73">
        <v>0</v>
      </c>
      <c r="Q13" s="74">
        <v>0</v>
      </c>
      <c r="R13" s="72">
        <v>17712</v>
      </c>
      <c r="S13" s="73">
        <v>5057.6000000000004</v>
      </c>
      <c r="T13" s="73">
        <v>0</v>
      </c>
      <c r="U13" s="75">
        <v>0</v>
      </c>
      <c r="V13" s="93" t="s">
        <v>159</v>
      </c>
      <c r="W13" s="94" t="s">
        <v>160</v>
      </c>
      <c r="X13" s="94" t="s">
        <v>161</v>
      </c>
      <c r="Y13" s="95">
        <v>0</v>
      </c>
      <c r="Z13" s="96">
        <v>0.25</v>
      </c>
      <c r="AA13" s="72">
        <v>41958</v>
      </c>
      <c r="AB13" s="73">
        <v>731.71999999999991</v>
      </c>
      <c r="AC13" s="73">
        <v>124</v>
      </c>
      <c r="AD13" s="74">
        <v>0</v>
      </c>
      <c r="AE13" s="72">
        <v>32746.5</v>
      </c>
      <c r="AF13" s="73">
        <v>1380.29</v>
      </c>
      <c r="AG13" s="73">
        <v>310</v>
      </c>
      <c r="AH13" s="75">
        <v>0</v>
      </c>
      <c r="AI13" s="93" t="s">
        <v>151</v>
      </c>
      <c r="AJ13" s="94">
        <v>0</v>
      </c>
      <c r="AK13" s="94">
        <v>0</v>
      </c>
      <c r="AL13" s="95">
        <v>0</v>
      </c>
      <c r="AM13" s="96">
        <v>0.25</v>
      </c>
      <c r="AN13" s="72">
        <v>6158.2300000000005</v>
      </c>
      <c r="AO13" s="73">
        <v>0</v>
      </c>
      <c r="AP13" s="73">
        <v>0</v>
      </c>
      <c r="AQ13" s="74">
        <v>0</v>
      </c>
      <c r="AR13" s="72">
        <v>8684.26</v>
      </c>
      <c r="AS13" s="73">
        <v>0</v>
      </c>
      <c r="AT13" s="73">
        <v>0</v>
      </c>
      <c r="AU13" s="75">
        <v>0</v>
      </c>
      <c r="AV13" s="93" t="s">
        <v>162</v>
      </c>
      <c r="AW13" s="94" t="s">
        <v>150</v>
      </c>
      <c r="AX13" s="94" t="s">
        <v>149</v>
      </c>
      <c r="AY13" s="95">
        <v>0</v>
      </c>
      <c r="AZ13" s="97">
        <v>0.19999999999999996</v>
      </c>
      <c r="BA13" s="72">
        <v>7198.8200000000006</v>
      </c>
      <c r="BB13" s="73">
        <v>1559.8500000000001</v>
      </c>
      <c r="BC13" s="73">
        <v>1503.1655000000001</v>
      </c>
      <c r="BD13" s="74">
        <v>0</v>
      </c>
      <c r="BE13" s="72">
        <v>5584.6200000000008</v>
      </c>
      <c r="BF13" s="73">
        <v>1936.3000000000002</v>
      </c>
      <c r="BG13" s="73">
        <v>1207.2939999999999</v>
      </c>
      <c r="BH13" s="75">
        <v>0</v>
      </c>
      <c r="BI13" s="98">
        <v>77584.785499999998</v>
      </c>
      <c r="BJ13" s="99">
        <v>74618.864000000001</v>
      </c>
      <c r="BK13" s="100" t="s">
        <v>226</v>
      </c>
      <c r="BL13" s="100">
        <v>0.95</v>
      </c>
      <c r="BM13" s="62"/>
      <c r="BN13" s="80" t="s">
        <v>228</v>
      </c>
      <c r="BO13" s="81">
        <v>42767</v>
      </c>
      <c r="BP13" s="82">
        <v>2</v>
      </c>
      <c r="BQ13" s="82">
        <v>2</v>
      </c>
      <c r="BR13" s="82">
        <v>3</v>
      </c>
      <c r="BS13" s="80">
        <v>329604</v>
      </c>
      <c r="BT13" s="83">
        <v>0.66666666666666663</v>
      </c>
      <c r="BU13" s="61"/>
      <c r="BV13" s="84">
        <v>0.80600000000000005</v>
      </c>
      <c r="BW13" s="84">
        <v>1.2430000000000001</v>
      </c>
      <c r="BX13" s="84">
        <v>0.70899999999999996</v>
      </c>
      <c r="BY13" s="84">
        <v>1.1759999999999999</v>
      </c>
      <c r="BZ13" s="62"/>
      <c r="CA13" s="85"/>
      <c r="CB13" s="85"/>
      <c r="CC13" s="85"/>
      <c r="CD13" s="85"/>
      <c r="CE13" s="62"/>
      <c r="CF13" s="86">
        <v>1.04</v>
      </c>
      <c r="CG13" s="87">
        <v>1</v>
      </c>
      <c r="CH13" s="87">
        <v>1.4</v>
      </c>
      <c r="CI13" s="87">
        <v>0</v>
      </c>
      <c r="CJ13" s="87">
        <v>1</v>
      </c>
    </row>
    <row r="14" spans="1:88" x14ac:dyDescent="0.35">
      <c r="A14" s="88" t="s">
        <v>225</v>
      </c>
      <c r="B14" s="89">
        <v>13</v>
      </c>
      <c r="C14" s="90" t="s">
        <v>26</v>
      </c>
      <c r="D14" s="90" t="s">
        <v>12</v>
      </c>
      <c r="E14" s="91">
        <v>40683</v>
      </c>
      <c r="F14" s="91" t="s">
        <v>226</v>
      </c>
      <c r="G14" s="91" t="s">
        <v>226</v>
      </c>
      <c r="H14" s="92" t="s">
        <v>164</v>
      </c>
      <c r="I14" s="93" t="s">
        <v>157</v>
      </c>
      <c r="J14" s="94">
        <v>0</v>
      </c>
      <c r="K14" s="94">
        <v>0</v>
      </c>
      <c r="L14" s="95">
        <v>0</v>
      </c>
      <c r="M14" s="96">
        <v>0.45</v>
      </c>
      <c r="N14" s="72">
        <v>216202.5</v>
      </c>
      <c r="O14" s="73">
        <v>0</v>
      </c>
      <c r="P14" s="73">
        <v>0</v>
      </c>
      <c r="Q14" s="74">
        <v>0</v>
      </c>
      <c r="R14" s="72">
        <v>240300</v>
      </c>
      <c r="S14" s="73">
        <v>0</v>
      </c>
      <c r="T14" s="73">
        <v>0</v>
      </c>
      <c r="U14" s="75">
        <v>0</v>
      </c>
      <c r="V14" s="93" t="s">
        <v>158</v>
      </c>
      <c r="W14" s="94">
        <v>0</v>
      </c>
      <c r="X14" s="94">
        <v>0</v>
      </c>
      <c r="Y14" s="95">
        <v>0</v>
      </c>
      <c r="Z14" s="96">
        <v>0.25</v>
      </c>
      <c r="AA14" s="72">
        <v>116371.20000000001</v>
      </c>
      <c r="AB14" s="73">
        <v>0</v>
      </c>
      <c r="AC14" s="73">
        <v>0</v>
      </c>
      <c r="AD14" s="74">
        <v>0</v>
      </c>
      <c r="AE14" s="72">
        <v>120245.6</v>
      </c>
      <c r="AF14" s="73">
        <v>0</v>
      </c>
      <c r="AG14" s="73">
        <v>0</v>
      </c>
      <c r="AH14" s="75">
        <v>0</v>
      </c>
      <c r="AI14" s="93" t="s">
        <v>150</v>
      </c>
      <c r="AJ14" s="94" t="s">
        <v>165</v>
      </c>
      <c r="AK14" s="94">
        <v>0</v>
      </c>
      <c r="AL14" s="95">
        <v>0</v>
      </c>
      <c r="AM14" s="96">
        <v>0.25</v>
      </c>
      <c r="AN14" s="72">
        <v>19940.800000000003</v>
      </c>
      <c r="AO14" s="73">
        <v>399.96</v>
      </c>
      <c r="AP14" s="73">
        <v>0</v>
      </c>
      <c r="AQ14" s="74">
        <v>0</v>
      </c>
      <c r="AR14" s="72">
        <v>18515.25</v>
      </c>
      <c r="AS14" s="73">
        <v>4399.5599999999995</v>
      </c>
      <c r="AT14" s="73">
        <v>0</v>
      </c>
      <c r="AU14" s="75">
        <v>0</v>
      </c>
      <c r="AV14" s="93" t="s">
        <v>149</v>
      </c>
      <c r="AW14" s="94">
        <v>0</v>
      </c>
      <c r="AX14" s="94">
        <v>0</v>
      </c>
      <c r="AY14" s="95">
        <v>0</v>
      </c>
      <c r="AZ14" s="97">
        <v>5.0000000000000044E-2</v>
      </c>
      <c r="BA14" s="72">
        <v>21136.1535</v>
      </c>
      <c r="BB14" s="73">
        <v>0</v>
      </c>
      <c r="BC14" s="73">
        <v>0</v>
      </c>
      <c r="BD14" s="74">
        <v>0</v>
      </c>
      <c r="BE14" s="72">
        <v>17026.947</v>
      </c>
      <c r="BF14" s="73">
        <v>0</v>
      </c>
      <c r="BG14" s="73">
        <v>0</v>
      </c>
      <c r="BH14" s="75">
        <v>0</v>
      </c>
      <c r="BI14" s="98">
        <v>374050.61350000004</v>
      </c>
      <c r="BJ14" s="99">
        <v>400487.35699999996</v>
      </c>
      <c r="BK14" s="100" t="s">
        <v>226</v>
      </c>
      <c r="BL14" s="100">
        <v>0.97</v>
      </c>
      <c r="BM14" s="62"/>
      <c r="BN14" s="80" t="s">
        <v>227</v>
      </c>
      <c r="BO14" s="81">
        <v>40775</v>
      </c>
      <c r="BP14" s="82">
        <v>3</v>
      </c>
      <c r="BQ14" s="82">
        <v>1</v>
      </c>
      <c r="BR14" s="82">
        <v>3</v>
      </c>
      <c r="BS14" s="80">
        <v>329604</v>
      </c>
      <c r="BT14" s="83">
        <v>1</v>
      </c>
      <c r="BU14" s="61"/>
      <c r="BV14" s="84">
        <v>0.9</v>
      </c>
      <c r="BW14" s="84">
        <v>0.96799999999999997</v>
      </c>
      <c r="BX14" s="84">
        <v>0.88800000000000001</v>
      </c>
      <c r="BY14" s="84">
        <v>1.2410000000000001</v>
      </c>
      <c r="BZ14" s="62"/>
      <c r="CA14" s="85"/>
      <c r="CB14" s="85"/>
      <c r="CC14" s="85"/>
      <c r="CD14" s="85"/>
      <c r="CE14" s="62"/>
      <c r="CF14" s="86">
        <v>0.93</v>
      </c>
      <c r="CG14" s="87">
        <v>1</v>
      </c>
      <c r="CH14" s="87">
        <v>0.7</v>
      </c>
      <c r="CI14" s="87">
        <v>0</v>
      </c>
      <c r="CJ14" s="87">
        <v>1</v>
      </c>
    </row>
    <row r="15" spans="1:88" x14ac:dyDescent="0.35">
      <c r="A15" s="88" t="s">
        <v>225</v>
      </c>
      <c r="B15" s="89">
        <v>14</v>
      </c>
      <c r="C15" s="90" t="s">
        <v>27</v>
      </c>
      <c r="D15" s="90" t="s">
        <v>12</v>
      </c>
      <c r="E15" s="91">
        <v>40819</v>
      </c>
      <c r="F15" s="91" t="s">
        <v>226</v>
      </c>
      <c r="G15" s="91" t="s">
        <v>226</v>
      </c>
      <c r="H15" s="92" t="s">
        <v>163</v>
      </c>
      <c r="I15" s="93" t="s">
        <v>149</v>
      </c>
      <c r="J15" s="94" t="s">
        <v>150</v>
      </c>
      <c r="K15" s="94">
        <v>0</v>
      </c>
      <c r="L15" s="95">
        <v>0</v>
      </c>
      <c r="M15" s="96">
        <v>0.1</v>
      </c>
      <c r="N15" s="72">
        <v>6032</v>
      </c>
      <c r="O15" s="73">
        <v>3753</v>
      </c>
      <c r="P15" s="73">
        <v>0</v>
      </c>
      <c r="Q15" s="74">
        <v>0</v>
      </c>
      <c r="R15" s="72">
        <v>5398</v>
      </c>
      <c r="S15" s="73">
        <v>3379</v>
      </c>
      <c r="T15" s="73">
        <v>0</v>
      </c>
      <c r="U15" s="75">
        <v>0</v>
      </c>
      <c r="V15" s="93" t="s">
        <v>159</v>
      </c>
      <c r="W15" s="94" t="s">
        <v>160</v>
      </c>
      <c r="X15" s="94" t="s">
        <v>161</v>
      </c>
      <c r="Y15" s="95">
        <v>0</v>
      </c>
      <c r="Z15" s="96">
        <v>0.3</v>
      </c>
      <c r="AA15" s="72">
        <v>91483</v>
      </c>
      <c r="AB15" s="73">
        <v>1048</v>
      </c>
      <c r="AC15" s="73">
        <v>93</v>
      </c>
      <c r="AD15" s="74"/>
      <c r="AE15" s="72">
        <v>66071</v>
      </c>
      <c r="AF15" s="73">
        <v>2594</v>
      </c>
      <c r="AG15" s="73">
        <v>1922</v>
      </c>
      <c r="AH15" s="75"/>
      <c r="AI15" s="93" t="s">
        <v>151</v>
      </c>
      <c r="AJ15" s="94">
        <v>0</v>
      </c>
      <c r="AK15" s="94">
        <v>0</v>
      </c>
      <c r="AL15" s="95">
        <v>0</v>
      </c>
      <c r="AM15" s="96">
        <v>0.3</v>
      </c>
      <c r="AN15" s="72">
        <v>62989</v>
      </c>
      <c r="AO15" s="73"/>
      <c r="AP15" s="73"/>
      <c r="AQ15" s="74"/>
      <c r="AR15" s="72">
        <v>73172</v>
      </c>
      <c r="AS15" s="73"/>
      <c r="AT15" s="73"/>
      <c r="AU15" s="75"/>
      <c r="AV15" s="93" t="s">
        <v>162</v>
      </c>
      <c r="AW15" s="94">
        <v>0</v>
      </c>
      <c r="AX15" s="94">
        <v>0</v>
      </c>
      <c r="AY15" s="95">
        <v>0</v>
      </c>
      <c r="AZ15" s="97">
        <v>0.3000000000000001</v>
      </c>
      <c r="BA15" s="72">
        <v>49729</v>
      </c>
      <c r="BB15" s="73"/>
      <c r="BC15" s="73"/>
      <c r="BD15" s="74"/>
      <c r="BE15" s="72">
        <v>31797</v>
      </c>
      <c r="BF15" s="73"/>
      <c r="BG15" s="73"/>
      <c r="BH15" s="75"/>
      <c r="BI15" s="98">
        <v>215127</v>
      </c>
      <c r="BJ15" s="99">
        <v>184333</v>
      </c>
      <c r="BK15" s="100" t="s">
        <v>226</v>
      </c>
      <c r="BL15" s="100">
        <v>0.98</v>
      </c>
      <c r="BM15" s="62"/>
      <c r="BN15" s="80" t="s">
        <v>227</v>
      </c>
      <c r="BO15" s="81">
        <v>40911</v>
      </c>
      <c r="BP15" s="82">
        <v>3</v>
      </c>
      <c r="BQ15" s="82">
        <v>1</v>
      </c>
      <c r="BR15" s="82">
        <v>3</v>
      </c>
      <c r="BS15" s="80">
        <v>329604</v>
      </c>
      <c r="BT15" s="83">
        <v>1</v>
      </c>
      <c r="BU15" s="61"/>
      <c r="BV15" s="84">
        <v>1.115</v>
      </c>
      <c r="BW15" s="84">
        <v>1.3120000000000001</v>
      </c>
      <c r="BX15" s="84">
        <v>0.86099999999999999</v>
      </c>
      <c r="BY15" s="84">
        <v>1.5640000000000001</v>
      </c>
      <c r="BZ15" s="62"/>
      <c r="CA15" s="85"/>
      <c r="CB15" s="85"/>
      <c r="CC15" s="85"/>
      <c r="CD15" s="85"/>
      <c r="CE15" s="62"/>
      <c r="CF15" s="86">
        <v>1.17</v>
      </c>
      <c r="CG15" s="87">
        <v>1</v>
      </c>
      <c r="CH15" s="87">
        <v>2.35</v>
      </c>
      <c r="CI15" s="87">
        <v>0</v>
      </c>
      <c r="CJ15" s="87">
        <v>1</v>
      </c>
    </row>
    <row r="16" spans="1:88" x14ac:dyDescent="0.35">
      <c r="A16" s="88" t="s">
        <v>225</v>
      </c>
      <c r="B16" s="89">
        <v>15</v>
      </c>
      <c r="C16" s="90" t="s">
        <v>28</v>
      </c>
      <c r="D16" s="90" t="s">
        <v>12</v>
      </c>
      <c r="E16" s="91">
        <v>41414</v>
      </c>
      <c r="F16" s="91" t="s">
        <v>226</v>
      </c>
      <c r="G16" s="91" t="s">
        <v>226</v>
      </c>
      <c r="H16" s="92" t="s">
        <v>164</v>
      </c>
      <c r="I16" s="93" t="s">
        <v>157</v>
      </c>
      <c r="J16" s="94">
        <v>0</v>
      </c>
      <c r="K16" s="94">
        <v>0</v>
      </c>
      <c r="L16" s="95">
        <v>0</v>
      </c>
      <c r="M16" s="96">
        <v>0.45</v>
      </c>
      <c r="N16" s="72">
        <v>103288.5</v>
      </c>
      <c r="O16" s="73">
        <v>0</v>
      </c>
      <c r="P16" s="73">
        <v>0</v>
      </c>
      <c r="Q16" s="74">
        <v>0</v>
      </c>
      <c r="R16" s="72">
        <v>136377</v>
      </c>
      <c r="S16" s="73">
        <v>0</v>
      </c>
      <c r="T16" s="73">
        <v>0</v>
      </c>
      <c r="U16" s="75">
        <v>0</v>
      </c>
      <c r="V16" s="93" t="s">
        <v>158</v>
      </c>
      <c r="W16" s="94">
        <v>0</v>
      </c>
      <c r="X16" s="94">
        <v>0</v>
      </c>
      <c r="Y16" s="95">
        <v>0</v>
      </c>
      <c r="Z16" s="96">
        <v>0.25</v>
      </c>
      <c r="AA16" s="72">
        <v>71108</v>
      </c>
      <c r="AB16" s="73">
        <v>0</v>
      </c>
      <c r="AC16" s="73">
        <v>0</v>
      </c>
      <c r="AD16" s="74">
        <v>0</v>
      </c>
      <c r="AE16" s="72">
        <v>66433.2</v>
      </c>
      <c r="AF16" s="73">
        <v>0</v>
      </c>
      <c r="AG16" s="73">
        <v>0</v>
      </c>
      <c r="AH16" s="75">
        <v>0</v>
      </c>
      <c r="AI16" s="93" t="s">
        <v>150</v>
      </c>
      <c r="AJ16" s="94" t="s">
        <v>165</v>
      </c>
      <c r="AK16" s="94">
        <v>0</v>
      </c>
      <c r="AL16" s="95">
        <v>0</v>
      </c>
      <c r="AM16" s="96">
        <v>0.25</v>
      </c>
      <c r="AN16" s="72">
        <v>7873.4500000000007</v>
      </c>
      <c r="AO16" s="73">
        <v>333.29999999999995</v>
      </c>
      <c r="AP16" s="73">
        <v>0</v>
      </c>
      <c r="AQ16" s="74">
        <v>0</v>
      </c>
      <c r="AR16" s="72">
        <v>9258.1</v>
      </c>
      <c r="AS16" s="73">
        <v>2899.71</v>
      </c>
      <c r="AT16" s="73">
        <v>0</v>
      </c>
      <c r="AU16" s="75">
        <v>0</v>
      </c>
      <c r="AV16" s="93" t="s">
        <v>149</v>
      </c>
      <c r="AW16" s="94">
        <v>0</v>
      </c>
      <c r="AX16" s="94">
        <v>0</v>
      </c>
      <c r="AY16" s="95">
        <v>0</v>
      </c>
      <c r="AZ16" s="97">
        <v>5.0000000000000044E-2</v>
      </c>
      <c r="BA16" s="72">
        <v>8430.5022499999995</v>
      </c>
      <c r="BB16" s="73">
        <v>0</v>
      </c>
      <c r="BC16" s="73">
        <v>0</v>
      </c>
      <c r="BD16" s="74">
        <v>0</v>
      </c>
      <c r="BE16" s="72">
        <v>7945.2600000000011</v>
      </c>
      <c r="BF16" s="73">
        <v>0</v>
      </c>
      <c r="BG16" s="73">
        <v>0</v>
      </c>
      <c r="BH16" s="75">
        <v>0</v>
      </c>
      <c r="BI16" s="98">
        <v>191033.75224999999</v>
      </c>
      <c r="BJ16" s="99">
        <v>222913.27000000002</v>
      </c>
      <c r="BK16" s="100" t="s">
        <v>226</v>
      </c>
      <c r="BL16" s="100">
        <v>0.95</v>
      </c>
      <c r="BM16" s="62"/>
      <c r="BN16" s="80" t="s">
        <v>227</v>
      </c>
      <c r="BO16" s="81">
        <v>41506</v>
      </c>
      <c r="BP16" s="82">
        <v>3</v>
      </c>
      <c r="BQ16" s="82">
        <v>1</v>
      </c>
      <c r="BR16" s="82">
        <v>3</v>
      </c>
      <c r="BS16" s="80">
        <v>329604</v>
      </c>
      <c r="BT16" s="83">
        <v>1</v>
      </c>
      <c r="BU16" s="61"/>
      <c r="BV16" s="84">
        <v>0.75700000000000001</v>
      </c>
      <c r="BW16" s="84">
        <v>1.07</v>
      </c>
      <c r="BX16" s="84">
        <v>0.67500000000000004</v>
      </c>
      <c r="BY16" s="84">
        <v>1.0609999999999999</v>
      </c>
      <c r="BZ16" s="62"/>
      <c r="CA16" s="85"/>
      <c r="CB16" s="85"/>
      <c r="CC16" s="85"/>
      <c r="CD16" s="85"/>
      <c r="CE16" s="62"/>
      <c r="CF16" s="86">
        <v>0.86</v>
      </c>
      <c r="CG16" s="87">
        <v>0</v>
      </c>
      <c r="CH16" s="87">
        <v>0</v>
      </c>
      <c r="CI16" s="87">
        <v>0</v>
      </c>
      <c r="CJ16" s="87">
        <v>1</v>
      </c>
    </row>
    <row r="17" spans="1:88" x14ac:dyDescent="0.35">
      <c r="A17" s="88" t="s">
        <v>225</v>
      </c>
      <c r="B17" s="89">
        <v>16</v>
      </c>
      <c r="C17" s="90" t="s">
        <v>29</v>
      </c>
      <c r="D17" s="90" t="s">
        <v>12</v>
      </c>
      <c r="E17" s="91">
        <v>42370</v>
      </c>
      <c r="F17" s="91" t="s">
        <v>226</v>
      </c>
      <c r="G17" s="91" t="s">
        <v>226</v>
      </c>
      <c r="H17" s="92" t="s">
        <v>148</v>
      </c>
      <c r="I17" s="93" t="s">
        <v>149</v>
      </c>
      <c r="J17" s="94" t="s">
        <v>150</v>
      </c>
      <c r="K17" s="94">
        <v>0</v>
      </c>
      <c r="L17" s="95">
        <v>0</v>
      </c>
      <c r="M17" s="96">
        <v>0.5</v>
      </c>
      <c r="N17" s="72">
        <v>168610.04499999998</v>
      </c>
      <c r="O17" s="73">
        <v>78734.5</v>
      </c>
      <c r="P17" s="73">
        <v>0</v>
      </c>
      <c r="Q17" s="74">
        <v>0</v>
      </c>
      <c r="R17" s="72">
        <v>158905.20000000001</v>
      </c>
      <c r="S17" s="73">
        <v>92581</v>
      </c>
      <c r="T17" s="73">
        <v>0</v>
      </c>
      <c r="U17" s="75">
        <v>0</v>
      </c>
      <c r="V17" s="93" t="s">
        <v>151</v>
      </c>
      <c r="W17" s="94" t="s">
        <v>152</v>
      </c>
      <c r="X17" s="94">
        <v>0</v>
      </c>
      <c r="Y17" s="95">
        <v>0</v>
      </c>
      <c r="Z17" s="96">
        <v>0.25</v>
      </c>
      <c r="AA17" s="72">
        <v>98729.800000000017</v>
      </c>
      <c r="AB17" s="73">
        <v>22847.5</v>
      </c>
      <c r="AC17" s="73">
        <v>0</v>
      </c>
      <c r="AD17" s="74">
        <v>0</v>
      </c>
      <c r="AE17" s="72">
        <v>109098.08000000002</v>
      </c>
      <c r="AF17" s="73">
        <v>22724</v>
      </c>
      <c r="AG17" s="73">
        <v>0</v>
      </c>
      <c r="AH17" s="75">
        <v>0</v>
      </c>
      <c r="AI17" s="93" t="s">
        <v>153</v>
      </c>
      <c r="AJ17" s="94" t="s">
        <v>154</v>
      </c>
      <c r="AK17" s="94">
        <v>0</v>
      </c>
      <c r="AL17" s="95">
        <v>0</v>
      </c>
      <c r="AM17" s="96">
        <v>0.1</v>
      </c>
      <c r="AN17" s="72">
        <v>12972</v>
      </c>
      <c r="AO17" s="73">
        <v>25797.599999999999</v>
      </c>
      <c r="AP17" s="73">
        <v>0</v>
      </c>
      <c r="AQ17" s="74">
        <v>0</v>
      </c>
      <c r="AR17" s="72">
        <v>15708</v>
      </c>
      <c r="AS17" s="73">
        <v>26736</v>
      </c>
      <c r="AT17" s="73">
        <v>0</v>
      </c>
      <c r="AU17" s="75">
        <v>0</v>
      </c>
      <c r="AV17" s="93" t="s">
        <v>155</v>
      </c>
      <c r="AW17" s="94">
        <v>0</v>
      </c>
      <c r="AX17" s="94">
        <v>0</v>
      </c>
      <c r="AY17" s="95">
        <v>0</v>
      </c>
      <c r="AZ17" s="97">
        <v>0.15</v>
      </c>
      <c r="BA17" s="72">
        <v>1863.3500000000001</v>
      </c>
      <c r="BB17" s="73">
        <v>0</v>
      </c>
      <c r="BC17" s="73">
        <v>0</v>
      </c>
      <c r="BD17" s="74">
        <v>0</v>
      </c>
      <c r="BE17" s="72">
        <v>3320.0000000000005</v>
      </c>
      <c r="BF17" s="73">
        <v>0</v>
      </c>
      <c r="BG17" s="73">
        <v>0</v>
      </c>
      <c r="BH17" s="75">
        <v>0</v>
      </c>
      <c r="BI17" s="98">
        <v>409554.79499999993</v>
      </c>
      <c r="BJ17" s="99">
        <v>429072.28</v>
      </c>
      <c r="BK17" s="100" t="s">
        <v>226</v>
      </c>
      <c r="BL17" s="100">
        <v>0.82</v>
      </c>
      <c r="BM17" s="62"/>
      <c r="BN17" s="80" t="s">
        <v>227</v>
      </c>
      <c r="BO17" s="81">
        <v>42461</v>
      </c>
      <c r="BP17" s="82">
        <v>3</v>
      </c>
      <c r="BQ17" s="82">
        <v>1</v>
      </c>
      <c r="BR17" s="82">
        <v>3</v>
      </c>
      <c r="BS17" s="80">
        <v>329604</v>
      </c>
      <c r="BT17" s="83">
        <v>1</v>
      </c>
      <c r="BU17" s="61"/>
      <c r="BV17" s="84">
        <v>0.98399999999999999</v>
      </c>
      <c r="BW17" s="84">
        <v>0.92200000000000004</v>
      </c>
      <c r="BX17" s="84">
        <v>0.91300000000000003</v>
      </c>
      <c r="BY17" s="84">
        <v>0.56100000000000005</v>
      </c>
      <c r="BZ17" s="62"/>
      <c r="CA17" s="85"/>
      <c r="CB17" s="85"/>
      <c r="CC17" s="85"/>
      <c r="CD17" s="85"/>
      <c r="CE17" s="62"/>
      <c r="CF17" s="86">
        <v>0.95</v>
      </c>
      <c r="CG17" s="87">
        <v>1</v>
      </c>
      <c r="CH17" s="87">
        <v>0.8</v>
      </c>
      <c r="CI17" s="87">
        <v>0</v>
      </c>
      <c r="CJ17" s="87">
        <v>0.5</v>
      </c>
    </row>
    <row r="18" spans="1:88" x14ac:dyDescent="0.35">
      <c r="A18" s="88" t="s">
        <v>225</v>
      </c>
      <c r="B18" s="89">
        <v>17</v>
      </c>
      <c r="C18" s="90" t="s">
        <v>30</v>
      </c>
      <c r="D18" s="90" t="s">
        <v>12</v>
      </c>
      <c r="E18" s="91">
        <v>41353</v>
      </c>
      <c r="F18" s="91" t="s">
        <v>226</v>
      </c>
      <c r="G18" s="91" t="s">
        <v>226</v>
      </c>
      <c r="H18" s="92" t="s">
        <v>148</v>
      </c>
      <c r="I18" s="93" t="s">
        <v>149</v>
      </c>
      <c r="J18" s="94" t="s">
        <v>150</v>
      </c>
      <c r="K18" s="94">
        <v>0</v>
      </c>
      <c r="L18" s="95">
        <v>0</v>
      </c>
      <c r="M18" s="96">
        <v>0.5</v>
      </c>
      <c r="N18" s="72">
        <v>74773.53</v>
      </c>
      <c r="O18" s="73">
        <v>35752</v>
      </c>
      <c r="P18" s="73">
        <v>0</v>
      </c>
      <c r="Q18" s="74">
        <v>0</v>
      </c>
      <c r="R18" s="72">
        <v>69379.539999999994</v>
      </c>
      <c r="S18" s="73">
        <v>38181</v>
      </c>
      <c r="T18" s="73">
        <v>0</v>
      </c>
      <c r="U18" s="75">
        <v>0</v>
      </c>
      <c r="V18" s="93" t="s">
        <v>151</v>
      </c>
      <c r="W18" s="94" t="s">
        <v>152</v>
      </c>
      <c r="X18" s="94">
        <v>0</v>
      </c>
      <c r="Y18" s="95">
        <v>0</v>
      </c>
      <c r="Z18" s="96">
        <v>0.25</v>
      </c>
      <c r="AA18" s="72">
        <v>33944.560000000005</v>
      </c>
      <c r="AB18" s="73">
        <v>16273.5</v>
      </c>
      <c r="AC18" s="73">
        <v>0</v>
      </c>
      <c r="AD18" s="74">
        <v>0</v>
      </c>
      <c r="AE18" s="72">
        <v>29883.1</v>
      </c>
      <c r="AF18" s="73">
        <v>13832</v>
      </c>
      <c r="AG18" s="73">
        <v>0</v>
      </c>
      <c r="AH18" s="75">
        <v>0</v>
      </c>
      <c r="AI18" s="93" t="s">
        <v>153</v>
      </c>
      <c r="AJ18" s="94" t="s">
        <v>154</v>
      </c>
      <c r="AK18" s="94">
        <v>0</v>
      </c>
      <c r="AL18" s="95">
        <v>0</v>
      </c>
      <c r="AM18" s="96">
        <v>0.1</v>
      </c>
      <c r="AN18" s="72">
        <v>6948</v>
      </c>
      <c r="AO18" s="73">
        <v>9120</v>
      </c>
      <c r="AP18" s="73">
        <v>0</v>
      </c>
      <c r="AQ18" s="74">
        <v>0</v>
      </c>
      <c r="AR18" s="72">
        <v>9180</v>
      </c>
      <c r="AS18" s="73">
        <v>8280</v>
      </c>
      <c r="AT18" s="73">
        <v>0</v>
      </c>
      <c r="AU18" s="75">
        <v>0</v>
      </c>
      <c r="AV18" s="93" t="s">
        <v>155</v>
      </c>
      <c r="AW18" s="94">
        <v>0</v>
      </c>
      <c r="AX18" s="94">
        <v>0</v>
      </c>
      <c r="AY18" s="95">
        <v>0</v>
      </c>
      <c r="AZ18" s="97">
        <v>0.15</v>
      </c>
      <c r="BA18" s="72">
        <v>1195.2</v>
      </c>
      <c r="BB18" s="73">
        <v>0</v>
      </c>
      <c r="BC18" s="73">
        <v>0</v>
      </c>
      <c r="BD18" s="74">
        <v>0</v>
      </c>
      <c r="BE18" s="72">
        <v>1660.0000000000002</v>
      </c>
      <c r="BF18" s="73">
        <v>0</v>
      </c>
      <c r="BG18" s="73">
        <v>0</v>
      </c>
      <c r="BH18" s="75">
        <v>0</v>
      </c>
      <c r="BI18" s="98">
        <v>178006.79</v>
      </c>
      <c r="BJ18" s="99">
        <v>170395.63999999998</v>
      </c>
      <c r="BK18" s="100" t="s">
        <v>226</v>
      </c>
      <c r="BL18" s="100">
        <v>0.87</v>
      </c>
      <c r="BM18" s="62"/>
      <c r="BN18" s="80" t="s">
        <v>227</v>
      </c>
      <c r="BO18" s="81">
        <v>41445</v>
      </c>
      <c r="BP18" s="82">
        <v>3</v>
      </c>
      <c r="BQ18" s="82">
        <v>1</v>
      </c>
      <c r="BR18" s="82">
        <v>3</v>
      </c>
      <c r="BS18" s="80">
        <v>329604</v>
      </c>
      <c r="BT18" s="83">
        <v>1</v>
      </c>
      <c r="BU18" s="61"/>
      <c r="BV18" s="84">
        <v>1.028</v>
      </c>
      <c r="BW18" s="84">
        <v>1.149</v>
      </c>
      <c r="BX18" s="84">
        <v>0.92</v>
      </c>
      <c r="BY18" s="84">
        <v>0.72</v>
      </c>
      <c r="BZ18" s="62"/>
      <c r="CA18" s="85"/>
      <c r="CB18" s="85"/>
      <c r="CC18" s="85"/>
      <c r="CD18" s="85"/>
      <c r="CE18" s="62"/>
      <c r="CF18" s="86">
        <v>1.04</v>
      </c>
      <c r="CG18" s="87">
        <v>1</v>
      </c>
      <c r="CH18" s="87">
        <v>1.4</v>
      </c>
      <c r="CI18" s="87">
        <v>0</v>
      </c>
      <c r="CJ18" s="87">
        <v>0.5</v>
      </c>
    </row>
    <row r="19" spans="1:88" x14ac:dyDescent="0.35">
      <c r="A19" s="88" t="s">
        <v>225</v>
      </c>
      <c r="B19" s="89">
        <v>18</v>
      </c>
      <c r="C19" s="90" t="s">
        <v>31</v>
      </c>
      <c r="D19" s="90" t="s">
        <v>12</v>
      </c>
      <c r="E19" s="91">
        <v>42066</v>
      </c>
      <c r="F19" s="91">
        <v>42807</v>
      </c>
      <c r="G19" s="91" t="s">
        <v>226</v>
      </c>
      <c r="H19" s="92" t="s">
        <v>148</v>
      </c>
      <c r="I19" s="93" t="s">
        <v>149</v>
      </c>
      <c r="J19" s="94" t="s">
        <v>150</v>
      </c>
      <c r="K19" s="94">
        <v>0</v>
      </c>
      <c r="L19" s="95">
        <v>0</v>
      </c>
      <c r="M19" s="96">
        <v>0.5</v>
      </c>
      <c r="N19" s="72">
        <v>40131.31</v>
      </c>
      <c r="O19" s="73">
        <v>25047.5</v>
      </c>
      <c r="P19" s="73">
        <v>0</v>
      </c>
      <c r="Q19" s="74">
        <v>0</v>
      </c>
      <c r="R19" s="72">
        <v>33351.93</v>
      </c>
      <c r="S19" s="73">
        <v>26408</v>
      </c>
      <c r="T19" s="73">
        <v>0</v>
      </c>
      <c r="U19" s="75">
        <v>0</v>
      </c>
      <c r="V19" s="93" t="s">
        <v>151</v>
      </c>
      <c r="W19" s="94" t="s">
        <v>152</v>
      </c>
      <c r="X19" s="94">
        <v>0</v>
      </c>
      <c r="Y19" s="95">
        <v>0</v>
      </c>
      <c r="Z19" s="96">
        <v>0.25</v>
      </c>
      <c r="AA19" s="72">
        <v>30015.18</v>
      </c>
      <c r="AB19" s="73">
        <v>6916</v>
      </c>
      <c r="AC19" s="73">
        <v>0</v>
      </c>
      <c r="AD19" s="74">
        <v>0</v>
      </c>
      <c r="AE19" s="72">
        <v>24765</v>
      </c>
      <c r="AF19" s="73">
        <v>7600</v>
      </c>
      <c r="AG19" s="73">
        <v>0</v>
      </c>
      <c r="AH19" s="75">
        <v>0</v>
      </c>
      <c r="AI19" s="93" t="s">
        <v>153</v>
      </c>
      <c r="AJ19" s="94" t="s">
        <v>154</v>
      </c>
      <c r="AK19" s="94">
        <v>0</v>
      </c>
      <c r="AL19" s="95">
        <v>0</v>
      </c>
      <c r="AM19" s="96">
        <v>0.1</v>
      </c>
      <c r="AN19" s="72">
        <v>3780</v>
      </c>
      <c r="AO19" s="73">
        <v>5736</v>
      </c>
      <c r="AP19" s="73">
        <v>0</v>
      </c>
      <c r="AQ19" s="74">
        <v>0</v>
      </c>
      <c r="AR19" s="72">
        <v>3696</v>
      </c>
      <c r="AS19" s="73">
        <v>7848</v>
      </c>
      <c r="AT19" s="73">
        <v>0</v>
      </c>
      <c r="AU19" s="75">
        <v>0</v>
      </c>
      <c r="AV19" s="93" t="s">
        <v>155</v>
      </c>
      <c r="AW19" s="94">
        <v>0</v>
      </c>
      <c r="AX19" s="94">
        <v>0</v>
      </c>
      <c r="AY19" s="95">
        <v>0</v>
      </c>
      <c r="AZ19" s="97">
        <v>0.15</v>
      </c>
      <c r="BA19" s="72">
        <v>830</v>
      </c>
      <c r="BB19" s="73">
        <v>0</v>
      </c>
      <c r="BC19" s="73">
        <v>0</v>
      </c>
      <c r="BD19" s="74">
        <v>0</v>
      </c>
      <c r="BE19" s="72">
        <v>747.00000000000011</v>
      </c>
      <c r="BF19" s="73">
        <v>0</v>
      </c>
      <c r="BG19" s="73">
        <v>0</v>
      </c>
      <c r="BH19" s="75">
        <v>0</v>
      </c>
      <c r="BI19" s="98">
        <v>112455.98999999999</v>
      </c>
      <c r="BJ19" s="99">
        <v>104415.93</v>
      </c>
      <c r="BK19" s="100" t="s">
        <v>226</v>
      </c>
      <c r="BL19" s="100">
        <v>0.98</v>
      </c>
      <c r="BM19" s="62"/>
      <c r="BN19" s="80" t="s">
        <v>229</v>
      </c>
      <c r="BO19" s="81">
        <v>42158</v>
      </c>
      <c r="BP19" s="82">
        <v>2</v>
      </c>
      <c r="BQ19" s="82">
        <v>1</v>
      </c>
      <c r="BR19" s="82">
        <v>2</v>
      </c>
      <c r="BS19" s="80">
        <v>329604</v>
      </c>
      <c r="BT19" s="83">
        <v>0.66666666666666663</v>
      </c>
      <c r="BU19" s="61"/>
      <c r="BV19" s="84">
        <v>1.091</v>
      </c>
      <c r="BW19" s="84">
        <v>1.141</v>
      </c>
      <c r="BX19" s="84">
        <v>0.82399999999999995</v>
      </c>
      <c r="BY19" s="84">
        <v>1.111</v>
      </c>
      <c r="BZ19" s="62"/>
      <c r="CA19" s="85"/>
      <c r="CB19" s="85"/>
      <c r="CC19" s="85"/>
      <c r="CD19" s="85"/>
      <c r="CE19" s="62"/>
      <c r="CF19" s="86">
        <v>1.08</v>
      </c>
      <c r="CG19" s="87">
        <v>1</v>
      </c>
      <c r="CH19" s="87">
        <v>1.8</v>
      </c>
      <c r="CI19" s="87">
        <v>0</v>
      </c>
      <c r="CJ19" s="87">
        <v>1</v>
      </c>
    </row>
    <row r="20" spans="1:88" x14ac:dyDescent="0.35">
      <c r="A20" s="88" t="s">
        <v>225</v>
      </c>
      <c r="B20" s="89">
        <v>19</v>
      </c>
      <c r="C20" s="90" t="s">
        <v>32</v>
      </c>
      <c r="D20" s="90" t="s">
        <v>12</v>
      </c>
      <c r="E20" s="91">
        <v>40591</v>
      </c>
      <c r="F20" s="91" t="s">
        <v>226</v>
      </c>
      <c r="G20" s="91" t="s">
        <v>226</v>
      </c>
      <c r="H20" s="67" t="s">
        <v>156</v>
      </c>
      <c r="I20" s="93" t="s">
        <v>157</v>
      </c>
      <c r="J20" s="94" t="s">
        <v>158</v>
      </c>
      <c r="K20" s="94">
        <v>0</v>
      </c>
      <c r="L20" s="95">
        <v>0</v>
      </c>
      <c r="M20" s="96">
        <v>0.3</v>
      </c>
      <c r="N20" s="72">
        <v>27310.5</v>
      </c>
      <c r="O20" s="73">
        <v>7296.4</v>
      </c>
      <c r="P20" s="73">
        <v>0</v>
      </c>
      <c r="Q20" s="74">
        <v>0</v>
      </c>
      <c r="R20" s="72">
        <v>27121.5</v>
      </c>
      <c r="S20" s="73">
        <v>9848.4</v>
      </c>
      <c r="T20" s="73">
        <v>0</v>
      </c>
      <c r="U20" s="75">
        <v>0</v>
      </c>
      <c r="V20" s="93" t="s">
        <v>159</v>
      </c>
      <c r="W20" s="94" t="s">
        <v>160</v>
      </c>
      <c r="X20" s="94" t="s">
        <v>161</v>
      </c>
      <c r="Y20" s="95">
        <v>0</v>
      </c>
      <c r="Z20" s="96">
        <v>0.25</v>
      </c>
      <c r="AA20" s="72">
        <v>48418</v>
      </c>
      <c r="AB20" s="73">
        <v>3625.3399999999997</v>
      </c>
      <c r="AC20" s="73">
        <v>310</v>
      </c>
      <c r="AD20" s="74">
        <v>0</v>
      </c>
      <c r="AE20" s="72">
        <v>56517</v>
      </c>
      <c r="AF20" s="73">
        <v>2261.6800000000003</v>
      </c>
      <c r="AG20" s="73">
        <v>2015</v>
      </c>
      <c r="AH20" s="75">
        <v>0</v>
      </c>
      <c r="AI20" s="93" t="s">
        <v>151</v>
      </c>
      <c r="AJ20" s="94">
        <v>0</v>
      </c>
      <c r="AK20" s="94">
        <v>0</v>
      </c>
      <c r="AL20" s="95">
        <v>0</v>
      </c>
      <c r="AM20" s="96">
        <v>0.25</v>
      </c>
      <c r="AN20" s="72">
        <v>10104.119999999999</v>
      </c>
      <c r="AO20" s="73">
        <v>0</v>
      </c>
      <c r="AP20" s="73">
        <v>0</v>
      </c>
      <c r="AQ20" s="74">
        <v>0</v>
      </c>
      <c r="AR20" s="72">
        <v>13059.410000000002</v>
      </c>
      <c r="AS20" s="73">
        <v>0</v>
      </c>
      <c r="AT20" s="73">
        <v>0</v>
      </c>
      <c r="AU20" s="75">
        <v>0</v>
      </c>
      <c r="AV20" s="93" t="s">
        <v>162</v>
      </c>
      <c r="AW20" s="94" t="s">
        <v>150</v>
      </c>
      <c r="AX20" s="94" t="s">
        <v>149</v>
      </c>
      <c r="AY20" s="95">
        <v>0</v>
      </c>
      <c r="AZ20" s="97">
        <v>0.19999999999999996</v>
      </c>
      <c r="BA20" s="72">
        <v>8799.0400000000009</v>
      </c>
      <c r="BB20" s="73">
        <v>2155.5</v>
      </c>
      <c r="BC20" s="73">
        <v>1981.6105</v>
      </c>
      <c r="BD20" s="74">
        <v>0</v>
      </c>
      <c r="BE20" s="72">
        <v>9724.08</v>
      </c>
      <c r="BF20" s="73">
        <v>2393.1</v>
      </c>
      <c r="BG20" s="73">
        <v>2065.5475000000001</v>
      </c>
      <c r="BH20" s="75">
        <v>0</v>
      </c>
      <c r="BI20" s="98">
        <v>110000.51049999999</v>
      </c>
      <c r="BJ20" s="99">
        <v>125005.7175</v>
      </c>
      <c r="BK20" s="100" t="s">
        <v>226</v>
      </c>
      <c r="BL20" s="100">
        <v>0.81</v>
      </c>
      <c r="BM20" s="62"/>
      <c r="BN20" s="80" t="s">
        <v>227</v>
      </c>
      <c r="BO20" s="81">
        <v>40680</v>
      </c>
      <c r="BP20" s="82">
        <v>3</v>
      </c>
      <c r="BQ20" s="82">
        <v>1</v>
      </c>
      <c r="BR20" s="82">
        <v>3</v>
      </c>
      <c r="BS20" s="80">
        <v>329604</v>
      </c>
      <c r="BT20" s="83">
        <v>1</v>
      </c>
      <c r="BU20" s="61"/>
      <c r="BV20" s="84">
        <v>0.93600000000000005</v>
      </c>
      <c r="BW20" s="84">
        <v>0.86099999999999999</v>
      </c>
      <c r="BX20" s="84">
        <v>0.77400000000000002</v>
      </c>
      <c r="BY20" s="84">
        <v>0.91200000000000003</v>
      </c>
      <c r="BZ20" s="62"/>
      <c r="CA20" s="85"/>
      <c r="CB20" s="85"/>
      <c r="CC20" s="85"/>
      <c r="CD20" s="85"/>
      <c r="CE20" s="62"/>
      <c r="CF20" s="86">
        <v>0.88</v>
      </c>
      <c r="CG20" s="87">
        <v>0</v>
      </c>
      <c r="CH20" s="87">
        <v>0</v>
      </c>
      <c r="CI20" s="87">
        <v>0</v>
      </c>
      <c r="CJ20" s="87">
        <v>0.5</v>
      </c>
    </row>
    <row r="21" spans="1:88" x14ac:dyDescent="0.35">
      <c r="A21" s="88" t="s">
        <v>225</v>
      </c>
      <c r="B21" s="89">
        <v>20</v>
      </c>
      <c r="C21" s="90" t="s">
        <v>33</v>
      </c>
      <c r="D21" s="90" t="s">
        <v>12</v>
      </c>
      <c r="E21" s="91">
        <v>41715</v>
      </c>
      <c r="F21" s="91" t="s">
        <v>226</v>
      </c>
      <c r="G21" s="91" t="s">
        <v>226</v>
      </c>
      <c r="H21" s="92" t="s">
        <v>148</v>
      </c>
      <c r="I21" s="93" t="s">
        <v>149</v>
      </c>
      <c r="J21" s="94" t="s">
        <v>150</v>
      </c>
      <c r="K21" s="94">
        <v>0</v>
      </c>
      <c r="L21" s="95">
        <v>0</v>
      </c>
      <c r="M21" s="96">
        <v>0.5</v>
      </c>
      <c r="N21" s="72">
        <v>65555.56</v>
      </c>
      <c r="O21" s="73">
        <v>43089.5</v>
      </c>
      <c r="P21" s="73">
        <v>0</v>
      </c>
      <c r="Q21" s="74">
        <v>0</v>
      </c>
      <c r="R21" s="72">
        <v>51543.27</v>
      </c>
      <c r="S21" s="73">
        <v>40805.5</v>
      </c>
      <c r="T21" s="73">
        <v>0</v>
      </c>
      <c r="U21" s="75">
        <v>0</v>
      </c>
      <c r="V21" s="93" t="s">
        <v>151</v>
      </c>
      <c r="W21" s="94" t="s">
        <v>152</v>
      </c>
      <c r="X21" s="94">
        <v>0</v>
      </c>
      <c r="Y21" s="95">
        <v>0</v>
      </c>
      <c r="Z21" s="96">
        <v>0.25</v>
      </c>
      <c r="AA21" s="72">
        <v>39194.740000000005</v>
      </c>
      <c r="AB21" s="73">
        <v>10070</v>
      </c>
      <c r="AC21" s="73">
        <v>0</v>
      </c>
      <c r="AD21" s="74">
        <v>0</v>
      </c>
      <c r="AE21" s="72">
        <v>38699.440000000002</v>
      </c>
      <c r="AF21" s="73">
        <v>11400</v>
      </c>
      <c r="AG21" s="73">
        <v>0</v>
      </c>
      <c r="AH21" s="75">
        <v>0</v>
      </c>
      <c r="AI21" s="93" t="s">
        <v>153</v>
      </c>
      <c r="AJ21" s="94" t="s">
        <v>154</v>
      </c>
      <c r="AK21" s="94">
        <v>0</v>
      </c>
      <c r="AL21" s="95">
        <v>0</v>
      </c>
      <c r="AM21" s="96">
        <v>0.1</v>
      </c>
      <c r="AN21" s="72">
        <v>6708</v>
      </c>
      <c r="AO21" s="73">
        <v>12888</v>
      </c>
      <c r="AP21" s="73">
        <v>0</v>
      </c>
      <c r="AQ21" s="74">
        <v>0</v>
      </c>
      <c r="AR21" s="72">
        <v>5208</v>
      </c>
      <c r="AS21" s="73">
        <v>12048</v>
      </c>
      <c r="AT21" s="73">
        <v>0</v>
      </c>
      <c r="AU21" s="75">
        <v>0</v>
      </c>
      <c r="AV21" s="93" t="s">
        <v>155</v>
      </c>
      <c r="AW21" s="94">
        <v>0</v>
      </c>
      <c r="AX21" s="94">
        <v>0</v>
      </c>
      <c r="AY21" s="95">
        <v>0</v>
      </c>
      <c r="AZ21" s="97">
        <v>0.15</v>
      </c>
      <c r="BA21" s="72">
        <v>1328</v>
      </c>
      <c r="BB21" s="73">
        <v>0</v>
      </c>
      <c r="BC21" s="73">
        <v>0</v>
      </c>
      <c r="BD21" s="74">
        <v>0</v>
      </c>
      <c r="BE21" s="72">
        <v>1477.4</v>
      </c>
      <c r="BF21" s="73">
        <v>0</v>
      </c>
      <c r="BG21" s="73">
        <v>0</v>
      </c>
      <c r="BH21" s="75">
        <v>0</v>
      </c>
      <c r="BI21" s="98">
        <v>178833.8</v>
      </c>
      <c r="BJ21" s="99">
        <v>161181.60999999999</v>
      </c>
      <c r="BK21" s="100" t="s">
        <v>226</v>
      </c>
      <c r="BL21" s="100">
        <v>0.99</v>
      </c>
      <c r="BM21" s="62"/>
      <c r="BN21" s="80" t="s">
        <v>227</v>
      </c>
      <c r="BO21" s="81">
        <v>41807</v>
      </c>
      <c r="BP21" s="82">
        <v>3</v>
      </c>
      <c r="BQ21" s="82">
        <v>1</v>
      </c>
      <c r="BR21" s="82">
        <v>3</v>
      </c>
      <c r="BS21" s="80">
        <v>329604</v>
      </c>
      <c r="BT21" s="83">
        <v>1</v>
      </c>
      <c r="BU21" s="61"/>
      <c r="BV21" s="84">
        <v>1.1759999999999999</v>
      </c>
      <c r="BW21" s="84">
        <v>0.98299999999999998</v>
      </c>
      <c r="BX21" s="84">
        <v>1.1359999999999999</v>
      </c>
      <c r="BY21" s="84">
        <v>0.89900000000000002</v>
      </c>
      <c r="BZ21" s="62"/>
      <c r="CA21" s="85"/>
      <c r="CB21" s="85"/>
      <c r="CC21" s="85"/>
      <c r="CD21" s="85"/>
      <c r="CE21" s="62"/>
      <c r="CF21" s="86">
        <v>1.1100000000000001</v>
      </c>
      <c r="CG21" s="87">
        <v>1</v>
      </c>
      <c r="CH21" s="87">
        <v>2.0499999999999998</v>
      </c>
      <c r="CI21" s="87">
        <v>0</v>
      </c>
      <c r="CJ21" s="87">
        <v>1</v>
      </c>
    </row>
    <row r="22" spans="1:88" x14ac:dyDescent="0.35">
      <c r="A22" s="88" t="s">
        <v>225</v>
      </c>
      <c r="B22" s="89">
        <v>21</v>
      </c>
      <c r="C22" s="90" t="s">
        <v>34</v>
      </c>
      <c r="D22" s="90" t="s">
        <v>12</v>
      </c>
      <c r="E22" s="91">
        <v>42583</v>
      </c>
      <c r="F22" s="91" t="s">
        <v>226</v>
      </c>
      <c r="G22" s="91" t="s">
        <v>226</v>
      </c>
      <c r="H22" s="92" t="s">
        <v>148</v>
      </c>
      <c r="I22" s="93" t="s">
        <v>149</v>
      </c>
      <c r="J22" s="94" t="s">
        <v>150</v>
      </c>
      <c r="K22" s="94">
        <v>0</v>
      </c>
      <c r="L22" s="95">
        <v>0</v>
      </c>
      <c r="M22" s="96">
        <v>0.5</v>
      </c>
      <c r="N22" s="72">
        <v>422723.07</v>
      </c>
      <c r="O22" s="73">
        <v>199408</v>
      </c>
      <c r="P22" s="73">
        <v>0</v>
      </c>
      <c r="Q22" s="74">
        <v>0</v>
      </c>
      <c r="R22" s="72">
        <v>340538.94</v>
      </c>
      <c r="S22" s="73">
        <v>185152.5</v>
      </c>
      <c r="T22" s="73">
        <v>0</v>
      </c>
      <c r="U22" s="75">
        <v>0</v>
      </c>
      <c r="V22" s="93" t="s">
        <v>151</v>
      </c>
      <c r="W22" s="94" t="s">
        <v>152</v>
      </c>
      <c r="X22" s="94">
        <v>0</v>
      </c>
      <c r="Y22" s="95">
        <v>0</v>
      </c>
      <c r="Z22" s="96">
        <v>0.25</v>
      </c>
      <c r="AA22" s="72">
        <v>376824.24</v>
      </c>
      <c r="AB22" s="73">
        <v>37848</v>
      </c>
      <c r="AC22" s="73">
        <v>0</v>
      </c>
      <c r="AD22" s="74">
        <v>0</v>
      </c>
      <c r="AE22" s="72">
        <v>261353.30000000002</v>
      </c>
      <c r="AF22" s="73">
        <v>42873.5</v>
      </c>
      <c r="AG22" s="73">
        <v>0</v>
      </c>
      <c r="AH22" s="75">
        <v>0</v>
      </c>
      <c r="AI22" s="93" t="s">
        <v>153</v>
      </c>
      <c r="AJ22" s="94" t="s">
        <v>154</v>
      </c>
      <c r="AK22" s="94">
        <v>0</v>
      </c>
      <c r="AL22" s="95">
        <v>0</v>
      </c>
      <c r="AM22" s="96">
        <v>0.1</v>
      </c>
      <c r="AN22" s="72">
        <v>32076</v>
      </c>
      <c r="AO22" s="73">
        <v>34896</v>
      </c>
      <c r="AP22" s="73">
        <v>0</v>
      </c>
      <c r="AQ22" s="74">
        <v>0</v>
      </c>
      <c r="AR22" s="72">
        <v>39732</v>
      </c>
      <c r="AS22" s="73">
        <v>37068</v>
      </c>
      <c r="AT22" s="73">
        <v>0</v>
      </c>
      <c r="AU22" s="75">
        <v>0</v>
      </c>
      <c r="AV22" s="93" t="s">
        <v>155</v>
      </c>
      <c r="AW22" s="94">
        <v>0</v>
      </c>
      <c r="AX22" s="94">
        <v>0</v>
      </c>
      <c r="AY22" s="95">
        <v>0</v>
      </c>
      <c r="AZ22" s="97">
        <v>0.15</v>
      </c>
      <c r="BA22" s="72">
        <v>6225.0000000000009</v>
      </c>
      <c r="BB22" s="73">
        <v>0</v>
      </c>
      <c r="BC22" s="73">
        <v>0</v>
      </c>
      <c r="BD22" s="74">
        <v>0</v>
      </c>
      <c r="BE22" s="72">
        <v>6640.0000000000009</v>
      </c>
      <c r="BF22" s="73">
        <v>0</v>
      </c>
      <c r="BG22" s="73">
        <v>0</v>
      </c>
      <c r="BH22" s="75">
        <v>0</v>
      </c>
      <c r="BI22" s="98">
        <v>1110000.31</v>
      </c>
      <c r="BJ22" s="99">
        <v>913358.24</v>
      </c>
      <c r="BK22" s="100" t="s">
        <v>226</v>
      </c>
      <c r="BL22" s="100">
        <v>0.93</v>
      </c>
      <c r="BM22" s="62"/>
      <c r="BN22" s="80" t="s">
        <v>227</v>
      </c>
      <c r="BO22" s="81">
        <v>42675</v>
      </c>
      <c r="BP22" s="82">
        <v>3</v>
      </c>
      <c r="BQ22" s="82">
        <v>1</v>
      </c>
      <c r="BR22" s="82">
        <v>3</v>
      </c>
      <c r="BS22" s="80">
        <v>329604</v>
      </c>
      <c r="BT22" s="83">
        <v>1</v>
      </c>
      <c r="BU22" s="61"/>
      <c r="BV22" s="84">
        <v>1.1830000000000001</v>
      </c>
      <c r="BW22" s="84">
        <v>1.363</v>
      </c>
      <c r="BX22" s="84">
        <v>0.872</v>
      </c>
      <c r="BY22" s="84">
        <v>0.93799999999999994</v>
      </c>
      <c r="BZ22" s="62"/>
      <c r="CA22" s="85"/>
      <c r="CB22" s="85"/>
      <c r="CC22" s="85"/>
      <c r="CD22" s="85"/>
      <c r="CE22" s="62"/>
      <c r="CF22" s="86">
        <v>1.22</v>
      </c>
      <c r="CG22" s="87">
        <v>1</v>
      </c>
      <c r="CH22" s="87">
        <v>2.5</v>
      </c>
      <c r="CI22" s="87">
        <v>0</v>
      </c>
      <c r="CJ22" s="87">
        <v>0.5</v>
      </c>
    </row>
    <row r="23" spans="1:88" x14ac:dyDescent="0.35">
      <c r="A23" s="88" t="s">
        <v>225</v>
      </c>
      <c r="B23" s="89">
        <v>22</v>
      </c>
      <c r="C23" s="90" t="s">
        <v>35</v>
      </c>
      <c r="D23" s="90" t="s">
        <v>21</v>
      </c>
      <c r="E23" s="91">
        <v>42522</v>
      </c>
      <c r="F23" s="91" t="s">
        <v>226</v>
      </c>
      <c r="G23" s="91" t="s">
        <v>226</v>
      </c>
      <c r="H23" s="92" t="s">
        <v>166</v>
      </c>
      <c r="I23" s="93" t="s">
        <v>149</v>
      </c>
      <c r="J23" s="94">
        <v>0</v>
      </c>
      <c r="K23" s="94">
        <v>0</v>
      </c>
      <c r="L23" s="95">
        <v>0</v>
      </c>
      <c r="M23" s="96">
        <v>0.4</v>
      </c>
      <c r="N23" s="72">
        <v>422723.07</v>
      </c>
      <c r="O23" s="73">
        <v>0</v>
      </c>
      <c r="P23" s="73">
        <v>0</v>
      </c>
      <c r="Q23" s="74">
        <v>0</v>
      </c>
      <c r="R23" s="72">
        <v>340538.94</v>
      </c>
      <c r="S23" s="73">
        <v>0</v>
      </c>
      <c r="T23" s="73">
        <v>0</v>
      </c>
      <c r="U23" s="75">
        <v>0</v>
      </c>
      <c r="V23" s="93" t="s">
        <v>150</v>
      </c>
      <c r="W23" s="94">
        <v>0</v>
      </c>
      <c r="X23" s="94">
        <v>0</v>
      </c>
      <c r="Y23" s="95">
        <v>0</v>
      </c>
      <c r="Z23" s="96">
        <v>0.35</v>
      </c>
      <c r="AA23" s="72">
        <v>199408</v>
      </c>
      <c r="AB23" s="73">
        <v>0</v>
      </c>
      <c r="AC23" s="73">
        <v>0</v>
      </c>
      <c r="AD23" s="74">
        <v>0</v>
      </c>
      <c r="AE23" s="72">
        <v>185152.5</v>
      </c>
      <c r="AF23" s="73">
        <v>0</v>
      </c>
      <c r="AG23" s="73">
        <v>0</v>
      </c>
      <c r="AH23" s="75">
        <v>0</v>
      </c>
      <c r="AI23" s="93" t="s">
        <v>153</v>
      </c>
      <c r="AJ23" s="94" t="s">
        <v>154</v>
      </c>
      <c r="AK23" s="94">
        <v>0</v>
      </c>
      <c r="AL23" s="95">
        <v>0</v>
      </c>
      <c r="AM23" s="96">
        <v>0.25</v>
      </c>
      <c r="AN23" s="72">
        <v>32076</v>
      </c>
      <c r="AO23" s="73">
        <v>34896</v>
      </c>
      <c r="AP23" s="73">
        <v>0</v>
      </c>
      <c r="AQ23" s="74">
        <v>0</v>
      </c>
      <c r="AR23" s="72">
        <v>39732</v>
      </c>
      <c r="AS23" s="73">
        <v>37068</v>
      </c>
      <c r="AT23" s="73">
        <v>0</v>
      </c>
      <c r="AU23" s="75">
        <v>0</v>
      </c>
      <c r="AV23" s="93">
        <v>0</v>
      </c>
      <c r="AW23" s="94">
        <v>0</v>
      </c>
      <c r="AX23" s="94">
        <v>0</v>
      </c>
      <c r="AY23" s="95">
        <v>0</v>
      </c>
      <c r="AZ23" s="97">
        <v>0</v>
      </c>
      <c r="BA23" s="72">
        <v>0</v>
      </c>
      <c r="BB23" s="73">
        <v>0</v>
      </c>
      <c r="BC23" s="73">
        <v>0</v>
      </c>
      <c r="BD23" s="74">
        <v>0</v>
      </c>
      <c r="BE23" s="72">
        <v>0</v>
      </c>
      <c r="BF23" s="73">
        <v>0</v>
      </c>
      <c r="BG23" s="73">
        <v>0</v>
      </c>
      <c r="BH23" s="75">
        <v>0</v>
      </c>
      <c r="BI23" s="98">
        <v>689103.07000000007</v>
      </c>
      <c r="BJ23" s="99">
        <v>602491.43999999994</v>
      </c>
      <c r="BK23" s="100" t="s">
        <v>226</v>
      </c>
      <c r="BL23" s="100">
        <v>1</v>
      </c>
      <c r="BM23" s="62"/>
      <c r="BN23" s="80" t="s">
        <v>227</v>
      </c>
      <c r="BO23" s="81">
        <v>42614</v>
      </c>
      <c r="BP23" s="82">
        <v>3</v>
      </c>
      <c r="BQ23" s="82">
        <v>1</v>
      </c>
      <c r="BR23" s="82">
        <v>3</v>
      </c>
      <c r="BS23" s="80">
        <v>329604</v>
      </c>
      <c r="BT23" s="83">
        <v>1</v>
      </c>
      <c r="BU23" s="61"/>
      <c r="BV23" s="84">
        <v>1.2410000000000001</v>
      </c>
      <c r="BW23" s="84">
        <v>1.077</v>
      </c>
      <c r="BX23" s="84">
        <v>0.872</v>
      </c>
      <c r="BY23" s="84">
        <v>0</v>
      </c>
      <c r="BZ23" s="62"/>
      <c r="CA23" s="85"/>
      <c r="CB23" s="85"/>
      <c r="CC23" s="85"/>
      <c r="CD23" s="85"/>
      <c r="CE23" s="62"/>
      <c r="CF23" s="86">
        <v>1.1399999999999999</v>
      </c>
      <c r="CG23" s="87">
        <v>1</v>
      </c>
      <c r="CH23" s="87">
        <v>2.2000000000000002</v>
      </c>
      <c r="CI23" s="87">
        <v>0</v>
      </c>
      <c r="CJ23" s="87">
        <v>1</v>
      </c>
    </row>
    <row r="24" spans="1:88" x14ac:dyDescent="0.35">
      <c r="A24" s="88" t="s">
        <v>225</v>
      </c>
      <c r="B24" s="89">
        <v>23</v>
      </c>
      <c r="C24" s="90" t="s">
        <v>36</v>
      </c>
      <c r="D24" s="90" t="s">
        <v>12</v>
      </c>
      <c r="E24" s="91">
        <v>41891</v>
      </c>
      <c r="F24" s="91" t="s">
        <v>226</v>
      </c>
      <c r="G24" s="91" t="s">
        <v>226</v>
      </c>
      <c r="H24" s="92" t="s">
        <v>148</v>
      </c>
      <c r="I24" s="93" t="s">
        <v>149</v>
      </c>
      <c r="J24" s="94" t="s">
        <v>150</v>
      </c>
      <c r="K24" s="94">
        <v>0</v>
      </c>
      <c r="L24" s="95">
        <v>0</v>
      </c>
      <c r="M24" s="96">
        <v>0.5</v>
      </c>
      <c r="N24" s="72">
        <v>67078.89</v>
      </c>
      <c r="O24" s="73">
        <v>28336.5</v>
      </c>
      <c r="P24" s="73">
        <v>0</v>
      </c>
      <c r="Q24" s="74">
        <v>0</v>
      </c>
      <c r="R24" s="72">
        <v>55253.959999999992</v>
      </c>
      <c r="S24" s="73">
        <v>33683</v>
      </c>
      <c r="T24" s="73">
        <v>0</v>
      </c>
      <c r="U24" s="75">
        <v>0</v>
      </c>
      <c r="V24" s="93" t="s">
        <v>151</v>
      </c>
      <c r="W24" s="94" t="s">
        <v>152</v>
      </c>
      <c r="X24" s="94">
        <v>0</v>
      </c>
      <c r="Y24" s="95">
        <v>0</v>
      </c>
      <c r="Z24" s="96">
        <v>0.25</v>
      </c>
      <c r="AA24" s="72">
        <v>31104.840000000004</v>
      </c>
      <c r="AB24" s="73">
        <v>19104.5</v>
      </c>
      <c r="AC24" s="73">
        <v>0</v>
      </c>
      <c r="AD24" s="74">
        <v>0</v>
      </c>
      <c r="AE24" s="72">
        <v>34770.06</v>
      </c>
      <c r="AF24" s="73">
        <v>17100</v>
      </c>
      <c r="AG24" s="73">
        <v>0</v>
      </c>
      <c r="AH24" s="75">
        <v>0</v>
      </c>
      <c r="AI24" s="93" t="s">
        <v>153</v>
      </c>
      <c r="AJ24" s="94" t="s">
        <v>154</v>
      </c>
      <c r="AK24" s="94">
        <v>0</v>
      </c>
      <c r="AL24" s="95">
        <v>0</v>
      </c>
      <c r="AM24" s="96">
        <v>0.1</v>
      </c>
      <c r="AN24" s="72">
        <v>5112</v>
      </c>
      <c r="AO24" s="73">
        <v>4680</v>
      </c>
      <c r="AP24" s="73">
        <v>0</v>
      </c>
      <c r="AQ24" s="74">
        <v>0</v>
      </c>
      <c r="AR24" s="72">
        <v>4560</v>
      </c>
      <c r="AS24" s="73">
        <v>6192</v>
      </c>
      <c r="AT24" s="73">
        <v>0</v>
      </c>
      <c r="AU24" s="75">
        <v>0</v>
      </c>
      <c r="AV24" s="93" t="s">
        <v>155</v>
      </c>
      <c r="AW24" s="94">
        <v>0</v>
      </c>
      <c r="AX24" s="94">
        <v>0</v>
      </c>
      <c r="AY24" s="95">
        <v>0</v>
      </c>
      <c r="AZ24" s="97">
        <v>0.15</v>
      </c>
      <c r="BA24" s="72">
        <v>1079</v>
      </c>
      <c r="BB24" s="73">
        <v>0</v>
      </c>
      <c r="BC24" s="73">
        <v>0</v>
      </c>
      <c r="BD24" s="74">
        <v>0</v>
      </c>
      <c r="BE24" s="72">
        <v>1494.0000000000002</v>
      </c>
      <c r="BF24" s="73">
        <v>0</v>
      </c>
      <c r="BG24" s="73">
        <v>0</v>
      </c>
      <c r="BH24" s="75">
        <v>0</v>
      </c>
      <c r="BI24" s="98">
        <v>156495.73000000001</v>
      </c>
      <c r="BJ24" s="99">
        <v>153053.01999999999</v>
      </c>
      <c r="BK24" s="100" t="s">
        <v>226</v>
      </c>
      <c r="BL24" s="100">
        <v>0.84</v>
      </c>
      <c r="BM24" s="62"/>
      <c r="BN24" s="80" t="s">
        <v>227</v>
      </c>
      <c r="BO24" s="81">
        <v>41982</v>
      </c>
      <c r="BP24" s="82">
        <v>3</v>
      </c>
      <c r="BQ24" s="82">
        <v>1</v>
      </c>
      <c r="BR24" s="82">
        <v>3</v>
      </c>
      <c r="BS24" s="80">
        <v>329604</v>
      </c>
      <c r="BT24" s="83">
        <v>1</v>
      </c>
      <c r="BU24" s="61"/>
      <c r="BV24" s="84">
        <v>1.073</v>
      </c>
      <c r="BW24" s="84">
        <v>0.96799999999999997</v>
      </c>
      <c r="BX24" s="84">
        <v>0.91100000000000003</v>
      </c>
      <c r="BY24" s="84">
        <v>0.72199999999999998</v>
      </c>
      <c r="BZ24" s="62"/>
      <c r="CA24" s="85"/>
      <c r="CB24" s="85"/>
      <c r="CC24" s="85"/>
      <c r="CD24" s="85"/>
      <c r="CE24" s="62"/>
      <c r="CF24" s="86">
        <v>1.02</v>
      </c>
      <c r="CG24" s="87">
        <v>1</v>
      </c>
      <c r="CH24" s="87">
        <v>1.2</v>
      </c>
      <c r="CI24" s="87">
        <v>0</v>
      </c>
      <c r="CJ24" s="87">
        <v>0.5</v>
      </c>
    </row>
    <row r="25" spans="1:88" x14ac:dyDescent="0.35">
      <c r="A25" s="88" t="s">
        <v>225</v>
      </c>
      <c r="B25" s="89">
        <v>24</v>
      </c>
      <c r="C25" s="90" t="s">
        <v>37</v>
      </c>
      <c r="D25" s="90" t="s">
        <v>38</v>
      </c>
      <c r="E25" s="91">
        <v>40680</v>
      </c>
      <c r="F25" s="91" t="s">
        <v>226</v>
      </c>
      <c r="G25" s="91" t="s">
        <v>226</v>
      </c>
      <c r="H25" s="92" t="s">
        <v>167</v>
      </c>
      <c r="I25" s="93" t="s">
        <v>168</v>
      </c>
      <c r="J25" s="94">
        <v>0</v>
      </c>
      <c r="K25" s="94">
        <v>0</v>
      </c>
      <c r="L25" s="95">
        <v>0</v>
      </c>
      <c r="M25" s="96">
        <v>0.5</v>
      </c>
      <c r="N25" s="72">
        <v>434045.23500000004</v>
      </c>
      <c r="O25" s="73">
        <v>0</v>
      </c>
      <c r="P25" s="73">
        <v>0</v>
      </c>
      <c r="Q25" s="74">
        <v>0</v>
      </c>
      <c r="R25" s="72">
        <v>453231.89000000007</v>
      </c>
      <c r="S25" s="73">
        <v>0</v>
      </c>
      <c r="T25" s="73">
        <v>0</v>
      </c>
      <c r="U25" s="75">
        <v>0</v>
      </c>
      <c r="V25" s="93" t="s">
        <v>169</v>
      </c>
      <c r="W25" s="94">
        <v>0</v>
      </c>
      <c r="X25" s="94">
        <v>0</v>
      </c>
      <c r="Y25" s="95">
        <v>0</v>
      </c>
      <c r="Z25" s="96">
        <v>0.25</v>
      </c>
      <c r="AA25" s="72">
        <v>198792.19999999998</v>
      </c>
      <c r="AB25" s="73">
        <v>0</v>
      </c>
      <c r="AC25" s="73">
        <v>0</v>
      </c>
      <c r="AD25" s="74">
        <v>0</v>
      </c>
      <c r="AE25" s="72">
        <v>235943.41</v>
      </c>
      <c r="AF25" s="73">
        <v>0</v>
      </c>
      <c r="AG25" s="73">
        <v>0</v>
      </c>
      <c r="AH25" s="75">
        <v>0</v>
      </c>
      <c r="AI25" s="93" t="s">
        <v>170</v>
      </c>
      <c r="AJ25" s="94">
        <v>0</v>
      </c>
      <c r="AK25" s="94">
        <v>0</v>
      </c>
      <c r="AL25" s="95">
        <v>0</v>
      </c>
      <c r="AM25" s="96">
        <v>0.2</v>
      </c>
      <c r="AN25" s="72">
        <v>170766.79</v>
      </c>
      <c r="AO25" s="73">
        <v>0</v>
      </c>
      <c r="AP25" s="73">
        <v>0</v>
      </c>
      <c r="AQ25" s="74">
        <v>0</v>
      </c>
      <c r="AR25" s="72">
        <v>164576.17000000001</v>
      </c>
      <c r="AS25" s="73">
        <v>0</v>
      </c>
      <c r="AT25" s="73">
        <v>0</v>
      </c>
      <c r="AU25" s="75">
        <v>0</v>
      </c>
      <c r="AV25" s="93" t="s">
        <v>171</v>
      </c>
      <c r="AW25" s="94">
        <v>0</v>
      </c>
      <c r="AX25" s="94">
        <v>0</v>
      </c>
      <c r="AY25" s="95">
        <v>0</v>
      </c>
      <c r="AZ25" s="97">
        <v>4.9999999999999989E-2</v>
      </c>
      <c r="BA25" s="72">
        <v>43629.599999999999</v>
      </c>
      <c r="BB25" s="73">
        <v>0</v>
      </c>
      <c r="BC25" s="73">
        <v>0</v>
      </c>
      <c r="BD25" s="74">
        <v>0</v>
      </c>
      <c r="BE25" s="72">
        <v>47400</v>
      </c>
      <c r="BF25" s="73">
        <v>0</v>
      </c>
      <c r="BG25" s="73">
        <v>0</v>
      </c>
      <c r="BH25" s="75">
        <v>0</v>
      </c>
      <c r="BI25" s="98">
        <v>847233.82500000007</v>
      </c>
      <c r="BJ25" s="99">
        <v>901151.47000000009</v>
      </c>
      <c r="BK25" s="100">
        <v>0.61</v>
      </c>
      <c r="BL25" s="100">
        <v>0.93</v>
      </c>
      <c r="BM25" s="62"/>
      <c r="BN25" s="80" t="s">
        <v>227</v>
      </c>
      <c r="BO25" s="81">
        <v>40772</v>
      </c>
      <c r="BP25" s="82">
        <v>3</v>
      </c>
      <c r="BQ25" s="82">
        <v>1</v>
      </c>
      <c r="BR25" s="82">
        <v>3</v>
      </c>
      <c r="BS25" s="80">
        <v>605000</v>
      </c>
      <c r="BT25" s="83">
        <v>1</v>
      </c>
      <c r="BU25" s="61"/>
      <c r="BV25" s="84">
        <v>0.95799999999999996</v>
      </c>
      <c r="BW25" s="84">
        <v>0.84299999999999997</v>
      </c>
      <c r="BX25" s="84">
        <v>1.038</v>
      </c>
      <c r="BY25" s="84">
        <v>0.92</v>
      </c>
      <c r="BZ25" s="62"/>
      <c r="CA25" s="85"/>
      <c r="CB25" s="85"/>
      <c r="CC25" s="85"/>
      <c r="CD25" s="85"/>
      <c r="CE25" s="62"/>
      <c r="CF25" s="86">
        <v>0.94</v>
      </c>
      <c r="CG25" s="87">
        <v>1</v>
      </c>
      <c r="CH25" s="87">
        <v>0.7</v>
      </c>
      <c r="CI25" s="87">
        <v>0</v>
      </c>
      <c r="CJ25" s="87">
        <v>0.5</v>
      </c>
    </row>
    <row r="26" spans="1:88" x14ac:dyDescent="0.35">
      <c r="A26" s="88" t="s">
        <v>225</v>
      </c>
      <c r="B26" s="89">
        <v>25</v>
      </c>
      <c r="C26" s="90" t="s">
        <v>39</v>
      </c>
      <c r="D26" s="90" t="s">
        <v>12</v>
      </c>
      <c r="E26" s="91">
        <v>41918</v>
      </c>
      <c r="F26" s="91" t="s">
        <v>226</v>
      </c>
      <c r="G26" s="91" t="s">
        <v>226</v>
      </c>
      <c r="H26" s="92" t="s">
        <v>148</v>
      </c>
      <c r="I26" s="93" t="s">
        <v>149</v>
      </c>
      <c r="J26" s="94" t="s">
        <v>150</v>
      </c>
      <c r="K26" s="94">
        <v>0</v>
      </c>
      <c r="L26" s="95">
        <v>0</v>
      </c>
      <c r="M26" s="96">
        <v>0.5</v>
      </c>
      <c r="N26" s="72">
        <v>110484.315</v>
      </c>
      <c r="O26" s="73">
        <v>68752</v>
      </c>
      <c r="P26" s="73">
        <v>0</v>
      </c>
      <c r="Q26" s="74">
        <v>0</v>
      </c>
      <c r="R26" s="72">
        <v>99030.41</v>
      </c>
      <c r="S26" s="73">
        <v>61435</v>
      </c>
      <c r="T26" s="73">
        <v>0</v>
      </c>
      <c r="U26" s="75">
        <v>0</v>
      </c>
      <c r="V26" s="93" t="s">
        <v>151</v>
      </c>
      <c r="W26" s="94" t="s">
        <v>152</v>
      </c>
      <c r="X26" s="94">
        <v>0</v>
      </c>
      <c r="Y26" s="95">
        <v>0</v>
      </c>
      <c r="Z26" s="96">
        <v>0.25</v>
      </c>
      <c r="AA26" s="72">
        <v>58432.192000000003</v>
      </c>
      <c r="AB26" s="73">
        <v>17779.25</v>
      </c>
      <c r="AC26" s="73">
        <v>0</v>
      </c>
      <c r="AD26" s="74">
        <v>0</v>
      </c>
      <c r="AE26" s="72">
        <v>68417.440000000002</v>
      </c>
      <c r="AF26" s="73">
        <v>17955</v>
      </c>
      <c r="AG26" s="73">
        <v>0</v>
      </c>
      <c r="AH26" s="75">
        <v>0</v>
      </c>
      <c r="AI26" s="93" t="s">
        <v>153</v>
      </c>
      <c r="AJ26" s="94" t="s">
        <v>154</v>
      </c>
      <c r="AK26" s="94">
        <v>0</v>
      </c>
      <c r="AL26" s="95">
        <v>0</v>
      </c>
      <c r="AM26" s="96">
        <v>0.1</v>
      </c>
      <c r="AN26" s="72">
        <v>6744</v>
      </c>
      <c r="AO26" s="73">
        <v>9864</v>
      </c>
      <c r="AP26" s="73">
        <v>0</v>
      </c>
      <c r="AQ26" s="74">
        <v>0</v>
      </c>
      <c r="AR26" s="72">
        <v>6372</v>
      </c>
      <c r="AS26" s="73">
        <v>9312</v>
      </c>
      <c r="AT26" s="73">
        <v>0</v>
      </c>
      <c r="AU26" s="75">
        <v>0</v>
      </c>
      <c r="AV26" s="93" t="s">
        <v>155</v>
      </c>
      <c r="AW26" s="94">
        <v>0</v>
      </c>
      <c r="AX26" s="94">
        <v>0</v>
      </c>
      <c r="AY26" s="95">
        <v>0</v>
      </c>
      <c r="AZ26" s="97">
        <v>0.15</v>
      </c>
      <c r="BA26" s="72">
        <v>232.40000000000003</v>
      </c>
      <c r="BB26" s="73">
        <v>0</v>
      </c>
      <c r="BC26" s="73">
        <v>0</v>
      </c>
      <c r="BD26" s="74">
        <v>0</v>
      </c>
      <c r="BE26" s="72">
        <v>1992.0000000000002</v>
      </c>
      <c r="BF26" s="73">
        <v>0</v>
      </c>
      <c r="BG26" s="73">
        <v>0</v>
      </c>
      <c r="BH26" s="75">
        <v>0</v>
      </c>
      <c r="BI26" s="98">
        <v>272288.15700000001</v>
      </c>
      <c r="BJ26" s="99">
        <v>264513.84999999998</v>
      </c>
      <c r="BK26" s="100" t="s">
        <v>226</v>
      </c>
      <c r="BL26" s="100">
        <v>0.95</v>
      </c>
      <c r="BM26" s="62"/>
      <c r="BN26" s="80" t="s">
        <v>227</v>
      </c>
      <c r="BO26" s="81">
        <v>42010</v>
      </c>
      <c r="BP26" s="82">
        <v>3</v>
      </c>
      <c r="BQ26" s="82">
        <v>1</v>
      </c>
      <c r="BR26" s="82">
        <v>3</v>
      </c>
      <c r="BS26" s="80">
        <v>329604</v>
      </c>
      <c r="BT26" s="83">
        <v>1</v>
      </c>
      <c r="BU26" s="61"/>
      <c r="BV26" s="84">
        <v>1.117</v>
      </c>
      <c r="BW26" s="84">
        <v>0.88200000000000001</v>
      </c>
      <c r="BX26" s="84">
        <v>1.0589999999999999</v>
      </c>
      <c r="BY26" s="84">
        <v>0.11700000000000001</v>
      </c>
      <c r="BZ26" s="62"/>
      <c r="CA26" s="85"/>
      <c r="CB26" s="85"/>
      <c r="CC26" s="85"/>
      <c r="CD26" s="85"/>
      <c r="CE26" s="62"/>
      <c r="CF26" s="86">
        <v>1.03</v>
      </c>
      <c r="CG26" s="87">
        <v>1</v>
      </c>
      <c r="CH26" s="87">
        <v>1.3</v>
      </c>
      <c r="CI26" s="87">
        <v>0</v>
      </c>
      <c r="CJ26" s="87">
        <v>1</v>
      </c>
    </row>
    <row r="27" spans="1:88" x14ac:dyDescent="0.35">
      <c r="A27" s="88" t="s">
        <v>225</v>
      </c>
      <c r="B27" s="89">
        <v>26</v>
      </c>
      <c r="C27" s="90" t="s">
        <v>40</v>
      </c>
      <c r="D27" s="90" t="s">
        <v>12</v>
      </c>
      <c r="E27" s="91">
        <v>42513</v>
      </c>
      <c r="F27" s="91" t="s">
        <v>226</v>
      </c>
      <c r="G27" s="91" t="s">
        <v>226</v>
      </c>
      <c r="H27" s="92" t="s">
        <v>148</v>
      </c>
      <c r="I27" s="93" t="s">
        <v>149</v>
      </c>
      <c r="J27" s="94" t="s">
        <v>150</v>
      </c>
      <c r="K27" s="94">
        <v>0</v>
      </c>
      <c r="L27" s="95">
        <v>0</v>
      </c>
      <c r="M27" s="96">
        <v>0.5</v>
      </c>
      <c r="N27" s="72">
        <v>422723.07</v>
      </c>
      <c r="O27" s="73">
        <v>199408</v>
      </c>
      <c r="P27" s="73">
        <v>0</v>
      </c>
      <c r="Q27" s="74">
        <v>0</v>
      </c>
      <c r="R27" s="72">
        <v>340538.94</v>
      </c>
      <c r="S27" s="73">
        <v>185152.5</v>
      </c>
      <c r="T27" s="73">
        <v>0</v>
      </c>
      <c r="U27" s="75">
        <v>0</v>
      </c>
      <c r="V27" s="93" t="s">
        <v>151</v>
      </c>
      <c r="W27" s="94" t="s">
        <v>152</v>
      </c>
      <c r="X27" s="94">
        <v>0</v>
      </c>
      <c r="Y27" s="95">
        <v>0</v>
      </c>
      <c r="Z27" s="96">
        <v>0.25</v>
      </c>
      <c r="AA27" s="72">
        <v>376824.24</v>
      </c>
      <c r="AB27" s="73">
        <v>37848</v>
      </c>
      <c r="AC27" s="73">
        <v>0</v>
      </c>
      <c r="AD27" s="74">
        <v>0</v>
      </c>
      <c r="AE27" s="72">
        <v>261353.30000000002</v>
      </c>
      <c r="AF27" s="73">
        <v>42873.5</v>
      </c>
      <c r="AG27" s="73">
        <v>0</v>
      </c>
      <c r="AH27" s="75">
        <v>0</v>
      </c>
      <c r="AI27" s="93" t="s">
        <v>153</v>
      </c>
      <c r="AJ27" s="94" t="s">
        <v>154</v>
      </c>
      <c r="AK27" s="94">
        <v>0</v>
      </c>
      <c r="AL27" s="95">
        <v>0</v>
      </c>
      <c r="AM27" s="96">
        <v>0.1</v>
      </c>
      <c r="AN27" s="72">
        <v>32076</v>
      </c>
      <c r="AO27" s="73">
        <v>34896</v>
      </c>
      <c r="AP27" s="73">
        <v>0</v>
      </c>
      <c r="AQ27" s="74">
        <v>0</v>
      </c>
      <c r="AR27" s="72">
        <v>39732</v>
      </c>
      <c r="AS27" s="73">
        <v>37068</v>
      </c>
      <c r="AT27" s="73">
        <v>0</v>
      </c>
      <c r="AU27" s="75">
        <v>0</v>
      </c>
      <c r="AV27" s="93" t="s">
        <v>155</v>
      </c>
      <c r="AW27" s="94">
        <v>0</v>
      </c>
      <c r="AX27" s="94">
        <v>0</v>
      </c>
      <c r="AY27" s="95">
        <v>0</v>
      </c>
      <c r="AZ27" s="97">
        <v>0.15</v>
      </c>
      <c r="BA27" s="72">
        <v>6225.0000000000009</v>
      </c>
      <c r="BB27" s="73">
        <v>0</v>
      </c>
      <c r="BC27" s="73">
        <v>0</v>
      </c>
      <c r="BD27" s="74">
        <v>0</v>
      </c>
      <c r="BE27" s="72">
        <v>6640.0000000000009</v>
      </c>
      <c r="BF27" s="73">
        <v>0</v>
      </c>
      <c r="BG27" s="73">
        <v>0</v>
      </c>
      <c r="BH27" s="75">
        <v>0</v>
      </c>
      <c r="BI27" s="98">
        <v>1110000.31</v>
      </c>
      <c r="BJ27" s="99">
        <v>913358.24</v>
      </c>
      <c r="BK27" s="100" t="s">
        <v>226</v>
      </c>
      <c r="BL27" s="100">
        <v>0.98</v>
      </c>
      <c r="BM27" s="62"/>
      <c r="BN27" s="80" t="s">
        <v>227</v>
      </c>
      <c r="BO27" s="81">
        <v>42605</v>
      </c>
      <c r="BP27" s="82">
        <v>3</v>
      </c>
      <c r="BQ27" s="82">
        <v>1</v>
      </c>
      <c r="BR27" s="82">
        <v>3</v>
      </c>
      <c r="BS27" s="80">
        <v>329604</v>
      </c>
      <c r="BT27" s="83">
        <v>1</v>
      </c>
      <c r="BU27" s="61"/>
      <c r="BV27" s="84">
        <v>1.1830000000000001</v>
      </c>
      <c r="BW27" s="84">
        <v>1.363</v>
      </c>
      <c r="BX27" s="84">
        <v>0.872</v>
      </c>
      <c r="BY27" s="84">
        <v>0.93799999999999994</v>
      </c>
      <c r="BZ27" s="62"/>
      <c r="CA27" s="85"/>
      <c r="CB27" s="85"/>
      <c r="CC27" s="85"/>
      <c r="CD27" s="85"/>
      <c r="CE27" s="62"/>
      <c r="CF27" s="86">
        <v>1.22</v>
      </c>
      <c r="CG27" s="87">
        <v>1</v>
      </c>
      <c r="CH27" s="87">
        <v>2.5</v>
      </c>
      <c r="CI27" s="87">
        <v>0</v>
      </c>
      <c r="CJ27" s="87">
        <v>1</v>
      </c>
    </row>
    <row r="28" spans="1:88" x14ac:dyDescent="0.35">
      <c r="A28" s="88" t="s">
        <v>225</v>
      </c>
      <c r="B28" s="89">
        <v>27</v>
      </c>
      <c r="C28" s="90" t="s">
        <v>41</v>
      </c>
      <c r="D28" s="90" t="s">
        <v>12</v>
      </c>
      <c r="E28" s="91">
        <v>40686</v>
      </c>
      <c r="F28" s="91" t="s">
        <v>226</v>
      </c>
      <c r="G28" s="91" t="s">
        <v>226</v>
      </c>
      <c r="H28" s="67" t="s">
        <v>156</v>
      </c>
      <c r="I28" s="93" t="s">
        <v>157</v>
      </c>
      <c r="J28" s="94" t="s">
        <v>158</v>
      </c>
      <c r="K28" s="94">
        <v>0</v>
      </c>
      <c r="L28" s="95">
        <v>0</v>
      </c>
      <c r="M28" s="96">
        <v>0.3</v>
      </c>
      <c r="N28" s="72">
        <v>28836</v>
      </c>
      <c r="O28" s="73">
        <v>12980.4</v>
      </c>
      <c r="P28" s="73">
        <v>0</v>
      </c>
      <c r="Q28" s="74">
        <v>0</v>
      </c>
      <c r="R28" s="72">
        <v>34425</v>
      </c>
      <c r="S28" s="73">
        <v>12261.2</v>
      </c>
      <c r="T28" s="73">
        <v>0</v>
      </c>
      <c r="U28" s="75">
        <v>0</v>
      </c>
      <c r="V28" s="93" t="s">
        <v>159</v>
      </c>
      <c r="W28" s="94" t="s">
        <v>160</v>
      </c>
      <c r="X28" s="94" t="s">
        <v>161</v>
      </c>
      <c r="Y28" s="95">
        <v>0</v>
      </c>
      <c r="Z28" s="96">
        <v>0.25</v>
      </c>
      <c r="AA28" s="72">
        <v>77212</v>
      </c>
      <c r="AB28" s="73">
        <v>1446.81</v>
      </c>
      <c r="AC28" s="73">
        <v>155</v>
      </c>
      <c r="AD28" s="74">
        <v>0</v>
      </c>
      <c r="AE28" s="72">
        <v>63477</v>
      </c>
      <c r="AF28" s="73">
        <v>1929.08</v>
      </c>
      <c r="AG28" s="73">
        <v>651</v>
      </c>
      <c r="AH28" s="75">
        <v>0</v>
      </c>
      <c r="AI28" s="93" t="s">
        <v>151</v>
      </c>
      <c r="AJ28" s="94">
        <v>0</v>
      </c>
      <c r="AK28" s="94">
        <v>0</v>
      </c>
      <c r="AL28" s="95">
        <v>0</v>
      </c>
      <c r="AM28" s="96">
        <v>0.25</v>
      </c>
      <c r="AN28" s="72">
        <v>11358.880000000001</v>
      </c>
      <c r="AO28" s="73">
        <v>0</v>
      </c>
      <c r="AP28" s="73">
        <v>0</v>
      </c>
      <c r="AQ28" s="74">
        <v>0</v>
      </c>
      <c r="AR28" s="72">
        <v>11078.210000000001</v>
      </c>
      <c r="AS28" s="73">
        <v>0</v>
      </c>
      <c r="AT28" s="73">
        <v>0</v>
      </c>
      <c r="AU28" s="75">
        <v>0</v>
      </c>
      <c r="AV28" s="93" t="s">
        <v>162</v>
      </c>
      <c r="AW28" s="94" t="s">
        <v>150</v>
      </c>
      <c r="AX28" s="94" t="s">
        <v>149</v>
      </c>
      <c r="AY28" s="95">
        <v>0</v>
      </c>
      <c r="AZ28" s="97">
        <v>0.19999999999999996</v>
      </c>
      <c r="BA28" s="72">
        <v>14363.52</v>
      </c>
      <c r="BB28" s="73">
        <v>2380.15</v>
      </c>
      <c r="BC28" s="73">
        <v>2749.8745000000004</v>
      </c>
      <c r="BD28" s="74">
        <v>0</v>
      </c>
      <c r="BE28" s="72">
        <v>11799.7</v>
      </c>
      <c r="BF28" s="73">
        <v>2728.2000000000003</v>
      </c>
      <c r="BG28" s="73">
        <v>2539.3235000000004</v>
      </c>
      <c r="BH28" s="75">
        <v>0</v>
      </c>
      <c r="BI28" s="98">
        <v>151482.63449999999</v>
      </c>
      <c r="BJ28" s="99">
        <v>140888.71350000001</v>
      </c>
      <c r="BK28" s="100" t="s">
        <v>226</v>
      </c>
      <c r="BL28" s="100">
        <v>0.95</v>
      </c>
      <c r="BM28" s="62"/>
      <c r="BN28" s="80" t="s">
        <v>227</v>
      </c>
      <c r="BO28" s="81">
        <v>40778</v>
      </c>
      <c r="BP28" s="82">
        <v>3</v>
      </c>
      <c r="BQ28" s="82">
        <v>1</v>
      </c>
      <c r="BR28" s="82">
        <v>3</v>
      </c>
      <c r="BS28" s="80">
        <v>329604</v>
      </c>
      <c r="BT28" s="83">
        <v>1</v>
      </c>
      <c r="BU28" s="61"/>
      <c r="BV28" s="84">
        <v>0.89600000000000002</v>
      </c>
      <c r="BW28" s="84">
        <v>1.1930000000000001</v>
      </c>
      <c r="BX28" s="84">
        <v>1.0249999999999999</v>
      </c>
      <c r="BY28" s="84">
        <v>1.1419999999999999</v>
      </c>
      <c r="BZ28" s="62"/>
      <c r="CA28" s="85"/>
      <c r="CB28" s="85"/>
      <c r="CC28" s="85"/>
      <c r="CD28" s="85"/>
      <c r="CE28" s="62"/>
      <c r="CF28" s="86">
        <v>1.08</v>
      </c>
      <c r="CG28" s="87">
        <v>1</v>
      </c>
      <c r="CH28" s="87">
        <v>1.8</v>
      </c>
      <c r="CI28" s="87">
        <v>0</v>
      </c>
      <c r="CJ28" s="87">
        <v>1</v>
      </c>
    </row>
    <row r="29" spans="1:88" x14ac:dyDescent="0.35">
      <c r="A29" s="88" t="s">
        <v>225</v>
      </c>
      <c r="B29" s="89">
        <v>28</v>
      </c>
      <c r="C29" s="90" t="s">
        <v>42</v>
      </c>
      <c r="D29" s="90" t="s">
        <v>12</v>
      </c>
      <c r="E29" s="91">
        <v>40676</v>
      </c>
      <c r="F29" s="91">
        <v>42795</v>
      </c>
      <c r="G29" s="91" t="s">
        <v>226</v>
      </c>
      <c r="H29" s="92" t="s">
        <v>156</v>
      </c>
      <c r="I29" s="93" t="s">
        <v>157</v>
      </c>
      <c r="J29" s="94" t="s">
        <v>158</v>
      </c>
      <c r="K29" s="94">
        <v>0</v>
      </c>
      <c r="L29" s="95">
        <v>0</v>
      </c>
      <c r="M29" s="96">
        <v>0.3</v>
      </c>
      <c r="N29" s="72">
        <v>17307</v>
      </c>
      <c r="O29" s="73">
        <v>7494</v>
      </c>
      <c r="P29" s="73">
        <v>0</v>
      </c>
      <c r="Q29" s="74">
        <v>0</v>
      </c>
      <c r="R29" s="72">
        <v>28350</v>
      </c>
      <c r="S29" s="73">
        <v>5742</v>
      </c>
      <c r="T29" s="73">
        <v>0</v>
      </c>
      <c r="U29" s="75">
        <v>0</v>
      </c>
      <c r="V29" s="93" t="s">
        <v>159</v>
      </c>
      <c r="W29" s="94" t="s">
        <v>160</v>
      </c>
      <c r="X29" s="94" t="s">
        <v>161</v>
      </c>
      <c r="Y29" s="95">
        <v>0</v>
      </c>
      <c r="Z29" s="96">
        <v>0.25</v>
      </c>
      <c r="AA29" s="72">
        <v>16912</v>
      </c>
      <c r="AB29" s="73">
        <v>615</v>
      </c>
      <c r="AC29" s="73">
        <v>124</v>
      </c>
      <c r="AD29" s="74"/>
      <c r="AE29" s="72">
        <v>36315</v>
      </c>
      <c r="AF29" s="73">
        <v>748</v>
      </c>
      <c r="AG29" s="73">
        <v>806</v>
      </c>
      <c r="AH29" s="75"/>
      <c r="AI29" s="93" t="s">
        <v>151</v>
      </c>
      <c r="AJ29" s="94">
        <v>0</v>
      </c>
      <c r="AK29" s="94">
        <v>0</v>
      </c>
      <c r="AL29" s="95">
        <v>0</v>
      </c>
      <c r="AM29" s="96">
        <v>0.25</v>
      </c>
      <c r="AN29" s="72">
        <v>11755</v>
      </c>
      <c r="AO29" s="73"/>
      <c r="AP29" s="73"/>
      <c r="AQ29" s="74"/>
      <c r="AR29" s="72">
        <v>12383</v>
      </c>
      <c r="AS29" s="73"/>
      <c r="AT29" s="73"/>
      <c r="AU29" s="75"/>
      <c r="AV29" s="93" t="s">
        <v>162</v>
      </c>
      <c r="AW29" s="94" t="s">
        <v>150</v>
      </c>
      <c r="AX29" s="94" t="s">
        <v>149</v>
      </c>
      <c r="AY29" s="95">
        <v>0</v>
      </c>
      <c r="AZ29" s="97">
        <v>0.19999999999999996</v>
      </c>
      <c r="BA29" s="72">
        <v>6087</v>
      </c>
      <c r="BB29" s="73">
        <v>2376</v>
      </c>
      <c r="BC29" s="73">
        <v>1434</v>
      </c>
      <c r="BD29" s="74"/>
      <c r="BE29" s="72">
        <v>8480</v>
      </c>
      <c r="BF29" s="73">
        <v>2085</v>
      </c>
      <c r="BG29" s="73">
        <v>1232</v>
      </c>
      <c r="BH29" s="75"/>
      <c r="BI29" s="98">
        <v>64104</v>
      </c>
      <c r="BJ29" s="99">
        <v>96141</v>
      </c>
      <c r="BK29" s="100" t="s">
        <v>226</v>
      </c>
      <c r="BL29" s="100">
        <v>0.79</v>
      </c>
      <c r="BM29" s="62"/>
      <c r="BN29" s="80" t="s">
        <v>229</v>
      </c>
      <c r="BO29" s="81">
        <v>40768</v>
      </c>
      <c r="BP29" s="82">
        <v>2</v>
      </c>
      <c r="BQ29" s="82">
        <v>1</v>
      </c>
      <c r="BR29" s="82">
        <v>2</v>
      </c>
      <c r="BS29" s="80">
        <v>329604</v>
      </c>
      <c r="BT29" s="83">
        <v>0.66666666666666663</v>
      </c>
      <c r="BU29" s="61"/>
      <c r="BV29" s="84">
        <v>0.72699999999999998</v>
      </c>
      <c r="BW29" s="84">
        <v>0.46600000000000003</v>
      </c>
      <c r="BX29" s="84">
        <v>0.94899999999999995</v>
      </c>
      <c r="BY29" s="84">
        <v>0.83899999999999997</v>
      </c>
      <c r="BZ29" s="62"/>
      <c r="CA29" s="85"/>
      <c r="CB29" s="85"/>
      <c r="CC29" s="85"/>
      <c r="CD29" s="85"/>
      <c r="CE29" s="62"/>
      <c r="CF29" s="86">
        <v>0.67</v>
      </c>
      <c r="CG29" s="87">
        <v>0</v>
      </c>
      <c r="CH29" s="87">
        <v>0</v>
      </c>
      <c r="CI29" s="87">
        <v>0</v>
      </c>
      <c r="CJ29" s="87">
        <v>0</v>
      </c>
    </row>
    <row r="30" spans="1:88" x14ac:dyDescent="0.35">
      <c r="A30" s="88" t="s">
        <v>225</v>
      </c>
      <c r="B30" s="89">
        <v>29</v>
      </c>
      <c r="C30" s="90" t="s">
        <v>42</v>
      </c>
      <c r="D30" s="90" t="s">
        <v>12</v>
      </c>
      <c r="E30" s="91">
        <v>40676</v>
      </c>
      <c r="F30" s="91" t="s">
        <v>226</v>
      </c>
      <c r="G30" s="91">
        <v>42826</v>
      </c>
      <c r="H30" s="92" t="s">
        <v>148</v>
      </c>
      <c r="I30" s="93" t="s">
        <v>149</v>
      </c>
      <c r="J30" s="94" t="s">
        <v>150</v>
      </c>
      <c r="K30" s="94">
        <v>0</v>
      </c>
      <c r="L30" s="95">
        <v>0</v>
      </c>
      <c r="M30" s="96">
        <v>0.5</v>
      </c>
      <c r="N30" s="72">
        <v>213923</v>
      </c>
      <c r="O30" s="73">
        <v>72224</v>
      </c>
      <c r="P30" s="73">
        <v>0</v>
      </c>
      <c r="Q30" s="74">
        <v>0</v>
      </c>
      <c r="R30" s="72">
        <v>121175.36</v>
      </c>
      <c r="S30" s="73">
        <v>64213.5</v>
      </c>
      <c r="T30" s="73">
        <v>0</v>
      </c>
      <c r="U30" s="75">
        <v>0</v>
      </c>
      <c r="V30" s="93" t="s">
        <v>151</v>
      </c>
      <c r="W30" s="94" t="s">
        <v>152</v>
      </c>
      <c r="X30" s="94">
        <v>0</v>
      </c>
      <c r="Y30" s="95">
        <v>0</v>
      </c>
      <c r="Z30" s="96">
        <v>0.25</v>
      </c>
      <c r="AA30" s="72">
        <v>128481</v>
      </c>
      <c r="AB30" s="73">
        <v>12759</v>
      </c>
      <c r="AC30" s="73"/>
      <c r="AD30" s="74"/>
      <c r="AE30" s="72">
        <v>89649</v>
      </c>
      <c r="AF30" s="73">
        <v>14250</v>
      </c>
      <c r="AG30" s="73"/>
      <c r="AH30" s="75"/>
      <c r="AI30" s="93" t="s">
        <v>153</v>
      </c>
      <c r="AJ30" s="94" t="s">
        <v>154</v>
      </c>
      <c r="AK30" s="94">
        <v>0</v>
      </c>
      <c r="AL30" s="95">
        <v>0</v>
      </c>
      <c r="AM30" s="96">
        <v>0.1</v>
      </c>
      <c r="AN30" s="72">
        <v>7476</v>
      </c>
      <c r="AO30" s="73">
        <v>10560</v>
      </c>
      <c r="AP30" s="73"/>
      <c r="AQ30" s="74"/>
      <c r="AR30" s="72">
        <v>13200</v>
      </c>
      <c r="AS30" s="73">
        <v>12516</v>
      </c>
      <c r="AT30" s="73"/>
      <c r="AU30" s="75"/>
      <c r="AV30" s="93" t="s">
        <v>155</v>
      </c>
      <c r="AW30" s="94">
        <v>0</v>
      </c>
      <c r="AX30" s="94">
        <v>0</v>
      </c>
      <c r="AY30" s="95">
        <v>0</v>
      </c>
      <c r="AZ30" s="97">
        <v>0.15</v>
      </c>
      <c r="BA30" s="72">
        <v>2540</v>
      </c>
      <c r="BB30" s="73"/>
      <c r="BC30" s="73"/>
      <c r="BD30" s="74"/>
      <c r="BE30" s="72">
        <v>3320</v>
      </c>
      <c r="BF30" s="73"/>
      <c r="BG30" s="73"/>
      <c r="BH30" s="75"/>
      <c r="BI30" s="98">
        <v>447963</v>
      </c>
      <c r="BJ30" s="99">
        <v>318323.86</v>
      </c>
      <c r="BK30" s="100" t="s">
        <v>226</v>
      </c>
      <c r="BL30" s="100">
        <v>0.79</v>
      </c>
      <c r="BM30" s="62"/>
      <c r="BN30" s="80" t="s">
        <v>227</v>
      </c>
      <c r="BO30" s="81">
        <v>40768</v>
      </c>
      <c r="BP30" s="82">
        <v>3</v>
      </c>
      <c r="BQ30" s="82">
        <v>1</v>
      </c>
      <c r="BR30" s="82">
        <v>3</v>
      </c>
      <c r="BS30" s="80">
        <v>329604</v>
      </c>
      <c r="BT30" s="83">
        <v>1</v>
      </c>
      <c r="BU30" s="61"/>
      <c r="BV30" s="84">
        <v>1.5429999999999999</v>
      </c>
      <c r="BW30" s="84">
        <v>1.359</v>
      </c>
      <c r="BX30" s="84">
        <v>0.70099999999999996</v>
      </c>
      <c r="BY30" s="84">
        <v>0.76500000000000001</v>
      </c>
      <c r="BZ30" s="62"/>
      <c r="CA30" s="85"/>
      <c r="CB30" s="85"/>
      <c r="CC30" s="85"/>
      <c r="CD30" s="85"/>
      <c r="CE30" s="62"/>
      <c r="CF30" s="86">
        <v>1.41</v>
      </c>
      <c r="CG30" s="87">
        <v>1</v>
      </c>
      <c r="CH30" s="87">
        <v>2.5</v>
      </c>
      <c r="CI30" s="87">
        <v>0</v>
      </c>
      <c r="CJ30" s="87">
        <v>0</v>
      </c>
    </row>
    <row r="31" spans="1:88" x14ac:dyDescent="0.35">
      <c r="A31" s="88" t="s">
        <v>225</v>
      </c>
      <c r="B31" s="89">
        <v>30</v>
      </c>
      <c r="C31" s="90" t="s">
        <v>43</v>
      </c>
      <c r="D31" s="90" t="s">
        <v>21</v>
      </c>
      <c r="E31" s="91">
        <v>42417</v>
      </c>
      <c r="F31" s="91" t="s">
        <v>226</v>
      </c>
      <c r="G31" s="91" t="s">
        <v>226</v>
      </c>
      <c r="H31" s="92" t="s">
        <v>166</v>
      </c>
      <c r="I31" s="93" t="s">
        <v>149</v>
      </c>
      <c r="J31" s="94">
        <v>0</v>
      </c>
      <c r="K31" s="94">
        <v>0</v>
      </c>
      <c r="L31" s="95">
        <v>0</v>
      </c>
      <c r="M31" s="96">
        <v>0.4</v>
      </c>
      <c r="N31" s="72">
        <v>422723.07</v>
      </c>
      <c r="O31" s="73">
        <v>0</v>
      </c>
      <c r="P31" s="73">
        <v>0</v>
      </c>
      <c r="Q31" s="74">
        <v>0</v>
      </c>
      <c r="R31" s="72">
        <v>340538.94</v>
      </c>
      <c r="S31" s="73">
        <v>0</v>
      </c>
      <c r="T31" s="73">
        <v>0</v>
      </c>
      <c r="U31" s="75">
        <v>0</v>
      </c>
      <c r="V31" s="93" t="s">
        <v>150</v>
      </c>
      <c r="W31" s="94">
        <v>0</v>
      </c>
      <c r="X31" s="94">
        <v>0</v>
      </c>
      <c r="Y31" s="95">
        <v>0</v>
      </c>
      <c r="Z31" s="96">
        <v>0.35</v>
      </c>
      <c r="AA31" s="72">
        <v>199408</v>
      </c>
      <c r="AB31" s="73">
        <v>0</v>
      </c>
      <c r="AC31" s="73">
        <v>0</v>
      </c>
      <c r="AD31" s="74">
        <v>0</v>
      </c>
      <c r="AE31" s="72">
        <v>185152.5</v>
      </c>
      <c r="AF31" s="73">
        <v>0</v>
      </c>
      <c r="AG31" s="73">
        <v>0</v>
      </c>
      <c r="AH31" s="75">
        <v>0</v>
      </c>
      <c r="AI31" s="93" t="s">
        <v>153</v>
      </c>
      <c r="AJ31" s="94" t="s">
        <v>154</v>
      </c>
      <c r="AK31" s="94">
        <v>0</v>
      </c>
      <c r="AL31" s="95">
        <v>0</v>
      </c>
      <c r="AM31" s="96">
        <v>0.25</v>
      </c>
      <c r="AN31" s="72">
        <v>32076</v>
      </c>
      <c r="AO31" s="73">
        <v>34896</v>
      </c>
      <c r="AP31" s="73">
        <v>0</v>
      </c>
      <c r="AQ31" s="74">
        <v>0</v>
      </c>
      <c r="AR31" s="72">
        <v>39732</v>
      </c>
      <c r="AS31" s="73">
        <v>37068</v>
      </c>
      <c r="AT31" s="73">
        <v>0</v>
      </c>
      <c r="AU31" s="75">
        <v>0</v>
      </c>
      <c r="AV31" s="93">
        <v>0</v>
      </c>
      <c r="AW31" s="94">
        <v>0</v>
      </c>
      <c r="AX31" s="94">
        <v>0</v>
      </c>
      <c r="AY31" s="95">
        <v>0</v>
      </c>
      <c r="AZ31" s="97">
        <v>0</v>
      </c>
      <c r="BA31" s="72">
        <v>0</v>
      </c>
      <c r="BB31" s="73">
        <v>0</v>
      </c>
      <c r="BC31" s="73">
        <v>0</v>
      </c>
      <c r="BD31" s="74">
        <v>0</v>
      </c>
      <c r="BE31" s="72">
        <v>0</v>
      </c>
      <c r="BF31" s="73">
        <v>0</v>
      </c>
      <c r="BG31" s="73">
        <v>0</v>
      </c>
      <c r="BH31" s="75">
        <v>0</v>
      </c>
      <c r="BI31" s="98">
        <v>689103.07000000007</v>
      </c>
      <c r="BJ31" s="99">
        <v>602491.43999999994</v>
      </c>
      <c r="BK31" s="100" t="s">
        <v>226</v>
      </c>
      <c r="BL31" s="100">
        <v>0.91</v>
      </c>
      <c r="BM31" s="62"/>
      <c r="BN31" s="80" t="s">
        <v>227</v>
      </c>
      <c r="BO31" s="81">
        <v>42507</v>
      </c>
      <c r="BP31" s="82">
        <v>3</v>
      </c>
      <c r="BQ31" s="82">
        <v>1</v>
      </c>
      <c r="BR31" s="82">
        <v>3</v>
      </c>
      <c r="BS31" s="80">
        <v>329604</v>
      </c>
      <c r="BT31" s="83">
        <v>1</v>
      </c>
      <c r="BU31" s="61"/>
      <c r="BV31" s="84">
        <v>1.2410000000000001</v>
      </c>
      <c r="BW31" s="84">
        <v>1.077</v>
      </c>
      <c r="BX31" s="84">
        <v>0.872</v>
      </c>
      <c r="BY31" s="84">
        <v>0</v>
      </c>
      <c r="BZ31" s="62"/>
      <c r="CA31" s="85"/>
      <c r="CB31" s="85"/>
      <c r="CC31" s="85"/>
      <c r="CD31" s="85"/>
      <c r="CE31" s="62"/>
      <c r="CF31" s="86">
        <v>1.1399999999999999</v>
      </c>
      <c r="CG31" s="87">
        <v>1</v>
      </c>
      <c r="CH31" s="87">
        <v>2.2000000000000002</v>
      </c>
      <c r="CI31" s="87">
        <v>0</v>
      </c>
      <c r="CJ31" s="87">
        <v>0.5</v>
      </c>
    </row>
    <row r="32" spans="1:88" x14ac:dyDescent="0.35">
      <c r="A32" s="88" t="s">
        <v>225</v>
      </c>
      <c r="B32" s="89">
        <v>31</v>
      </c>
      <c r="C32" s="90" t="s">
        <v>44</v>
      </c>
      <c r="D32" s="90" t="s">
        <v>12</v>
      </c>
      <c r="E32" s="91">
        <v>41919</v>
      </c>
      <c r="F32" s="91" t="s">
        <v>226</v>
      </c>
      <c r="G32" s="91" t="s">
        <v>226</v>
      </c>
      <c r="H32" s="92" t="s">
        <v>163</v>
      </c>
      <c r="I32" s="93" t="s">
        <v>149</v>
      </c>
      <c r="J32" s="94" t="s">
        <v>150</v>
      </c>
      <c r="K32" s="94">
        <v>0</v>
      </c>
      <c r="L32" s="95">
        <v>0</v>
      </c>
      <c r="M32" s="96">
        <v>0.1</v>
      </c>
      <c r="N32" s="72">
        <v>15049.333000000002</v>
      </c>
      <c r="O32" s="73">
        <v>7744.3250000000007</v>
      </c>
      <c r="P32" s="73">
        <v>0</v>
      </c>
      <c r="Q32" s="74">
        <v>0</v>
      </c>
      <c r="R32" s="72">
        <v>12113.050000000001</v>
      </c>
      <c r="S32" s="73">
        <v>7000.9000000000005</v>
      </c>
      <c r="T32" s="73">
        <v>0</v>
      </c>
      <c r="U32" s="75">
        <v>0</v>
      </c>
      <c r="V32" s="93" t="s">
        <v>159</v>
      </c>
      <c r="W32" s="94" t="s">
        <v>160</v>
      </c>
      <c r="X32" s="94" t="s">
        <v>161</v>
      </c>
      <c r="Y32" s="95">
        <v>0</v>
      </c>
      <c r="Z32" s="96">
        <v>0.3</v>
      </c>
      <c r="AA32" s="72">
        <v>174153.5</v>
      </c>
      <c r="AB32" s="73">
        <v>15831.759999999998</v>
      </c>
      <c r="AC32" s="73">
        <v>3813</v>
      </c>
      <c r="AD32" s="74">
        <v>0</v>
      </c>
      <c r="AE32" s="72">
        <v>166047</v>
      </c>
      <c r="AF32" s="73">
        <v>8980.1999999999989</v>
      </c>
      <c r="AG32" s="73">
        <v>6293</v>
      </c>
      <c r="AH32" s="75">
        <v>0</v>
      </c>
      <c r="AI32" s="93" t="s">
        <v>151</v>
      </c>
      <c r="AJ32" s="94">
        <v>0</v>
      </c>
      <c r="AK32" s="94">
        <v>0</v>
      </c>
      <c r="AL32" s="95">
        <v>0</v>
      </c>
      <c r="AM32" s="96">
        <v>0.3</v>
      </c>
      <c r="AN32" s="72">
        <v>155755.34000000003</v>
      </c>
      <c r="AO32" s="73">
        <v>0</v>
      </c>
      <c r="AP32" s="73">
        <v>0</v>
      </c>
      <c r="AQ32" s="74">
        <v>0</v>
      </c>
      <c r="AR32" s="72">
        <v>128976.12000000001</v>
      </c>
      <c r="AS32" s="73">
        <v>0</v>
      </c>
      <c r="AT32" s="73">
        <v>0</v>
      </c>
      <c r="AU32" s="75">
        <v>0</v>
      </c>
      <c r="AV32" s="93" t="s">
        <v>162</v>
      </c>
      <c r="AW32" s="94">
        <v>0</v>
      </c>
      <c r="AX32" s="94">
        <v>0</v>
      </c>
      <c r="AY32" s="95">
        <v>0</v>
      </c>
      <c r="AZ32" s="97">
        <v>0.3000000000000001</v>
      </c>
      <c r="BA32" s="72">
        <v>33868.94</v>
      </c>
      <c r="BB32" s="73">
        <v>0</v>
      </c>
      <c r="BC32" s="73">
        <v>0</v>
      </c>
      <c r="BD32" s="74">
        <v>0</v>
      </c>
      <c r="BE32" s="72">
        <v>30353.98</v>
      </c>
      <c r="BF32" s="73">
        <v>0</v>
      </c>
      <c r="BG32" s="73">
        <v>0</v>
      </c>
      <c r="BH32" s="75">
        <v>0</v>
      </c>
      <c r="BI32" s="98">
        <v>406216.19800000003</v>
      </c>
      <c r="BJ32" s="99">
        <v>359764.25</v>
      </c>
      <c r="BK32" s="100" t="s">
        <v>226</v>
      </c>
      <c r="BL32" s="100">
        <v>0.87</v>
      </c>
      <c r="BM32" s="62"/>
      <c r="BN32" s="80" t="s">
        <v>227</v>
      </c>
      <c r="BO32" s="81">
        <v>42011</v>
      </c>
      <c r="BP32" s="82">
        <v>3</v>
      </c>
      <c r="BQ32" s="82">
        <v>1</v>
      </c>
      <c r="BR32" s="82">
        <v>3</v>
      </c>
      <c r="BS32" s="80">
        <v>329604</v>
      </c>
      <c r="BT32" s="83">
        <v>1</v>
      </c>
      <c r="BU32" s="61"/>
      <c r="BV32" s="84">
        <v>1.1930000000000001</v>
      </c>
      <c r="BW32" s="84">
        <v>1.069</v>
      </c>
      <c r="BX32" s="84">
        <v>1.208</v>
      </c>
      <c r="BY32" s="84">
        <v>1.1160000000000001</v>
      </c>
      <c r="BZ32" s="62"/>
      <c r="CA32" s="85"/>
      <c r="CB32" s="85"/>
      <c r="CC32" s="85"/>
      <c r="CD32" s="85"/>
      <c r="CE32" s="62"/>
      <c r="CF32" s="86">
        <v>1.1299999999999999</v>
      </c>
      <c r="CG32" s="87">
        <v>1</v>
      </c>
      <c r="CH32" s="87">
        <v>2.15</v>
      </c>
      <c r="CI32" s="87">
        <v>0</v>
      </c>
      <c r="CJ32" s="87">
        <v>0.5</v>
      </c>
    </row>
    <row r="33" spans="1:88" x14ac:dyDescent="0.35">
      <c r="A33" s="88" t="s">
        <v>225</v>
      </c>
      <c r="B33" s="89">
        <v>32</v>
      </c>
      <c r="C33" s="90" t="s">
        <v>45</v>
      </c>
      <c r="D33" s="90" t="s">
        <v>12</v>
      </c>
      <c r="E33" s="91">
        <v>41555</v>
      </c>
      <c r="F33" s="91" t="s">
        <v>226</v>
      </c>
      <c r="G33" s="91" t="s">
        <v>226</v>
      </c>
      <c r="H33" s="67" t="s">
        <v>156</v>
      </c>
      <c r="I33" s="93" t="s">
        <v>157</v>
      </c>
      <c r="J33" s="94" t="s">
        <v>158</v>
      </c>
      <c r="K33" s="94">
        <v>0</v>
      </c>
      <c r="L33" s="95">
        <v>0</v>
      </c>
      <c r="M33" s="96">
        <v>0.3</v>
      </c>
      <c r="N33" s="72">
        <v>28836</v>
      </c>
      <c r="O33" s="73">
        <v>12980.4</v>
      </c>
      <c r="P33" s="73">
        <v>0</v>
      </c>
      <c r="Q33" s="74">
        <v>0</v>
      </c>
      <c r="R33" s="72">
        <v>34425</v>
      </c>
      <c r="S33" s="73">
        <v>12261.2</v>
      </c>
      <c r="T33" s="73">
        <v>0</v>
      </c>
      <c r="U33" s="75">
        <v>0</v>
      </c>
      <c r="V33" s="93" t="s">
        <v>159</v>
      </c>
      <c r="W33" s="94" t="s">
        <v>160</v>
      </c>
      <c r="X33" s="94" t="s">
        <v>161</v>
      </c>
      <c r="Y33" s="95">
        <v>0</v>
      </c>
      <c r="Z33" s="96">
        <v>0.25</v>
      </c>
      <c r="AA33" s="72">
        <v>77212</v>
      </c>
      <c r="AB33" s="73">
        <v>1446.81</v>
      </c>
      <c r="AC33" s="73">
        <v>155</v>
      </c>
      <c r="AD33" s="74">
        <v>0</v>
      </c>
      <c r="AE33" s="72">
        <v>63477</v>
      </c>
      <c r="AF33" s="73">
        <v>1929.08</v>
      </c>
      <c r="AG33" s="73">
        <v>651</v>
      </c>
      <c r="AH33" s="75">
        <v>0</v>
      </c>
      <c r="AI33" s="93" t="s">
        <v>151</v>
      </c>
      <c r="AJ33" s="94">
        <v>0</v>
      </c>
      <c r="AK33" s="94">
        <v>0</v>
      </c>
      <c r="AL33" s="95">
        <v>0</v>
      </c>
      <c r="AM33" s="96">
        <v>0.25</v>
      </c>
      <c r="AN33" s="72">
        <v>11358.880000000001</v>
      </c>
      <c r="AO33" s="73">
        <v>0</v>
      </c>
      <c r="AP33" s="73">
        <v>0</v>
      </c>
      <c r="AQ33" s="74">
        <v>0</v>
      </c>
      <c r="AR33" s="72">
        <v>11078.210000000001</v>
      </c>
      <c r="AS33" s="73">
        <v>0</v>
      </c>
      <c r="AT33" s="73">
        <v>0</v>
      </c>
      <c r="AU33" s="75">
        <v>0</v>
      </c>
      <c r="AV33" s="93" t="s">
        <v>162</v>
      </c>
      <c r="AW33" s="94" t="s">
        <v>150</v>
      </c>
      <c r="AX33" s="94" t="s">
        <v>149</v>
      </c>
      <c r="AY33" s="95">
        <v>0</v>
      </c>
      <c r="AZ33" s="97">
        <v>0.19999999999999996</v>
      </c>
      <c r="BA33" s="72">
        <v>14363.52</v>
      </c>
      <c r="BB33" s="73">
        <v>2380.15</v>
      </c>
      <c r="BC33" s="73">
        <v>2749.8745000000004</v>
      </c>
      <c r="BD33" s="74">
        <v>0</v>
      </c>
      <c r="BE33" s="72">
        <v>11799.7</v>
      </c>
      <c r="BF33" s="73">
        <v>2728.2000000000003</v>
      </c>
      <c r="BG33" s="73">
        <v>2539.3235000000004</v>
      </c>
      <c r="BH33" s="75">
        <v>0</v>
      </c>
      <c r="BI33" s="98">
        <v>151482.63449999999</v>
      </c>
      <c r="BJ33" s="99">
        <v>140888.71350000001</v>
      </c>
      <c r="BK33" s="100" t="s">
        <v>226</v>
      </c>
      <c r="BL33" s="100">
        <v>1</v>
      </c>
      <c r="BM33" s="62"/>
      <c r="BN33" s="80" t="s">
        <v>227</v>
      </c>
      <c r="BO33" s="81">
        <v>41647</v>
      </c>
      <c r="BP33" s="82">
        <v>3</v>
      </c>
      <c r="BQ33" s="82">
        <v>1</v>
      </c>
      <c r="BR33" s="82">
        <v>3</v>
      </c>
      <c r="BS33" s="80">
        <v>329604</v>
      </c>
      <c r="BT33" s="83">
        <v>1</v>
      </c>
      <c r="BU33" s="61"/>
      <c r="BV33" s="84">
        <v>0.89600000000000002</v>
      </c>
      <c r="BW33" s="84">
        <v>1.1930000000000001</v>
      </c>
      <c r="BX33" s="84">
        <v>1.0249999999999999</v>
      </c>
      <c r="BY33" s="84">
        <v>1.1419999999999999</v>
      </c>
      <c r="BZ33" s="62"/>
      <c r="CA33" s="85"/>
      <c r="CB33" s="85"/>
      <c r="CC33" s="85"/>
      <c r="CD33" s="85"/>
      <c r="CE33" s="62"/>
      <c r="CF33" s="86">
        <v>1.08</v>
      </c>
      <c r="CG33" s="87">
        <v>1</v>
      </c>
      <c r="CH33" s="87">
        <v>1.8</v>
      </c>
      <c r="CI33" s="87">
        <v>0</v>
      </c>
      <c r="CJ33" s="87">
        <v>1</v>
      </c>
    </row>
    <row r="34" spans="1:88" x14ac:dyDescent="0.35">
      <c r="A34" s="88" t="s">
        <v>225</v>
      </c>
      <c r="B34" s="89">
        <v>33</v>
      </c>
      <c r="C34" s="90" t="s">
        <v>46</v>
      </c>
      <c r="D34" s="90" t="s">
        <v>12</v>
      </c>
      <c r="E34" s="91">
        <v>42552</v>
      </c>
      <c r="F34" s="91" t="s">
        <v>226</v>
      </c>
      <c r="G34" s="91" t="s">
        <v>226</v>
      </c>
      <c r="H34" s="92" t="s">
        <v>148</v>
      </c>
      <c r="I34" s="93" t="s">
        <v>149</v>
      </c>
      <c r="J34" s="94" t="s">
        <v>150</v>
      </c>
      <c r="K34" s="94">
        <v>0</v>
      </c>
      <c r="L34" s="95">
        <v>0</v>
      </c>
      <c r="M34" s="96">
        <v>0.5</v>
      </c>
      <c r="N34" s="72">
        <v>74773.53</v>
      </c>
      <c r="O34" s="73">
        <v>35752</v>
      </c>
      <c r="P34" s="73">
        <v>0</v>
      </c>
      <c r="Q34" s="74">
        <v>0</v>
      </c>
      <c r="R34" s="72">
        <v>69379.539999999994</v>
      </c>
      <c r="S34" s="73">
        <v>38181</v>
      </c>
      <c r="T34" s="73">
        <v>0</v>
      </c>
      <c r="U34" s="75">
        <v>0</v>
      </c>
      <c r="V34" s="93" t="s">
        <v>151</v>
      </c>
      <c r="W34" s="94" t="s">
        <v>152</v>
      </c>
      <c r="X34" s="94">
        <v>0</v>
      </c>
      <c r="Y34" s="95">
        <v>0</v>
      </c>
      <c r="Z34" s="96">
        <v>0.25</v>
      </c>
      <c r="AA34" s="72">
        <v>33944.560000000005</v>
      </c>
      <c r="AB34" s="73">
        <v>16273.5</v>
      </c>
      <c r="AC34" s="73">
        <v>0</v>
      </c>
      <c r="AD34" s="74">
        <v>0</v>
      </c>
      <c r="AE34" s="72">
        <v>29883.1</v>
      </c>
      <c r="AF34" s="73">
        <v>13832</v>
      </c>
      <c r="AG34" s="73">
        <v>0</v>
      </c>
      <c r="AH34" s="75">
        <v>0</v>
      </c>
      <c r="AI34" s="93" t="s">
        <v>153</v>
      </c>
      <c r="AJ34" s="94" t="s">
        <v>154</v>
      </c>
      <c r="AK34" s="94">
        <v>0</v>
      </c>
      <c r="AL34" s="95">
        <v>0</v>
      </c>
      <c r="AM34" s="96">
        <v>0.1</v>
      </c>
      <c r="AN34" s="72">
        <v>6948</v>
      </c>
      <c r="AO34" s="73">
        <v>9120</v>
      </c>
      <c r="AP34" s="73">
        <v>0</v>
      </c>
      <c r="AQ34" s="74">
        <v>0</v>
      </c>
      <c r="AR34" s="72">
        <v>9180</v>
      </c>
      <c r="AS34" s="73">
        <v>8280</v>
      </c>
      <c r="AT34" s="73">
        <v>0</v>
      </c>
      <c r="AU34" s="75">
        <v>0</v>
      </c>
      <c r="AV34" s="93" t="s">
        <v>155</v>
      </c>
      <c r="AW34" s="94">
        <v>0</v>
      </c>
      <c r="AX34" s="94">
        <v>0</v>
      </c>
      <c r="AY34" s="95">
        <v>0</v>
      </c>
      <c r="AZ34" s="97">
        <v>0.15</v>
      </c>
      <c r="BA34" s="72">
        <v>1195.2</v>
      </c>
      <c r="BB34" s="73">
        <v>0</v>
      </c>
      <c r="BC34" s="73">
        <v>0</v>
      </c>
      <c r="BD34" s="74">
        <v>0</v>
      </c>
      <c r="BE34" s="72">
        <v>1660.0000000000002</v>
      </c>
      <c r="BF34" s="73">
        <v>0</v>
      </c>
      <c r="BG34" s="73">
        <v>0</v>
      </c>
      <c r="BH34" s="75">
        <v>0</v>
      </c>
      <c r="BI34" s="98">
        <v>178006.79</v>
      </c>
      <c r="BJ34" s="99">
        <v>170395.63999999998</v>
      </c>
      <c r="BK34" s="100" t="s">
        <v>226</v>
      </c>
      <c r="BL34" s="100">
        <v>0.96</v>
      </c>
      <c r="BM34" s="62"/>
      <c r="BN34" s="80" t="s">
        <v>227</v>
      </c>
      <c r="BO34" s="81">
        <v>42644</v>
      </c>
      <c r="BP34" s="82">
        <v>3</v>
      </c>
      <c r="BQ34" s="82">
        <v>1</v>
      </c>
      <c r="BR34" s="82">
        <v>3</v>
      </c>
      <c r="BS34" s="80">
        <v>329604</v>
      </c>
      <c r="BT34" s="83">
        <v>1</v>
      </c>
      <c r="BU34" s="61"/>
      <c r="BV34" s="84">
        <v>1.028</v>
      </c>
      <c r="BW34" s="84">
        <v>1.149</v>
      </c>
      <c r="BX34" s="84">
        <v>0.92</v>
      </c>
      <c r="BY34" s="84">
        <v>0.72</v>
      </c>
      <c r="BZ34" s="62"/>
      <c r="CA34" s="85"/>
      <c r="CB34" s="85"/>
      <c r="CC34" s="85"/>
      <c r="CD34" s="85"/>
      <c r="CE34" s="62"/>
      <c r="CF34" s="86">
        <v>1.04</v>
      </c>
      <c r="CG34" s="87">
        <v>1</v>
      </c>
      <c r="CH34" s="87">
        <v>1.4</v>
      </c>
      <c r="CI34" s="87">
        <v>0</v>
      </c>
      <c r="CJ34" s="87">
        <v>1</v>
      </c>
    </row>
    <row r="35" spans="1:88" x14ac:dyDescent="0.35">
      <c r="A35" s="88" t="s">
        <v>225</v>
      </c>
      <c r="B35" s="89">
        <v>34</v>
      </c>
      <c r="C35" s="90" t="s">
        <v>47</v>
      </c>
      <c r="D35" s="90" t="s">
        <v>12</v>
      </c>
      <c r="E35" s="91">
        <v>41228</v>
      </c>
      <c r="F35" s="91" t="s">
        <v>226</v>
      </c>
      <c r="G35" s="91" t="s">
        <v>226</v>
      </c>
      <c r="H35" s="92" t="s">
        <v>148</v>
      </c>
      <c r="I35" s="93" t="s">
        <v>149</v>
      </c>
      <c r="J35" s="94" t="s">
        <v>150</v>
      </c>
      <c r="K35" s="94">
        <v>0</v>
      </c>
      <c r="L35" s="95">
        <v>0</v>
      </c>
      <c r="M35" s="96">
        <v>0.5</v>
      </c>
      <c r="N35" s="72">
        <v>37294.460000000006</v>
      </c>
      <c r="O35" s="73">
        <v>26493</v>
      </c>
      <c r="P35" s="73">
        <v>0</v>
      </c>
      <c r="Q35" s="74">
        <v>0</v>
      </c>
      <c r="R35" s="72">
        <v>26851.46</v>
      </c>
      <c r="S35" s="73">
        <v>26335</v>
      </c>
      <c r="T35" s="73">
        <v>0</v>
      </c>
      <c r="U35" s="75">
        <v>0</v>
      </c>
      <c r="V35" s="93" t="s">
        <v>151</v>
      </c>
      <c r="W35" s="94" t="s">
        <v>152</v>
      </c>
      <c r="X35" s="94">
        <v>0</v>
      </c>
      <c r="Y35" s="95">
        <v>0</v>
      </c>
      <c r="Z35" s="96">
        <v>0.25</v>
      </c>
      <c r="AA35" s="72">
        <v>24368.760000000002</v>
      </c>
      <c r="AB35" s="73">
        <v>7039.5</v>
      </c>
      <c r="AC35" s="73">
        <v>0</v>
      </c>
      <c r="AD35" s="74">
        <v>0</v>
      </c>
      <c r="AE35" s="72">
        <v>17665.7</v>
      </c>
      <c r="AF35" s="73">
        <v>6859</v>
      </c>
      <c r="AG35" s="73">
        <v>0</v>
      </c>
      <c r="AH35" s="75">
        <v>0</v>
      </c>
      <c r="AI35" s="93" t="s">
        <v>153</v>
      </c>
      <c r="AJ35" s="94" t="s">
        <v>154</v>
      </c>
      <c r="AK35" s="94">
        <v>0</v>
      </c>
      <c r="AL35" s="95">
        <v>0</v>
      </c>
      <c r="AM35" s="96">
        <v>0.1</v>
      </c>
      <c r="AN35" s="72">
        <v>4692</v>
      </c>
      <c r="AO35" s="73">
        <v>5748</v>
      </c>
      <c r="AP35" s="73">
        <v>0</v>
      </c>
      <c r="AQ35" s="74">
        <v>0</v>
      </c>
      <c r="AR35" s="72">
        <v>3144</v>
      </c>
      <c r="AS35" s="73">
        <v>4560</v>
      </c>
      <c r="AT35" s="73">
        <v>0</v>
      </c>
      <c r="AU35" s="75">
        <v>0</v>
      </c>
      <c r="AV35" s="93" t="s">
        <v>155</v>
      </c>
      <c r="AW35" s="94">
        <v>0</v>
      </c>
      <c r="AX35" s="94">
        <v>0</v>
      </c>
      <c r="AY35" s="95">
        <v>0</v>
      </c>
      <c r="AZ35" s="97">
        <v>0.15</v>
      </c>
      <c r="BA35" s="72">
        <v>647.40000000000009</v>
      </c>
      <c r="BB35" s="73">
        <v>0</v>
      </c>
      <c r="BC35" s="73">
        <v>0</v>
      </c>
      <c r="BD35" s="74">
        <v>0</v>
      </c>
      <c r="BE35" s="72">
        <v>830.00000000000011</v>
      </c>
      <c r="BF35" s="73">
        <v>0</v>
      </c>
      <c r="BG35" s="73">
        <v>0</v>
      </c>
      <c r="BH35" s="75">
        <v>0</v>
      </c>
      <c r="BI35" s="98">
        <v>106283.12</v>
      </c>
      <c r="BJ35" s="99">
        <v>86245.16</v>
      </c>
      <c r="BK35" s="100" t="s">
        <v>226</v>
      </c>
      <c r="BL35" s="100">
        <v>0.92</v>
      </c>
      <c r="BM35" s="62"/>
      <c r="BN35" s="80" t="s">
        <v>227</v>
      </c>
      <c r="BO35" s="81">
        <v>41320</v>
      </c>
      <c r="BP35" s="82">
        <v>3</v>
      </c>
      <c r="BQ35" s="82">
        <v>1</v>
      </c>
      <c r="BR35" s="82">
        <v>3</v>
      </c>
      <c r="BS35" s="80">
        <v>329604</v>
      </c>
      <c r="BT35" s="83">
        <v>1</v>
      </c>
      <c r="BU35" s="61"/>
      <c r="BV35" s="84">
        <v>1.1990000000000001</v>
      </c>
      <c r="BW35" s="84">
        <v>1.2809999999999999</v>
      </c>
      <c r="BX35" s="84">
        <v>1.355</v>
      </c>
      <c r="BY35" s="84">
        <v>0.78</v>
      </c>
      <c r="BZ35" s="62"/>
      <c r="CA35" s="85"/>
      <c r="CB35" s="85"/>
      <c r="CC35" s="85"/>
      <c r="CD35" s="85"/>
      <c r="CE35" s="62"/>
      <c r="CF35" s="86">
        <v>1.23</v>
      </c>
      <c r="CG35" s="87">
        <v>1</v>
      </c>
      <c r="CH35" s="87">
        <v>2.5</v>
      </c>
      <c r="CI35" s="87">
        <v>0</v>
      </c>
      <c r="CJ35" s="87">
        <v>0.5</v>
      </c>
    </row>
    <row r="36" spans="1:88" x14ac:dyDescent="0.35">
      <c r="A36" s="88" t="s">
        <v>225</v>
      </c>
      <c r="B36" s="89">
        <v>35</v>
      </c>
      <c r="C36" s="90" t="s">
        <v>48</v>
      </c>
      <c r="D36" s="90" t="s">
        <v>12</v>
      </c>
      <c r="E36" s="91">
        <v>41739</v>
      </c>
      <c r="F36" s="91" t="s">
        <v>226</v>
      </c>
      <c r="G36" s="91" t="s">
        <v>226</v>
      </c>
      <c r="H36" s="92" t="s">
        <v>163</v>
      </c>
      <c r="I36" s="93" t="s">
        <v>149</v>
      </c>
      <c r="J36" s="94" t="s">
        <v>150</v>
      </c>
      <c r="K36" s="94">
        <v>0</v>
      </c>
      <c r="L36" s="95">
        <v>0</v>
      </c>
      <c r="M36" s="96">
        <v>0.1</v>
      </c>
      <c r="N36" s="72">
        <v>21136.1535</v>
      </c>
      <c r="O36" s="73">
        <v>9970.4000000000015</v>
      </c>
      <c r="P36" s="73">
        <v>0</v>
      </c>
      <c r="Q36" s="74">
        <v>0</v>
      </c>
      <c r="R36" s="72">
        <v>17026.947</v>
      </c>
      <c r="S36" s="73">
        <v>9257.625</v>
      </c>
      <c r="T36" s="73">
        <v>0</v>
      </c>
      <c r="U36" s="75">
        <v>0</v>
      </c>
      <c r="V36" s="93" t="s">
        <v>159</v>
      </c>
      <c r="W36" s="94" t="s">
        <v>160</v>
      </c>
      <c r="X36" s="94" t="s">
        <v>161</v>
      </c>
      <c r="Y36" s="95">
        <v>0</v>
      </c>
      <c r="Z36" s="96">
        <v>0.3</v>
      </c>
      <c r="AA36" s="72">
        <v>282509.5</v>
      </c>
      <c r="AB36" s="73">
        <v>9728.5499999999993</v>
      </c>
      <c r="AC36" s="73">
        <v>4712</v>
      </c>
      <c r="AD36" s="74">
        <v>0</v>
      </c>
      <c r="AE36" s="72">
        <v>148192.5</v>
      </c>
      <c r="AF36" s="73">
        <v>9678.66</v>
      </c>
      <c r="AG36" s="73">
        <v>9951</v>
      </c>
      <c r="AH36" s="75">
        <v>0</v>
      </c>
      <c r="AI36" s="93" t="s">
        <v>151</v>
      </c>
      <c r="AJ36" s="94">
        <v>0</v>
      </c>
      <c r="AK36" s="94">
        <v>0</v>
      </c>
      <c r="AL36" s="95">
        <v>0</v>
      </c>
      <c r="AM36" s="96">
        <v>0.3</v>
      </c>
      <c r="AN36" s="72">
        <v>376824.24</v>
      </c>
      <c r="AO36" s="73">
        <v>0</v>
      </c>
      <c r="AP36" s="73">
        <v>0</v>
      </c>
      <c r="AQ36" s="74">
        <v>0</v>
      </c>
      <c r="AR36" s="72">
        <v>261353.30000000002</v>
      </c>
      <c r="AS36" s="73">
        <v>0</v>
      </c>
      <c r="AT36" s="73">
        <v>0</v>
      </c>
      <c r="AU36" s="75">
        <v>0</v>
      </c>
      <c r="AV36" s="93" t="s">
        <v>162</v>
      </c>
      <c r="AW36" s="94">
        <v>0</v>
      </c>
      <c r="AX36" s="94">
        <v>0</v>
      </c>
      <c r="AY36" s="95">
        <v>0</v>
      </c>
      <c r="AZ36" s="97">
        <v>0.3000000000000001</v>
      </c>
      <c r="BA36" s="72">
        <v>90583.560000000012</v>
      </c>
      <c r="BB36" s="73">
        <v>0</v>
      </c>
      <c r="BC36" s="73">
        <v>0</v>
      </c>
      <c r="BD36" s="74">
        <v>0</v>
      </c>
      <c r="BE36" s="72">
        <v>73247.38</v>
      </c>
      <c r="BF36" s="73">
        <v>0</v>
      </c>
      <c r="BG36" s="73">
        <v>0</v>
      </c>
      <c r="BH36" s="75">
        <v>0</v>
      </c>
      <c r="BI36" s="98">
        <v>795464.40350000001</v>
      </c>
      <c r="BJ36" s="99">
        <v>528707.41200000001</v>
      </c>
      <c r="BK36" s="100" t="s">
        <v>226</v>
      </c>
      <c r="BL36" s="100">
        <v>1</v>
      </c>
      <c r="BM36" s="62"/>
      <c r="BN36" s="80" t="s">
        <v>227</v>
      </c>
      <c r="BO36" s="81">
        <v>41830</v>
      </c>
      <c r="BP36" s="82">
        <v>3</v>
      </c>
      <c r="BQ36" s="82">
        <v>1</v>
      </c>
      <c r="BR36" s="82">
        <v>3</v>
      </c>
      <c r="BS36" s="80">
        <v>329604</v>
      </c>
      <c r="BT36" s="83">
        <v>1</v>
      </c>
      <c r="BU36" s="61"/>
      <c r="BV36" s="84">
        <v>1.1830000000000001</v>
      </c>
      <c r="BW36" s="84">
        <v>1.7689999999999999</v>
      </c>
      <c r="BX36" s="84">
        <v>1.4419999999999999</v>
      </c>
      <c r="BY36" s="84">
        <v>1.2370000000000001</v>
      </c>
      <c r="BZ36" s="62"/>
      <c r="CA36" s="85"/>
      <c r="CB36" s="85"/>
      <c r="CC36" s="85"/>
      <c r="CD36" s="85"/>
      <c r="CE36" s="62"/>
      <c r="CF36" s="86">
        <v>1.5</v>
      </c>
      <c r="CG36" s="87">
        <v>1</v>
      </c>
      <c r="CH36" s="87">
        <v>2.5</v>
      </c>
      <c r="CI36" s="87">
        <v>0</v>
      </c>
      <c r="CJ36" s="87">
        <v>1</v>
      </c>
    </row>
    <row r="37" spans="1:88" x14ac:dyDescent="0.35">
      <c r="A37" s="88" t="s">
        <v>225</v>
      </c>
      <c r="B37" s="89">
        <v>36</v>
      </c>
      <c r="C37" s="90" t="s">
        <v>49</v>
      </c>
      <c r="D37" s="90" t="s">
        <v>12</v>
      </c>
      <c r="E37" s="91">
        <v>39776</v>
      </c>
      <c r="F37" s="91" t="s">
        <v>226</v>
      </c>
      <c r="G37" s="91" t="s">
        <v>226</v>
      </c>
      <c r="H37" s="92" t="s">
        <v>163</v>
      </c>
      <c r="I37" s="93" t="s">
        <v>149</v>
      </c>
      <c r="J37" s="94" t="s">
        <v>150</v>
      </c>
      <c r="K37" s="94">
        <v>0</v>
      </c>
      <c r="L37" s="95">
        <v>0</v>
      </c>
      <c r="M37" s="96">
        <v>0.1</v>
      </c>
      <c r="N37" s="72">
        <v>8430.5022499999995</v>
      </c>
      <c r="O37" s="73">
        <v>3936.7250000000004</v>
      </c>
      <c r="P37" s="73">
        <v>0</v>
      </c>
      <c r="Q37" s="74">
        <v>0</v>
      </c>
      <c r="R37" s="72">
        <v>7945.2600000000011</v>
      </c>
      <c r="S37" s="73">
        <v>4629.05</v>
      </c>
      <c r="T37" s="73">
        <v>0</v>
      </c>
      <c r="U37" s="75">
        <v>0</v>
      </c>
      <c r="V37" s="93" t="s">
        <v>159</v>
      </c>
      <c r="W37" s="94" t="s">
        <v>160</v>
      </c>
      <c r="X37" s="94" t="s">
        <v>161</v>
      </c>
      <c r="Y37" s="95">
        <v>0</v>
      </c>
      <c r="Z37" s="96">
        <v>0.3</v>
      </c>
      <c r="AA37" s="72">
        <v>78477</v>
      </c>
      <c r="AB37" s="73">
        <v>1663</v>
      </c>
      <c r="AC37" s="73">
        <v>1364</v>
      </c>
      <c r="AD37" s="74">
        <v>0</v>
      </c>
      <c r="AE37" s="72">
        <v>78135</v>
      </c>
      <c r="AF37" s="73">
        <v>3475.6699999999996</v>
      </c>
      <c r="AG37" s="73">
        <v>6324</v>
      </c>
      <c r="AH37" s="75">
        <v>0</v>
      </c>
      <c r="AI37" s="93" t="s">
        <v>151</v>
      </c>
      <c r="AJ37" s="94">
        <v>0</v>
      </c>
      <c r="AK37" s="94">
        <v>0</v>
      </c>
      <c r="AL37" s="95">
        <v>0</v>
      </c>
      <c r="AM37" s="96">
        <v>0.3</v>
      </c>
      <c r="AN37" s="72">
        <v>98729.800000000017</v>
      </c>
      <c r="AO37" s="73">
        <v>0</v>
      </c>
      <c r="AP37" s="73">
        <v>0</v>
      </c>
      <c r="AQ37" s="74">
        <v>0</v>
      </c>
      <c r="AR37" s="72">
        <v>109098.08000000002</v>
      </c>
      <c r="AS37" s="73">
        <v>0</v>
      </c>
      <c r="AT37" s="73">
        <v>0</v>
      </c>
      <c r="AU37" s="75">
        <v>0</v>
      </c>
      <c r="AV37" s="93" t="s">
        <v>162</v>
      </c>
      <c r="AW37" s="94">
        <v>0</v>
      </c>
      <c r="AX37" s="94">
        <v>0</v>
      </c>
      <c r="AY37" s="95">
        <v>0</v>
      </c>
      <c r="AZ37" s="97">
        <v>0.3000000000000001</v>
      </c>
      <c r="BA37" s="72">
        <v>32374.280000000002</v>
      </c>
      <c r="BB37" s="73">
        <v>0</v>
      </c>
      <c r="BC37" s="73">
        <v>0</v>
      </c>
      <c r="BD37" s="74">
        <v>0</v>
      </c>
      <c r="BE37" s="72">
        <v>30519.360000000001</v>
      </c>
      <c r="BF37" s="73">
        <v>0</v>
      </c>
      <c r="BG37" s="73">
        <v>0</v>
      </c>
      <c r="BH37" s="75">
        <v>0</v>
      </c>
      <c r="BI37" s="98">
        <v>224975.30725000001</v>
      </c>
      <c r="BJ37" s="99">
        <v>240126.41999999998</v>
      </c>
      <c r="BK37" s="100" t="s">
        <v>226</v>
      </c>
      <c r="BL37" s="100">
        <v>0.99</v>
      </c>
      <c r="BM37" s="62"/>
      <c r="BN37" s="80" t="s">
        <v>227</v>
      </c>
      <c r="BO37" s="81">
        <v>39868</v>
      </c>
      <c r="BP37" s="82">
        <v>3</v>
      </c>
      <c r="BQ37" s="82">
        <v>1</v>
      </c>
      <c r="BR37" s="82">
        <v>3</v>
      </c>
      <c r="BS37" s="80">
        <v>329604</v>
      </c>
      <c r="BT37" s="83">
        <v>1</v>
      </c>
      <c r="BU37" s="61"/>
      <c r="BV37" s="84">
        <v>0.98399999999999999</v>
      </c>
      <c r="BW37" s="84">
        <v>0.92700000000000005</v>
      </c>
      <c r="BX37" s="84">
        <v>0.90500000000000003</v>
      </c>
      <c r="BY37" s="84">
        <v>1.0609999999999999</v>
      </c>
      <c r="BZ37" s="62"/>
      <c r="CA37" s="85"/>
      <c r="CB37" s="85"/>
      <c r="CC37" s="85"/>
      <c r="CD37" s="85"/>
      <c r="CE37" s="62"/>
      <c r="CF37" s="86">
        <v>0.94</v>
      </c>
      <c r="CG37" s="87">
        <v>1</v>
      </c>
      <c r="CH37" s="87">
        <v>0.7</v>
      </c>
      <c r="CI37" s="87">
        <v>0</v>
      </c>
      <c r="CJ37" s="87">
        <v>1</v>
      </c>
    </row>
    <row r="38" spans="1:88" x14ac:dyDescent="0.35">
      <c r="A38" s="88" t="s">
        <v>225</v>
      </c>
      <c r="B38" s="89">
        <v>37</v>
      </c>
      <c r="C38" s="90" t="s">
        <v>50</v>
      </c>
      <c r="D38" s="90" t="s">
        <v>12</v>
      </c>
      <c r="E38" s="91">
        <v>41043</v>
      </c>
      <c r="F38" s="91" t="s">
        <v>226</v>
      </c>
      <c r="G38" s="91" t="s">
        <v>226</v>
      </c>
      <c r="H38" s="92" t="s">
        <v>163</v>
      </c>
      <c r="I38" s="93" t="s">
        <v>149</v>
      </c>
      <c r="J38" s="94" t="s">
        <v>150</v>
      </c>
      <c r="K38" s="94">
        <v>0</v>
      </c>
      <c r="L38" s="95">
        <v>0</v>
      </c>
      <c r="M38" s="96">
        <v>0.1</v>
      </c>
      <c r="N38" s="72">
        <v>3277.7780000000002</v>
      </c>
      <c r="O38" s="73">
        <v>2154.4749999999999</v>
      </c>
      <c r="P38" s="73">
        <v>0</v>
      </c>
      <c r="Q38" s="74">
        <v>0</v>
      </c>
      <c r="R38" s="72">
        <v>2577.1635000000001</v>
      </c>
      <c r="S38" s="73">
        <v>2040.2750000000001</v>
      </c>
      <c r="T38" s="73">
        <v>0</v>
      </c>
      <c r="U38" s="75">
        <v>0</v>
      </c>
      <c r="V38" s="93" t="s">
        <v>159</v>
      </c>
      <c r="W38" s="94" t="s">
        <v>160</v>
      </c>
      <c r="X38" s="94" t="s">
        <v>161</v>
      </c>
      <c r="Y38" s="95">
        <v>0</v>
      </c>
      <c r="Z38" s="96">
        <v>0.3</v>
      </c>
      <c r="AA38" s="72">
        <v>25549</v>
      </c>
      <c r="AB38" s="73">
        <v>764.9799999999999</v>
      </c>
      <c r="AC38" s="73">
        <v>1581</v>
      </c>
      <c r="AD38" s="74">
        <v>0</v>
      </c>
      <c r="AE38" s="72">
        <v>21605</v>
      </c>
      <c r="AF38" s="73">
        <v>2494.5</v>
      </c>
      <c r="AG38" s="73">
        <v>2821</v>
      </c>
      <c r="AH38" s="75">
        <v>0</v>
      </c>
      <c r="AI38" s="93" t="s">
        <v>151</v>
      </c>
      <c r="AJ38" s="94">
        <v>0</v>
      </c>
      <c r="AK38" s="94">
        <v>0</v>
      </c>
      <c r="AL38" s="95">
        <v>0</v>
      </c>
      <c r="AM38" s="96">
        <v>0.3</v>
      </c>
      <c r="AN38" s="72">
        <v>39194.740000000005</v>
      </c>
      <c r="AO38" s="73">
        <v>0</v>
      </c>
      <c r="AP38" s="73">
        <v>0</v>
      </c>
      <c r="AQ38" s="74">
        <v>0</v>
      </c>
      <c r="AR38" s="72">
        <v>38699.440000000002</v>
      </c>
      <c r="AS38" s="73">
        <v>0</v>
      </c>
      <c r="AT38" s="73">
        <v>0</v>
      </c>
      <c r="AU38" s="75">
        <v>0</v>
      </c>
      <c r="AV38" s="93" t="s">
        <v>162</v>
      </c>
      <c r="AW38" s="94">
        <v>0</v>
      </c>
      <c r="AX38" s="94">
        <v>0</v>
      </c>
      <c r="AY38" s="95">
        <v>0</v>
      </c>
      <c r="AZ38" s="97">
        <v>0.3000000000000001</v>
      </c>
      <c r="BA38" s="72">
        <v>17370.34</v>
      </c>
      <c r="BB38" s="73">
        <v>0</v>
      </c>
      <c r="BC38" s="73">
        <v>0</v>
      </c>
      <c r="BD38" s="74">
        <v>0</v>
      </c>
      <c r="BE38" s="72">
        <v>16528.559999999998</v>
      </c>
      <c r="BF38" s="73">
        <v>0</v>
      </c>
      <c r="BG38" s="73">
        <v>0</v>
      </c>
      <c r="BH38" s="75">
        <v>0</v>
      </c>
      <c r="BI38" s="98">
        <v>89892.312999999995</v>
      </c>
      <c r="BJ38" s="99">
        <v>86765.938500000004</v>
      </c>
      <c r="BK38" s="100" t="s">
        <v>226</v>
      </c>
      <c r="BL38" s="100">
        <v>0.99</v>
      </c>
      <c r="BM38" s="62"/>
      <c r="BN38" s="80" t="s">
        <v>227</v>
      </c>
      <c r="BO38" s="81">
        <v>41135</v>
      </c>
      <c r="BP38" s="82">
        <v>3</v>
      </c>
      <c r="BQ38" s="82">
        <v>1</v>
      </c>
      <c r="BR38" s="82">
        <v>3</v>
      </c>
      <c r="BS38" s="80">
        <v>329604</v>
      </c>
      <c r="BT38" s="83">
        <v>1</v>
      </c>
      <c r="BU38" s="61"/>
      <c r="BV38" s="84">
        <v>1.1759999999999999</v>
      </c>
      <c r="BW38" s="84">
        <v>1.036</v>
      </c>
      <c r="BX38" s="84">
        <v>1.0129999999999999</v>
      </c>
      <c r="BY38" s="84">
        <v>1.0509999999999999</v>
      </c>
      <c r="BZ38" s="62"/>
      <c r="CA38" s="85"/>
      <c r="CB38" s="85"/>
      <c r="CC38" s="85"/>
      <c r="CD38" s="85"/>
      <c r="CE38" s="62"/>
      <c r="CF38" s="86">
        <v>1.04</v>
      </c>
      <c r="CG38" s="87">
        <v>1</v>
      </c>
      <c r="CH38" s="87">
        <v>1.4</v>
      </c>
      <c r="CI38" s="87">
        <v>0</v>
      </c>
      <c r="CJ38" s="87">
        <v>1</v>
      </c>
    </row>
    <row r="39" spans="1:88" x14ac:dyDescent="0.35">
      <c r="A39" s="88" t="s">
        <v>225</v>
      </c>
      <c r="B39" s="89">
        <v>38</v>
      </c>
      <c r="C39" s="90" t="s">
        <v>51</v>
      </c>
      <c r="D39" s="90" t="s">
        <v>12</v>
      </c>
      <c r="E39" s="91">
        <v>42348</v>
      </c>
      <c r="F39" s="91" t="s">
        <v>226</v>
      </c>
      <c r="G39" s="91" t="s">
        <v>226</v>
      </c>
      <c r="H39" s="92" t="s">
        <v>163</v>
      </c>
      <c r="I39" s="93" t="s">
        <v>149</v>
      </c>
      <c r="J39" s="94" t="s">
        <v>150</v>
      </c>
      <c r="K39" s="94">
        <v>0</v>
      </c>
      <c r="L39" s="95">
        <v>0</v>
      </c>
      <c r="M39" s="96">
        <v>0.1</v>
      </c>
      <c r="N39" s="72">
        <v>21136.1535</v>
      </c>
      <c r="O39" s="73">
        <v>9970.4000000000015</v>
      </c>
      <c r="P39" s="73">
        <v>0</v>
      </c>
      <c r="Q39" s="74">
        <v>0</v>
      </c>
      <c r="R39" s="72">
        <v>17026.947</v>
      </c>
      <c r="S39" s="73">
        <v>9257.625</v>
      </c>
      <c r="T39" s="73">
        <v>0</v>
      </c>
      <c r="U39" s="75">
        <v>0</v>
      </c>
      <c r="V39" s="93" t="s">
        <v>159</v>
      </c>
      <c r="W39" s="94" t="s">
        <v>160</v>
      </c>
      <c r="X39" s="94" t="s">
        <v>161</v>
      </c>
      <c r="Y39" s="95">
        <v>0</v>
      </c>
      <c r="Z39" s="96">
        <v>0.3</v>
      </c>
      <c r="AA39" s="72">
        <v>282509.5</v>
      </c>
      <c r="AB39" s="73">
        <v>9728.5499999999993</v>
      </c>
      <c r="AC39" s="73">
        <v>4712</v>
      </c>
      <c r="AD39" s="74">
        <v>0</v>
      </c>
      <c r="AE39" s="72">
        <v>148192.5</v>
      </c>
      <c r="AF39" s="73">
        <v>9678.66</v>
      </c>
      <c r="AG39" s="73">
        <v>9951</v>
      </c>
      <c r="AH39" s="75">
        <v>0</v>
      </c>
      <c r="AI39" s="93" t="s">
        <v>151</v>
      </c>
      <c r="AJ39" s="94">
        <v>0</v>
      </c>
      <c r="AK39" s="94">
        <v>0</v>
      </c>
      <c r="AL39" s="95">
        <v>0</v>
      </c>
      <c r="AM39" s="96">
        <v>0.3</v>
      </c>
      <c r="AN39" s="72">
        <v>376824.24</v>
      </c>
      <c r="AO39" s="73">
        <v>0</v>
      </c>
      <c r="AP39" s="73">
        <v>0</v>
      </c>
      <c r="AQ39" s="74">
        <v>0</v>
      </c>
      <c r="AR39" s="72">
        <v>261353.30000000002</v>
      </c>
      <c r="AS39" s="73">
        <v>0</v>
      </c>
      <c r="AT39" s="73">
        <v>0</v>
      </c>
      <c r="AU39" s="75">
        <v>0</v>
      </c>
      <c r="AV39" s="93" t="s">
        <v>162</v>
      </c>
      <c r="AW39" s="94">
        <v>0</v>
      </c>
      <c r="AX39" s="94">
        <v>0</v>
      </c>
      <c r="AY39" s="95">
        <v>0</v>
      </c>
      <c r="AZ39" s="97">
        <v>0.3000000000000001</v>
      </c>
      <c r="BA39" s="72">
        <v>90583.560000000012</v>
      </c>
      <c r="BB39" s="73">
        <v>0</v>
      </c>
      <c r="BC39" s="73">
        <v>0</v>
      </c>
      <c r="BD39" s="74">
        <v>0</v>
      </c>
      <c r="BE39" s="72">
        <v>73247.38</v>
      </c>
      <c r="BF39" s="73">
        <v>0</v>
      </c>
      <c r="BG39" s="73">
        <v>0</v>
      </c>
      <c r="BH39" s="75">
        <v>0</v>
      </c>
      <c r="BI39" s="98">
        <v>795464.40350000001</v>
      </c>
      <c r="BJ39" s="99">
        <v>528707.41200000001</v>
      </c>
      <c r="BK39" s="100" t="s">
        <v>226</v>
      </c>
      <c r="BL39" s="100">
        <v>0.94</v>
      </c>
      <c r="BM39" s="62"/>
      <c r="BN39" s="80" t="s">
        <v>227</v>
      </c>
      <c r="BO39" s="81">
        <v>42439</v>
      </c>
      <c r="BP39" s="82">
        <v>3</v>
      </c>
      <c r="BQ39" s="82">
        <v>1</v>
      </c>
      <c r="BR39" s="82">
        <v>3</v>
      </c>
      <c r="BS39" s="80">
        <v>329604</v>
      </c>
      <c r="BT39" s="83">
        <v>1</v>
      </c>
      <c r="BU39" s="61"/>
      <c r="BV39" s="84">
        <v>1.1830000000000001</v>
      </c>
      <c r="BW39" s="84">
        <v>1.7689999999999999</v>
      </c>
      <c r="BX39" s="84">
        <v>1.4419999999999999</v>
      </c>
      <c r="BY39" s="84">
        <v>1.2370000000000001</v>
      </c>
      <c r="BZ39" s="62"/>
      <c r="CA39" s="85"/>
      <c r="CB39" s="85"/>
      <c r="CC39" s="85"/>
      <c r="CD39" s="85"/>
      <c r="CE39" s="62"/>
      <c r="CF39" s="86">
        <v>1.5</v>
      </c>
      <c r="CG39" s="87">
        <v>1</v>
      </c>
      <c r="CH39" s="87">
        <v>2.5</v>
      </c>
      <c r="CI39" s="87">
        <v>0</v>
      </c>
      <c r="CJ39" s="87">
        <v>0.5</v>
      </c>
    </row>
    <row r="40" spans="1:88" x14ac:dyDescent="0.35">
      <c r="A40" s="88" t="s">
        <v>225</v>
      </c>
      <c r="B40" s="89">
        <v>39</v>
      </c>
      <c r="C40" s="90" t="s">
        <v>52</v>
      </c>
      <c r="D40" s="90" t="s">
        <v>38</v>
      </c>
      <c r="E40" s="91">
        <v>40686</v>
      </c>
      <c r="F40" s="91" t="s">
        <v>226</v>
      </c>
      <c r="G40" s="91" t="s">
        <v>226</v>
      </c>
      <c r="H40" s="92" t="s">
        <v>167</v>
      </c>
      <c r="I40" s="93" t="s">
        <v>168</v>
      </c>
      <c r="J40" s="94">
        <v>0</v>
      </c>
      <c r="K40" s="94">
        <v>0</v>
      </c>
      <c r="L40" s="95">
        <v>0</v>
      </c>
      <c r="M40" s="96">
        <v>0.5</v>
      </c>
      <c r="N40" s="72">
        <v>1128449.26</v>
      </c>
      <c r="O40" s="73">
        <v>0</v>
      </c>
      <c r="P40" s="73">
        <v>0</v>
      </c>
      <c r="Q40" s="74">
        <v>0</v>
      </c>
      <c r="R40" s="72">
        <v>933190.51</v>
      </c>
      <c r="S40" s="73">
        <v>0</v>
      </c>
      <c r="T40" s="73">
        <v>0</v>
      </c>
      <c r="U40" s="75">
        <v>0</v>
      </c>
      <c r="V40" s="93" t="s">
        <v>169</v>
      </c>
      <c r="W40" s="94">
        <v>0</v>
      </c>
      <c r="X40" s="94">
        <v>0</v>
      </c>
      <c r="Y40" s="95">
        <v>0</v>
      </c>
      <c r="Z40" s="96">
        <v>0.25</v>
      </c>
      <c r="AA40" s="72">
        <v>367613.88999999996</v>
      </c>
      <c r="AB40" s="73">
        <v>0</v>
      </c>
      <c r="AC40" s="73">
        <v>0</v>
      </c>
      <c r="AD40" s="74">
        <v>0</v>
      </c>
      <c r="AE40" s="72">
        <v>401915.06</v>
      </c>
      <c r="AF40" s="73">
        <v>0</v>
      </c>
      <c r="AG40" s="73">
        <v>0</v>
      </c>
      <c r="AH40" s="75">
        <v>0</v>
      </c>
      <c r="AI40" s="93" t="s">
        <v>170</v>
      </c>
      <c r="AJ40" s="94">
        <v>0</v>
      </c>
      <c r="AK40" s="94">
        <v>0</v>
      </c>
      <c r="AL40" s="95">
        <v>0</v>
      </c>
      <c r="AM40" s="96">
        <v>0.2</v>
      </c>
      <c r="AN40" s="72">
        <v>448685.99</v>
      </c>
      <c r="AO40" s="73">
        <v>0</v>
      </c>
      <c r="AP40" s="73">
        <v>0</v>
      </c>
      <c r="AQ40" s="74">
        <v>0</v>
      </c>
      <c r="AR40" s="72">
        <v>311587.30000000005</v>
      </c>
      <c r="AS40" s="73">
        <v>0</v>
      </c>
      <c r="AT40" s="73">
        <v>0</v>
      </c>
      <c r="AU40" s="75">
        <v>0</v>
      </c>
      <c r="AV40" s="93" t="s">
        <v>171</v>
      </c>
      <c r="AW40" s="94">
        <v>0</v>
      </c>
      <c r="AX40" s="94">
        <v>0</v>
      </c>
      <c r="AY40" s="95">
        <v>0</v>
      </c>
      <c r="AZ40" s="97">
        <v>4.9999999999999989E-2</v>
      </c>
      <c r="BA40" s="72">
        <v>70944</v>
      </c>
      <c r="BB40" s="73">
        <v>0</v>
      </c>
      <c r="BC40" s="73">
        <v>0</v>
      </c>
      <c r="BD40" s="74">
        <v>0</v>
      </c>
      <c r="BE40" s="72">
        <v>83652</v>
      </c>
      <c r="BF40" s="73">
        <v>0</v>
      </c>
      <c r="BG40" s="73">
        <v>0</v>
      </c>
      <c r="BH40" s="75">
        <v>0</v>
      </c>
      <c r="BI40" s="98">
        <v>2015693.14</v>
      </c>
      <c r="BJ40" s="99">
        <v>1730344.87</v>
      </c>
      <c r="BK40" s="100">
        <v>0.64666666666666661</v>
      </c>
      <c r="BL40" s="100">
        <v>0.92</v>
      </c>
      <c r="BM40" s="62"/>
      <c r="BN40" s="80" t="s">
        <v>227</v>
      </c>
      <c r="BO40" s="81">
        <v>40778</v>
      </c>
      <c r="BP40" s="82">
        <v>3</v>
      </c>
      <c r="BQ40" s="82">
        <v>1</v>
      </c>
      <c r="BR40" s="82">
        <v>3</v>
      </c>
      <c r="BS40" s="80">
        <v>605000</v>
      </c>
      <c r="BT40" s="83">
        <v>1</v>
      </c>
      <c r="BU40" s="61"/>
      <c r="BV40" s="84">
        <v>1.2090000000000001</v>
      </c>
      <c r="BW40" s="84">
        <v>0.91500000000000004</v>
      </c>
      <c r="BX40" s="84">
        <v>1.44</v>
      </c>
      <c r="BY40" s="84">
        <v>0.84799999999999998</v>
      </c>
      <c r="BZ40" s="62"/>
      <c r="CA40" s="85"/>
      <c r="CB40" s="85"/>
      <c r="CC40" s="85"/>
      <c r="CD40" s="85"/>
      <c r="CE40" s="62"/>
      <c r="CF40" s="86">
        <v>1.1599999999999999</v>
      </c>
      <c r="CG40" s="87">
        <v>1</v>
      </c>
      <c r="CH40" s="87">
        <v>2.2999999999999998</v>
      </c>
      <c r="CI40" s="87">
        <v>0</v>
      </c>
      <c r="CJ40" s="87">
        <v>0.5</v>
      </c>
    </row>
    <row r="41" spans="1:88" x14ac:dyDescent="0.35">
      <c r="A41" s="88" t="s">
        <v>225</v>
      </c>
      <c r="B41" s="89">
        <v>40</v>
      </c>
      <c r="C41" s="90" t="s">
        <v>53</v>
      </c>
      <c r="D41" s="90" t="s">
        <v>38</v>
      </c>
      <c r="E41" s="91">
        <v>40983</v>
      </c>
      <c r="F41" s="91" t="s">
        <v>226</v>
      </c>
      <c r="G41" s="91" t="s">
        <v>226</v>
      </c>
      <c r="H41" s="92" t="s">
        <v>167</v>
      </c>
      <c r="I41" s="93" t="s">
        <v>168</v>
      </c>
      <c r="J41" s="94">
        <v>0</v>
      </c>
      <c r="K41" s="94">
        <v>0</v>
      </c>
      <c r="L41" s="95">
        <v>0</v>
      </c>
      <c r="M41" s="96">
        <v>0.5</v>
      </c>
      <c r="N41" s="72">
        <v>300811.95</v>
      </c>
      <c r="O41" s="73">
        <v>0</v>
      </c>
      <c r="P41" s="73">
        <v>0</v>
      </c>
      <c r="Q41" s="74">
        <v>0</v>
      </c>
      <c r="R41" s="72">
        <v>265094.83999999997</v>
      </c>
      <c r="S41" s="73">
        <v>0</v>
      </c>
      <c r="T41" s="73">
        <v>0</v>
      </c>
      <c r="U41" s="75">
        <v>0</v>
      </c>
      <c r="V41" s="93" t="s">
        <v>169</v>
      </c>
      <c r="W41" s="94">
        <v>0</v>
      </c>
      <c r="X41" s="94">
        <v>0</v>
      </c>
      <c r="Y41" s="95">
        <v>0</v>
      </c>
      <c r="Z41" s="96">
        <v>0.25</v>
      </c>
      <c r="AA41" s="72">
        <v>97935</v>
      </c>
      <c r="AB41" s="73"/>
      <c r="AC41" s="73"/>
      <c r="AD41" s="74"/>
      <c r="AE41" s="72">
        <v>114679</v>
      </c>
      <c r="AF41" s="73"/>
      <c r="AG41" s="73"/>
      <c r="AH41" s="75"/>
      <c r="AI41" s="93" t="s">
        <v>170</v>
      </c>
      <c r="AJ41" s="94">
        <v>0</v>
      </c>
      <c r="AK41" s="94">
        <v>0</v>
      </c>
      <c r="AL41" s="95">
        <v>0</v>
      </c>
      <c r="AM41" s="96">
        <v>0.2</v>
      </c>
      <c r="AN41" s="72">
        <v>194568</v>
      </c>
      <c r="AO41" s="73"/>
      <c r="AP41" s="73"/>
      <c r="AQ41" s="74"/>
      <c r="AR41" s="72">
        <v>169373</v>
      </c>
      <c r="AS41" s="73"/>
      <c r="AT41" s="73"/>
      <c r="AU41" s="75"/>
      <c r="AV41" s="93" t="s">
        <v>171</v>
      </c>
      <c r="AW41" s="94">
        <v>0</v>
      </c>
      <c r="AX41" s="94">
        <v>0</v>
      </c>
      <c r="AY41" s="95">
        <v>0</v>
      </c>
      <c r="AZ41" s="97">
        <v>4.9999999999999989E-2</v>
      </c>
      <c r="BA41" s="72">
        <v>19752</v>
      </c>
      <c r="BB41" s="73"/>
      <c r="BC41" s="73"/>
      <c r="BD41" s="74"/>
      <c r="BE41" s="72">
        <v>23184</v>
      </c>
      <c r="BF41" s="73"/>
      <c r="BG41" s="73"/>
      <c r="BH41" s="75"/>
      <c r="BI41" s="98">
        <v>613066.94999999995</v>
      </c>
      <c r="BJ41" s="99">
        <v>572330.84</v>
      </c>
      <c r="BK41" s="100">
        <v>0.57999999999999996</v>
      </c>
      <c r="BL41" s="100">
        <v>0.95</v>
      </c>
      <c r="BM41" s="62"/>
      <c r="BN41" s="80" t="s">
        <v>227</v>
      </c>
      <c r="BO41" s="81">
        <v>41075</v>
      </c>
      <c r="BP41" s="82">
        <v>3</v>
      </c>
      <c r="BQ41" s="82">
        <v>1</v>
      </c>
      <c r="BR41" s="82">
        <v>3</v>
      </c>
      <c r="BS41" s="80">
        <v>605000</v>
      </c>
      <c r="BT41" s="83">
        <v>1</v>
      </c>
      <c r="BU41" s="61"/>
      <c r="BV41" s="84">
        <v>1.135</v>
      </c>
      <c r="BW41" s="84">
        <v>0.85399999999999998</v>
      </c>
      <c r="BX41" s="84">
        <v>1.149</v>
      </c>
      <c r="BY41" s="84">
        <v>0.85199999999999998</v>
      </c>
      <c r="BZ41" s="62"/>
      <c r="CA41" s="85"/>
      <c r="CB41" s="85"/>
      <c r="CC41" s="85"/>
      <c r="CD41" s="85"/>
      <c r="CE41" s="62"/>
      <c r="CF41" s="86">
        <v>1.07</v>
      </c>
      <c r="CG41" s="87">
        <v>1</v>
      </c>
      <c r="CH41" s="87">
        <v>1.7</v>
      </c>
      <c r="CI41" s="87">
        <v>0</v>
      </c>
      <c r="CJ41" s="87">
        <v>1</v>
      </c>
    </row>
    <row r="42" spans="1:88" x14ac:dyDescent="0.35">
      <c r="A42" s="88" t="s">
        <v>225</v>
      </c>
      <c r="B42" s="89">
        <v>41</v>
      </c>
      <c r="C42" s="90" t="s">
        <v>54</v>
      </c>
      <c r="D42" s="90" t="s">
        <v>12</v>
      </c>
      <c r="E42" s="91">
        <v>41652</v>
      </c>
      <c r="F42" s="91" t="s">
        <v>226</v>
      </c>
      <c r="G42" s="91" t="s">
        <v>226</v>
      </c>
      <c r="H42" s="92" t="s">
        <v>163</v>
      </c>
      <c r="I42" s="93" t="s">
        <v>149</v>
      </c>
      <c r="J42" s="94" t="s">
        <v>150</v>
      </c>
      <c r="K42" s="94">
        <v>0</v>
      </c>
      <c r="L42" s="95">
        <v>0</v>
      </c>
      <c r="M42" s="96">
        <v>0.1</v>
      </c>
      <c r="N42" s="72">
        <v>6032</v>
      </c>
      <c r="O42" s="73">
        <v>3753</v>
      </c>
      <c r="P42" s="73">
        <v>0</v>
      </c>
      <c r="Q42" s="74">
        <v>0</v>
      </c>
      <c r="R42" s="72">
        <v>5398</v>
      </c>
      <c r="S42" s="73">
        <v>3379</v>
      </c>
      <c r="T42" s="73">
        <v>0</v>
      </c>
      <c r="U42" s="75">
        <v>0</v>
      </c>
      <c r="V42" s="93" t="s">
        <v>159</v>
      </c>
      <c r="W42" s="94" t="s">
        <v>160</v>
      </c>
      <c r="X42" s="94" t="s">
        <v>161</v>
      </c>
      <c r="Y42" s="95">
        <v>0</v>
      </c>
      <c r="Z42" s="96">
        <v>0.3</v>
      </c>
      <c r="AA42" s="72">
        <v>91483</v>
      </c>
      <c r="AB42" s="73">
        <v>1048</v>
      </c>
      <c r="AC42" s="73">
        <v>93</v>
      </c>
      <c r="AD42" s="74"/>
      <c r="AE42" s="72">
        <v>66071</v>
      </c>
      <c r="AF42" s="73">
        <v>2594</v>
      </c>
      <c r="AG42" s="73">
        <v>1922</v>
      </c>
      <c r="AH42" s="75"/>
      <c r="AI42" s="93" t="s">
        <v>151</v>
      </c>
      <c r="AJ42" s="94">
        <v>0</v>
      </c>
      <c r="AK42" s="94">
        <v>0</v>
      </c>
      <c r="AL42" s="95">
        <v>0</v>
      </c>
      <c r="AM42" s="96">
        <v>0.3</v>
      </c>
      <c r="AN42" s="72">
        <v>62989</v>
      </c>
      <c r="AO42" s="73"/>
      <c r="AP42" s="73"/>
      <c r="AQ42" s="74"/>
      <c r="AR42" s="72">
        <v>73172</v>
      </c>
      <c r="AS42" s="73"/>
      <c r="AT42" s="73"/>
      <c r="AU42" s="75"/>
      <c r="AV42" s="93" t="s">
        <v>162</v>
      </c>
      <c r="AW42" s="94">
        <v>0</v>
      </c>
      <c r="AX42" s="94">
        <v>0</v>
      </c>
      <c r="AY42" s="95">
        <v>0</v>
      </c>
      <c r="AZ42" s="97">
        <v>0.3000000000000001</v>
      </c>
      <c r="BA42" s="72">
        <v>49729</v>
      </c>
      <c r="BB42" s="73"/>
      <c r="BC42" s="73"/>
      <c r="BD42" s="74"/>
      <c r="BE42" s="72">
        <v>31797</v>
      </c>
      <c r="BF42" s="73"/>
      <c r="BG42" s="73"/>
      <c r="BH42" s="75"/>
      <c r="BI42" s="98">
        <v>215127</v>
      </c>
      <c r="BJ42" s="99">
        <v>184333</v>
      </c>
      <c r="BK42" s="100" t="s">
        <v>226</v>
      </c>
      <c r="BL42" s="100">
        <v>0.99</v>
      </c>
      <c r="BM42" s="62"/>
      <c r="BN42" s="80" t="s">
        <v>227</v>
      </c>
      <c r="BO42" s="81">
        <v>41742</v>
      </c>
      <c r="BP42" s="82">
        <v>3</v>
      </c>
      <c r="BQ42" s="82">
        <v>1</v>
      </c>
      <c r="BR42" s="82">
        <v>3</v>
      </c>
      <c r="BS42" s="80">
        <v>329604</v>
      </c>
      <c r="BT42" s="83">
        <v>1</v>
      </c>
      <c r="BU42" s="61"/>
      <c r="BV42" s="84">
        <v>1.115</v>
      </c>
      <c r="BW42" s="84">
        <v>1.3120000000000001</v>
      </c>
      <c r="BX42" s="84">
        <v>0.86099999999999999</v>
      </c>
      <c r="BY42" s="84">
        <v>1.5640000000000001</v>
      </c>
      <c r="BZ42" s="62"/>
      <c r="CA42" s="85"/>
      <c r="CB42" s="85"/>
      <c r="CC42" s="85"/>
      <c r="CD42" s="85"/>
      <c r="CE42" s="62"/>
      <c r="CF42" s="86">
        <v>1.17</v>
      </c>
      <c r="CG42" s="87">
        <v>1</v>
      </c>
      <c r="CH42" s="87">
        <v>2.35</v>
      </c>
      <c r="CI42" s="87">
        <v>0</v>
      </c>
      <c r="CJ42" s="87">
        <v>1</v>
      </c>
    </row>
    <row r="43" spans="1:88" x14ac:dyDescent="0.35">
      <c r="A43" s="88" t="s">
        <v>225</v>
      </c>
      <c r="B43" s="89">
        <v>42</v>
      </c>
      <c r="C43" s="90" t="s">
        <v>55</v>
      </c>
      <c r="D43" s="90" t="s">
        <v>21</v>
      </c>
      <c r="E43" s="91">
        <v>41008</v>
      </c>
      <c r="F43" s="91" t="s">
        <v>226</v>
      </c>
      <c r="G43" s="91" t="s">
        <v>226</v>
      </c>
      <c r="H43" s="92" t="s">
        <v>166</v>
      </c>
      <c r="I43" s="93" t="s">
        <v>149</v>
      </c>
      <c r="J43" s="94">
        <v>0</v>
      </c>
      <c r="K43" s="94">
        <v>0</v>
      </c>
      <c r="L43" s="95">
        <v>0</v>
      </c>
      <c r="M43" s="96">
        <v>0.4</v>
      </c>
      <c r="N43" s="72">
        <v>74773.53</v>
      </c>
      <c r="O43" s="73">
        <v>0</v>
      </c>
      <c r="P43" s="73">
        <v>0</v>
      </c>
      <c r="Q43" s="74">
        <v>0</v>
      </c>
      <c r="R43" s="72">
        <v>69379.539999999994</v>
      </c>
      <c r="S43" s="73">
        <v>0</v>
      </c>
      <c r="T43" s="73">
        <v>0</v>
      </c>
      <c r="U43" s="75">
        <v>0</v>
      </c>
      <c r="V43" s="93" t="s">
        <v>150</v>
      </c>
      <c r="W43" s="94">
        <v>0</v>
      </c>
      <c r="X43" s="94">
        <v>0</v>
      </c>
      <c r="Y43" s="95">
        <v>0</v>
      </c>
      <c r="Z43" s="96">
        <v>0.35</v>
      </c>
      <c r="AA43" s="72">
        <v>35752</v>
      </c>
      <c r="AB43" s="73">
        <v>0</v>
      </c>
      <c r="AC43" s="73">
        <v>0</v>
      </c>
      <c r="AD43" s="74">
        <v>0</v>
      </c>
      <c r="AE43" s="72">
        <v>38181</v>
      </c>
      <c r="AF43" s="73">
        <v>0</v>
      </c>
      <c r="AG43" s="73">
        <v>0</v>
      </c>
      <c r="AH43" s="75">
        <v>0</v>
      </c>
      <c r="AI43" s="93" t="s">
        <v>153</v>
      </c>
      <c r="AJ43" s="94" t="s">
        <v>154</v>
      </c>
      <c r="AK43" s="94">
        <v>0</v>
      </c>
      <c r="AL43" s="95">
        <v>0</v>
      </c>
      <c r="AM43" s="96">
        <v>0.25</v>
      </c>
      <c r="AN43" s="72">
        <v>6948</v>
      </c>
      <c r="AO43" s="73">
        <v>9120</v>
      </c>
      <c r="AP43" s="73">
        <v>0</v>
      </c>
      <c r="AQ43" s="74">
        <v>0</v>
      </c>
      <c r="AR43" s="72">
        <v>9180</v>
      </c>
      <c r="AS43" s="73">
        <v>8280</v>
      </c>
      <c r="AT43" s="73">
        <v>0</v>
      </c>
      <c r="AU43" s="75">
        <v>0</v>
      </c>
      <c r="AV43" s="93">
        <v>0</v>
      </c>
      <c r="AW43" s="94">
        <v>0</v>
      </c>
      <c r="AX43" s="94">
        <v>0</v>
      </c>
      <c r="AY43" s="95">
        <v>0</v>
      </c>
      <c r="AZ43" s="97">
        <v>0</v>
      </c>
      <c r="BA43" s="72">
        <v>0</v>
      </c>
      <c r="BB43" s="73">
        <v>0</v>
      </c>
      <c r="BC43" s="73">
        <v>0</v>
      </c>
      <c r="BD43" s="74">
        <v>0</v>
      </c>
      <c r="BE43" s="72">
        <v>0</v>
      </c>
      <c r="BF43" s="73">
        <v>0</v>
      </c>
      <c r="BG43" s="73">
        <v>0</v>
      </c>
      <c r="BH43" s="75">
        <v>0</v>
      </c>
      <c r="BI43" s="98">
        <v>126593.53</v>
      </c>
      <c r="BJ43" s="99">
        <v>125020.54</v>
      </c>
      <c r="BK43" s="100" t="s">
        <v>226</v>
      </c>
      <c r="BL43" s="100">
        <v>0.87</v>
      </c>
      <c r="BM43" s="62"/>
      <c r="BN43" s="80" t="s">
        <v>227</v>
      </c>
      <c r="BO43" s="81">
        <v>41099</v>
      </c>
      <c r="BP43" s="82">
        <v>3</v>
      </c>
      <c r="BQ43" s="82">
        <v>1</v>
      </c>
      <c r="BR43" s="82">
        <v>3</v>
      </c>
      <c r="BS43" s="80">
        <v>329604</v>
      </c>
      <c r="BT43" s="83">
        <v>1</v>
      </c>
      <c r="BU43" s="61"/>
      <c r="BV43" s="84">
        <v>1.0780000000000001</v>
      </c>
      <c r="BW43" s="84">
        <v>0.93600000000000005</v>
      </c>
      <c r="BX43" s="84">
        <v>0.92</v>
      </c>
      <c r="BY43" s="84">
        <v>0</v>
      </c>
      <c r="BZ43" s="62"/>
      <c r="CA43" s="85"/>
      <c r="CB43" s="85"/>
      <c r="CC43" s="85"/>
      <c r="CD43" s="85"/>
      <c r="CE43" s="62"/>
      <c r="CF43" s="86">
        <v>1.01</v>
      </c>
      <c r="CG43" s="87">
        <v>1</v>
      </c>
      <c r="CH43" s="87">
        <v>1.1000000000000001</v>
      </c>
      <c r="CI43" s="87">
        <v>0</v>
      </c>
      <c r="CJ43" s="87">
        <v>0.5</v>
      </c>
    </row>
    <row r="44" spans="1:88" x14ac:dyDescent="0.35">
      <c r="A44" s="88" t="s">
        <v>225</v>
      </c>
      <c r="B44" s="89">
        <v>43</v>
      </c>
      <c r="C44" s="90" t="s">
        <v>56</v>
      </c>
      <c r="D44" s="90" t="s">
        <v>38</v>
      </c>
      <c r="E44" s="91">
        <v>41640</v>
      </c>
      <c r="F44" s="91" t="s">
        <v>226</v>
      </c>
      <c r="G44" s="91" t="s">
        <v>226</v>
      </c>
      <c r="H44" s="92" t="s">
        <v>167</v>
      </c>
      <c r="I44" s="93" t="s">
        <v>168</v>
      </c>
      <c r="J44" s="94">
        <v>0</v>
      </c>
      <c r="K44" s="94">
        <v>0</v>
      </c>
      <c r="L44" s="95">
        <v>0</v>
      </c>
      <c r="M44" s="96">
        <v>0.5</v>
      </c>
      <c r="N44" s="72">
        <v>424021.19000000006</v>
      </c>
      <c r="O44" s="73">
        <v>0</v>
      </c>
      <c r="P44" s="73">
        <v>0</v>
      </c>
      <c r="Q44" s="74">
        <v>0</v>
      </c>
      <c r="R44" s="72">
        <v>391721.22000000003</v>
      </c>
      <c r="S44" s="73">
        <v>0</v>
      </c>
      <c r="T44" s="73">
        <v>0</v>
      </c>
      <c r="U44" s="75">
        <v>0</v>
      </c>
      <c r="V44" s="93" t="s">
        <v>169</v>
      </c>
      <c r="W44" s="94">
        <v>0</v>
      </c>
      <c r="X44" s="94">
        <v>0</v>
      </c>
      <c r="Y44" s="95">
        <v>0</v>
      </c>
      <c r="Z44" s="96">
        <v>0.25</v>
      </c>
      <c r="AA44" s="72">
        <v>182624.3</v>
      </c>
      <c r="AB44" s="73">
        <v>0</v>
      </c>
      <c r="AC44" s="73">
        <v>0</v>
      </c>
      <c r="AD44" s="74">
        <v>0</v>
      </c>
      <c r="AE44" s="72">
        <v>175705.78999999998</v>
      </c>
      <c r="AF44" s="73">
        <v>0</v>
      </c>
      <c r="AG44" s="73">
        <v>0</v>
      </c>
      <c r="AH44" s="75">
        <v>0</v>
      </c>
      <c r="AI44" s="93" t="s">
        <v>170</v>
      </c>
      <c r="AJ44" s="94">
        <v>0</v>
      </c>
      <c r="AK44" s="94">
        <v>0</v>
      </c>
      <c r="AL44" s="95">
        <v>0</v>
      </c>
      <c r="AM44" s="96">
        <v>0.2</v>
      </c>
      <c r="AN44" s="72">
        <v>146072.79</v>
      </c>
      <c r="AO44" s="73">
        <v>0</v>
      </c>
      <c r="AP44" s="73">
        <v>0</v>
      </c>
      <c r="AQ44" s="74">
        <v>0</v>
      </c>
      <c r="AR44" s="72">
        <v>134724.59000000003</v>
      </c>
      <c r="AS44" s="73">
        <v>0</v>
      </c>
      <c r="AT44" s="73">
        <v>0</v>
      </c>
      <c r="AU44" s="75">
        <v>0</v>
      </c>
      <c r="AV44" s="93" t="s">
        <v>171</v>
      </c>
      <c r="AW44" s="94">
        <v>0</v>
      </c>
      <c r="AX44" s="94">
        <v>0</v>
      </c>
      <c r="AY44" s="95">
        <v>0</v>
      </c>
      <c r="AZ44" s="97">
        <v>4.9999999999999989E-2</v>
      </c>
      <c r="BA44" s="72">
        <v>40668</v>
      </c>
      <c r="BB44" s="73">
        <v>0</v>
      </c>
      <c r="BC44" s="73">
        <v>0</v>
      </c>
      <c r="BD44" s="74">
        <v>0</v>
      </c>
      <c r="BE44" s="72">
        <v>35940</v>
      </c>
      <c r="BF44" s="73">
        <v>0</v>
      </c>
      <c r="BG44" s="73">
        <v>0</v>
      </c>
      <c r="BH44" s="75">
        <v>0</v>
      </c>
      <c r="BI44" s="98">
        <v>793386.28</v>
      </c>
      <c r="BJ44" s="99">
        <v>738091.60000000009</v>
      </c>
      <c r="BK44" s="100">
        <v>0.79666666666666675</v>
      </c>
      <c r="BL44" s="100">
        <v>0.98</v>
      </c>
      <c r="BM44" s="62"/>
      <c r="BN44" s="80" t="s">
        <v>227</v>
      </c>
      <c r="BO44" s="81">
        <v>41730</v>
      </c>
      <c r="BP44" s="82">
        <v>3</v>
      </c>
      <c r="BQ44" s="82">
        <v>1</v>
      </c>
      <c r="BR44" s="82">
        <v>3</v>
      </c>
      <c r="BS44" s="80">
        <v>605000</v>
      </c>
      <c r="BT44" s="83">
        <v>1</v>
      </c>
      <c r="BU44" s="61"/>
      <c r="BV44" s="84">
        <v>1.0820000000000001</v>
      </c>
      <c r="BW44" s="84">
        <v>1.0389999999999999</v>
      </c>
      <c r="BX44" s="84">
        <v>1.0840000000000001</v>
      </c>
      <c r="BY44" s="84">
        <v>1.1319999999999999</v>
      </c>
      <c r="BZ44" s="62"/>
      <c r="CA44" s="85"/>
      <c r="CB44" s="85"/>
      <c r="CC44" s="85"/>
      <c r="CD44" s="85"/>
      <c r="CE44" s="62"/>
      <c r="CF44" s="86">
        <v>1.07</v>
      </c>
      <c r="CG44" s="87">
        <v>1</v>
      </c>
      <c r="CH44" s="87">
        <v>1.7</v>
      </c>
      <c r="CI44" s="87">
        <v>1</v>
      </c>
      <c r="CJ44" s="87">
        <v>1</v>
      </c>
    </row>
    <row r="45" spans="1:88" x14ac:dyDescent="0.35">
      <c r="A45" s="88" t="s">
        <v>225</v>
      </c>
      <c r="B45" s="89">
        <v>44</v>
      </c>
      <c r="C45" s="90" t="s">
        <v>57</v>
      </c>
      <c r="D45" s="90" t="s">
        <v>12</v>
      </c>
      <c r="E45" s="91">
        <v>41173</v>
      </c>
      <c r="F45" s="91" t="s">
        <v>226</v>
      </c>
      <c r="G45" s="91" t="s">
        <v>226</v>
      </c>
      <c r="H45" s="92" t="s">
        <v>164</v>
      </c>
      <c r="I45" s="93" t="s">
        <v>157</v>
      </c>
      <c r="J45" s="94">
        <v>0</v>
      </c>
      <c r="K45" s="94">
        <v>0</v>
      </c>
      <c r="L45" s="95">
        <v>0</v>
      </c>
      <c r="M45" s="96">
        <v>0.45</v>
      </c>
      <c r="N45" s="72">
        <v>124483.5</v>
      </c>
      <c r="O45" s="73">
        <v>0</v>
      </c>
      <c r="P45" s="73">
        <v>0</v>
      </c>
      <c r="Q45" s="74">
        <v>0</v>
      </c>
      <c r="R45" s="72">
        <v>180900</v>
      </c>
      <c r="S45" s="73">
        <v>0</v>
      </c>
      <c r="T45" s="73">
        <v>0</v>
      </c>
      <c r="U45" s="75">
        <v>0</v>
      </c>
      <c r="V45" s="93" t="s">
        <v>158</v>
      </c>
      <c r="W45" s="94">
        <v>0</v>
      </c>
      <c r="X45" s="94">
        <v>0</v>
      </c>
      <c r="Y45" s="95">
        <v>0</v>
      </c>
      <c r="Z45" s="96">
        <v>0.25</v>
      </c>
      <c r="AA45" s="72">
        <v>22016.799999999999</v>
      </c>
      <c r="AB45" s="73">
        <v>0</v>
      </c>
      <c r="AC45" s="73">
        <v>0</v>
      </c>
      <c r="AD45" s="74">
        <v>0</v>
      </c>
      <c r="AE45" s="72">
        <v>25717.199999999997</v>
      </c>
      <c r="AF45" s="73">
        <v>0</v>
      </c>
      <c r="AG45" s="73">
        <v>0</v>
      </c>
      <c r="AH45" s="75">
        <v>0</v>
      </c>
      <c r="AI45" s="93" t="s">
        <v>150</v>
      </c>
      <c r="AJ45" s="94" t="s">
        <v>165</v>
      </c>
      <c r="AK45" s="94">
        <v>0</v>
      </c>
      <c r="AL45" s="95">
        <v>0</v>
      </c>
      <c r="AM45" s="96">
        <v>0.25</v>
      </c>
      <c r="AN45" s="72">
        <v>15488.650000000001</v>
      </c>
      <c r="AO45" s="73">
        <v>199.98</v>
      </c>
      <c r="AP45" s="73">
        <v>0</v>
      </c>
      <c r="AQ45" s="74">
        <v>0</v>
      </c>
      <c r="AR45" s="72">
        <v>14001.800000000001</v>
      </c>
      <c r="AS45" s="73">
        <v>2899.71</v>
      </c>
      <c r="AT45" s="73">
        <v>0</v>
      </c>
      <c r="AU45" s="75">
        <v>0</v>
      </c>
      <c r="AV45" s="93" t="s">
        <v>149</v>
      </c>
      <c r="AW45" s="94">
        <v>0</v>
      </c>
      <c r="AX45" s="94">
        <v>0</v>
      </c>
      <c r="AY45" s="95">
        <v>0</v>
      </c>
      <c r="AZ45" s="97">
        <v>5.0000000000000044E-2</v>
      </c>
      <c r="BA45" s="72">
        <v>15049.333000000002</v>
      </c>
      <c r="BB45" s="73">
        <v>0</v>
      </c>
      <c r="BC45" s="73">
        <v>0</v>
      </c>
      <c r="BD45" s="74">
        <v>0</v>
      </c>
      <c r="BE45" s="72">
        <v>12113.050000000001</v>
      </c>
      <c r="BF45" s="73">
        <v>0</v>
      </c>
      <c r="BG45" s="73">
        <v>0</v>
      </c>
      <c r="BH45" s="75">
        <v>0</v>
      </c>
      <c r="BI45" s="98">
        <v>177238.26300000001</v>
      </c>
      <c r="BJ45" s="99">
        <v>235631.76</v>
      </c>
      <c r="BK45" s="100" t="s">
        <v>226</v>
      </c>
      <c r="BL45" s="100">
        <v>0.97</v>
      </c>
      <c r="BM45" s="62"/>
      <c r="BN45" s="80" t="s">
        <v>227</v>
      </c>
      <c r="BO45" s="81">
        <v>41264</v>
      </c>
      <c r="BP45" s="82">
        <v>3</v>
      </c>
      <c r="BQ45" s="82">
        <v>1</v>
      </c>
      <c r="BR45" s="82">
        <v>3</v>
      </c>
      <c r="BS45" s="80">
        <v>329604</v>
      </c>
      <c r="BT45" s="83">
        <v>1</v>
      </c>
      <c r="BU45" s="61"/>
      <c r="BV45" s="84">
        <v>0.68799999999999994</v>
      </c>
      <c r="BW45" s="84">
        <v>0.85599999999999998</v>
      </c>
      <c r="BX45" s="84">
        <v>0.92800000000000005</v>
      </c>
      <c r="BY45" s="84">
        <v>1.242</v>
      </c>
      <c r="BZ45" s="62"/>
      <c r="CA45" s="85"/>
      <c r="CB45" s="85"/>
      <c r="CC45" s="85"/>
      <c r="CD45" s="85"/>
      <c r="CE45" s="62"/>
      <c r="CF45" s="86">
        <v>0.75</v>
      </c>
      <c r="CG45" s="87">
        <v>0</v>
      </c>
      <c r="CH45" s="87">
        <v>0</v>
      </c>
      <c r="CI45" s="87">
        <v>0</v>
      </c>
      <c r="CJ45" s="87">
        <v>1</v>
      </c>
    </row>
    <row r="46" spans="1:88" x14ac:dyDescent="0.35">
      <c r="A46" s="88" t="s">
        <v>225</v>
      </c>
      <c r="B46" s="89">
        <v>45</v>
      </c>
      <c r="C46" s="90" t="s">
        <v>58</v>
      </c>
      <c r="D46" s="90" t="s">
        <v>12</v>
      </c>
      <c r="E46" s="91">
        <v>40676</v>
      </c>
      <c r="F46" s="91" t="s">
        <v>226</v>
      </c>
      <c r="G46" s="91" t="s">
        <v>226</v>
      </c>
      <c r="H46" s="92" t="s">
        <v>148</v>
      </c>
      <c r="I46" s="93" t="s">
        <v>149</v>
      </c>
      <c r="J46" s="94" t="s">
        <v>150</v>
      </c>
      <c r="K46" s="94">
        <v>0</v>
      </c>
      <c r="L46" s="95">
        <v>0</v>
      </c>
      <c r="M46" s="96">
        <v>0.5</v>
      </c>
      <c r="N46" s="72">
        <v>40999.050000000003</v>
      </c>
      <c r="O46" s="73">
        <v>33091</v>
      </c>
      <c r="P46" s="73">
        <v>0</v>
      </c>
      <c r="Q46" s="74">
        <v>0</v>
      </c>
      <c r="R46" s="72">
        <v>31609.480000000003</v>
      </c>
      <c r="S46" s="73">
        <v>24083.5</v>
      </c>
      <c r="T46" s="73">
        <v>0</v>
      </c>
      <c r="U46" s="75">
        <v>0</v>
      </c>
      <c r="V46" s="93" t="s">
        <v>151</v>
      </c>
      <c r="W46" s="94" t="s">
        <v>152</v>
      </c>
      <c r="X46" s="94">
        <v>0</v>
      </c>
      <c r="Y46" s="95">
        <v>0</v>
      </c>
      <c r="Z46" s="96">
        <v>0.25</v>
      </c>
      <c r="AA46" s="72">
        <v>46789.340000000011</v>
      </c>
      <c r="AB46" s="73">
        <v>4199</v>
      </c>
      <c r="AC46" s="73">
        <v>0</v>
      </c>
      <c r="AD46" s="74">
        <v>0</v>
      </c>
      <c r="AE46" s="72">
        <v>25128.220000000005</v>
      </c>
      <c r="AF46" s="73">
        <v>4560</v>
      </c>
      <c r="AG46" s="73">
        <v>0</v>
      </c>
      <c r="AH46" s="75">
        <v>0</v>
      </c>
      <c r="AI46" s="93" t="s">
        <v>153</v>
      </c>
      <c r="AJ46" s="94" t="s">
        <v>154</v>
      </c>
      <c r="AK46" s="94">
        <v>0</v>
      </c>
      <c r="AL46" s="95">
        <v>0</v>
      </c>
      <c r="AM46" s="96">
        <v>0.1</v>
      </c>
      <c r="AN46" s="72">
        <v>1200</v>
      </c>
      <c r="AO46" s="73">
        <v>2184</v>
      </c>
      <c r="AP46" s="73">
        <v>0</v>
      </c>
      <c r="AQ46" s="74">
        <v>0</v>
      </c>
      <c r="AR46" s="72">
        <v>1320</v>
      </c>
      <c r="AS46" s="73">
        <v>2400</v>
      </c>
      <c r="AT46" s="73">
        <v>0</v>
      </c>
      <c r="AU46" s="75">
        <v>0</v>
      </c>
      <c r="AV46" s="93" t="s">
        <v>155</v>
      </c>
      <c r="AW46" s="94">
        <v>0</v>
      </c>
      <c r="AX46" s="94">
        <v>0</v>
      </c>
      <c r="AY46" s="95">
        <v>0</v>
      </c>
      <c r="AZ46" s="97">
        <v>0.15</v>
      </c>
      <c r="BA46" s="72">
        <v>514.6</v>
      </c>
      <c r="BB46" s="73">
        <v>0</v>
      </c>
      <c r="BC46" s="73">
        <v>0</v>
      </c>
      <c r="BD46" s="74">
        <v>0</v>
      </c>
      <c r="BE46" s="72">
        <v>1062.4000000000001</v>
      </c>
      <c r="BF46" s="73">
        <v>0</v>
      </c>
      <c r="BG46" s="73">
        <v>0</v>
      </c>
      <c r="BH46" s="75">
        <v>0</v>
      </c>
      <c r="BI46" s="98">
        <v>128976.99000000002</v>
      </c>
      <c r="BJ46" s="99">
        <v>90163.6</v>
      </c>
      <c r="BK46" s="100" t="s">
        <v>226</v>
      </c>
      <c r="BL46" s="100">
        <v>0.96</v>
      </c>
      <c r="BM46" s="62"/>
      <c r="BN46" s="80" t="s">
        <v>227</v>
      </c>
      <c r="BO46" s="81">
        <v>40768</v>
      </c>
      <c r="BP46" s="82">
        <v>3</v>
      </c>
      <c r="BQ46" s="82">
        <v>1</v>
      </c>
      <c r="BR46" s="82">
        <v>3</v>
      </c>
      <c r="BS46" s="80">
        <v>329604</v>
      </c>
      <c r="BT46" s="83">
        <v>1</v>
      </c>
      <c r="BU46" s="61"/>
      <c r="BV46" s="84">
        <v>1.33</v>
      </c>
      <c r="BW46" s="84">
        <v>1.7170000000000001</v>
      </c>
      <c r="BX46" s="84">
        <v>0.91</v>
      </c>
      <c r="BY46" s="84">
        <v>0.48399999999999999</v>
      </c>
      <c r="BZ46" s="62"/>
      <c r="CA46" s="85"/>
      <c r="CB46" s="85"/>
      <c r="CC46" s="85"/>
      <c r="CD46" s="85"/>
      <c r="CE46" s="62"/>
      <c r="CF46" s="86">
        <v>1.43</v>
      </c>
      <c r="CG46" s="87">
        <v>1</v>
      </c>
      <c r="CH46" s="87">
        <v>2.5</v>
      </c>
      <c r="CI46" s="87">
        <v>0</v>
      </c>
      <c r="CJ46" s="87">
        <v>1</v>
      </c>
    </row>
    <row r="47" spans="1:88" x14ac:dyDescent="0.35">
      <c r="A47" s="88" t="s">
        <v>225</v>
      </c>
      <c r="B47" s="89">
        <v>46</v>
      </c>
      <c r="C47" s="90" t="s">
        <v>59</v>
      </c>
      <c r="D47" s="90" t="s">
        <v>12</v>
      </c>
      <c r="E47" s="91">
        <v>42552</v>
      </c>
      <c r="F47" s="91" t="s">
        <v>226</v>
      </c>
      <c r="G47" s="91" t="s">
        <v>226</v>
      </c>
      <c r="H47" s="92" t="s">
        <v>163</v>
      </c>
      <c r="I47" s="93" t="s">
        <v>149</v>
      </c>
      <c r="J47" s="94" t="s">
        <v>150</v>
      </c>
      <c r="K47" s="94">
        <v>0</v>
      </c>
      <c r="L47" s="95">
        <v>0</v>
      </c>
      <c r="M47" s="96">
        <v>0.1</v>
      </c>
      <c r="N47" s="72">
        <v>21136.1535</v>
      </c>
      <c r="O47" s="73">
        <v>9970.4000000000015</v>
      </c>
      <c r="P47" s="73">
        <v>0</v>
      </c>
      <c r="Q47" s="74">
        <v>0</v>
      </c>
      <c r="R47" s="72">
        <v>17026.947</v>
      </c>
      <c r="S47" s="73">
        <v>9257.625</v>
      </c>
      <c r="T47" s="73">
        <v>0</v>
      </c>
      <c r="U47" s="75">
        <v>0</v>
      </c>
      <c r="V47" s="93" t="s">
        <v>159</v>
      </c>
      <c r="W47" s="94" t="s">
        <v>160</v>
      </c>
      <c r="X47" s="94" t="s">
        <v>161</v>
      </c>
      <c r="Y47" s="95">
        <v>0</v>
      </c>
      <c r="Z47" s="96">
        <v>0.3</v>
      </c>
      <c r="AA47" s="72">
        <v>282509.5</v>
      </c>
      <c r="AB47" s="73">
        <v>9728.5499999999993</v>
      </c>
      <c r="AC47" s="73">
        <v>4712</v>
      </c>
      <c r="AD47" s="74">
        <v>0</v>
      </c>
      <c r="AE47" s="72">
        <v>148192.5</v>
      </c>
      <c r="AF47" s="73">
        <v>9678.66</v>
      </c>
      <c r="AG47" s="73">
        <v>9951</v>
      </c>
      <c r="AH47" s="75">
        <v>0</v>
      </c>
      <c r="AI47" s="93" t="s">
        <v>151</v>
      </c>
      <c r="AJ47" s="94">
        <v>0</v>
      </c>
      <c r="AK47" s="94">
        <v>0</v>
      </c>
      <c r="AL47" s="95">
        <v>0</v>
      </c>
      <c r="AM47" s="96">
        <v>0.3</v>
      </c>
      <c r="AN47" s="72">
        <v>376824.24</v>
      </c>
      <c r="AO47" s="73">
        <v>0</v>
      </c>
      <c r="AP47" s="73">
        <v>0</v>
      </c>
      <c r="AQ47" s="74">
        <v>0</v>
      </c>
      <c r="AR47" s="72">
        <v>261353.30000000002</v>
      </c>
      <c r="AS47" s="73">
        <v>0</v>
      </c>
      <c r="AT47" s="73">
        <v>0</v>
      </c>
      <c r="AU47" s="75">
        <v>0</v>
      </c>
      <c r="AV47" s="93" t="s">
        <v>162</v>
      </c>
      <c r="AW47" s="94">
        <v>0</v>
      </c>
      <c r="AX47" s="94">
        <v>0</v>
      </c>
      <c r="AY47" s="95">
        <v>0</v>
      </c>
      <c r="AZ47" s="97">
        <v>0.3000000000000001</v>
      </c>
      <c r="BA47" s="72">
        <v>90583.560000000012</v>
      </c>
      <c r="BB47" s="73">
        <v>0</v>
      </c>
      <c r="BC47" s="73">
        <v>0</v>
      </c>
      <c r="BD47" s="74">
        <v>0</v>
      </c>
      <c r="BE47" s="72">
        <v>73247.38</v>
      </c>
      <c r="BF47" s="73">
        <v>0</v>
      </c>
      <c r="BG47" s="73">
        <v>0</v>
      </c>
      <c r="BH47" s="75">
        <v>0</v>
      </c>
      <c r="BI47" s="98">
        <v>795464.40350000001</v>
      </c>
      <c r="BJ47" s="99">
        <v>528707.41200000001</v>
      </c>
      <c r="BK47" s="100" t="s">
        <v>226</v>
      </c>
      <c r="BL47" s="100">
        <v>0.94</v>
      </c>
      <c r="BM47" s="62"/>
      <c r="BN47" s="80" t="s">
        <v>227</v>
      </c>
      <c r="BO47" s="81">
        <v>42644</v>
      </c>
      <c r="BP47" s="82">
        <v>3</v>
      </c>
      <c r="BQ47" s="82">
        <v>1</v>
      </c>
      <c r="BR47" s="82">
        <v>3</v>
      </c>
      <c r="BS47" s="80">
        <v>329604</v>
      </c>
      <c r="BT47" s="83">
        <v>1</v>
      </c>
      <c r="BU47" s="61"/>
      <c r="BV47" s="84">
        <v>1.1830000000000001</v>
      </c>
      <c r="BW47" s="84">
        <v>1.7689999999999999</v>
      </c>
      <c r="BX47" s="84">
        <v>1.4419999999999999</v>
      </c>
      <c r="BY47" s="84">
        <v>1.2370000000000001</v>
      </c>
      <c r="BZ47" s="62"/>
      <c r="CA47" s="85"/>
      <c r="CB47" s="85"/>
      <c r="CC47" s="85"/>
      <c r="CD47" s="85"/>
      <c r="CE47" s="62"/>
      <c r="CF47" s="86">
        <v>1.5</v>
      </c>
      <c r="CG47" s="87">
        <v>1</v>
      </c>
      <c r="CH47" s="87">
        <v>2.5</v>
      </c>
      <c r="CI47" s="87">
        <v>0</v>
      </c>
      <c r="CJ47" s="87">
        <v>0.5</v>
      </c>
    </row>
    <row r="48" spans="1:88" x14ac:dyDescent="0.35">
      <c r="A48" s="88" t="s">
        <v>225</v>
      </c>
      <c r="B48" s="89">
        <v>47</v>
      </c>
      <c r="C48" s="90" t="s">
        <v>60</v>
      </c>
      <c r="D48" s="90" t="s">
        <v>21</v>
      </c>
      <c r="E48" s="91">
        <v>40861</v>
      </c>
      <c r="F48" s="91" t="s">
        <v>226</v>
      </c>
      <c r="G48" s="91" t="s">
        <v>226</v>
      </c>
      <c r="H48" s="92" t="s">
        <v>166</v>
      </c>
      <c r="I48" s="93" t="s">
        <v>149</v>
      </c>
      <c r="J48" s="94">
        <v>0</v>
      </c>
      <c r="K48" s="94">
        <v>0</v>
      </c>
      <c r="L48" s="95">
        <v>0</v>
      </c>
      <c r="M48" s="96">
        <v>0.4</v>
      </c>
      <c r="N48" s="72">
        <v>92460.68</v>
      </c>
      <c r="O48" s="73">
        <v>0</v>
      </c>
      <c r="P48" s="73">
        <v>0</v>
      </c>
      <c r="Q48" s="74">
        <v>0</v>
      </c>
      <c r="R48" s="72">
        <v>68787.149999999994</v>
      </c>
      <c r="S48" s="73">
        <v>0</v>
      </c>
      <c r="T48" s="73">
        <v>0</v>
      </c>
      <c r="U48" s="75">
        <v>0</v>
      </c>
      <c r="V48" s="93" t="s">
        <v>150</v>
      </c>
      <c r="W48" s="94">
        <v>0</v>
      </c>
      <c r="X48" s="94">
        <v>0</v>
      </c>
      <c r="Y48" s="95">
        <v>0</v>
      </c>
      <c r="Z48" s="96">
        <v>0.35</v>
      </c>
      <c r="AA48" s="72">
        <v>39523</v>
      </c>
      <c r="AB48" s="73">
        <v>0</v>
      </c>
      <c r="AC48" s="73">
        <v>0</v>
      </c>
      <c r="AD48" s="74">
        <v>0</v>
      </c>
      <c r="AE48" s="72">
        <v>41617</v>
      </c>
      <c r="AF48" s="73">
        <v>0</v>
      </c>
      <c r="AG48" s="73">
        <v>0</v>
      </c>
      <c r="AH48" s="75">
        <v>0</v>
      </c>
      <c r="AI48" s="93" t="s">
        <v>153</v>
      </c>
      <c r="AJ48" s="94" t="s">
        <v>154</v>
      </c>
      <c r="AK48" s="94">
        <v>0</v>
      </c>
      <c r="AL48" s="95">
        <v>0</v>
      </c>
      <c r="AM48" s="96">
        <v>0.25</v>
      </c>
      <c r="AN48" s="72">
        <v>7008</v>
      </c>
      <c r="AO48" s="73">
        <v>17052</v>
      </c>
      <c r="AP48" s="73">
        <v>0</v>
      </c>
      <c r="AQ48" s="74">
        <v>0</v>
      </c>
      <c r="AR48" s="72">
        <v>5544</v>
      </c>
      <c r="AS48" s="73">
        <v>14676</v>
      </c>
      <c r="AT48" s="73">
        <v>0</v>
      </c>
      <c r="AU48" s="75">
        <v>0</v>
      </c>
      <c r="AV48" s="93">
        <v>0</v>
      </c>
      <c r="AW48" s="94">
        <v>0</v>
      </c>
      <c r="AX48" s="94">
        <v>0</v>
      </c>
      <c r="AY48" s="95">
        <v>0</v>
      </c>
      <c r="AZ48" s="97">
        <v>0</v>
      </c>
      <c r="BA48" s="72">
        <v>0</v>
      </c>
      <c r="BB48" s="73">
        <v>0</v>
      </c>
      <c r="BC48" s="73">
        <v>0</v>
      </c>
      <c r="BD48" s="74">
        <v>0</v>
      </c>
      <c r="BE48" s="72">
        <v>0</v>
      </c>
      <c r="BF48" s="73">
        <v>0</v>
      </c>
      <c r="BG48" s="73">
        <v>0</v>
      </c>
      <c r="BH48" s="75">
        <v>0</v>
      </c>
      <c r="BI48" s="98">
        <v>156043.68</v>
      </c>
      <c r="BJ48" s="99">
        <v>130624.15</v>
      </c>
      <c r="BK48" s="100" t="s">
        <v>226</v>
      </c>
      <c r="BL48" s="100">
        <v>0.91</v>
      </c>
      <c r="BM48" s="62"/>
      <c r="BN48" s="80" t="s">
        <v>227</v>
      </c>
      <c r="BO48" s="81">
        <v>40953</v>
      </c>
      <c r="BP48" s="82">
        <v>3</v>
      </c>
      <c r="BQ48" s="82">
        <v>1</v>
      </c>
      <c r="BR48" s="82">
        <v>3</v>
      </c>
      <c r="BS48" s="80">
        <v>329604</v>
      </c>
      <c r="BT48" s="83">
        <v>1</v>
      </c>
      <c r="BU48" s="61"/>
      <c r="BV48" s="84">
        <v>1.3440000000000001</v>
      </c>
      <c r="BW48" s="84">
        <v>0.95</v>
      </c>
      <c r="BX48" s="84">
        <v>1.19</v>
      </c>
      <c r="BY48" s="84">
        <v>0</v>
      </c>
      <c r="BZ48" s="62"/>
      <c r="CA48" s="85"/>
      <c r="CB48" s="85"/>
      <c r="CC48" s="85"/>
      <c r="CD48" s="85"/>
      <c r="CE48" s="62"/>
      <c r="CF48" s="86">
        <v>1.19</v>
      </c>
      <c r="CG48" s="87">
        <v>1</v>
      </c>
      <c r="CH48" s="87">
        <v>2.4500000000000002</v>
      </c>
      <c r="CI48" s="87">
        <v>0</v>
      </c>
      <c r="CJ48" s="87">
        <v>0.5</v>
      </c>
    </row>
    <row r="49" spans="1:88" x14ac:dyDescent="0.35">
      <c r="A49" s="88" t="s">
        <v>225</v>
      </c>
      <c r="B49" s="89">
        <v>48</v>
      </c>
      <c r="C49" s="90" t="s">
        <v>61</v>
      </c>
      <c r="D49" s="90" t="s">
        <v>12</v>
      </c>
      <c r="E49" s="91">
        <v>40676</v>
      </c>
      <c r="F49" s="91" t="s">
        <v>226</v>
      </c>
      <c r="G49" s="91" t="s">
        <v>226</v>
      </c>
      <c r="H49" s="92" t="s">
        <v>148</v>
      </c>
      <c r="I49" s="93" t="s">
        <v>149</v>
      </c>
      <c r="J49" s="94" t="s">
        <v>150</v>
      </c>
      <c r="K49" s="94">
        <v>0</v>
      </c>
      <c r="L49" s="95">
        <v>0</v>
      </c>
      <c r="M49" s="96">
        <v>0.5</v>
      </c>
      <c r="N49" s="72">
        <v>300986.66000000003</v>
      </c>
      <c r="O49" s="73">
        <v>154886.5</v>
      </c>
      <c r="P49" s="73">
        <v>0</v>
      </c>
      <c r="Q49" s="74">
        <v>0</v>
      </c>
      <c r="R49" s="72">
        <v>242261</v>
      </c>
      <c r="S49" s="73">
        <v>140018</v>
      </c>
      <c r="T49" s="73">
        <v>0</v>
      </c>
      <c r="U49" s="75">
        <v>0</v>
      </c>
      <c r="V49" s="93" t="s">
        <v>151</v>
      </c>
      <c r="W49" s="94" t="s">
        <v>152</v>
      </c>
      <c r="X49" s="94">
        <v>0</v>
      </c>
      <c r="Y49" s="95">
        <v>0</v>
      </c>
      <c r="Z49" s="96">
        <v>0.25</v>
      </c>
      <c r="AA49" s="72">
        <v>155755.34000000003</v>
      </c>
      <c r="AB49" s="73">
        <v>30362</v>
      </c>
      <c r="AC49" s="73">
        <v>0</v>
      </c>
      <c r="AD49" s="74">
        <v>0</v>
      </c>
      <c r="AE49" s="72">
        <v>128976.12000000001</v>
      </c>
      <c r="AF49" s="73">
        <v>28291</v>
      </c>
      <c r="AG49" s="73">
        <v>0</v>
      </c>
      <c r="AH49" s="75">
        <v>0</v>
      </c>
      <c r="AI49" s="93" t="s">
        <v>153</v>
      </c>
      <c r="AJ49" s="94" t="s">
        <v>154</v>
      </c>
      <c r="AK49" s="94">
        <v>0</v>
      </c>
      <c r="AL49" s="95">
        <v>0</v>
      </c>
      <c r="AM49" s="96">
        <v>0.1</v>
      </c>
      <c r="AN49" s="72">
        <v>10164</v>
      </c>
      <c r="AO49" s="73">
        <v>11280</v>
      </c>
      <c r="AP49" s="73">
        <v>0</v>
      </c>
      <c r="AQ49" s="74">
        <v>0</v>
      </c>
      <c r="AR49" s="72">
        <v>10692</v>
      </c>
      <c r="AS49" s="73">
        <v>16344</v>
      </c>
      <c r="AT49" s="73">
        <v>0</v>
      </c>
      <c r="AU49" s="75">
        <v>0</v>
      </c>
      <c r="AV49" s="93" t="s">
        <v>155</v>
      </c>
      <c r="AW49" s="94">
        <v>0</v>
      </c>
      <c r="AX49" s="94">
        <v>0</v>
      </c>
      <c r="AY49" s="95">
        <v>0</v>
      </c>
      <c r="AZ49" s="97">
        <v>0.15</v>
      </c>
      <c r="BA49" s="72">
        <v>1162</v>
      </c>
      <c r="BB49" s="73">
        <v>0</v>
      </c>
      <c r="BC49" s="73">
        <v>0</v>
      </c>
      <c r="BD49" s="74">
        <v>0</v>
      </c>
      <c r="BE49" s="72">
        <v>4116.8</v>
      </c>
      <c r="BF49" s="73">
        <v>0</v>
      </c>
      <c r="BG49" s="73">
        <v>0</v>
      </c>
      <c r="BH49" s="75">
        <v>0</v>
      </c>
      <c r="BI49" s="98">
        <v>664596.5</v>
      </c>
      <c r="BJ49" s="99">
        <v>570698.92000000004</v>
      </c>
      <c r="BK49" s="100" t="s">
        <v>226</v>
      </c>
      <c r="BL49" s="100">
        <v>0.91</v>
      </c>
      <c r="BM49" s="62"/>
      <c r="BN49" s="80" t="s">
        <v>227</v>
      </c>
      <c r="BO49" s="81">
        <v>40768</v>
      </c>
      <c r="BP49" s="82">
        <v>3</v>
      </c>
      <c r="BQ49" s="82">
        <v>1</v>
      </c>
      <c r="BR49" s="82">
        <v>3</v>
      </c>
      <c r="BS49" s="80">
        <v>329604</v>
      </c>
      <c r="BT49" s="83">
        <v>1</v>
      </c>
      <c r="BU49" s="61"/>
      <c r="BV49" s="84">
        <v>1.1930000000000001</v>
      </c>
      <c r="BW49" s="84">
        <v>1.1830000000000001</v>
      </c>
      <c r="BX49" s="84">
        <v>0.79300000000000004</v>
      </c>
      <c r="BY49" s="84">
        <v>0.28199999999999997</v>
      </c>
      <c r="BZ49" s="62"/>
      <c r="CA49" s="85"/>
      <c r="CB49" s="85"/>
      <c r="CC49" s="85"/>
      <c r="CD49" s="85"/>
      <c r="CE49" s="62"/>
      <c r="CF49" s="86">
        <v>1.1599999999999999</v>
      </c>
      <c r="CG49" s="87">
        <v>1</v>
      </c>
      <c r="CH49" s="87">
        <v>2.2999999999999998</v>
      </c>
      <c r="CI49" s="87">
        <v>0</v>
      </c>
      <c r="CJ49" s="87">
        <v>0.5</v>
      </c>
    </row>
    <row r="50" spans="1:88" x14ac:dyDescent="0.35">
      <c r="A50" s="88" t="s">
        <v>225</v>
      </c>
      <c r="B50" s="89">
        <v>49</v>
      </c>
      <c r="C50" s="90" t="s">
        <v>62</v>
      </c>
      <c r="D50" s="90" t="s">
        <v>12</v>
      </c>
      <c r="E50" s="91">
        <v>40680</v>
      </c>
      <c r="F50" s="91">
        <v>42794</v>
      </c>
      <c r="G50" s="91" t="s">
        <v>226</v>
      </c>
      <c r="H50" s="92" t="s">
        <v>148</v>
      </c>
      <c r="I50" s="93" t="s">
        <v>149</v>
      </c>
      <c r="J50" s="94" t="s">
        <v>150</v>
      </c>
      <c r="K50" s="94">
        <v>0</v>
      </c>
      <c r="L50" s="95">
        <v>0</v>
      </c>
      <c r="M50" s="96">
        <v>0.5</v>
      </c>
      <c r="N50" s="72">
        <v>62019.434999999998</v>
      </c>
      <c r="O50" s="73">
        <v>47860</v>
      </c>
      <c r="P50" s="73">
        <v>0</v>
      </c>
      <c r="Q50" s="74">
        <v>0</v>
      </c>
      <c r="R50" s="72">
        <v>64559.780000000006</v>
      </c>
      <c r="S50" s="73">
        <v>40271</v>
      </c>
      <c r="T50" s="73">
        <v>0</v>
      </c>
      <c r="U50" s="75">
        <v>0</v>
      </c>
      <c r="V50" s="93" t="s">
        <v>151</v>
      </c>
      <c r="W50" s="94" t="s">
        <v>152</v>
      </c>
      <c r="X50" s="94">
        <v>0</v>
      </c>
      <c r="Y50" s="95">
        <v>0</v>
      </c>
      <c r="Z50" s="96">
        <v>0.25</v>
      </c>
      <c r="AA50" s="72">
        <v>34472.880000000005</v>
      </c>
      <c r="AB50" s="73">
        <v>12269.25</v>
      </c>
      <c r="AC50" s="73">
        <v>0</v>
      </c>
      <c r="AD50" s="74">
        <v>0</v>
      </c>
      <c r="AE50" s="72">
        <v>44411.9</v>
      </c>
      <c r="AF50" s="73">
        <v>11903.5</v>
      </c>
      <c r="AG50" s="73">
        <v>0</v>
      </c>
      <c r="AH50" s="75">
        <v>0</v>
      </c>
      <c r="AI50" s="93" t="s">
        <v>153</v>
      </c>
      <c r="AJ50" s="94" t="s">
        <v>154</v>
      </c>
      <c r="AK50" s="94">
        <v>0</v>
      </c>
      <c r="AL50" s="95">
        <v>0</v>
      </c>
      <c r="AM50" s="96">
        <v>0.1</v>
      </c>
      <c r="AN50" s="72">
        <v>4884</v>
      </c>
      <c r="AO50" s="73">
        <v>7080</v>
      </c>
      <c r="AP50" s="73">
        <v>0</v>
      </c>
      <c r="AQ50" s="74">
        <v>0</v>
      </c>
      <c r="AR50" s="72">
        <v>4092</v>
      </c>
      <c r="AS50" s="73">
        <v>6144</v>
      </c>
      <c r="AT50" s="73">
        <v>0</v>
      </c>
      <c r="AU50" s="75">
        <v>0</v>
      </c>
      <c r="AV50" s="93" t="s">
        <v>155</v>
      </c>
      <c r="AW50" s="94">
        <v>0</v>
      </c>
      <c r="AX50" s="94">
        <v>0</v>
      </c>
      <c r="AY50" s="95">
        <v>0</v>
      </c>
      <c r="AZ50" s="97">
        <v>0.15</v>
      </c>
      <c r="BA50" s="72">
        <v>99.600000000000009</v>
      </c>
      <c r="BB50" s="73">
        <v>0</v>
      </c>
      <c r="BC50" s="73">
        <v>0</v>
      </c>
      <c r="BD50" s="74">
        <v>0</v>
      </c>
      <c r="BE50" s="72">
        <v>996.00000000000011</v>
      </c>
      <c r="BF50" s="73">
        <v>0</v>
      </c>
      <c r="BG50" s="73">
        <v>0</v>
      </c>
      <c r="BH50" s="75">
        <v>0</v>
      </c>
      <c r="BI50" s="98">
        <v>168685.16500000001</v>
      </c>
      <c r="BJ50" s="99">
        <v>172378.18</v>
      </c>
      <c r="BK50" s="100" t="s">
        <v>226</v>
      </c>
      <c r="BL50" s="100">
        <v>0.66</v>
      </c>
      <c r="BM50" s="62"/>
      <c r="BN50" s="80" t="s">
        <v>229</v>
      </c>
      <c r="BO50" s="81">
        <v>40772</v>
      </c>
      <c r="BP50" s="82">
        <v>2</v>
      </c>
      <c r="BQ50" s="82">
        <v>1</v>
      </c>
      <c r="BR50" s="82">
        <v>2</v>
      </c>
      <c r="BS50" s="80">
        <v>329604</v>
      </c>
      <c r="BT50" s="83">
        <v>0.66666666666666663</v>
      </c>
      <c r="BU50" s="61"/>
      <c r="BV50" s="84">
        <v>1.048</v>
      </c>
      <c r="BW50" s="84">
        <v>0.83</v>
      </c>
      <c r="BX50" s="84">
        <v>1.169</v>
      </c>
      <c r="BY50" s="84">
        <v>0.1</v>
      </c>
      <c r="BZ50" s="62"/>
      <c r="CA50" s="85"/>
      <c r="CB50" s="85"/>
      <c r="CC50" s="85"/>
      <c r="CD50" s="85"/>
      <c r="CE50" s="62"/>
      <c r="CF50" s="86">
        <v>0.98</v>
      </c>
      <c r="CG50" s="87">
        <v>1</v>
      </c>
      <c r="CH50" s="87">
        <v>0.9</v>
      </c>
      <c r="CI50" s="87">
        <v>0</v>
      </c>
      <c r="CJ50" s="87">
        <v>0</v>
      </c>
    </row>
    <row r="51" spans="1:88" x14ac:dyDescent="0.35">
      <c r="A51" s="88" t="s">
        <v>225</v>
      </c>
      <c r="B51" s="89">
        <v>50</v>
      </c>
      <c r="C51" s="90" t="s">
        <v>63</v>
      </c>
      <c r="D51" s="90" t="s">
        <v>12</v>
      </c>
      <c r="E51" s="91">
        <v>40983</v>
      </c>
      <c r="F51" s="91" t="s">
        <v>226</v>
      </c>
      <c r="G51" s="91" t="s">
        <v>226</v>
      </c>
      <c r="H51" s="92" t="s">
        <v>148</v>
      </c>
      <c r="I51" s="93" t="s">
        <v>149</v>
      </c>
      <c r="J51" s="94" t="s">
        <v>150</v>
      </c>
      <c r="K51" s="94">
        <v>0</v>
      </c>
      <c r="L51" s="95">
        <v>0</v>
      </c>
      <c r="M51" s="96">
        <v>0.5</v>
      </c>
      <c r="N51" s="72">
        <v>300986.66000000003</v>
      </c>
      <c r="O51" s="73">
        <v>154886.5</v>
      </c>
      <c r="P51" s="73">
        <v>0</v>
      </c>
      <c r="Q51" s="74">
        <v>0</v>
      </c>
      <c r="R51" s="72">
        <v>242261</v>
      </c>
      <c r="S51" s="73">
        <v>140018</v>
      </c>
      <c r="T51" s="73">
        <v>0</v>
      </c>
      <c r="U51" s="75">
        <v>0</v>
      </c>
      <c r="V51" s="93" t="s">
        <v>151</v>
      </c>
      <c r="W51" s="94" t="s">
        <v>152</v>
      </c>
      <c r="X51" s="94">
        <v>0</v>
      </c>
      <c r="Y51" s="95">
        <v>0</v>
      </c>
      <c r="Z51" s="96">
        <v>0.25</v>
      </c>
      <c r="AA51" s="72">
        <v>155755.34000000003</v>
      </c>
      <c r="AB51" s="73">
        <v>30362</v>
      </c>
      <c r="AC51" s="73">
        <v>0</v>
      </c>
      <c r="AD51" s="74">
        <v>0</v>
      </c>
      <c r="AE51" s="72">
        <v>128976.12000000001</v>
      </c>
      <c r="AF51" s="73">
        <v>28291</v>
      </c>
      <c r="AG51" s="73">
        <v>0</v>
      </c>
      <c r="AH51" s="75">
        <v>0</v>
      </c>
      <c r="AI51" s="93" t="s">
        <v>153</v>
      </c>
      <c r="AJ51" s="94" t="s">
        <v>154</v>
      </c>
      <c r="AK51" s="94">
        <v>0</v>
      </c>
      <c r="AL51" s="95">
        <v>0</v>
      </c>
      <c r="AM51" s="96">
        <v>0.1</v>
      </c>
      <c r="AN51" s="72">
        <v>10164</v>
      </c>
      <c r="AO51" s="73">
        <v>11280</v>
      </c>
      <c r="AP51" s="73">
        <v>0</v>
      </c>
      <c r="AQ51" s="74">
        <v>0</v>
      </c>
      <c r="AR51" s="72">
        <v>10692</v>
      </c>
      <c r="AS51" s="73">
        <v>16344</v>
      </c>
      <c r="AT51" s="73">
        <v>0</v>
      </c>
      <c r="AU51" s="75">
        <v>0</v>
      </c>
      <c r="AV51" s="93" t="s">
        <v>155</v>
      </c>
      <c r="AW51" s="94">
        <v>0</v>
      </c>
      <c r="AX51" s="94">
        <v>0</v>
      </c>
      <c r="AY51" s="95">
        <v>0</v>
      </c>
      <c r="AZ51" s="97">
        <v>0.15</v>
      </c>
      <c r="BA51" s="72">
        <v>1162</v>
      </c>
      <c r="BB51" s="73">
        <v>0</v>
      </c>
      <c r="BC51" s="73">
        <v>0</v>
      </c>
      <c r="BD51" s="74">
        <v>0</v>
      </c>
      <c r="BE51" s="72">
        <v>4116.8</v>
      </c>
      <c r="BF51" s="73">
        <v>0</v>
      </c>
      <c r="BG51" s="73">
        <v>0</v>
      </c>
      <c r="BH51" s="75">
        <v>0</v>
      </c>
      <c r="BI51" s="98">
        <v>664596.5</v>
      </c>
      <c r="BJ51" s="99">
        <v>570698.92000000004</v>
      </c>
      <c r="BK51" s="100" t="s">
        <v>226</v>
      </c>
      <c r="BL51" s="100">
        <v>0.95</v>
      </c>
      <c r="BM51" s="62"/>
      <c r="BN51" s="80" t="s">
        <v>227</v>
      </c>
      <c r="BO51" s="81">
        <v>41075</v>
      </c>
      <c r="BP51" s="82">
        <v>3</v>
      </c>
      <c r="BQ51" s="82">
        <v>1</v>
      </c>
      <c r="BR51" s="82">
        <v>3</v>
      </c>
      <c r="BS51" s="80">
        <v>329604</v>
      </c>
      <c r="BT51" s="83">
        <v>1</v>
      </c>
      <c r="BU51" s="61"/>
      <c r="BV51" s="84">
        <v>1.1930000000000001</v>
      </c>
      <c r="BW51" s="84">
        <v>1.1830000000000001</v>
      </c>
      <c r="BX51" s="84">
        <v>0.79300000000000004</v>
      </c>
      <c r="BY51" s="84">
        <v>0.28199999999999997</v>
      </c>
      <c r="BZ51" s="62"/>
      <c r="CA51" s="85"/>
      <c r="CB51" s="85"/>
      <c r="CC51" s="85"/>
      <c r="CD51" s="85"/>
      <c r="CE51" s="62"/>
      <c r="CF51" s="86">
        <v>1.1599999999999999</v>
      </c>
      <c r="CG51" s="87">
        <v>1</v>
      </c>
      <c r="CH51" s="87">
        <v>2.2999999999999998</v>
      </c>
      <c r="CI51" s="87">
        <v>0</v>
      </c>
      <c r="CJ51" s="87">
        <v>1</v>
      </c>
    </row>
    <row r="52" spans="1:88" x14ac:dyDescent="0.35">
      <c r="A52" s="88" t="s">
        <v>225</v>
      </c>
      <c r="B52" s="89">
        <v>51</v>
      </c>
      <c r="C52" s="90" t="s">
        <v>64</v>
      </c>
      <c r="D52" s="90" t="s">
        <v>12</v>
      </c>
      <c r="E52" s="91">
        <v>41738</v>
      </c>
      <c r="F52" s="91" t="s">
        <v>226</v>
      </c>
      <c r="G52" s="91" t="s">
        <v>226</v>
      </c>
      <c r="H52" s="92" t="s">
        <v>163</v>
      </c>
      <c r="I52" s="93" t="s">
        <v>149</v>
      </c>
      <c r="J52" s="94" t="s">
        <v>150</v>
      </c>
      <c r="K52" s="94">
        <v>0</v>
      </c>
      <c r="L52" s="95">
        <v>0</v>
      </c>
      <c r="M52" s="96">
        <v>0.1</v>
      </c>
      <c r="N52" s="72">
        <v>8430.5022499999995</v>
      </c>
      <c r="O52" s="73">
        <v>3936.7250000000004</v>
      </c>
      <c r="P52" s="73">
        <v>0</v>
      </c>
      <c r="Q52" s="74">
        <v>0</v>
      </c>
      <c r="R52" s="72">
        <v>7945.2600000000011</v>
      </c>
      <c r="S52" s="73">
        <v>4629.05</v>
      </c>
      <c r="T52" s="73">
        <v>0</v>
      </c>
      <c r="U52" s="75">
        <v>0</v>
      </c>
      <c r="V52" s="93" t="s">
        <v>159</v>
      </c>
      <c r="W52" s="94" t="s">
        <v>160</v>
      </c>
      <c r="X52" s="94" t="s">
        <v>161</v>
      </c>
      <c r="Y52" s="95">
        <v>0</v>
      </c>
      <c r="Z52" s="96">
        <v>0.3</v>
      </c>
      <c r="AA52" s="72">
        <v>78477</v>
      </c>
      <c r="AB52" s="73">
        <v>1663</v>
      </c>
      <c r="AC52" s="73">
        <v>1364</v>
      </c>
      <c r="AD52" s="74">
        <v>0</v>
      </c>
      <c r="AE52" s="72">
        <v>78135</v>
      </c>
      <c r="AF52" s="73">
        <v>3475.6699999999996</v>
      </c>
      <c r="AG52" s="73">
        <v>6324</v>
      </c>
      <c r="AH52" s="75">
        <v>0</v>
      </c>
      <c r="AI52" s="93" t="s">
        <v>151</v>
      </c>
      <c r="AJ52" s="94">
        <v>0</v>
      </c>
      <c r="AK52" s="94">
        <v>0</v>
      </c>
      <c r="AL52" s="95">
        <v>0</v>
      </c>
      <c r="AM52" s="96">
        <v>0.3</v>
      </c>
      <c r="AN52" s="72">
        <v>98729.800000000017</v>
      </c>
      <c r="AO52" s="73">
        <v>0</v>
      </c>
      <c r="AP52" s="73">
        <v>0</v>
      </c>
      <c r="AQ52" s="74">
        <v>0</v>
      </c>
      <c r="AR52" s="72">
        <v>109098.08000000002</v>
      </c>
      <c r="AS52" s="73">
        <v>0</v>
      </c>
      <c r="AT52" s="73">
        <v>0</v>
      </c>
      <c r="AU52" s="75">
        <v>0</v>
      </c>
      <c r="AV52" s="93" t="s">
        <v>162</v>
      </c>
      <c r="AW52" s="94">
        <v>0</v>
      </c>
      <c r="AX52" s="94">
        <v>0</v>
      </c>
      <c r="AY52" s="95">
        <v>0</v>
      </c>
      <c r="AZ52" s="97">
        <v>0.3000000000000001</v>
      </c>
      <c r="BA52" s="72">
        <v>32374.280000000002</v>
      </c>
      <c r="BB52" s="73">
        <v>0</v>
      </c>
      <c r="BC52" s="73">
        <v>0</v>
      </c>
      <c r="BD52" s="74">
        <v>0</v>
      </c>
      <c r="BE52" s="72">
        <v>30519.360000000001</v>
      </c>
      <c r="BF52" s="73">
        <v>0</v>
      </c>
      <c r="BG52" s="73">
        <v>0</v>
      </c>
      <c r="BH52" s="75">
        <v>0</v>
      </c>
      <c r="BI52" s="98">
        <v>224975.30725000001</v>
      </c>
      <c r="BJ52" s="99">
        <v>240126.41999999998</v>
      </c>
      <c r="BK52" s="100" t="s">
        <v>226</v>
      </c>
      <c r="BL52" s="100">
        <v>1</v>
      </c>
      <c r="BM52" s="62"/>
      <c r="BN52" s="80" t="s">
        <v>227</v>
      </c>
      <c r="BO52" s="81">
        <v>41829</v>
      </c>
      <c r="BP52" s="82">
        <v>3</v>
      </c>
      <c r="BQ52" s="82">
        <v>1</v>
      </c>
      <c r="BR52" s="82">
        <v>3</v>
      </c>
      <c r="BS52" s="80">
        <v>329604</v>
      </c>
      <c r="BT52" s="83">
        <v>1</v>
      </c>
      <c r="BU52" s="61"/>
      <c r="BV52" s="84">
        <v>0.98399999999999999</v>
      </c>
      <c r="BW52" s="84">
        <v>0.92700000000000005</v>
      </c>
      <c r="BX52" s="84">
        <v>0.90500000000000003</v>
      </c>
      <c r="BY52" s="84">
        <v>1.0609999999999999</v>
      </c>
      <c r="BZ52" s="62"/>
      <c r="CA52" s="85"/>
      <c r="CB52" s="85"/>
      <c r="CC52" s="85"/>
      <c r="CD52" s="85"/>
      <c r="CE52" s="62"/>
      <c r="CF52" s="86">
        <v>0.94</v>
      </c>
      <c r="CG52" s="87">
        <v>1</v>
      </c>
      <c r="CH52" s="87">
        <v>0.7</v>
      </c>
      <c r="CI52" s="87">
        <v>0</v>
      </c>
      <c r="CJ52" s="87">
        <v>1</v>
      </c>
    </row>
    <row r="53" spans="1:88" x14ac:dyDescent="0.35">
      <c r="A53" s="88" t="s">
        <v>225</v>
      </c>
      <c r="B53" s="89">
        <v>52</v>
      </c>
      <c r="C53" s="90" t="s">
        <v>65</v>
      </c>
      <c r="D53" s="90" t="s">
        <v>12</v>
      </c>
      <c r="E53" s="91">
        <v>40683</v>
      </c>
      <c r="F53" s="91" t="s">
        <v>226</v>
      </c>
      <c r="G53" s="91" t="s">
        <v>226</v>
      </c>
      <c r="H53" s="92" t="s">
        <v>164</v>
      </c>
      <c r="I53" s="93" t="s">
        <v>157</v>
      </c>
      <c r="J53" s="94">
        <v>0</v>
      </c>
      <c r="K53" s="94">
        <v>0</v>
      </c>
      <c r="L53" s="95">
        <v>0</v>
      </c>
      <c r="M53" s="96">
        <v>0.45</v>
      </c>
      <c r="N53" s="72">
        <v>216202.5</v>
      </c>
      <c r="O53" s="73">
        <v>0</v>
      </c>
      <c r="P53" s="73">
        <v>0</v>
      </c>
      <c r="Q53" s="74">
        <v>0</v>
      </c>
      <c r="R53" s="72">
        <v>240300</v>
      </c>
      <c r="S53" s="73">
        <v>0</v>
      </c>
      <c r="T53" s="73">
        <v>0</v>
      </c>
      <c r="U53" s="75">
        <v>0</v>
      </c>
      <c r="V53" s="93" t="s">
        <v>158</v>
      </c>
      <c r="W53" s="94">
        <v>0</v>
      </c>
      <c r="X53" s="94">
        <v>0</v>
      </c>
      <c r="Y53" s="95">
        <v>0</v>
      </c>
      <c r="Z53" s="96">
        <v>0.25</v>
      </c>
      <c r="AA53" s="72">
        <v>116371.20000000001</v>
      </c>
      <c r="AB53" s="73">
        <v>0</v>
      </c>
      <c r="AC53" s="73">
        <v>0</v>
      </c>
      <c r="AD53" s="74">
        <v>0</v>
      </c>
      <c r="AE53" s="72">
        <v>120245.6</v>
      </c>
      <c r="AF53" s="73">
        <v>0</v>
      </c>
      <c r="AG53" s="73">
        <v>0</v>
      </c>
      <c r="AH53" s="75">
        <v>0</v>
      </c>
      <c r="AI53" s="93" t="s">
        <v>150</v>
      </c>
      <c r="AJ53" s="94" t="s">
        <v>165</v>
      </c>
      <c r="AK53" s="94">
        <v>0</v>
      </c>
      <c r="AL53" s="95">
        <v>0</v>
      </c>
      <c r="AM53" s="96">
        <v>0.25</v>
      </c>
      <c r="AN53" s="72">
        <v>19940.800000000003</v>
      </c>
      <c r="AO53" s="73">
        <v>399.96</v>
      </c>
      <c r="AP53" s="73">
        <v>0</v>
      </c>
      <c r="AQ53" s="74">
        <v>0</v>
      </c>
      <c r="AR53" s="72">
        <v>18515.25</v>
      </c>
      <c r="AS53" s="73">
        <v>4399.5599999999995</v>
      </c>
      <c r="AT53" s="73">
        <v>0</v>
      </c>
      <c r="AU53" s="75">
        <v>0</v>
      </c>
      <c r="AV53" s="93" t="s">
        <v>149</v>
      </c>
      <c r="AW53" s="94">
        <v>0</v>
      </c>
      <c r="AX53" s="94">
        <v>0</v>
      </c>
      <c r="AY53" s="95">
        <v>0</v>
      </c>
      <c r="AZ53" s="97">
        <v>5.0000000000000044E-2</v>
      </c>
      <c r="BA53" s="72">
        <v>21136.1535</v>
      </c>
      <c r="BB53" s="73">
        <v>0</v>
      </c>
      <c r="BC53" s="73">
        <v>0</v>
      </c>
      <c r="BD53" s="74">
        <v>0</v>
      </c>
      <c r="BE53" s="72">
        <v>17026.947</v>
      </c>
      <c r="BF53" s="73">
        <v>0</v>
      </c>
      <c r="BG53" s="73">
        <v>0</v>
      </c>
      <c r="BH53" s="75">
        <v>0</v>
      </c>
      <c r="BI53" s="98">
        <v>374050.61350000004</v>
      </c>
      <c r="BJ53" s="99">
        <v>400487.35699999996</v>
      </c>
      <c r="BK53" s="100" t="s">
        <v>226</v>
      </c>
      <c r="BL53" s="100">
        <v>0.88</v>
      </c>
      <c r="BM53" s="62"/>
      <c r="BN53" s="80" t="s">
        <v>227</v>
      </c>
      <c r="BO53" s="81">
        <v>40775</v>
      </c>
      <c r="BP53" s="82">
        <v>3</v>
      </c>
      <c r="BQ53" s="82">
        <v>1</v>
      </c>
      <c r="BR53" s="82">
        <v>3</v>
      </c>
      <c r="BS53" s="80">
        <v>329604</v>
      </c>
      <c r="BT53" s="83">
        <v>1</v>
      </c>
      <c r="BU53" s="61"/>
      <c r="BV53" s="84">
        <v>0.9</v>
      </c>
      <c r="BW53" s="84">
        <v>0.96799999999999997</v>
      </c>
      <c r="BX53" s="84">
        <v>0.88800000000000001</v>
      </c>
      <c r="BY53" s="84">
        <v>1.2410000000000001</v>
      </c>
      <c r="BZ53" s="62"/>
      <c r="CA53" s="85"/>
      <c r="CB53" s="85"/>
      <c r="CC53" s="85"/>
      <c r="CD53" s="85"/>
      <c r="CE53" s="62"/>
      <c r="CF53" s="86">
        <v>0.93</v>
      </c>
      <c r="CG53" s="87">
        <v>1</v>
      </c>
      <c r="CH53" s="87">
        <v>0.7</v>
      </c>
      <c r="CI53" s="87">
        <v>0</v>
      </c>
      <c r="CJ53" s="87">
        <v>0.5</v>
      </c>
    </row>
    <row r="54" spans="1:88" x14ac:dyDescent="0.35">
      <c r="A54" s="88" t="s">
        <v>225</v>
      </c>
      <c r="B54" s="89">
        <v>53</v>
      </c>
      <c r="C54" s="90" t="s">
        <v>66</v>
      </c>
      <c r="D54" s="90" t="s">
        <v>12</v>
      </c>
      <c r="E54" s="91">
        <v>40676</v>
      </c>
      <c r="F54" s="91">
        <v>42829</v>
      </c>
      <c r="G54" s="91" t="s">
        <v>226</v>
      </c>
      <c r="H54" s="67" t="s">
        <v>156</v>
      </c>
      <c r="I54" s="93" t="s">
        <v>157</v>
      </c>
      <c r="J54" s="94" t="s">
        <v>158</v>
      </c>
      <c r="K54" s="94">
        <v>0</v>
      </c>
      <c r="L54" s="95">
        <v>0</v>
      </c>
      <c r="M54" s="96">
        <v>0.3</v>
      </c>
      <c r="N54" s="72">
        <v>51205.5</v>
      </c>
      <c r="O54" s="73">
        <v>21773.200000000001</v>
      </c>
      <c r="P54" s="73">
        <v>0</v>
      </c>
      <c r="Q54" s="74">
        <v>0</v>
      </c>
      <c r="R54" s="72">
        <v>44550</v>
      </c>
      <c r="S54" s="73">
        <v>24510.799999999999</v>
      </c>
      <c r="T54" s="73">
        <v>0</v>
      </c>
      <c r="U54" s="75">
        <v>0</v>
      </c>
      <c r="V54" s="93" t="s">
        <v>159</v>
      </c>
      <c r="W54" s="94" t="s">
        <v>160</v>
      </c>
      <c r="X54" s="94" t="s">
        <v>161</v>
      </c>
      <c r="Y54" s="95">
        <v>0</v>
      </c>
      <c r="Z54" s="96">
        <v>0.25</v>
      </c>
      <c r="AA54" s="72">
        <v>176007</v>
      </c>
      <c r="AB54" s="73">
        <v>2494.5</v>
      </c>
      <c r="AC54" s="73">
        <v>620</v>
      </c>
      <c r="AD54" s="74">
        <v>0</v>
      </c>
      <c r="AE54" s="72">
        <v>149141.5</v>
      </c>
      <c r="AF54" s="73">
        <v>2494.5</v>
      </c>
      <c r="AG54" s="73">
        <v>930</v>
      </c>
      <c r="AH54" s="75">
        <v>0</v>
      </c>
      <c r="AI54" s="93" t="s">
        <v>151</v>
      </c>
      <c r="AJ54" s="94">
        <v>0</v>
      </c>
      <c r="AK54" s="94">
        <v>0</v>
      </c>
      <c r="AL54" s="95">
        <v>0</v>
      </c>
      <c r="AM54" s="96">
        <v>0.25</v>
      </c>
      <c r="AN54" s="72">
        <v>14264.640000000001</v>
      </c>
      <c r="AO54" s="73">
        <v>0</v>
      </c>
      <c r="AP54" s="73">
        <v>0</v>
      </c>
      <c r="AQ54" s="74">
        <v>0</v>
      </c>
      <c r="AR54" s="72">
        <v>19349.72</v>
      </c>
      <c r="AS54" s="73">
        <v>0</v>
      </c>
      <c r="AT54" s="73">
        <v>0</v>
      </c>
      <c r="AU54" s="75">
        <v>0</v>
      </c>
      <c r="AV54" s="93" t="s">
        <v>162</v>
      </c>
      <c r="AW54" s="94" t="s">
        <v>150</v>
      </c>
      <c r="AX54" s="94" t="s">
        <v>149</v>
      </c>
      <c r="AY54" s="95">
        <v>0</v>
      </c>
      <c r="AZ54" s="97">
        <v>0.19999999999999996</v>
      </c>
      <c r="BA54" s="72">
        <v>32165.48</v>
      </c>
      <c r="BB54" s="73">
        <v>3952.3</v>
      </c>
      <c r="BC54" s="73">
        <v>4623.0339999999997</v>
      </c>
      <c r="BD54" s="74">
        <v>0</v>
      </c>
      <c r="BE54" s="72">
        <v>22378.880000000001</v>
      </c>
      <c r="BF54" s="73">
        <v>4161.7</v>
      </c>
      <c r="BG54" s="73">
        <v>3439.3575000000001</v>
      </c>
      <c r="BH54" s="75">
        <v>0</v>
      </c>
      <c r="BI54" s="98">
        <v>307105.65400000004</v>
      </c>
      <c r="BJ54" s="99">
        <v>270956.45750000002</v>
      </c>
      <c r="BK54" s="100">
        <v>0</v>
      </c>
      <c r="BL54" s="100">
        <v>0.97</v>
      </c>
      <c r="BM54" s="62"/>
      <c r="BN54" s="80" t="s">
        <v>227</v>
      </c>
      <c r="BO54" s="81">
        <v>40768</v>
      </c>
      <c r="BP54" s="82">
        <v>3</v>
      </c>
      <c r="BQ54" s="82">
        <v>1</v>
      </c>
      <c r="BR54" s="82">
        <v>3</v>
      </c>
      <c r="BS54" s="80">
        <v>329604</v>
      </c>
      <c r="BT54" s="83">
        <v>1</v>
      </c>
      <c r="BU54" s="61"/>
      <c r="BV54" s="84">
        <v>1.0569999999999999</v>
      </c>
      <c r="BW54" s="84">
        <v>1.1739999999999999</v>
      </c>
      <c r="BX54" s="84">
        <v>0.73699999999999999</v>
      </c>
      <c r="BY54" s="84">
        <v>1.359</v>
      </c>
      <c r="BZ54" s="62"/>
      <c r="CA54" s="85"/>
      <c r="CB54" s="85"/>
      <c r="CC54" s="85"/>
      <c r="CD54" s="85"/>
      <c r="CE54" s="62"/>
      <c r="CF54" s="86">
        <v>1.1299999999999999</v>
      </c>
      <c r="CG54" s="87">
        <v>1</v>
      </c>
      <c r="CH54" s="87">
        <v>2.15</v>
      </c>
      <c r="CI54" s="87">
        <v>0</v>
      </c>
      <c r="CJ54" s="87">
        <v>1</v>
      </c>
    </row>
    <row r="55" spans="1:88" x14ac:dyDescent="0.35">
      <c r="A55" s="88" t="s">
        <v>225</v>
      </c>
      <c r="B55" s="89">
        <v>54</v>
      </c>
      <c r="C55" s="90" t="s">
        <v>67</v>
      </c>
      <c r="D55" s="90" t="s">
        <v>12</v>
      </c>
      <c r="E55" s="91">
        <v>42461</v>
      </c>
      <c r="F55" s="91" t="s">
        <v>226</v>
      </c>
      <c r="G55" s="91" t="s">
        <v>226</v>
      </c>
      <c r="H55" s="92" t="s">
        <v>148</v>
      </c>
      <c r="I55" s="93" t="s">
        <v>149</v>
      </c>
      <c r="J55" s="94" t="s">
        <v>150</v>
      </c>
      <c r="K55" s="94">
        <v>0</v>
      </c>
      <c r="L55" s="95">
        <v>0</v>
      </c>
      <c r="M55" s="96">
        <v>0.5</v>
      </c>
      <c r="N55" s="72">
        <v>51286.16</v>
      </c>
      <c r="O55" s="73">
        <v>39364</v>
      </c>
      <c r="P55" s="73">
        <v>0</v>
      </c>
      <c r="Q55" s="74">
        <v>0</v>
      </c>
      <c r="R55" s="72">
        <v>39838.04</v>
      </c>
      <c r="S55" s="73">
        <v>31382.5</v>
      </c>
      <c r="T55" s="73">
        <v>0</v>
      </c>
      <c r="U55" s="75">
        <v>0</v>
      </c>
      <c r="V55" s="93" t="s">
        <v>151</v>
      </c>
      <c r="W55" s="94" t="s">
        <v>152</v>
      </c>
      <c r="X55" s="94">
        <v>0</v>
      </c>
      <c r="Y55" s="95">
        <v>0</v>
      </c>
      <c r="Z55" s="96">
        <v>0.25</v>
      </c>
      <c r="AA55" s="72">
        <v>42430.7</v>
      </c>
      <c r="AB55" s="73">
        <v>5576.5</v>
      </c>
      <c r="AC55" s="73">
        <v>0</v>
      </c>
      <c r="AD55" s="74">
        <v>0</v>
      </c>
      <c r="AE55" s="72">
        <v>34109.660000000003</v>
      </c>
      <c r="AF55" s="73">
        <v>5833</v>
      </c>
      <c r="AG55" s="73">
        <v>0</v>
      </c>
      <c r="AH55" s="75">
        <v>0</v>
      </c>
      <c r="AI55" s="93" t="s">
        <v>153</v>
      </c>
      <c r="AJ55" s="94" t="s">
        <v>154</v>
      </c>
      <c r="AK55" s="94">
        <v>0</v>
      </c>
      <c r="AL55" s="95">
        <v>0</v>
      </c>
      <c r="AM55" s="96">
        <v>0.1</v>
      </c>
      <c r="AN55" s="72">
        <v>1644</v>
      </c>
      <c r="AO55" s="73">
        <v>2040</v>
      </c>
      <c r="AP55" s="73">
        <v>0</v>
      </c>
      <c r="AQ55" s="74">
        <v>0</v>
      </c>
      <c r="AR55" s="72">
        <v>3768</v>
      </c>
      <c r="AS55" s="73">
        <v>1956</v>
      </c>
      <c r="AT55" s="73">
        <v>0</v>
      </c>
      <c r="AU55" s="75">
        <v>0</v>
      </c>
      <c r="AV55" s="93" t="s">
        <v>155</v>
      </c>
      <c r="AW55" s="94">
        <v>0</v>
      </c>
      <c r="AX55" s="94">
        <v>0</v>
      </c>
      <c r="AY55" s="95">
        <v>0</v>
      </c>
      <c r="AZ55" s="97">
        <v>0.15</v>
      </c>
      <c r="BA55" s="72">
        <v>215.8</v>
      </c>
      <c r="BB55" s="73">
        <v>0</v>
      </c>
      <c r="BC55" s="73">
        <v>0</v>
      </c>
      <c r="BD55" s="74">
        <v>0</v>
      </c>
      <c r="BE55" s="72">
        <v>996.00000000000011</v>
      </c>
      <c r="BF55" s="73">
        <v>0</v>
      </c>
      <c r="BG55" s="73">
        <v>0</v>
      </c>
      <c r="BH55" s="75">
        <v>0</v>
      </c>
      <c r="BI55" s="98">
        <v>142557.15999999997</v>
      </c>
      <c r="BJ55" s="99">
        <v>117883.20000000001</v>
      </c>
      <c r="BK55" s="100" t="s">
        <v>226</v>
      </c>
      <c r="BL55" s="100">
        <v>0.97</v>
      </c>
      <c r="BM55" s="62"/>
      <c r="BN55" s="80" t="s">
        <v>227</v>
      </c>
      <c r="BO55" s="81">
        <v>42552</v>
      </c>
      <c r="BP55" s="82">
        <v>3</v>
      </c>
      <c r="BQ55" s="82">
        <v>1</v>
      </c>
      <c r="BR55" s="82">
        <v>3</v>
      </c>
      <c r="BS55" s="80">
        <v>329604</v>
      </c>
      <c r="BT55" s="83">
        <v>1</v>
      </c>
      <c r="BU55" s="61"/>
      <c r="BV55" s="84">
        <v>1.2729999999999999</v>
      </c>
      <c r="BW55" s="84">
        <v>1.202</v>
      </c>
      <c r="BX55" s="84">
        <v>0.64400000000000002</v>
      </c>
      <c r="BY55" s="84">
        <v>0.217</v>
      </c>
      <c r="BZ55" s="62"/>
      <c r="CA55" s="85"/>
      <c r="CB55" s="85"/>
      <c r="CC55" s="85"/>
      <c r="CD55" s="85"/>
      <c r="CE55" s="62"/>
      <c r="CF55" s="86">
        <v>1.21</v>
      </c>
      <c r="CG55" s="87">
        <v>1</v>
      </c>
      <c r="CH55" s="87">
        <v>2.5</v>
      </c>
      <c r="CI55" s="87">
        <v>0</v>
      </c>
      <c r="CJ55" s="87">
        <v>1</v>
      </c>
    </row>
    <row r="56" spans="1:88" x14ac:dyDescent="0.35">
      <c r="A56" s="88" t="s">
        <v>225</v>
      </c>
      <c r="B56" s="89">
        <v>55</v>
      </c>
      <c r="C56" s="90" t="s">
        <v>68</v>
      </c>
      <c r="D56" s="90" t="s">
        <v>12</v>
      </c>
      <c r="E56" s="91">
        <v>42681</v>
      </c>
      <c r="F56" s="91" t="s">
        <v>226</v>
      </c>
      <c r="G56" s="91" t="s">
        <v>226</v>
      </c>
      <c r="H56" s="67" t="s">
        <v>156</v>
      </c>
      <c r="I56" s="93" t="s">
        <v>157</v>
      </c>
      <c r="J56" s="94" t="s">
        <v>158</v>
      </c>
      <c r="K56" s="94">
        <v>0</v>
      </c>
      <c r="L56" s="95">
        <v>0</v>
      </c>
      <c r="M56" s="96">
        <v>0.3</v>
      </c>
      <c r="N56" s="72">
        <v>13081.5</v>
      </c>
      <c r="O56" s="73">
        <v>6960</v>
      </c>
      <c r="P56" s="73">
        <v>0</v>
      </c>
      <c r="Q56" s="74">
        <v>0</v>
      </c>
      <c r="R56" s="72">
        <v>14715</v>
      </c>
      <c r="S56" s="73">
        <v>7424</v>
      </c>
      <c r="T56" s="73">
        <v>0</v>
      </c>
      <c r="U56" s="75">
        <v>0</v>
      </c>
      <c r="V56" s="93" t="s">
        <v>159</v>
      </c>
      <c r="W56" s="94" t="s">
        <v>160</v>
      </c>
      <c r="X56" s="94" t="s">
        <v>161</v>
      </c>
      <c r="Y56" s="95">
        <v>0</v>
      </c>
      <c r="Z56" s="96">
        <v>0.25</v>
      </c>
      <c r="AA56" s="72">
        <v>43685</v>
      </c>
      <c r="AB56" s="73">
        <v>798.24</v>
      </c>
      <c r="AC56" s="73">
        <v>682</v>
      </c>
      <c r="AD56" s="74">
        <v>0</v>
      </c>
      <c r="AE56" s="72">
        <v>29618</v>
      </c>
      <c r="AF56" s="73">
        <v>615.30999999999995</v>
      </c>
      <c r="AG56" s="73">
        <v>496</v>
      </c>
      <c r="AH56" s="75">
        <v>0</v>
      </c>
      <c r="AI56" s="93" t="s">
        <v>151</v>
      </c>
      <c r="AJ56" s="94">
        <v>0</v>
      </c>
      <c r="AK56" s="94">
        <v>0</v>
      </c>
      <c r="AL56" s="95">
        <v>0</v>
      </c>
      <c r="AM56" s="96">
        <v>0.25</v>
      </c>
      <c r="AN56" s="72">
        <v>5927.09</v>
      </c>
      <c r="AO56" s="73">
        <v>0</v>
      </c>
      <c r="AP56" s="73">
        <v>0</v>
      </c>
      <c r="AQ56" s="74">
        <v>0</v>
      </c>
      <c r="AR56" s="72">
        <v>4655.8200000000006</v>
      </c>
      <c r="AS56" s="73">
        <v>0</v>
      </c>
      <c r="AT56" s="73">
        <v>0</v>
      </c>
      <c r="AU56" s="75">
        <v>0</v>
      </c>
      <c r="AV56" s="93" t="s">
        <v>162</v>
      </c>
      <c r="AW56" s="94" t="s">
        <v>150</v>
      </c>
      <c r="AX56" s="94" t="s">
        <v>149</v>
      </c>
      <c r="AY56" s="95">
        <v>0</v>
      </c>
      <c r="AZ56" s="97">
        <v>0.19999999999999996</v>
      </c>
      <c r="BA56" s="72">
        <v>7003.66</v>
      </c>
      <c r="BB56" s="73">
        <v>1258.6500000000001</v>
      </c>
      <c r="BC56" s="73">
        <v>1192.7235000000001</v>
      </c>
      <c r="BD56" s="74">
        <v>0</v>
      </c>
      <c r="BE56" s="72">
        <v>3718.84</v>
      </c>
      <c r="BF56" s="73">
        <v>1290.3500000000001</v>
      </c>
      <c r="BG56" s="73">
        <v>1276.0910000000001</v>
      </c>
      <c r="BH56" s="75">
        <v>0</v>
      </c>
      <c r="BI56" s="98">
        <v>80588.863500000007</v>
      </c>
      <c r="BJ56" s="99">
        <v>63809.411</v>
      </c>
      <c r="BK56" s="100" t="s">
        <v>226</v>
      </c>
      <c r="BL56" s="100">
        <v>0.98</v>
      </c>
      <c r="BM56" s="62"/>
      <c r="BN56" s="80" t="s">
        <v>228</v>
      </c>
      <c r="BO56" s="81">
        <v>42773</v>
      </c>
      <c r="BP56" s="82">
        <v>1</v>
      </c>
      <c r="BQ56" s="82">
        <v>3</v>
      </c>
      <c r="BR56" s="82">
        <v>3</v>
      </c>
      <c r="BS56" s="80">
        <v>329604</v>
      </c>
      <c r="BT56" s="83">
        <v>0.33333333333333331</v>
      </c>
      <c r="BU56" s="61"/>
      <c r="BV56" s="84">
        <v>0.90500000000000003</v>
      </c>
      <c r="BW56" s="84">
        <v>1.47</v>
      </c>
      <c r="BX56" s="84">
        <v>1.2729999999999999</v>
      </c>
      <c r="BY56" s="84">
        <v>1.504</v>
      </c>
      <c r="BZ56" s="62"/>
      <c r="CA56" s="85"/>
      <c r="CB56" s="85"/>
      <c r="CC56" s="85"/>
      <c r="CD56" s="85"/>
      <c r="CE56" s="62"/>
      <c r="CF56" s="86">
        <v>1.26</v>
      </c>
      <c r="CG56" s="87">
        <v>1</v>
      </c>
      <c r="CH56" s="87">
        <v>2.5</v>
      </c>
      <c r="CI56" s="87">
        <v>0</v>
      </c>
      <c r="CJ56" s="87">
        <v>1</v>
      </c>
    </row>
    <row r="57" spans="1:88" x14ac:dyDescent="0.35">
      <c r="A57" s="88" t="s">
        <v>225</v>
      </c>
      <c r="B57" s="89">
        <v>56</v>
      </c>
      <c r="C57" s="90" t="s">
        <v>69</v>
      </c>
      <c r="D57" s="90" t="s">
        <v>21</v>
      </c>
      <c r="E57" s="91">
        <v>42045</v>
      </c>
      <c r="F57" s="91" t="s">
        <v>226</v>
      </c>
      <c r="G57" s="91" t="s">
        <v>226</v>
      </c>
      <c r="H57" s="92" t="s">
        <v>166</v>
      </c>
      <c r="I57" s="93" t="s">
        <v>149</v>
      </c>
      <c r="J57" s="94">
        <v>0</v>
      </c>
      <c r="K57" s="94">
        <v>0</v>
      </c>
      <c r="L57" s="95">
        <v>0</v>
      </c>
      <c r="M57" s="96">
        <v>0.4</v>
      </c>
      <c r="N57" s="72">
        <v>110484.315</v>
      </c>
      <c r="O57" s="73">
        <v>0</v>
      </c>
      <c r="P57" s="73">
        <v>0</v>
      </c>
      <c r="Q57" s="74">
        <v>0</v>
      </c>
      <c r="R57" s="72">
        <v>99030.41</v>
      </c>
      <c r="S57" s="73">
        <v>0</v>
      </c>
      <c r="T57" s="73">
        <v>0</v>
      </c>
      <c r="U57" s="75">
        <v>0</v>
      </c>
      <c r="V57" s="93" t="s">
        <v>150</v>
      </c>
      <c r="W57" s="94">
        <v>0</v>
      </c>
      <c r="X57" s="94">
        <v>0</v>
      </c>
      <c r="Y57" s="95">
        <v>0</v>
      </c>
      <c r="Z57" s="96">
        <v>0.35</v>
      </c>
      <c r="AA57" s="72">
        <v>68752</v>
      </c>
      <c r="AB57" s="73">
        <v>0</v>
      </c>
      <c r="AC57" s="73">
        <v>0</v>
      </c>
      <c r="AD57" s="74">
        <v>0</v>
      </c>
      <c r="AE57" s="72">
        <v>61435</v>
      </c>
      <c r="AF57" s="73">
        <v>0</v>
      </c>
      <c r="AG57" s="73">
        <v>0</v>
      </c>
      <c r="AH57" s="75">
        <v>0</v>
      </c>
      <c r="AI57" s="93" t="s">
        <v>153</v>
      </c>
      <c r="AJ57" s="94" t="s">
        <v>154</v>
      </c>
      <c r="AK57" s="94">
        <v>0</v>
      </c>
      <c r="AL57" s="95">
        <v>0</v>
      </c>
      <c r="AM57" s="96">
        <v>0.25</v>
      </c>
      <c r="AN57" s="72">
        <v>6744</v>
      </c>
      <c r="AO57" s="73">
        <v>9864</v>
      </c>
      <c r="AP57" s="73">
        <v>0</v>
      </c>
      <c r="AQ57" s="74">
        <v>0</v>
      </c>
      <c r="AR57" s="72">
        <v>6372</v>
      </c>
      <c r="AS57" s="73">
        <v>9312</v>
      </c>
      <c r="AT57" s="73">
        <v>0</v>
      </c>
      <c r="AU57" s="75">
        <v>0</v>
      </c>
      <c r="AV57" s="93">
        <v>0</v>
      </c>
      <c r="AW57" s="94">
        <v>0</v>
      </c>
      <c r="AX57" s="94">
        <v>0</v>
      </c>
      <c r="AY57" s="95">
        <v>0</v>
      </c>
      <c r="AZ57" s="97">
        <v>0</v>
      </c>
      <c r="BA57" s="72">
        <v>0</v>
      </c>
      <c r="BB57" s="73">
        <v>0</v>
      </c>
      <c r="BC57" s="73">
        <v>0</v>
      </c>
      <c r="BD57" s="74">
        <v>0</v>
      </c>
      <c r="BE57" s="72">
        <v>0</v>
      </c>
      <c r="BF57" s="73">
        <v>0</v>
      </c>
      <c r="BG57" s="73">
        <v>0</v>
      </c>
      <c r="BH57" s="75">
        <v>0</v>
      </c>
      <c r="BI57" s="98">
        <v>195844.315</v>
      </c>
      <c r="BJ57" s="99">
        <v>176149.41</v>
      </c>
      <c r="BK57" s="100" t="s">
        <v>226</v>
      </c>
      <c r="BL57" s="100">
        <v>0.93</v>
      </c>
      <c r="BM57" s="62"/>
      <c r="BN57" s="80" t="s">
        <v>227</v>
      </c>
      <c r="BO57" s="81">
        <v>42134</v>
      </c>
      <c r="BP57" s="82">
        <v>3</v>
      </c>
      <c r="BQ57" s="82">
        <v>1</v>
      </c>
      <c r="BR57" s="82">
        <v>3</v>
      </c>
      <c r="BS57" s="80">
        <v>329604</v>
      </c>
      <c r="BT57" s="83">
        <v>1</v>
      </c>
      <c r="BU57" s="61"/>
      <c r="BV57" s="84">
        <v>1.1160000000000001</v>
      </c>
      <c r="BW57" s="84">
        <v>1.119</v>
      </c>
      <c r="BX57" s="84">
        <v>1.0589999999999999</v>
      </c>
      <c r="BY57" s="84">
        <v>0</v>
      </c>
      <c r="BZ57" s="62"/>
      <c r="CA57" s="85"/>
      <c r="CB57" s="85"/>
      <c r="CC57" s="85"/>
      <c r="CD57" s="85"/>
      <c r="CE57" s="62"/>
      <c r="CF57" s="86">
        <v>1.1100000000000001</v>
      </c>
      <c r="CG57" s="87">
        <v>1</v>
      </c>
      <c r="CH57" s="87">
        <v>2.0499999999999998</v>
      </c>
      <c r="CI57" s="87">
        <v>0</v>
      </c>
      <c r="CJ57" s="87">
        <v>0.5</v>
      </c>
    </row>
    <row r="58" spans="1:88" x14ac:dyDescent="0.35">
      <c r="A58" s="88" t="s">
        <v>225</v>
      </c>
      <c r="B58" s="89">
        <v>57</v>
      </c>
      <c r="C58" s="90" t="s">
        <v>70</v>
      </c>
      <c r="D58" s="90" t="s">
        <v>12</v>
      </c>
      <c r="E58" s="91">
        <v>40680</v>
      </c>
      <c r="F58" s="91" t="s">
        <v>226</v>
      </c>
      <c r="G58" s="91" t="s">
        <v>226</v>
      </c>
      <c r="H58" s="92" t="s">
        <v>148</v>
      </c>
      <c r="I58" s="93" t="s">
        <v>149</v>
      </c>
      <c r="J58" s="94" t="s">
        <v>150</v>
      </c>
      <c r="K58" s="94">
        <v>0</v>
      </c>
      <c r="L58" s="95">
        <v>0</v>
      </c>
      <c r="M58" s="96">
        <v>0.5</v>
      </c>
      <c r="N58" s="72">
        <v>44752.020000000004</v>
      </c>
      <c r="O58" s="73">
        <v>24156</v>
      </c>
      <c r="P58" s="73">
        <v>0</v>
      </c>
      <c r="Q58" s="74">
        <v>0</v>
      </c>
      <c r="R58" s="72">
        <v>33774.36</v>
      </c>
      <c r="S58" s="73">
        <v>26678</v>
      </c>
      <c r="T58" s="73">
        <v>0</v>
      </c>
      <c r="U58" s="75">
        <v>0</v>
      </c>
      <c r="V58" s="93" t="s">
        <v>151</v>
      </c>
      <c r="W58" s="94" t="s">
        <v>152</v>
      </c>
      <c r="X58" s="94">
        <v>0</v>
      </c>
      <c r="Y58" s="95">
        <v>0</v>
      </c>
      <c r="Z58" s="96">
        <v>0.25</v>
      </c>
      <c r="AA58" s="72">
        <v>17203.420000000002</v>
      </c>
      <c r="AB58" s="73">
        <v>12682.5</v>
      </c>
      <c r="AC58" s="73">
        <v>0</v>
      </c>
      <c r="AD58" s="74">
        <v>0</v>
      </c>
      <c r="AE58" s="72">
        <v>24632.92</v>
      </c>
      <c r="AF58" s="73">
        <v>12122</v>
      </c>
      <c r="AG58" s="73">
        <v>0</v>
      </c>
      <c r="AH58" s="75">
        <v>0</v>
      </c>
      <c r="AI58" s="93" t="s">
        <v>153</v>
      </c>
      <c r="AJ58" s="94" t="s">
        <v>154</v>
      </c>
      <c r="AK58" s="94">
        <v>0</v>
      </c>
      <c r="AL58" s="95">
        <v>0</v>
      </c>
      <c r="AM58" s="96">
        <v>0.1</v>
      </c>
      <c r="AN58" s="72">
        <v>2820</v>
      </c>
      <c r="AO58" s="73">
        <v>2820</v>
      </c>
      <c r="AP58" s="73">
        <v>0</v>
      </c>
      <c r="AQ58" s="74">
        <v>0</v>
      </c>
      <c r="AR58" s="72">
        <v>2832</v>
      </c>
      <c r="AS58" s="73">
        <v>2436</v>
      </c>
      <c r="AT58" s="73">
        <v>0</v>
      </c>
      <c r="AU58" s="75">
        <v>0</v>
      </c>
      <c r="AV58" s="93" t="s">
        <v>155</v>
      </c>
      <c r="AW58" s="94">
        <v>0</v>
      </c>
      <c r="AX58" s="94">
        <v>0</v>
      </c>
      <c r="AY58" s="95">
        <v>0</v>
      </c>
      <c r="AZ58" s="97">
        <v>0.15</v>
      </c>
      <c r="BA58" s="72">
        <v>979.40000000000009</v>
      </c>
      <c r="BB58" s="73">
        <v>0</v>
      </c>
      <c r="BC58" s="73">
        <v>0</v>
      </c>
      <c r="BD58" s="74">
        <v>0</v>
      </c>
      <c r="BE58" s="72">
        <v>1029.2</v>
      </c>
      <c r="BF58" s="73">
        <v>0</v>
      </c>
      <c r="BG58" s="73">
        <v>0</v>
      </c>
      <c r="BH58" s="75">
        <v>0</v>
      </c>
      <c r="BI58" s="98">
        <v>105413.34</v>
      </c>
      <c r="BJ58" s="99">
        <v>103504.48</v>
      </c>
      <c r="BK58" s="100" t="s">
        <v>226</v>
      </c>
      <c r="BL58" s="100">
        <v>0.95</v>
      </c>
      <c r="BM58" s="62"/>
      <c r="BN58" s="80" t="s">
        <v>227</v>
      </c>
      <c r="BO58" s="81">
        <v>40772</v>
      </c>
      <c r="BP58" s="82">
        <v>3</v>
      </c>
      <c r="BQ58" s="82">
        <v>1</v>
      </c>
      <c r="BR58" s="82">
        <v>3</v>
      </c>
      <c r="BS58" s="80">
        <v>329604</v>
      </c>
      <c r="BT58" s="83">
        <v>1</v>
      </c>
      <c r="BU58" s="61"/>
      <c r="BV58" s="84">
        <v>1.1399999999999999</v>
      </c>
      <c r="BW58" s="84">
        <v>0.81299999999999994</v>
      </c>
      <c r="BX58" s="84">
        <v>1.071</v>
      </c>
      <c r="BY58" s="84">
        <v>0.95199999999999996</v>
      </c>
      <c r="BZ58" s="62"/>
      <c r="CA58" s="85"/>
      <c r="CB58" s="85"/>
      <c r="CC58" s="85"/>
      <c r="CD58" s="85"/>
      <c r="CE58" s="62"/>
      <c r="CF58" s="86">
        <v>1.02</v>
      </c>
      <c r="CG58" s="87">
        <v>1</v>
      </c>
      <c r="CH58" s="87">
        <v>1.2</v>
      </c>
      <c r="CI58" s="87">
        <v>0</v>
      </c>
      <c r="CJ58" s="87">
        <v>1</v>
      </c>
    </row>
    <row r="59" spans="1:88" x14ac:dyDescent="0.35">
      <c r="A59" s="88" t="s">
        <v>225</v>
      </c>
      <c r="B59" s="89">
        <v>58</v>
      </c>
      <c r="C59" s="90" t="s">
        <v>71</v>
      </c>
      <c r="D59" s="90" t="s">
        <v>12</v>
      </c>
      <c r="E59" s="91">
        <v>41792</v>
      </c>
      <c r="F59" s="91" t="s">
        <v>226</v>
      </c>
      <c r="G59" s="91" t="s">
        <v>226</v>
      </c>
      <c r="H59" s="92" t="s">
        <v>148</v>
      </c>
      <c r="I59" s="93" t="s">
        <v>149</v>
      </c>
      <c r="J59" s="94" t="s">
        <v>150</v>
      </c>
      <c r="K59" s="94">
        <v>0</v>
      </c>
      <c r="L59" s="95">
        <v>0</v>
      </c>
      <c r="M59" s="96">
        <v>0.5</v>
      </c>
      <c r="N59" s="72">
        <v>67078.89</v>
      </c>
      <c r="O59" s="73">
        <v>28336.5</v>
      </c>
      <c r="P59" s="73">
        <v>0</v>
      </c>
      <c r="Q59" s="74">
        <v>0</v>
      </c>
      <c r="R59" s="72">
        <v>55253.959999999992</v>
      </c>
      <c r="S59" s="73">
        <v>33683</v>
      </c>
      <c r="T59" s="73">
        <v>0</v>
      </c>
      <c r="U59" s="75">
        <v>0</v>
      </c>
      <c r="V59" s="93" t="s">
        <v>151</v>
      </c>
      <c r="W59" s="94" t="s">
        <v>152</v>
      </c>
      <c r="X59" s="94">
        <v>0</v>
      </c>
      <c r="Y59" s="95">
        <v>0</v>
      </c>
      <c r="Z59" s="96">
        <v>0.25</v>
      </c>
      <c r="AA59" s="72">
        <v>31104.840000000004</v>
      </c>
      <c r="AB59" s="73">
        <v>19104.5</v>
      </c>
      <c r="AC59" s="73">
        <v>0</v>
      </c>
      <c r="AD59" s="74">
        <v>0</v>
      </c>
      <c r="AE59" s="72">
        <v>34770.06</v>
      </c>
      <c r="AF59" s="73">
        <v>17100</v>
      </c>
      <c r="AG59" s="73">
        <v>0</v>
      </c>
      <c r="AH59" s="75">
        <v>0</v>
      </c>
      <c r="AI59" s="93" t="s">
        <v>153</v>
      </c>
      <c r="AJ59" s="94" t="s">
        <v>154</v>
      </c>
      <c r="AK59" s="94">
        <v>0</v>
      </c>
      <c r="AL59" s="95">
        <v>0</v>
      </c>
      <c r="AM59" s="96">
        <v>0.1</v>
      </c>
      <c r="AN59" s="72">
        <v>5112</v>
      </c>
      <c r="AO59" s="73">
        <v>4680</v>
      </c>
      <c r="AP59" s="73">
        <v>0</v>
      </c>
      <c r="AQ59" s="74">
        <v>0</v>
      </c>
      <c r="AR59" s="72">
        <v>4560</v>
      </c>
      <c r="AS59" s="73">
        <v>6192</v>
      </c>
      <c r="AT59" s="73">
        <v>0</v>
      </c>
      <c r="AU59" s="75">
        <v>0</v>
      </c>
      <c r="AV59" s="93" t="s">
        <v>155</v>
      </c>
      <c r="AW59" s="94">
        <v>0</v>
      </c>
      <c r="AX59" s="94">
        <v>0</v>
      </c>
      <c r="AY59" s="95">
        <v>0</v>
      </c>
      <c r="AZ59" s="97">
        <v>0.15</v>
      </c>
      <c r="BA59" s="72">
        <v>1079</v>
      </c>
      <c r="BB59" s="73">
        <v>0</v>
      </c>
      <c r="BC59" s="73">
        <v>0</v>
      </c>
      <c r="BD59" s="74">
        <v>0</v>
      </c>
      <c r="BE59" s="72">
        <v>1494.0000000000002</v>
      </c>
      <c r="BF59" s="73">
        <v>0</v>
      </c>
      <c r="BG59" s="73">
        <v>0</v>
      </c>
      <c r="BH59" s="75">
        <v>0</v>
      </c>
      <c r="BI59" s="98">
        <v>156495.73000000001</v>
      </c>
      <c r="BJ59" s="99">
        <v>153053.01999999999</v>
      </c>
      <c r="BK59" s="100" t="s">
        <v>226</v>
      </c>
      <c r="BL59" s="100">
        <v>0.99</v>
      </c>
      <c r="BM59" s="62"/>
      <c r="BN59" s="80" t="s">
        <v>227</v>
      </c>
      <c r="BO59" s="81">
        <v>41884</v>
      </c>
      <c r="BP59" s="82">
        <v>3</v>
      </c>
      <c r="BQ59" s="82">
        <v>1</v>
      </c>
      <c r="BR59" s="82">
        <v>3</v>
      </c>
      <c r="BS59" s="80">
        <v>329604</v>
      </c>
      <c r="BT59" s="83">
        <v>1</v>
      </c>
      <c r="BU59" s="61"/>
      <c r="BV59" s="84">
        <v>1.073</v>
      </c>
      <c r="BW59" s="84">
        <v>0.96799999999999997</v>
      </c>
      <c r="BX59" s="84">
        <v>0.91100000000000003</v>
      </c>
      <c r="BY59" s="84">
        <v>0.72199999999999998</v>
      </c>
      <c r="BZ59" s="62"/>
      <c r="CA59" s="85"/>
      <c r="CB59" s="85"/>
      <c r="CC59" s="85"/>
      <c r="CD59" s="85"/>
      <c r="CE59" s="62"/>
      <c r="CF59" s="86">
        <v>1.02</v>
      </c>
      <c r="CG59" s="87">
        <v>1</v>
      </c>
      <c r="CH59" s="87">
        <v>1.2</v>
      </c>
      <c r="CI59" s="87">
        <v>0</v>
      </c>
      <c r="CJ59" s="87">
        <v>1</v>
      </c>
    </row>
    <row r="60" spans="1:88" x14ac:dyDescent="0.35">
      <c r="A60" s="88" t="s">
        <v>225</v>
      </c>
      <c r="B60" s="89">
        <v>59</v>
      </c>
      <c r="C60" s="90" t="s">
        <v>72</v>
      </c>
      <c r="D60" s="90" t="s">
        <v>21</v>
      </c>
      <c r="E60" s="91">
        <v>41288</v>
      </c>
      <c r="F60" s="91" t="s">
        <v>226</v>
      </c>
      <c r="G60" s="91" t="s">
        <v>226</v>
      </c>
      <c r="H60" s="92" t="s">
        <v>166</v>
      </c>
      <c r="I60" s="93" t="s">
        <v>149</v>
      </c>
      <c r="J60" s="94">
        <v>0</v>
      </c>
      <c r="K60" s="94">
        <v>0</v>
      </c>
      <c r="L60" s="95">
        <v>0</v>
      </c>
      <c r="M60" s="96">
        <v>0.4</v>
      </c>
      <c r="N60" s="72">
        <v>168610.04499999998</v>
      </c>
      <c r="O60" s="73">
        <v>0</v>
      </c>
      <c r="P60" s="73">
        <v>0</v>
      </c>
      <c r="Q60" s="74">
        <v>0</v>
      </c>
      <c r="R60" s="72">
        <v>158905.20000000001</v>
      </c>
      <c r="S60" s="73">
        <v>0</v>
      </c>
      <c r="T60" s="73">
        <v>0</v>
      </c>
      <c r="U60" s="75">
        <v>0</v>
      </c>
      <c r="V60" s="93" t="s">
        <v>150</v>
      </c>
      <c r="W60" s="94">
        <v>0</v>
      </c>
      <c r="X60" s="94">
        <v>0</v>
      </c>
      <c r="Y60" s="95">
        <v>0</v>
      </c>
      <c r="Z60" s="96">
        <v>0.35</v>
      </c>
      <c r="AA60" s="72">
        <v>78734.5</v>
      </c>
      <c r="AB60" s="73">
        <v>0</v>
      </c>
      <c r="AC60" s="73">
        <v>0</v>
      </c>
      <c r="AD60" s="74">
        <v>0</v>
      </c>
      <c r="AE60" s="72">
        <v>92581</v>
      </c>
      <c r="AF60" s="73">
        <v>0</v>
      </c>
      <c r="AG60" s="73">
        <v>0</v>
      </c>
      <c r="AH60" s="75">
        <v>0</v>
      </c>
      <c r="AI60" s="93" t="s">
        <v>153</v>
      </c>
      <c r="AJ60" s="94" t="s">
        <v>154</v>
      </c>
      <c r="AK60" s="94">
        <v>0</v>
      </c>
      <c r="AL60" s="95">
        <v>0</v>
      </c>
      <c r="AM60" s="96">
        <v>0.25</v>
      </c>
      <c r="AN60" s="72">
        <v>12972</v>
      </c>
      <c r="AO60" s="73">
        <v>25797.599999999999</v>
      </c>
      <c r="AP60" s="73">
        <v>0</v>
      </c>
      <c r="AQ60" s="74">
        <v>0</v>
      </c>
      <c r="AR60" s="72">
        <v>15708</v>
      </c>
      <c r="AS60" s="73">
        <v>26736</v>
      </c>
      <c r="AT60" s="73">
        <v>0</v>
      </c>
      <c r="AU60" s="75">
        <v>0</v>
      </c>
      <c r="AV60" s="93">
        <v>0</v>
      </c>
      <c r="AW60" s="94">
        <v>0</v>
      </c>
      <c r="AX60" s="94">
        <v>0</v>
      </c>
      <c r="AY60" s="95">
        <v>0</v>
      </c>
      <c r="AZ60" s="97">
        <v>0</v>
      </c>
      <c r="BA60" s="72">
        <v>0</v>
      </c>
      <c r="BB60" s="73">
        <v>0</v>
      </c>
      <c r="BC60" s="73">
        <v>0</v>
      </c>
      <c r="BD60" s="74">
        <v>0</v>
      </c>
      <c r="BE60" s="72">
        <v>0</v>
      </c>
      <c r="BF60" s="73">
        <v>0</v>
      </c>
      <c r="BG60" s="73">
        <v>0</v>
      </c>
      <c r="BH60" s="75">
        <v>0</v>
      </c>
      <c r="BI60" s="98">
        <v>286114.14499999996</v>
      </c>
      <c r="BJ60" s="99">
        <v>293930.2</v>
      </c>
      <c r="BK60" s="100" t="s">
        <v>226</v>
      </c>
      <c r="BL60" s="100">
        <v>0.99</v>
      </c>
      <c r="BM60" s="62"/>
      <c r="BN60" s="80" t="s">
        <v>227</v>
      </c>
      <c r="BO60" s="81">
        <v>41378</v>
      </c>
      <c r="BP60" s="82">
        <v>3</v>
      </c>
      <c r="BQ60" s="82">
        <v>1</v>
      </c>
      <c r="BR60" s="82">
        <v>3</v>
      </c>
      <c r="BS60" s="80">
        <v>329604</v>
      </c>
      <c r="BT60" s="83">
        <v>1</v>
      </c>
      <c r="BU60" s="61"/>
      <c r="BV60" s="84">
        <v>1.0609999999999999</v>
      </c>
      <c r="BW60" s="84">
        <v>0.85</v>
      </c>
      <c r="BX60" s="84">
        <v>0.91300000000000003</v>
      </c>
      <c r="BY60" s="84">
        <v>0</v>
      </c>
      <c r="BZ60" s="62"/>
      <c r="CA60" s="85"/>
      <c r="CB60" s="85"/>
      <c r="CC60" s="85"/>
      <c r="CD60" s="85"/>
      <c r="CE60" s="62"/>
      <c r="CF60" s="86">
        <v>0.97</v>
      </c>
      <c r="CG60" s="87">
        <v>1</v>
      </c>
      <c r="CH60" s="87">
        <v>0.85</v>
      </c>
      <c r="CI60" s="87">
        <v>0</v>
      </c>
      <c r="CJ60" s="87">
        <v>1</v>
      </c>
    </row>
    <row r="61" spans="1:88" x14ac:dyDescent="0.35">
      <c r="A61" s="88" t="s">
        <v>225</v>
      </c>
      <c r="B61" s="89">
        <v>60</v>
      </c>
      <c r="C61" s="90" t="s">
        <v>73</v>
      </c>
      <c r="D61" s="90" t="s">
        <v>21</v>
      </c>
      <c r="E61" s="91">
        <v>41813</v>
      </c>
      <c r="F61" s="91" t="s">
        <v>226</v>
      </c>
      <c r="G61" s="91" t="s">
        <v>226</v>
      </c>
      <c r="H61" s="92" t="s">
        <v>166</v>
      </c>
      <c r="I61" s="93" t="s">
        <v>149</v>
      </c>
      <c r="J61" s="94">
        <v>0</v>
      </c>
      <c r="K61" s="94">
        <v>0</v>
      </c>
      <c r="L61" s="95">
        <v>0</v>
      </c>
      <c r="M61" s="96">
        <v>0.4</v>
      </c>
      <c r="N61" s="72">
        <v>65555.56</v>
      </c>
      <c r="O61" s="73">
        <v>0</v>
      </c>
      <c r="P61" s="73">
        <v>0</v>
      </c>
      <c r="Q61" s="74">
        <v>0</v>
      </c>
      <c r="R61" s="72">
        <v>51543.27</v>
      </c>
      <c r="S61" s="73">
        <v>0</v>
      </c>
      <c r="T61" s="73">
        <v>0</v>
      </c>
      <c r="U61" s="75">
        <v>0</v>
      </c>
      <c r="V61" s="93" t="s">
        <v>150</v>
      </c>
      <c r="W61" s="94">
        <v>0</v>
      </c>
      <c r="X61" s="94">
        <v>0</v>
      </c>
      <c r="Y61" s="95">
        <v>0</v>
      </c>
      <c r="Z61" s="96">
        <v>0.35</v>
      </c>
      <c r="AA61" s="72">
        <v>43089.5</v>
      </c>
      <c r="AB61" s="73">
        <v>0</v>
      </c>
      <c r="AC61" s="73">
        <v>0</v>
      </c>
      <c r="AD61" s="74">
        <v>0</v>
      </c>
      <c r="AE61" s="72">
        <v>40805.5</v>
      </c>
      <c r="AF61" s="73">
        <v>0</v>
      </c>
      <c r="AG61" s="73">
        <v>0</v>
      </c>
      <c r="AH61" s="75">
        <v>0</v>
      </c>
      <c r="AI61" s="93" t="s">
        <v>153</v>
      </c>
      <c r="AJ61" s="94" t="s">
        <v>154</v>
      </c>
      <c r="AK61" s="94">
        <v>0</v>
      </c>
      <c r="AL61" s="95">
        <v>0</v>
      </c>
      <c r="AM61" s="96">
        <v>0.25</v>
      </c>
      <c r="AN61" s="72">
        <v>6708</v>
      </c>
      <c r="AO61" s="73">
        <v>12888</v>
      </c>
      <c r="AP61" s="73">
        <v>0</v>
      </c>
      <c r="AQ61" s="74">
        <v>0</v>
      </c>
      <c r="AR61" s="72">
        <v>5208</v>
      </c>
      <c r="AS61" s="73">
        <v>12048</v>
      </c>
      <c r="AT61" s="73">
        <v>0</v>
      </c>
      <c r="AU61" s="75">
        <v>0</v>
      </c>
      <c r="AV61" s="93">
        <v>0</v>
      </c>
      <c r="AW61" s="94">
        <v>0</v>
      </c>
      <c r="AX61" s="94">
        <v>0</v>
      </c>
      <c r="AY61" s="95">
        <v>0</v>
      </c>
      <c r="AZ61" s="97">
        <v>0</v>
      </c>
      <c r="BA61" s="72">
        <v>0</v>
      </c>
      <c r="BB61" s="73">
        <v>0</v>
      </c>
      <c r="BC61" s="73">
        <v>0</v>
      </c>
      <c r="BD61" s="74">
        <v>0</v>
      </c>
      <c r="BE61" s="72">
        <v>0</v>
      </c>
      <c r="BF61" s="73">
        <v>0</v>
      </c>
      <c r="BG61" s="73">
        <v>0</v>
      </c>
      <c r="BH61" s="75">
        <v>0</v>
      </c>
      <c r="BI61" s="98">
        <v>128241.06</v>
      </c>
      <c r="BJ61" s="99">
        <v>109604.76999999999</v>
      </c>
      <c r="BK61" s="100" t="s">
        <v>226</v>
      </c>
      <c r="BL61" s="100">
        <v>0.99</v>
      </c>
      <c r="BM61" s="62"/>
      <c r="BN61" s="80" t="s">
        <v>227</v>
      </c>
      <c r="BO61" s="81">
        <v>41905</v>
      </c>
      <c r="BP61" s="82">
        <v>3</v>
      </c>
      <c r="BQ61" s="82">
        <v>1</v>
      </c>
      <c r="BR61" s="82">
        <v>3</v>
      </c>
      <c r="BS61" s="80">
        <v>329604</v>
      </c>
      <c r="BT61" s="83">
        <v>1</v>
      </c>
      <c r="BU61" s="61"/>
      <c r="BV61" s="84">
        <v>1.272</v>
      </c>
      <c r="BW61" s="84">
        <v>1.056</v>
      </c>
      <c r="BX61" s="84">
        <v>1.1359999999999999</v>
      </c>
      <c r="BY61" s="84">
        <v>0</v>
      </c>
      <c r="BZ61" s="62"/>
      <c r="CA61" s="85"/>
      <c r="CB61" s="85"/>
      <c r="CC61" s="85"/>
      <c r="CD61" s="85"/>
      <c r="CE61" s="62"/>
      <c r="CF61" s="86">
        <v>1.17</v>
      </c>
      <c r="CG61" s="87">
        <v>1</v>
      </c>
      <c r="CH61" s="87">
        <v>2.35</v>
      </c>
      <c r="CI61" s="87">
        <v>0</v>
      </c>
      <c r="CJ61" s="87">
        <v>1</v>
      </c>
    </row>
    <row r="62" spans="1:88" x14ac:dyDescent="0.35">
      <c r="A62" s="88" t="s">
        <v>225</v>
      </c>
      <c r="B62" s="89">
        <v>61</v>
      </c>
      <c r="C62" s="90" t="s">
        <v>74</v>
      </c>
      <c r="D62" s="90" t="s">
        <v>12</v>
      </c>
      <c r="E62" s="91">
        <v>41198</v>
      </c>
      <c r="F62" s="91" t="s">
        <v>226</v>
      </c>
      <c r="G62" s="91" t="s">
        <v>226</v>
      </c>
      <c r="H62" s="67" t="s">
        <v>156</v>
      </c>
      <c r="I62" s="93" t="s">
        <v>157</v>
      </c>
      <c r="J62" s="94" t="s">
        <v>158</v>
      </c>
      <c r="K62" s="94">
        <v>0</v>
      </c>
      <c r="L62" s="95">
        <v>0</v>
      </c>
      <c r="M62" s="96">
        <v>0.3</v>
      </c>
      <c r="N62" s="72">
        <v>51205.5</v>
      </c>
      <c r="O62" s="73">
        <v>21773.200000000001</v>
      </c>
      <c r="P62" s="73">
        <v>0</v>
      </c>
      <c r="Q62" s="74">
        <v>0</v>
      </c>
      <c r="R62" s="72">
        <v>44550</v>
      </c>
      <c r="S62" s="73">
        <v>24510.799999999999</v>
      </c>
      <c r="T62" s="73">
        <v>0</v>
      </c>
      <c r="U62" s="75">
        <v>0</v>
      </c>
      <c r="V62" s="93" t="s">
        <v>159</v>
      </c>
      <c r="W62" s="94" t="s">
        <v>160</v>
      </c>
      <c r="X62" s="94" t="s">
        <v>161</v>
      </c>
      <c r="Y62" s="95">
        <v>0</v>
      </c>
      <c r="Z62" s="96">
        <v>0.25</v>
      </c>
      <c r="AA62" s="72">
        <v>176007</v>
      </c>
      <c r="AB62" s="73">
        <v>2494.5</v>
      </c>
      <c r="AC62" s="73">
        <v>620</v>
      </c>
      <c r="AD62" s="74">
        <v>0</v>
      </c>
      <c r="AE62" s="72">
        <v>149141.5</v>
      </c>
      <c r="AF62" s="73">
        <v>2494.5</v>
      </c>
      <c r="AG62" s="73">
        <v>930</v>
      </c>
      <c r="AH62" s="75">
        <v>0</v>
      </c>
      <c r="AI62" s="93" t="s">
        <v>151</v>
      </c>
      <c r="AJ62" s="94">
        <v>0</v>
      </c>
      <c r="AK62" s="94">
        <v>0</v>
      </c>
      <c r="AL62" s="95">
        <v>0</v>
      </c>
      <c r="AM62" s="96">
        <v>0.25</v>
      </c>
      <c r="AN62" s="72">
        <v>14264.640000000001</v>
      </c>
      <c r="AO62" s="73">
        <v>0</v>
      </c>
      <c r="AP62" s="73">
        <v>0</v>
      </c>
      <c r="AQ62" s="74">
        <v>0</v>
      </c>
      <c r="AR62" s="72">
        <v>19349.72</v>
      </c>
      <c r="AS62" s="73">
        <v>0</v>
      </c>
      <c r="AT62" s="73">
        <v>0</v>
      </c>
      <c r="AU62" s="75">
        <v>0</v>
      </c>
      <c r="AV62" s="93" t="s">
        <v>162</v>
      </c>
      <c r="AW62" s="94" t="s">
        <v>150</v>
      </c>
      <c r="AX62" s="94" t="s">
        <v>149</v>
      </c>
      <c r="AY62" s="95">
        <v>0</v>
      </c>
      <c r="AZ62" s="97">
        <v>0.19999999999999996</v>
      </c>
      <c r="BA62" s="72">
        <v>32165.48</v>
      </c>
      <c r="BB62" s="73">
        <v>3952.3</v>
      </c>
      <c r="BC62" s="73">
        <v>4623.0339999999997</v>
      </c>
      <c r="BD62" s="74">
        <v>0</v>
      </c>
      <c r="BE62" s="72">
        <v>22378.880000000001</v>
      </c>
      <c r="BF62" s="73">
        <v>4161.7</v>
      </c>
      <c r="BG62" s="73">
        <v>3439.3575000000001</v>
      </c>
      <c r="BH62" s="75">
        <v>0</v>
      </c>
      <c r="BI62" s="98">
        <v>307105.65400000004</v>
      </c>
      <c r="BJ62" s="99">
        <v>270956.45750000002</v>
      </c>
      <c r="BK62" s="100" t="s">
        <v>226</v>
      </c>
      <c r="BL62" s="100">
        <v>0.97</v>
      </c>
      <c r="BM62" s="62"/>
      <c r="BN62" s="80" t="s">
        <v>227</v>
      </c>
      <c r="BO62" s="81">
        <v>41290</v>
      </c>
      <c r="BP62" s="82">
        <v>3</v>
      </c>
      <c r="BQ62" s="82">
        <v>1</v>
      </c>
      <c r="BR62" s="82">
        <v>3</v>
      </c>
      <c r="BS62" s="80">
        <v>329604</v>
      </c>
      <c r="BT62" s="83">
        <v>1</v>
      </c>
      <c r="BU62" s="61"/>
      <c r="BV62" s="84">
        <v>1.0569999999999999</v>
      </c>
      <c r="BW62" s="84">
        <v>1.1739999999999999</v>
      </c>
      <c r="BX62" s="84">
        <v>0.73699999999999999</v>
      </c>
      <c r="BY62" s="84">
        <v>1.359</v>
      </c>
      <c r="BZ62" s="62"/>
      <c r="CA62" s="85"/>
      <c r="CB62" s="85"/>
      <c r="CC62" s="85"/>
      <c r="CD62" s="85"/>
      <c r="CE62" s="62"/>
      <c r="CF62" s="86">
        <v>1.1299999999999999</v>
      </c>
      <c r="CG62" s="87">
        <v>1</v>
      </c>
      <c r="CH62" s="87">
        <v>2.15</v>
      </c>
      <c r="CI62" s="87">
        <v>0</v>
      </c>
      <c r="CJ62" s="87">
        <v>1</v>
      </c>
    </row>
    <row r="63" spans="1:88" x14ac:dyDescent="0.35">
      <c r="A63" s="88" t="s">
        <v>225</v>
      </c>
      <c r="B63" s="89">
        <v>62</v>
      </c>
      <c r="C63" s="90" t="s">
        <v>75</v>
      </c>
      <c r="D63" s="90" t="s">
        <v>21</v>
      </c>
      <c r="E63" s="91">
        <v>42654</v>
      </c>
      <c r="F63" s="91">
        <v>42887</v>
      </c>
      <c r="G63" s="91" t="s">
        <v>226</v>
      </c>
      <c r="H63" s="92" t="s">
        <v>166</v>
      </c>
      <c r="I63" s="93" t="s">
        <v>149</v>
      </c>
      <c r="J63" s="94">
        <v>0</v>
      </c>
      <c r="K63" s="94">
        <v>0</v>
      </c>
      <c r="L63" s="95">
        <v>0</v>
      </c>
      <c r="M63" s="96">
        <v>0.4</v>
      </c>
      <c r="N63" s="72">
        <v>209414.53999999998</v>
      </c>
      <c r="O63" s="73">
        <v>0</v>
      </c>
      <c r="P63" s="73">
        <v>0</v>
      </c>
      <c r="Q63" s="74">
        <v>0</v>
      </c>
      <c r="R63" s="72">
        <v>164567</v>
      </c>
      <c r="S63" s="73">
        <v>0</v>
      </c>
      <c r="T63" s="73">
        <v>0</v>
      </c>
      <c r="U63" s="75">
        <v>0</v>
      </c>
      <c r="V63" s="93" t="s">
        <v>150</v>
      </c>
      <c r="W63" s="94">
        <v>0</v>
      </c>
      <c r="X63" s="94">
        <v>0</v>
      </c>
      <c r="Y63" s="95">
        <v>0</v>
      </c>
      <c r="Z63" s="96">
        <v>0.35</v>
      </c>
      <c r="AA63" s="72">
        <v>121598</v>
      </c>
      <c r="AB63" s="73">
        <v>0</v>
      </c>
      <c r="AC63" s="73">
        <v>0</v>
      </c>
      <c r="AD63" s="74">
        <v>0</v>
      </c>
      <c r="AE63" s="72">
        <v>98724</v>
      </c>
      <c r="AF63" s="73">
        <v>0</v>
      </c>
      <c r="AG63" s="73">
        <v>0</v>
      </c>
      <c r="AH63" s="75">
        <v>0</v>
      </c>
      <c r="AI63" s="93" t="s">
        <v>153</v>
      </c>
      <c r="AJ63" s="94" t="s">
        <v>154</v>
      </c>
      <c r="AK63" s="94">
        <v>0</v>
      </c>
      <c r="AL63" s="95">
        <v>0</v>
      </c>
      <c r="AM63" s="96">
        <v>0.25</v>
      </c>
      <c r="AN63" s="72">
        <v>5604</v>
      </c>
      <c r="AO63" s="73">
        <v>6648</v>
      </c>
      <c r="AP63" s="73">
        <v>0</v>
      </c>
      <c r="AQ63" s="74">
        <v>0</v>
      </c>
      <c r="AR63" s="72">
        <v>6840</v>
      </c>
      <c r="AS63" s="73">
        <v>10800</v>
      </c>
      <c r="AT63" s="73">
        <v>0</v>
      </c>
      <c r="AU63" s="75">
        <v>0</v>
      </c>
      <c r="AV63" s="93">
        <v>0</v>
      </c>
      <c r="AW63" s="94">
        <v>0</v>
      </c>
      <c r="AX63" s="94">
        <v>0</v>
      </c>
      <c r="AY63" s="95">
        <v>0</v>
      </c>
      <c r="AZ63" s="97">
        <v>0</v>
      </c>
      <c r="BA63" s="72">
        <v>0</v>
      </c>
      <c r="BB63" s="73">
        <v>0</v>
      </c>
      <c r="BC63" s="73">
        <v>0</v>
      </c>
      <c r="BD63" s="74">
        <v>0</v>
      </c>
      <c r="BE63" s="72">
        <v>0</v>
      </c>
      <c r="BF63" s="73">
        <v>0</v>
      </c>
      <c r="BG63" s="73">
        <v>0</v>
      </c>
      <c r="BH63" s="75">
        <v>0</v>
      </c>
      <c r="BI63" s="98">
        <v>343264.54</v>
      </c>
      <c r="BJ63" s="99">
        <v>280931</v>
      </c>
      <c r="BK63" s="100" t="s">
        <v>226</v>
      </c>
      <c r="BL63" s="100">
        <v>0.83</v>
      </c>
      <c r="BM63" s="62"/>
      <c r="BN63" s="80" t="s">
        <v>228</v>
      </c>
      <c r="BO63" s="81">
        <v>42746</v>
      </c>
      <c r="BP63" s="82">
        <v>2</v>
      </c>
      <c r="BQ63" s="82">
        <v>2</v>
      </c>
      <c r="BR63" s="82">
        <v>3</v>
      </c>
      <c r="BS63" s="80">
        <v>329604</v>
      </c>
      <c r="BT63" s="83">
        <v>0.66666666666666663</v>
      </c>
      <c r="BU63" s="61"/>
      <c r="BV63" s="84">
        <v>1.2729999999999999</v>
      </c>
      <c r="BW63" s="84">
        <v>1.232</v>
      </c>
      <c r="BX63" s="84">
        <v>0.69499999999999995</v>
      </c>
      <c r="BY63" s="84">
        <v>0</v>
      </c>
      <c r="BZ63" s="62"/>
      <c r="CA63" s="85"/>
      <c r="CB63" s="85"/>
      <c r="CC63" s="85"/>
      <c r="CD63" s="85"/>
      <c r="CE63" s="62"/>
      <c r="CF63" s="86">
        <v>1.22</v>
      </c>
      <c r="CG63" s="87">
        <v>1</v>
      </c>
      <c r="CH63" s="87">
        <v>2.5</v>
      </c>
      <c r="CI63" s="87">
        <v>0</v>
      </c>
      <c r="CJ63" s="87">
        <v>0.5</v>
      </c>
    </row>
    <row r="64" spans="1:88" x14ac:dyDescent="0.35">
      <c r="A64" s="88" t="s">
        <v>225</v>
      </c>
      <c r="B64" s="89">
        <v>63</v>
      </c>
      <c r="C64" s="90" t="s">
        <v>76</v>
      </c>
      <c r="D64" s="90" t="s">
        <v>21</v>
      </c>
      <c r="E64" s="91">
        <v>41738</v>
      </c>
      <c r="F64" s="91" t="s">
        <v>226</v>
      </c>
      <c r="G64" s="91" t="s">
        <v>226</v>
      </c>
      <c r="H64" s="92" t="s">
        <v>166</v>
      </c>
      <c r="I64" s="93" t="s">
        <v>149</v>
      </c>
      <c r="J64" s="94">
        <v>0</v>
      </c>
      <c r="K64" s="94">
        <v>0</v>
      </c>
      <c r="L64" s="95">
        <v>0</v>
      </c>
      <c r="M64" s="96">
        <v>0.4</v>
      </c>
      <c r="N64" s="72">
        <v>300986.66000000003</v>
      </c>
      <c r="O64" s="73">
        <v>0</v>
      </c>
      <c r="P64" s="73">
        <v>0</v>
      </c>
      <c r="Q64" s="74">
        <v>0</v>
      </c>
      <c r="R64" s="72">
        <v>242261</v>
      </c>
      <c r="S64" s="73">
        <v>0</v>
      </c>
      <c r="T64" s="73">
        <v>0</v>
      </c>
      <c r="U64" s="75">
        <v>0</v>
      </c>
      <c r="V64" s="93" t="s">
        <v>150</v>
      </c>
      <c r="W64" s="94">
        <v>0</v>
      </c>
      <c r="X64" s="94">
        <v>0</v>
      </c>
      <c r="Y64" s="95">
        <v>0</v>
      </c>
      <c r="Z64" s="96">
        <v>0.35</v>
      </c>
      <c r="AA64" s="72">
        <v>154886.5</v>
      </c>
      <c r="AB64" s="73">
        <v>0</v>
      </c>
      <c r="AC64" s="73">
        <v>0</v>
      </c>
      <c r="AD64" s="74">
        <v>0</v>
      </c>
      <c r="AE64" s="72">
        <v>140018</v>
      </c>
      <c r="AF64" s="73">
        <v>0</v>
      </c>
      <c r="AG64" s="73">
        <v>0</v>
      </c>
      <c r="AH64" s="75">
        <v>0</v>
      </c>
      <c r="AI64" s="93" t="s">
        <v>153</v>
      </c>
      <c r="AJ64" s="94" t="s">
        <v>154</v>
      </c>
      <c r="AK64" s="94">
        <v>0</v>
      </c>
      <c r="AL64" s="95">
        <v>0</v>
      </c>
      <c r="AM64" s="96">
        <v>0.25</v>
      </c>
      <c r="AN64" s="72">
        <v>10164</v>
      </c>
      <c r="AO64" s="73">
        <v>11280</v>
      </c>
      <c r="AP64" s="73">
        <v>0</v>
      </c>
      <c r="AQ64" s="74">
        <v>0</v>
      </c>
      <c r="AR64" s="72">
        <v>10692</v>
      </c>
      <c r="AS64" s="73">
        <v>16344</v>
      </c>
      <c r="AT64" s="73">
        <v>0</v>
      </c>
      <c r="AU64" s="75">
        <v>0</v>
      </c>
      <c r="AV64" s="93">
        <v>0</v>
      </c>
      <c r="AW64" s="94">
        <v>0</v>
      </c>
      <c r="AX64" s="94">
        <v>0</v>
      </c>
      <c r="AY64" s="95">
        <v>0</v>
      </c>
      <c r="AZ64" s="97">
        <v>0</v>
      </c>
      <c r="BA64" s="72">
        <v>0</v>
      </c>
      <c r="BB64" s="73">
        <v>0</v>
      </c>
      <c r="BC64" s="73">
        <v>0</v>
      </c>
      <c r="BD64" s="74">
        <v>0</v>
      </c>
      <c r="BE64" s="72">
        <v>0</v>
      </c>
      <c r="BF64" s="73">
        <v>0</v>
      </c>
      <c r="BG64" s="73">
        <v>0</v>
      </c>
      <c r="BH64" s="75">
        <v>0</v>
      </c>
      <c r="BI64" s="98">
        <v>477317.16000000003</v>
      </c>
      <c r="BJ64" s="99">
        <v>409315</v>
      </c>
      <c r="BK64" s="100" t="s">
        <v>226</v>
      </c>
      <c r="BL64" s="100">
        <v>0.89</v>
      </c>
      <c r="BM64" s="62"/>
      <c r="BN64" s="80" t="s">
        <v>227</v>
      </c>
      <c r="BO64" s="81">
        <v>41829</v>
      </c>
      <c r="BP64" s="82">
        <v>3</v>
      </c>
      <c r="BQ64" s="82">
        <v>1</v>
      </c>
      <c r="BR64" s="82">
        <v>3</v>
      </c>
      <c r="BS64" s="80">
        <v>329604</v>
      </c>
      <c r="BT64" s="83">
        <v>1</v>
      </c>
      <c r="BU64" s="61"/>
      <c r="BV64" s="84">
        <v>1.242</v>
      </c>
      <c r="BW64" s="84">
        <v>1.1060000000000001</v>
      </c>
      <c r="BX64" s="84">
        <v>0.79300000000000004</v>
      </c>
      <c r="BY64" s="84">
        <v>0</v>
      </c>
      <c r="BZ64" s="62"/>
      <c r="CA64" s="85"/>
      <c r="CB64" s="85"/>
      <c r="CC64" s="85"/>
      <c r="CD64" s="85"/>
      <c r="CE64" s="62"/>
      <c r="CF64" s="86">
        <v>1.17</v>
      </c>
      <c r="CG64" s="87">
        <v>1</v>
      </c>
      <c r="CH64" s="87">
        <v>2.35</v>
      </c>
      <c r="CI64" s="87">
        <v>0</v>
      </c>
      <c r="CJ64" s="87">
        <v>0.5</v>
      </c>
    </row>
    <row r="65" spans="1:88" x14ac:dyDescent="0.35">
      <c r="A65" s="88" t="s">
        <v>225</v>
      </c>
      <c r="B65" s="89">
        <v>64</v>
      </c>
      <c r="C65" s="90" t="s">
        <v>77</v>
      </c>
      <c r="D65" s="90" t="s">
        <v>12</v>
      </c>
      <c r="E65" s="91">
        <v>42585</v>
      </c>
      <c r="F65" s="91" t="s">
        <v>226</v>
      </c>
      <c r="G65" s="91" t="s">
        <v>226</v>
      </c>
      <c r="H65" s="92" t="s">
        <v>148</v>
      </c>
      <c r="I65" s="93" t="s">
        <v>149</v>
      </c>
      <c r="J65" s="94" t="s">
        <v>150</v>
      </c>
      <c r="K65" s="94">
        <v>0</v>
      </c>
      <c r="L65" s="95">
        <v>0</v>
      </c>
      <c r="M65" s="96">
        <v>0.5</v>
      </c>
      <c r="N65" s="72">
        <v>168610.04499999998</v>
      </c>
      <c r="O65" s="73">
        <v>78734.5</v>
      </c>
      <c r="P65" s="73">
        <v>0</v>
      </c>
      <c r="Q65" s="74">
        <v>0</v>
      </c>
      <c r="R65" s="72">
        <v>158905.20000000001</v>
      </c>
      <c r="S65" s="73">
        <v>92581</v>
      </c>
      <c r="T65" s="73">
        <v>0</v>
      </c>
      <c r="U65" s="75">
        <v>0</v>
      </c>
      <c r="V65" s="93" t="s">
        <v>151</v>
      </c>
      <c r="W65" s="94" t="s">
        <v>152</v>
      </c>
      <c r="X65" s="94">
        <v>0</v>
      </c>
      <c r="Y65" s="95">
        <v>0</v>
      </c>
      <c r="Z65" s="96">
        <v>0.25</v>
      </c>
      <c r="AA65" s="72">
        <v>98729.800000000017</v>
      </c>
      <c r="AB65" s="73">
        <v>22847.5</v>
      </c>
      <c r="AC65" s="73">
        <v>0</v>
      </c>
      <c r="AD65" s="74">
        <v>0</v>
      </c>
      <c r="AE65" s="72">
        <v>109098.08000000002</v>
      </c>
      <c r="AF65" s="73">
        <v>22724</v>
      </c>
      <c r="AG65" s="73">
        <v>0</v>
      </c>
      <c r="AH65" s="75">
        <v>0</v>
      </c>
      <c r="AI65" s="93" t="s">
        <v>153</v>
      </c>
      <c r="AJ65" s="94" t="s">
        <v>154</v>
      </c>
      <c r="AK65" s="94">
        <v>0</v>
      </c>
      <c r="AL65" s="95">
        <v>0</v>
      </c>
      <c r="AM65" s="96">
        <v>0.1</v>
      </c>
      <c r="AN65" s="72">
        <v>12972</v>
      </c>
      <c r="AO65" s="73">
        <v>25797.599999999999</v>
      </c>
      <c r="AP65" s="73">
        <v>0</v>
      </c>
      <c r="AQ65" s="74">
        <v>0</v>
      </c>
      <c r="AR65" s="72">
        <v>15708</v>
      </c>
      <c r="AS65" s="73">
        <v>26736</v>
      </c>
      <c r="AT65" s="73">
        <v>0</v>
      </c>
      <c r="AU65" s="75">
        <v>0</v>
      </c>
      <c r="AV65" s="93" t="s">
        <v>155</v>
      </c>
      <c r="AW65" s="94">
        <v>0</v>
      </c>
      <c r="AX65" s="94">
        <v>0</v>
      </c>
      <c r="AY65" s="95">
        <v>0</v>
      </c>
      <c r="AZ65" s="97">
        <v>0.15</v>
      </c>
      <c r="BA65" s="72">
        <v>1863.3500000000001</v>
      </c>
      <c r="BB65" s="73">
        <v>0</v>
      </c>
      <c r="BC65" s="73">
        <v>0</v>
      </c>
      <c r="BD65" s="74">
        <v>0</v>
      </c>
      <c r="BE65" s="72">
        <v>3320.0000000000005</v>
      </c>
      <c r="BF65" s="73">
        <v>0</v>
      </c>
      <c r="BG65" s="73">
        <v>0</v>
      </c>
      <c r="BH65" s="75">
        <v>0</v>
      </c>
      <c r="BI65" s="98">
        <v>409554.79499999993</v>
      </c>
      <c r="BJ65" s="99">
        <v>429072.28</v>
      </c>
      <c r="BK65" s="100" t="s">
        <v>226</v>
      </c>
      <c r="BL65" s="100">
        <v>0.83</v>
      </c>
      <c r="BM65" s="62"/>
      <c r="BN65" s="80" t="s">
        <v>227</v>
      </c>
      <c r="BO65" s="81">
        <v>42677</v>
      </c>
      <c r="BP65" s="82">
        <v>3</v>
      </c>
      <c r="BQ65" s="82">
        <v>1</v>
      </c>
      <c r="BR65" s="82">
        <v>3</v>
      </c>
      <c r="BS65" s="80">
        <v>329604</v>
      </c>
      <c r="BT65" s="83">
        <v>1</v>
      </c>
      <c r="BU65" s="61"/>
      <c r="BV65" s="84">
        <v>0.98399999999999999</v>
      </c>
      <c r="BW65" s="84">
        <v>0.92200000000000004</v>
      </c>
      <c r="BX65" s="84">
        <v>0.91300000000000003</v>
      </c>
      <c r="BY65" s="84">
        <v>0.56100000000000005</v>
      </c>
      <c r="BZ65" s="62"/>
      <c r="CA65" s="85"/>
      <c r="CB65" s="85"/>
      <c r="CC65" s="85"/>
      <c r="CD65" s="85"/>
      <c r="CE65" s="62"/>
      <c r="CF65" s="86">
        <v>0.95</v>
      </c>
      <c r="CG65" s="87">
        <v>1</v>
      </c>
      <c r="CH65" s="87">
        <v>0.8</v>
      </c>
      <c r="CI65" s="87">
        <v>0</v>
      </c>
      <c r="CJ65" s="87">
        <v>0.5</v>
      </c>
    </row>
    <row r="66" spans="1:88" x14ac:dyDescent="0.35">
      <c r="A66" s="88" t="s">
        <v>225</v>
      </c>
      <c r="B66" s="89">
        <v>65</v>
      </c>
      <c r="C66" s="90" t="s">
        <v>78</v>
      </c>
      <c r="D66" s="90" t="s">
        <v>12</v>
      </c>
      <c r="E66" s="91">
        <v>41414</v>
      </c>
      <c r="F66" s="91">
        <v>42845</v>
      </c>
      <c r="G66" s="91" t="s">
        <v>226</v>
      </c>
      <c r="H66" s="92" t="s">
        <v>148</v>
      </c>
      <c r="I66" s="93" t="s">
        <v>149</v>
      </c>
      <c r="J66" s="94" t="s">
        <v>150</v>
      </c>
      <c r="K66" s="94">
        <v>0</v>
      </c>
      <c r="L66" s="95">
        <v>0</v>
      </c>
      <c r="M66" s="96">
        <v>0.5</v>
      </c>
      <c r="N66" s="72">
        <v>92460.68</v>
      </c>
      <c r="O66" s="73">
        <v>39523</v>
      </c>
      <c r="P66" s="73">
        <v>0</v>
      </c>
      <c r="Q66" s="74">
        <v>0</v>
      </c>
      <c r="R66" s="72">
        <v>68787.149999999994</v>
      </c>
      <c r="S66" s="73">
        <v>41617</v>
      </c>
      <c r="T66" s="73">
        <v>0</v>
      </c>
      <c r="U66" s="75">
        <v>0</v>
      </c>
      <c r="V66" s="93" t="s">
        <v>151</v>
      </c>
      <c r="W66" s="94" t="s">
        <v>152</v>
      </c>
      <c r="X66" s="94">
        <v>0</v>
      </c>
      <c r="Y66" s="95">
        <v>0</v>
      </c>
      <c r="Z66" s="96">
        <v>0.25</v>
      </c>
      <c r="AA66" s="72">
        <v>28529.280000000002</v>
      </c>
      <c r="AB66" s="73">
        <v>18810</v>
      </c>
      <c r="AC66" s="73">
        <v>0</v>
      </c>
      <c r="AD66" s="74">
        <v>0</v>
      </c>
      <c r="AE66" s="72">
        <v>38699.440000000002</v>
      </c>
      <c r="AF66" s="73">
        <v>17575</v>
      </c>
      <c r="AG66" s="73">
        <v>0</v>
      </c>
      <c r="AH66" s="75">
        <v>0</v>
      </c>
      <c r="AI66" s="93" t="s">
        <v>153</v>
      </c>
      <c r="AJ66" s="94" t="s">
        <v>154</v>
      </c>
      <c r="AK66" s="94">
        <v>0</v>
      </c>
      <c r="AL66" s="95">
        <v>0</v>
      </c>
      <c r="AM66" s="96">
        <v>0.1</v>
      </c>
      <c r="AN66" s="72">
        <v>7008</v>
      </c>
      <c r="AO66" s="73">
        <v>17052</v>
      </c>
      <c r="AP66" s="73">
        <v>0</v>
      </c>
      <c r="AQ66" s="74">
        <v>0</v>
      </c>
      <c r="AR66" s="72">
        <v>5544</v>
      </c>
      <c r="AS66" s="73">
        <v>14676</v>
      </c>
      <c r="AT66" s="73">
        <v>0</v>
      </c>
      <c r="AU66" s="75">
        <v>0</v>
      </c>
      <c r="AV66" s="93" t="s">
        <v>155</v>
      </c>
      <c r="AW66" s="94">
        <v>0</v>
      </c>
      <c r="AX66" s="94">
        <v>0</v>
      </c>
      <c r="AY66" s="95">
        <v>0</v>
      </c>
      <c r="AZ66" s="97">
        <v>0.15</v>
      </c>
      <c r="BA66" s="72">
        <v>929.60000000000014</v>
      </c>
      <c r="BB66" s="73">
        <v>0</v>
      </c>
      <c r="BC66" s="73">
        <v>0</v>
      </c>
      <c r="BD66" s="74">
        <v>0</v>
      </c>
      <c r="BE66" s="72">
        <v>1660.0000000000002</v>
      </c>
      <c r="BF66" s="73">
        <v>0</v>
      </c>
      <c r="BG66" s="73">
        <v>0</v>
      </c>
      <c r="BH66" s="75">
        <v>0</v>
      </c>
      <c r="BI66" s="98">
        <v>204312.56</v>
      </c>
      <c r="BJ66" s="99">
        <v>188558.59</v>
      </c>
      <c r="BK66" s="100" t="s">
        <v>226</v>
      </c>
      <c r="BL66" s="100">
        <v>0.98</v>
      </c>
      <c r="BM66" s="62"/>
      <c r="BN66" s="80" t="s">
        <v>227</v>
      </c>
      <c r="BO66" s="81">
        <v>41506</v>
      </c>
      <c r="BP66" s="82">
        <v>3</v>
      </c>
      <c r="BQ66" s="82">
        <v>1</v>
      </c>
      <c r="BR66" s="82">
        <v>3</v>
      </c>
      <c r="BS66" s="80">
        <v>329604</v>
      </c>
      <c r="BT66" s="83">
        <v>1</v>
      </c>
      <c r="BU66" s="61"/>
      <c r="BV66" s="84">
        <v>1.1950000000000001</v>
      </c>
      <c r="BW66" s="84">
        <v>0.84099999999999997</v>
      </c>
      <c r="BX66" s="84">
        <v>1.19</v>
      </c>
      <c r="BY66" s="84">
        <v>0.56000000000000005</v>
      </c>
      <c r="BZ66" s="62"/>
      <c r="CA66" s="85"/>
      <c r="CB66" s="85"/>
      <c r="CC66" s="85"/>
      <c r="CD66" s="85"/>
      <c r="CE66" s="62"/>
      <c r="CF66" s="86">
        <v>1.08</v>
      </c>
      <c r="CG66" s="87">
        <v>1</v>
      </c>
      <c r="CH66" s="87">
        <v>1.8</v>
      </c>
      <c r="CI66" s="87">
        <v>0</v>
      </c>
      <c r="CJ66" s="87">
        <v>1</v>
      </c>
    </row>
    <row r="67" spans="1:88" x14ac:dyDescent="0.35">
      <c r="A67" s="88" t="s">
        <v>225</v>
      </c>
      <c r="B67" s="89">
        <v>66</v>
      </c>
      <c r="C67" s="90" t="s">
        <v>79</v>
      </c>
      <c r="D67" s="90" t="s">
        <v>21</v>
      </c>
      <c r="E67" s="91">
        <v>41445</v>
      </c>
      <c r="F67" s="91">
        <v>42868</v>
      </c>
      <c r="G67" s="91" t="s">
        <v>226</v>
      </c>
      <c r="H67" s="92" t="s">
        <v>166</v>
      </c>
      <c r="I67" s="93" t="s">
        <v>149</v>
      </c>
      <c r="J67" s="94">
        <v>0</v>
      </c>
      <c r="K67" s="94">
        <v>0</v>
      </c>
      <c r="L67" s="95">
        <v>0</v>
      </c>
      <c r="M67" s="96">
        <v>0.4</v>
      </c>
      <c r="N67" s="72">
        <v>67078.89</v>
      </c>
      <c r="O67" s="73">
        <v>0</v>
      </c>
      <c r="P67" s="73">
        <v>0</v>
      </c>
      <c r="Q67" s="74">
        <v>0</v>
      </c>
      <c r="R67" s="72">
        <v>55253.959999999992</v>
      </c>
      <c r="S67" s="73">
        <v>0</v>
      </c>
      <c r="T67" s="73">
        <v>0</v>
      </c>
      <c r="U67" s="75">
        <v>0</v>
      </c>
      <c r="V67" s="93" t="s">
        <v>150</v>
      </c>
      <c r="W67" s="94">
        <v>0</v>
      </c>
      <c r="X67" s="94">
        <v>0</v>
      </c>
      <c r="Y67" s="95">
        <v>0</v>
      </c>
      <c r="Z67" s="96">
        <v>0.35</v>
      </c>
      <c r="AA67" s="72">
        <v>28336.5</v>
      </c>
      <c r="AB67" s="73">
        <v>0</v>
      </c>
      <c r="AC67" s="73">
        <v>0</v>
      </c>
      <c r="AD67" s="74">
        <v>0</v>
      </c>
      <c r="AE67" s="72">
        <v>33683</v>
      </c>
      <c r="AF67" s="73">
        <v>0</v>
      </c>
      <c r="AG67" s="73">
        <v>0</v>
      </c>
      <c r="AH67" s="75">
        <v>0</v>
      </c>
      <c r="AI67" s="93" t="s">
        <v>153</v>
      </c>
      <c r="AJ67" s="94" t="s">
        <v>154</v>
      </c>
      <c r="AK67" s="94">
        <v>0</v>
      </c>
      <c r="AL67" s="95">
        <v>0</v>
      </c>
      <c r="AM67" s="96">
        <v>0.25</v>
      </c>
      <c r="AN67" s="72">
        <v>5112</v>
      </c>
      <c r="AO67" s="73">
        <v>4680</v>
      </c>
      <c r="AP67" s="73">
        <v>0</v>
      </c>
      <c r="AQ67" s="74">
        <v>0</v>
      </c>
      <c r="AR67" s="72">
        <v>4560</v>
      </c>
      <c r="AS67" s="73">
        <v>6192</v>
      </c>
      <c r="AT67" s="73">
        <v>0</v>
      </c>
      <c r="AU67" s="75">
        <v>0</v>
      </c>
      <c r="AV67" s="93">
        <v>0</v>
      </c>
      <c r="AW67" s="94">
        <v>0</v>
      </c>
      <c r="AX67" s="94">
        <v>0</v>
      </c>
      <c r="AY67" s="95">
        <v>0</v>
      </c>
      <c r="AZ67" s="97">
        <v>0</v>
      </c>
      <c r="BA67" s="72">
        <v>0</v>
      </c>
      <c r="BB67" s="73">
        <v>0</v>
      </c>
      <c r="BC67" s="73">
        <v>0</v>
      </c>
      <c r="BD67" s="74">
        <v>0</v>
      </c>
      <c r="BE67" s="72">
        <v>0</v>
      </c>
      <c r="BF67" s="73">
        <v>0</v>
      </c>
      <c r="BG67" s="73">
        <v>0</v>
      </c>
      <c r="BH67" s="75">
        <v>0</v>
      </c>
      <c r="BI67" s="98">
        <v>105207.39</v>
      </c>
      <c r="BJ67" s="99">
        <v>99688.959999999992</v>
      </c>
      <c r="BK67" s="100" t="s">
        <v>226</v>
      </c>
      <c r="BL67" s="100">
        <v>0.9</v>
      </c>
      <c r="BM67" s="62"/>
      <c r="BN67" s="80" t="s">
        <v>227</v>
      </c>
      <c r="BO67" s="81">
        <v>41537</v>
      </c>
      <c r="BP67" s="82">
        <v>3</v>
      </c>
      <c r="BQ67" s="82">
        <v>1</v>
      </c>
      <c r="BR67" s="82">
        <v>3</v>
      </c>
      <c r="BS67" s="80">
        <v>329604</v>
      </c>
      <c r="BT67" s="83">
        <v>1</v>
      </c>
      <c r="BU67" s="61"/>
      <c r="BV67" s="84">
        <v>1.214</v>
      </c>
      <c r="BW67" s="84">
        <v>0.84099999999999997</v>
      </c>
      <c r="BX67" s="84">
        <v>0.91100000000000003</v>
      </c>
      <c r="BY67" s="84">
        <v>0</v>
      </c>
      <c r="BZ67" s="62"/>
      <c r="CA67" s="85"/>
      <c r="CB67" s="85"/>
      <c r="CC67" s="85"/>
      <c r="CD67" s="85"/>
      <c r="CE67" s="62"/>
      <c r="CF67" s="86">
        <v>1.06</v>
      </c>
      <c r="CG67" s="87">
        <v>1</v>
      </c>
      <c r="CH67" s="87">
        <v>1.6</v>
      </c>
      <c r="CI67" s="87">
        <v>0</v>
      </c>
      <c r="CJ67" s="87">
        <v>0.5</v>
      </c>
    </row>
    <row r="68" spans="1:88" x14ac:dyDescent="0.35">
      <c r="A68" s="88" t="s">
        <v>225</v>
      </c>
      <c r="B68" s="89">
        <v>67</v>
      </c>
      <c r="C68" s="90" t="s">
        <v>80</v>
      </c>
      <c r="D68" s="90" t="s">
        <v>12</v>
      </c>
      <c r="E68" s="91">
        <v>42186</v>
      </c>
      <c r="F68" s="91" t="s">
        <v>226</v>
      </c>
      <c r="G68" s="91" t="s">
        <v>226</v>
      </c>
      <c r="H68" s="92" t="s">
        <v>163</v>
      </c>
      <c r="I68" s="93" t="s">
        <v>149</v>
      </c>
      <c r="J68" s="94" t="s">
        <v>150</v>
      </c>
      <c r="K68" s="94">
        <v>0</v>
      </c>
      <c r="L68" s="95">
        <v>0</v>
      </c>
      <c r="M68" s="96">
        <v>0.1</v>
      </c>
      <c r="N68" s="72">
        <v>21136.1535</v>
      </c>
      <c r="O68" s="73">
        <v>9970.4000000000015</v>
      </c>
      <c r="P68" s="73">
        <v>0</v>
      </c>
      <c r="Q68" s="74">
        <v>0</v>
      </c>
      <c r="R68" s="72">
        <v>17026.947</v>
      </c>
      <c r="S68" s="73">
        <v>9257.625</v>
      </c>
      <c r="T68" s="73">
        <v>0</v>
      </c>
      <c r="U68" s="75">
        <v>0</v>
      </c>
      <c r="V68" s="93" t="s">
        <v>159</v>
      </c>
      <c r="W68" s="94" t="s">
        <v>160</v>
      </c>
      <c r="X68" s="94" t="s">
        <v>161</v>
      </c>
      <c r="Y68" s="95">
        <v>0</v>
      </c>
      <c r="Z68" s="96">
        <v>0.3</v>
      </c>
      <c r="AA68" s="72">
        <v>282509.5</v>
      </c>
      <c r="AB68" s="73">
        <v>9728.5499999999993</v>
      </c>
      <c r="AC68" s="73">
        <v>4712</v>
      </c>
      <c r="AD68" s="74">
        <v>0</v>
      </c>
      <c r="AE68" s="72">
        <v>148192.5</v>
      </c>
      <c r="AF68" s="73">
        <v>9678.66</v>
      </c>
      <c r="AG68" s="73">
        <v>9951</v>
      </c>
      <c r="AH68" s="75">
        <v>0</v>
      </c>
      <c r="AI68" s="93" t="s">
        <v>151</v>
      </c>
      <c r="AJ68" s="94">
        <v>0</v>
      </c>
      <c r="AK68" s="94">
        <v>0</v>
      </c>
      <c r="AL68" s="95">
        <v>0</v>
      </c>
      <c r="AM68" s="96">
        <v>0.3</v>
      </c>
      <c r="AN68" s="72">
        <v>376824.24</v>
      </c>
      <c r="AO68" s="73">
        <v>0</v>
      </c>
      <c r="AP68" s="73">
        <v>0</v>
      </c>
      <c r="AQ68" s="74">
        <v>0</v>
      </c>
      <c r="AR68" s="72">
        <v>261353.30000000002</v>
      </c>
      <c r="AS68" s="73">
        <v>0</v>
      </c>
      <c r="AT68" s="73">
        <v>0</v>
      </c>
      <c r="AU68" s="75">
        <v>0</v>
      </c>
      <c r="AV68" s="93" t="s">
        <v>162</v>
      </c>
      <c r="AW68" s="94">
        <v>0</v>
      </c>
      <c r="AX68" s="94">
        <v>0</v>
      </c>
      <c r="AY68" s="95">
        <v>0</v>
      </c>
      <c r="AZ68" s="97">
        <v>0.3000000000000001</v>
      </c>
      <c r="BA68" s="72">
        <v>90583.560000000012</v>
      </c>
      <c r="BB68" s="73">
        <v>0</v>
      </c>
      <c r="BC68" s="73">
        <v>0</v>
      </c>
      <c r="BD68" s="74">
        <v>0</v>
      </c>
      <c r="BE68" s="72">
        <v>73247.38</v>
      </c>
      <c r="BF68" s="73">
        <v>0</v>
      </c>
      <c r="BG68" s="73">
        <v>0</v>
      </c>
      <c r="BH68" s="75">
        <v>0</v>
      </c>
      <c r="BI68" s="98">
        <v>795464.40350000001</v>
      </c>
      <c r="BJ68" s="99">
        <v>528707.41200000001</v>
      </c>
      <c r="BK68" s="100" t="s">
        <v>226</v>
      </c>
      <c r="BL68" s="100">
        <v>0.99</v>
      </c>
      <c r="BM68" s="62"/>
      <c r="BN68" s="80" t="s">
        <v>227</v>
      </c>
      <c r="BO68" s="81">
        <v>42278</v>
      </c>
      <c r="BP68" s="82">
        <v>3</v>
      </c>
      <c r="BQ68" s="82">
        <v>1</v>
      </c>
      <c r="BR68" s="82">
        <v>3</v>
      </c>
      <c r="BS68" s="80">
        <v>329604</v>
      </c>
      <c r="BT68" s="83">
        <v>1</v>
      </c>
      <c r="BU68" s="61"/>
      <c r="BV68" s="84">
        <v>1.1830000000000001</v>
      </c>
      <c r="BW68" s="84">
        <v>1.7689999999999999</v>
      </c>
      <c r="BX68" s="84">
        <v>1.4419999999999999</v>
      </c>
      <c r="BY68" s="84">
        <v>1.2370000000000001</v>
      </c>
      <c r="BZ68" s="62"/>
      <c r="CA68" s="85"/>
      <c r="CB68" s="85"/>
      <c r="CC68" s="85"/>
      <c r="CD68" s="85"/>
      <c r="CE68" s="62"/>
      <c r="CF68" s="86">
        <v>1.5</v>
      </c>
      <c r="CG68" s="87">
        <v>1</v>
      </c>
      <c r="CH68" s="87">
        <v>2.5</v>
      </c>
      <c r="CI68" s="87">
        <v>0</v>
      </c>
      <c r="CJ68" s="87">
        <v>1</v>
      </c>
    </row>
    <row r="69" spans="1:88" x14ac:dyDescent="0.35">
      <c r="A69" s="88" t="s">
        <v>225</v>
      </c>
      <c r="B69" s="89">
        <v>68</v>
      </c>
      <c r="C69" s="90" t="s">
        <v>81</v>
      </c>
      <c r="D69" s="90" t="s">
        <v>38</v>
      </c>
      <c r="E69" s="91">
        <v>40680</v>
      </c>
      <c r="F69" s="91" t="s">
        <v>226</v>
      </c>
      <c r="G69" s="91" t="s">
        <v>226</v>
      </c>
      <c r="H69" s="92" t="s">
        <v>167</v>
      </c>
      <c r="I69" s="93" t="s">
        <v>168</v>
      </c>
      <c r="J69" s="94">
        <v>0</v>
      </c>
      <c r="K69" s="94">
        <v>0</v>
      </c>
      <c r="L69" s="95">
        <v>0</v>
      </c>
      <c r="M69" s="96">
        <v>0.5</v>
      </c>
      <c r="N69" s="72">
        <v>342320.19</v>
      </c>
      <c r="O69" s="73">
        <v>0</v>
      </c>
      <c r="P69" s="73">
        <v>0</v>
      </c>
      <c r="Q69" s="74">
        <v>0</v>
      </c>
      <c r="R69" s="72">
        <v>319078.65999999997</v>
      </c>
      <c r="S69" s="73">
        <v>0</v>
      </c>
      <c r="T69" s="73">
        <v>0</v>
      </c>
      <c r="U69" s="75">
        <v>0</v>
      </c>
      <c r="V69" s="93" t="s">
        <v>169</v>
      </c>
      <c r="W69" s="94">
        <v>0</v>
      </c>
      <c r="X69" s="94">
        <v>0</v>
      </c>
      <c r="Y69" s="95">
        <v>0</v>
      </c>
      <c r="Z69" s="96">
        <v>0.25</v>
      </c>
      <c r="AA69" s="72">
        <v>129621.75999999999</v>
      </c>
      <c r="AB69" s="73">
        <v>0</v>
      </c>
      <c r="AC69" s="73">
        <v>0</v>
      </c>
      <c r="AD69" s="74">
        <v>0</v>
      </c>
      <c r="AE69" s="72">
        <v>141191.19999999998</v>
      </c>
      <c r="AF69" s="73">
        <v>0</v>
      </c>
      <c r="AG69" s="73">
        <v>0</v>
      </c>
      <c r="AH69" s="75">
        <v>0</v>
      </c>
      <c r="AI69" s="93" t="s">
        <v>170</v>
      </c>
      <c r="AJ69" s="94">
        <v>0</v>
      </c>
      <c r="AK69" s="94">
        <v>0</v>
      </c>
      <c r="AL69" s="95">
        <v>0</v>
      </c>
      <c r="AM69" s="96">
        <v>0.2</v>
      </c>
      <c r="AN69" s="72">
        <v>172131.04</v>
      </c>
      <c r="AO69" s="73">
        <v>0</v>
      </c>
      <c r="AP69" s="73">
        <v>0</v>
      </c>
      <c r="AQ69" s="74">
        <v>0</v>
      </c>
      <c r="AR69" s="72">
        <v>141880.51</v>
      </c>
      <c r="AS69" s="73">
        <v>0</v>
      </c>
      <c r="AT69" s="73">
        <v>0</v>
      </c>
      <c r="AU69" s="75">
        <v>0</v>
      </c>
      <c r="AV69" s="93" t="s">
        <v>171</v>
      </c>
      <c r="AW69" s="94">
        <v>0</v>
      </c>
      <c r="AX69" s="94">
        <v>0</v>
      </c>
      <c r="AY69" s="95">
        <v>0</v>
      </c>
      <c r="AZ69" s="97">
        <v>4.9999999999999989E-2</v>
      </c>
      <c r="BA69" s="72">
        <v>25872</v>
      </c>
      <c r="BB69" s="73">
        <v>0</v>
      </c>
      <c r="BC69" s="73">
        <v>0</v>
      </c>
      <c r="BD69" s="74">
        <v>0</v>
      </c>
      <c r="BE69" s="72">
        <v>23724</v>
      </c>
      <c r="BF69" s="73">
        <v>0</v>
      </c>
      <c r="BG69" s="73">
        <v>0</v>
      </c>
      <c r="BH69" s="75">
        <v>0</v>
      </c>
      <c r="BI69" s="98">
        <v>669944.99</v>
      </c>
      <c r="BJ69" s="99">
        <v>625874.37</v>
      </c>
      <c r="BK69" s="100">
        <v>0.68333333333333324</v>
      </c>
      <c r="BL69" s="100">
        <v>0.92</v>
      </c>
      <c r="BM69" s="62"/>
      <c r="BN69" s="80" t="s">
        <v>227</v>
      </c>
      <c r="BO69" s="81">
        <v>40772</v>
      </c>
      <c r="BP69" s="82">
        <v>3</v>
      </c>
      <c r="BQ69" s="82">
        <v>1</v>
      </c>
      <c r="BR69" s="82">
        <v>3</v>
      </c>
      <c r="BS69" s="80">
        <v>605000</v>
      </c>
      <c r="BT69" s="83">
        <v>1</v>
      </c>
      <c r="BU69" s="61"/>
      <c r="BV69" s="84">
        <v>1.073</v>
      </c>
      <c r="BW69" s="84">
        <v>0.91800000000000004</v>
      </c>
      <c r="BX69" s="84">
        <v>1.2130000000000001</v>
      </c>
      <c r="BY69" s="84">
        <v>1.091</v>
      </c>
      <c r="BZ69" s="62"/>
      <c r="CA69" s="85"/>
      <c r="CB69" s="85"/>
      <c r="CC69" s="85"/>
      <c r="CD69" s="85"/>
      <c r="CE69" s="62"/>
      <c r="CF69" s="86">
        <v>1.07</v>
      </c>
      <c r="CG69" s="87">
        <v>1</v>
      </c>
      <c r="CH69" s="87">
        <v>1.7</v>
      </c>
      <c r="CI69" s="87">
        <v>0</v>
      </c>
      <c r="CJ69" s="87">
        <v>0.5</v>
      </c>
    </row>
    <row r="70" spans="1:88" x14ac:dyDescent="0.35">
      <c r="A70" s="88" t="s">
        <v>225</v>
      </c>
      <c r="B70" s="89">
        <v>69</v>
      </c>
      <c r="C70" s="90" t="s">
        <v>82</v>
      </c>
      <c r="D70" s="90" t="s">
        <v>12</v>
      </c>
      <c r="E70" s="91">
        <v>40680</v>
      </c>
      <c r="F70" s="91" t="s">
        <v>226</v>
      </c>
      <c r="G70" s="91" t="s">
        <v>226</v>
      </c>
      <c r="H70" s="67" t="s">
        <v>156</v>
      </c>
      <c r="I70" s="93" t="s">
        <v>157</v>
      </c>
      <c r="J70" s="94" t="s">
        <v>158</v>
      </c>
      <c r="K70" s="94">
        <v>0</v>
      </c>
      <c r="L70" s="95">
        <v>0</v>
      </c>
      <c r="M70" s="96">
        <v>0.3</v>
      </c>
      <c r="N70" s="72">
        <v>23719.5</v>
      </c>
      <c r="O70" s="73">
        <v>6171.2</v>
      </c>
      <c r="P70" s="73">
        <v>0</v>
      </c>
      <c r="Q70" s="74">
        <v>0</v>
      </c>
      <c r="R70" s="72">
        <v>25542</v>
      </c>
      <c r="S70" s="73">
        <v>7470.4</v>
      </c>
      <c r="T70" s="73">
        <v>0</v>
      </c>
      <c r="U70" s="75">
        <v>0</v>
      </c>
      <c r="V70" s="93" t="s">
        <v>159</v>
      </c>
      <c r="W70" s="94" t="s">
        <v>160</v>
      </c>
      <c r="X70" s="94" t="s">
        <v>161</v>
      </c>
      <c r="Y70" s="95">
        <v>0</v>
      </c>
      <c r="Z70" s="96">
        <v>0.25</v>
      </c>
      <c r="AA70" s="72">
        <v>46827</v>
      </c>
      <c r="AB70" s="73">
        <v>1014.4299999999998</v>
      </c>
      <c r="AC70" s="73">
        <v>124</v>
      </c>
      <c r="AD70" s="74">
        <v>0</v>
      </c>
      <c r="AE70" s="72">
        <v>45856</v>
      </c>
      <c r="AF70" s="73">
        <v>1829.2999999999997</v>
      </c>
      <c r="AG70" s="73">
        <v>465</v>
      </c>
      <c r="AH70" s="75">
        <v>0</v>
      </c>
      <c r="AI70" s="93" t="s">
        <v>151</v>
      </c>
      <c r="AJ70" s="94">
        <v>0</v>
      </c>
      <c r="AK70" s="94">
        <v>0</v>
      </c>
      <c r="AL70" s="95">
        <v>0</v>
      </c>
      <c r="AM70" s="96">
        <v>0.25</v>
      </c>
      <c r="AN70" s="72">
        <v>8601.7100000000009</v>
      </c>
      <c r="AO70" s="73">
        <v>0</v>
      </c>
      <c r="AP70" s="73">
        <v>0</v>
      </c>
      <c r="AQ70" s="74">
        <v>0</v>
      </c>
      <c r="AR70" s="72">
        <v>12316.46</v>
      </c>
      <c r="AS70" s="73">
        <v>0</v>
      </c>
      <c r="AT70" s="73">
        <v>0</v>
      </c>
      <c r="AU70" s="75">
        <v>0</v>
      </c>
      <c r="AV70" s="93" t="s">
        <v>162</v>
      </c>
      <c r="AW70" s="94" t="s">
        <v>150</v>
      </c>
      <c r="AX70" s="94" t="s">
        <v>149</v>
      </c>
      <c r="AY70" s="95">
        <v>0</v>
      </c>
      <c r="AZ70" s="97">
        <v>0.19999999999999996</v>
      </c>
      <c r="BA70" s="72">
        <v>10013.42</v>
      </c>
      <c r="BB70" s="73">
        <v>2415.6</v>
      </c>
      <c r="BC70" s="73">
        <v>2237.6010000000001</v>
      </c>
      <c r="BD70" s="74">
        <v>0</v>
      </c>
      <c r="BE70" s="72">
        <v>7973.54</v>
      </c>
      <c r="BF70" s="73">
        <v>2667.8</v>
      </c>
      <c r="BG70" s="73">
        <v>1688.7180000000001</v>
      </c>
      <c r="BH70" s="75">
        <v>0</v>
      </c>
      <c r="BI70" s="98">
        <v>101124.46100000001</v>
      </c>
      <c r="BJ70" s="99">
        <v>105809.21800000001</v>
      </c>
      <c r="BK70" s="100" t="s">
        <v>226</v>
      </c>
      <c r="BL70" s="100">
        <v>1</v>
      </c>
      <c r="BM70" s="62"/>
      <c r="BN70" s="80" t="s">
        <v>227</v>
      </c>
      <c r="BO70" s="81">
        <v>40772</v>
      </c>
      <c r="BP70" s="82">
        <v>3</v>
      </c>
      <c r="BQ70" s="82">
        <v>1</v>
      </c>
      <c r="BR70" s="82">
        <v>3</v>
      </c>
      <c r="BS70" s="80">
        <v>329604</v>
      </c>
      <c r="BT70" s="83">
        <v>1</v>
      </c>
      <c r="BU70" s="61"/>
      <c r="BV70" s="84">
        <v>0.90500000000000003</v>
      </c>
      <c r="BW70" s="84">
        <v>0.996</v>
      </c>
      <c r="BX70" s="84">
        <v>0.69799999999999995</v>
      </c>
      <c r="BY70" s="84">
        <v>1.19</v>
      </c>
      <c r="BZ70" s="62"/>
      <c r="CA70" s="85"/>
      <c r="CB70" s="85"/>
      <c r="CC70" s="85"/>
      <c r="CD70" s="85"/>
      <c r="CE70" s="62"/>
      <c r="CF70" s="86">
        <v>0.96</v>
      </c>
      <c r="CG70" s="87">
        <v>1</v>
      </c>
      <c r="CH70" s="87">
        <v>0.82</v>
      </c>
      <c r="CI70" s="87">
        <v>0</v>
      </c>
      <c r="CJ70" s="87">
        <v>1</v>
      </c>
    </row>
    <row r="71" spans="1:88" x14ac:dyDescent="0.35">
      <c r="A71" s="88" t="s">
        <v>225</v>
      </c>
      <c r="B71" s="89">
        <v>70</v>
      </c>
      <c r="C71" s="90" t="s">
        <v>83</v>
      </c>
      <c r="D71" s="90" t="s">
        <v>12</v>
      </c>
      <c r="E71" s="91">
        <v>40983</v>
      </c>
      <c r="F71" s="91" t="s">
        <v>226</v>
      </c>
      <c r="G71" s="91" t="s">
        <v>226</v>
      </c>
      <c r="H71" s="92" t="s">
        <v>148</v>
      </c>
      <c r="I71" s="93" t="s">
        <v>149</v>
      </c>
      <c r="J71" s="94" t="s">
        <v>150</v>
      </c>
      <c r="K71" s="94">
        <v>0</v>
      </c>
      <c r="L71" s="95">
        <v>0</v>
      </c>
      <c r="M71" s="96">
        <v>0.5</v>
      </c>
      <c r="N71" s="72">
        <v>300986.66000000003</v>
      </c>
      <c r="O71" s="73">
        <v>154886.5</v>
      </c>
      <c r="P71" s="73">
        <v>0</v>
      </c>
      <c r="Q71" s="74">
        <v>0</v>
      </c>
      <c r="R71" s="72">
        <v>242261</v>
      </c>
      <c r="S71" s="73">
        <v>140018</v>
      </c>
      <c r="T71" s="73">
        <v>0</v>
      </c>
      <c r="U71" s="75">
        <v>0</v>
      </c>
      <c r="V71" s="93" t="s">
        <v>151</v>
      </c>
      <c r="W71" s="94" t="s">
        <v>152</v>
      </c>
      <c r="X71" s="94">
        <v>0</v>
      </c>
      <c r="Y71" s="95">
        <v>0</v>
      </c>
      <c r="Z71" s="96">
        <v>0.25</v>
      </c>
      <c r="AA71" s="72">
        <v>155755.34000000003</v>
      </c>
      <c r="AB71" s="73">
        <v>30362</v>
      </c>
      <c r="AC71" s="73">
        <v>0</v>
      </c>
      <c r="AD71" s="74">
        <v>0</v>
      </c>
      <c r="AE71" s="72">
        <v>128976.12000000001</v>
      </c>
      <c r="AF71" s="73">
        <v>28291</v>
      </c>
      <c r="AG71" s="73">
        <v>0</v>
      </c>
      <c r="AH71" s="75">
        <v>0</v>
      </c>
      <c r="AI71" s="93" t="s">
        <v>153</v>
      </c>
      <c r="AJ71" s="94" t="s">
        <v>154</v>
      </c>
      <c r="AK71" s="94">
        <v>0</v>
      </c>
      <c r="AL71" s="95">
        <v>0</v>
      </c>
      <c r="AM71" s="96">
        <v>0.1</v>
      </c>
      <c r="AN71" s="72">
        <v>10164</v>
      </c>
      <c r="AO71" s="73">
        <v>11280</v>
      </c>
      <c r="AP71" s="73">
        <v>0</v>
      </c>
      <c r="AQ71" s="74">
        <v>0</v>
      </c>
      <c r="AR71" s="72">
        <v>10692</v>
      </c>
      <c r="AS71" s="73">
        <v>16344</v>
      </c>
      <c r="AT71" s="73">
        <v>0</v>
      </c>
      <c r="AU71" s="75">
        <v>0</v>
      </c>
      <c r="AV71" s="93" t="s">
        <v>155</v>
      </c>
      <c r="AW71" s="94">
        <v>0</v>
      </c>
      <c r="AX71" s="94">
        <v>0</v>
      </c>
      <c r="AY71" s="95">
        <v>0</v>
      </c>
      <c r="AZ71" s="97">
        <v>0.15</v>
      </c>
      <c r="BA71" s="72">
        <v>1162</v>
      </c>
      <c r="BB71" s="73">
        <v>0</v>
      </c>
      <c r="BC71" s="73">
        <v>0</v>
      </c>
      <c r="BD71" s="74">
        <v>0</v>
      </c>
      <c r="BE71" s="72">
        <v>4116.8</v>
      </c>
      <c r="BF71" s="73">
        <v>0</v>
      </c>
      <c r="BG71" s="73">
        <v>0</v>
      </c>
      <c r="BH71" s="75">
        <v>0</v>
      </c>
      <c r="BI71" s="98">
        <v>664596.5</v>
      </c>
      <c r="BJ71" s="99">
        <v>570698.92000000004</v>
      </c>
      <c r="BK71" s="100" t="s">
        <v>226</v>
      </c>
      <c r="BL71" s="100">
        <v>0.97</v>
      </c>
      <c r="BM71" s="62"/>
      <c r="BN71" s="80" t="s">
        <v>227</v>
      </c>
      <c r="BO71" s="81">
        <v>41075</v>
      </c>
      <c r="BP71" s="82">
        <v>3</v>
      </c>
      <c r="BQ71" s="82">
        <v>1</v>
      </c>
      <c r="BR71" s="82">
        <v>3</v>
      </c>
      <c r="BS71" s="80">
        <v>329604</v>
      </c>
      <c r="BT71" s="83">
        <v>1</v>
      </c>
      <c r="BU71" s="61"/>
      <c r="BV71" s="84">
        <v>1.1930000000000001</v>
      </c>
      <c r="BW71" s="84">
        <v>1.1830000000000001</v>
      </c>
      <c r="BX71" s="84">
        <v>0.79300000000000004</v>
      </c>
      <c r="BY71" s="84">
        <v>0.28199999999999997</v>
      </c>
      <c r="BZ71" s="62"/>
      <c r="CA71" s="85"/>
      <c r="CB71" s="85"/>
      <c r="CC71" s="85"/>
      <c r="CD71" s="85"/>
      <c r="CE71" s="62"/>
      <c r="CF71" s="86">
        <v>1.1599999999999999</v>
      </c>
      <c r="CG71" s="87">
        <v>1</v>
      </c>
      <c r="CH71" s="87">
        <v>2.2999999999999998</v>
      </c>
      <c r="CI71" s="87">
        <v>0</v>
      </c>
      <c r="CJ71" s="87">
        <v>1</v>
      </c>
    </row>
    <row r="72" spans="1:88" x14ac:dyDescent="0.35">
      <c r="A72" s="88" t="s">
        <v>225</v>
      </c>
      <c r="B72" s="89">
        <v>71</v>
      </c>
      <c r="C72" s="90" t="s">
        <v>84</v>
      </c>
      <c r="D72" s="90" t="s">
        <v>12</v>
      </c>
      <c r="E72" s="91">
        <v>41080</v>
      </c>
      <c r="F72" s="91" t="s">
        <v>226</v>
      </c>
      <c r="G72" s="91" t="s">
        <v>226</v>
      </c>
      <c r="H72" s="92" t="s">
        <v>148</v>
      </c>
      <c r="I72" s="93" t="s">
        <v>149</v>
      </c>
      <c r="J72" s="94" t="s">
        <v>150</v>
      </c>
      <c r="K72" s="94">
        <v>0</v>
      </c>
      <c r="L72" s="95">
        <v>0</v>
      </c>
      <c r="M72" s="96">
        <v>0.5</v>
      </c>
      <c r="N72" s="72">
        <v>300986.66000000003</v>
      </c>
      <c r="O72" s="73">
        <v>154886.5</v>
      </c>
      <c r="P72" s="73">
        <v>0</v>
      </c>
      <c r="Q72" s="74">
        <v>0</v>
      </c>
      <c r="R72" s="72">
        <v>242261</v>
      </c>
      <c r="S72" s="73">
        <v>140018</v>
      </c>
      <c r="T72" s="73">
        <v>0</v>
      </c>
      <c r="U72" s="75">
        <v>0</v>
      </c>
      <c r="V72" s="93" t="s">
        <v>151</v>
      </c>
      <c r="W72" s="94" t="s">
        <v>152</v>
      </c>
      <c r="X72" s="94">
        <v>0</v>
      </c>
      <c r="Y72" s="95">
        <v>0</v>
      </c>
      <c r="Z72" s="96">
        <v>0.25</v>
      </c>
      <c r="AA72" s="72">
        <v>155755.34000000003</v>
      </c>
      <c r="AB72" s="73">
        <v>30362</v>
      </c>
      <c r="AC72" s="73">
        <v>0</v>
      </c>
      <c r="AD72" s="74">
        <v>0</v>
      </c>
      <c r="AE72" s="72">
        <v>128976.12000000001</v>
      </c>
      <c r="AF72" s="73">
        <v>28291</v>
      </c>
      <c r="AG72" s="73">
        <v>0</v>
      </c>
      <c r="AH72" s="75">
        <v>0</v>
      </c>
      <c r="AI72" s="93" t="s">
        <v>153</v>
      </c>
      <c r="AJ72" s="94" t="s">
        <v>154</v>
      </c>
      <c r="AK72" s="94">
        <v>0</v>
      </c>
      <c r="AL72" s="95">
        <v>0</v>
      </c>
      <c r="AM72" s="96">
        <v>0.1</v>
      </c>
      <c r="AN72" s="72">
        <v>10164</v>
      </c>
      <c r="AO72" s="73">
        <v>11280</v>
      </c>
      <c r="AP72" s="73">
        <v>0</v>
      </c>
      <c r="AQ72" s="74">
        <v>0</v>
      </c>
      <c r="AR72" s="72">
        <v>10692</v>
      </c>
      <c r="AS72" s="73">
        <v>16344</v>
      </c>
      <c r="AT72" s="73">
        <v>0</v>
      </c>
      <c r="AU72" s="75">
        <v>0</v>
      </c>
      <c r="AV72" s="93" t="s">
        <v>155</v>
      </c>
      <c r="AW72" s="94">
        <v>0</v>
      </c>
      <c r="AX72" s="94">
        <v>0</v>
      </c>
      <c r="AY72" s="95">
        <v>0</v>
      </c>
      <c r="AZ72" s="97">
        <v>0.15</v>
      </c>
      <c r="BA72" s="72">
        <v>1162</v>
      </c>
      <c r="BB72" s="73">
        <v>0</v>
      </c>
      <c r="BC72" s="73">
        <v>0</v>
      </c>
      <c r="BD72" s="74">
        <v>0</v>
      </c>
      <c r="BE72" s="72">
        <v>4116.8</v>
      </c>
      <c r="BF72" s="73">
        <v>0</v>
      </c>
      <c r="BG72" s="73">
        <v>0</v>
      </c>
      <c r="BH72" s="75">
        <v>0</v>
      </c>
      <c r="BI72" s="98">
        <v>664596.5</v>
      </c>
      <c r="BJ72" s="99">
        <v>570698.92000000004</v>
      </c>
      <c r="BK72" s="100" t="s">
        <v>226</v>
      </c>
      <c r="BL72" s="100">
        <v>0.99</v>
      </c>
      <c r="BM72" s="62"/>
      <c r="BN72" s="80" t="s">
        <v>227</v>
      </c>
      <c r="BO72" s="81">
        <v>41172</v>
      </c>
      <c r="BP72" s="82">
        <v>3</v>
      </c>
      <c r="BQ72" s="82">
        <v>1</v>
      </c>
      <c r="BR72" s="82">
        <v>3</v>
      </c>
      <c r="BS72" s="80">
        <v>329604</v>
      </c>
      <c r="BT72" s="83">
        <v>1</v>
      </c>
      <c r="BU72" s="61"/>
      <c r="BV72" s="84">
        <v>1.1930000000000001</v>
      </c>
      <c r="BW72" s="84">
        <v>1.1830000000000001</v>
      </c>
      <c r="BX72" s="84">
        <v>0.79300000000000004</v>
      </c>
      <c r="BY72" s="84">
        <v>0.28199999999999997</v>
      </c>
      <c r="BZ72" s="62"/>
      <c r="CA72" s="85"/>
      <c r="CB72" s="85"/>
      <c r="CC72" s="85"/>
      <c r="CD72" s="85"/>
      <c r="CE72" s="62"/>
      <c r="CF72" s="86">
        <v>1.1599999999999999</v>
      </c>
      <c r="CG72" s="87">
        <v>1</v>
      </c>
      <c r="CH72" s="87">
        <v>2.2999999999999998</v>
      </c>
      <c r="CI72" s="87">
        <v>0</v>
      </c>
      <c r="CJ72" s="87">
        <v>1</v>
      </c>
    </row>
    <row r="73" spans="1:88" x14ac:dyDescent="0.35">
      <c r="A73" s="88" t="s">
        <v>225</v>
      </c>
      <c r="B73" s="89">
        <v>72</v>
      </c>
      <c r="C73" s="90" t="s">
        <v>85</v>
      </c>
      <c r="D73" s="90" t="s">
        <v>12</v>
      </c>
      <c r="E73" s="91">
        <v>42625</v>
      </c>
      <c r="F73" s="91" t="s">
        <v>226</v>
      </c>
      <c r="G73" s="91" t="s">
        <v>226</v>
      </c>
      <c r="H73" s="67" t="s">
        <v>156</v>
      </c>
      <c r="I73" s="93" t="s">
        <v>157</v>
      </c>
      <c r="J73" s="94" t="s">
        <v>158</v>
      </c>
      <c r="K73" s="94">
        <v>0</v>
      </c>
      <c r="L73" s="95">
        <v>0</v>
      </c>
      <c r="M73" s="96">
        <v>0.3</v>
      </c>
      <c r="N73" s="72">
        <v>38205</v>
      </c>
      <c r="O73" s="73">
        <v>22167.599999999999</v>
      </c>
      <c r="P73" s="73">
        <v>0</v>
      </c>
      <c r="Q73" s="74">
        <v>0</v>
      </c>
      <c r="R73" s="72">
        <v>41040</v>
      </c>
      <c r="S73" s="73">
        <v>21436.799999999999</v>
      </c>
      <c r="T73" s="73">
        <v>0</v>
      </c>
      <c r="U73" s="75">
        <v>0</v>
      </c>
      <c r="V73" s="93" t="s">
        <v>159</v>
      </c>
      <c r="W73" s="94" t="s">
        <v>160</v>
      </c>
      <c r="X73" s="94" t="s">
        <v>161</v>
      </c>
      <c r="Y73" s="95">
        <v>0</v>
      </c>
      <c r="Z73" s="96">
        <v>0.25</v>
      </c>
      <c r="AA73" s="72">
        <v>91115.5</v>
      </c>
      <c r="AB73" s="73">
        <v>1596.48</v>
      </c>
      <c r="AC73" s="73">
        <v>1364</v>
      </c>
      <c r="AD73" s="74">
        <v>0</v>
      </c>
      <c r="AE73" s="72">
        <v>81561.5</v>
      </c>
      <c r="AF73" s="73">
        <v>1945.7099999999998</v>
      </c>
      <c r="AG73" s="73">
        <v>1736</v>
      </c>
      <c r="AH73" s="75">
        <v>0</v>
      </c>
      <c r="AI73" s="93" t="s">
        <v>151</v>
      </c>
      <c r="AJ73" s="94">
        <v>0</v>
      </c>
      <c r="AK73" s="94">
        <v>0</v>
      </c>
      <c r="AL73" s="95">
        <v>0</v>
      </c>
      <c r="AM73" s="96">
        <v>0.25</v>
      </c>
      <c r="AN73" s="72">
        <v>16972.280000000002</v>
      </c>
      <c r="AO73" s="73">
        <v>0</v>
      </c>
      <c r="AP73" s="73">
        <v>0</v>
      </c>
      <c r="AQ73" s="74">
        <v>0</v>
      </c>
      <c r="AR73" s="72">
        <v>14941.55</v>
      </c>
      <c r="AS73" s="73">
        <v>0</v>
      </c>
      <c r="AT73" s="73">
        <v>0</v>
      </c>
      <c r="AU73" s="75">
        <v>0</v>
      </c>
      <c r="AV73" s="93" t="s">
        <v>162</v>
      </c>
      <c r="AW73" s="94" t="s">
        <v>150</v>
      </c>
      <c r="AX73" s="94" t="s">
        <v>149</v>
      </c>
      <c r="AY73" s="95">
        <v>0</v>
      </c>
      <c r="AZ73" s="97">
        <v>0.19999999999999996</v>
      </c>
      <c r="BA73" s="72">
        <v>15340.66</v>
      </c>
      <c r="BB73" s="73">
        <v>3575.2000000000003</v>
      </c>
      <c r="BC73" s="73">
        <v>3738.6765</v>
      </c>
      <c r="BD73" s="74">
        <v>0</v>
      </c>
      <c r="BE73" s="72">
        <v>10854.02</v>
      </c>
      <c r="BF73" s="73">
        <v>3818.1000000000004</v>
      </c>
      <c r="BG73" s="73">
        <v>3468.9769999999999</v>
      </c>
      <c r="BH73" s="75">
        <v>0</v>
      </c>
      <c r="BI73" s="98">
        <v>194075.39649999997</v>
      </c>
      <c r="BJ73" s="99">
        <v>180802.65700000001</v>
      </c>
      <c r="BK73" s="100" t="s">
        <v>226</v>
      </c>
      <c r="BL73" s="100">
        <v>0.98</v>
      </c>
      <c r="BM73" s="62"/>
      <c r="BN73" s="80" t="s">
        <v>227</v>
      </c>
      <c r="BO73" s="81">
        <v>42716</v>
      </c>
      <c r="BP73" s="82">
        <v>3</v>
      </c>
      <c r="BQ73" s="82">
        <v>1</v>
      </c>
      <c r="BR73" s="82">
        <v>3</v>
      </c>
      <c r="BS73" s="80">
        <v>329604</v>
      </c>
      <c r="BT73" s="83">
        <v>1</v>
      </c>
      <c r="BU73" s="61"/>
      <c r="BV73" s="84">
        <v>0.96599999999999997</v>
      </c>
      <c r="BW73" s="84">
        <v>1.1040000000000001</v>
      </c>
      <c r="BX73" s="84">
        <v>1.1359999999999999</v>
      </c>
      <c r="BY73" s="84">
        <v>1.2490000000000001</v>
      </c>
      <c r="BZ73" s="62"/>
      <c r="CA73" s="85"/>
      <c r="CB73" s="85"/>
      <c r="CC73" s="85"/>
      <c r="CD73" s="85"/>
      <c r="CE73" s="62"/>
      <c r="CF73" s="86">
        <v>1.07</v>
      </c>
      <c r="CG73" s="87">
        <v>1</v>
      </c>
      <c r="CH73" s="87">
        <v>1.7</v>
      </c>
      <c r="CI73" s="87">
        <v>0</v>
      </c>
      <c r="CJ73" s="87">
        <v>1</v>
      </c>
    </row>
    <row r="74" spans="1:88" x14ac:dyDescent="0.35">
      <c r="A74" s="88" t="s">
        <v>225</v>
      </c>
      <c r="B74" s="89">
        <v>73</v>
      </c>
      <c r="C74" s="90" t="s">
        <v>86</v>
      </c>
      <c r="D74" s="90" t="s">
        <v>12</v>
      </c>
      <c r="E74" s="91">
        <v>41330</v>
      </c>
      <c r="F74" s="91">
        <v>42768</v>
      </c>
      <c r="G74" s="91" t="s">
        <v>226</v>
      </c>
      <c r="H74" s="67" t="s">
        <v>156</v>
      </c>
      <c r="I74" s="93" t="s">
        <v>157</v>
      </c>
      <c r="J74" s="94" t="s">
        <v>158</v>
      </c>
      <c r="K74" s="94">
        <v>0</v>
      </c>
      <c r="L74" s="95">
        <v>0</v>
      </c>
      <c r="M74" s="96">
        <v>0.3</v>
      </c>
      <c r="N74" s="72">
        <v>10732.5</v>
      </c>
      <c r="O74" s="73">
        <v>3654</v>
      </c>
      <c r="P74" s="73">
        <v>0</v>
      </c>
      <c r="Q74" s="74">
        <v>0</v>
      </c>
      <c r="R74" s="72">
        <v>13068</v>
      </c>
      <c r="S74" s="73">
        <v>3375.6</v>
      </c>
      <c r="T74" s="73">
        <v>0</v>
      </c>
      <c r="U74" s="75">
        <v>0</v>
      </c>
      <c r="V74" s="93" t="s">
        <v>159</v>
      </c>
      <c r="W74" s="94" t="s">
        <v>160</v>
      </c>
      <c r="X74" s="94" t="s">
        <v>161</v>
      </c>
      <c r="Y74" s="95">
        <v>0</v>
      </c>
      <c r="Z74" s="96">
        <v>0.25</v>
      </c>
      <c r="AA74" s="72">
        <v>3589</v>
      </c>
      <c r="AB74" s="73">
        <v>150</v>
      </c>
      <c r="AC74" s="73">
        <v>217</v>
      </c>
      <c r="AD74" s="74"/>
      <c r="AE74" s="72">
        <v>10552</v>
      </c>
      <c r="AF74" s="73">
        <v>166</v>
      </c>
      <c r="AG74" s="73">
        <v>620</v>
      </c>
      <c r="AH74" s="75"/>
      <c r="AI74" s="93" t="s">
        <v>151</v>
      </c>
      <c r="AJ74" s="94">
        <v>0</v>
      </c>
      <c r="AK74" s="94">
        <v>0</v>
      </c>
      <c r="AL74" s="95">
        <v>0</v>
      </c>
      <c r="AM74" s="96">
        <v>0.25</v>
      </c>
      <c r="AN74" s="72">
        <v>7677</v>
      </c>
      <c r="AO74" s="73"/>
      <c r="AP74" s="73"/>
      <c r="AQ74" s="74"/>
      <c r="AR74" s="72">
        <v>4986</v>
      </c>
      <c r="AS74" s="73"/>
      <c r="AT74" s="73"/>
      <c r="AU74" s="75"/>
      <c r="AV74" s="93" t="s">
        <v>162</v>
      </c>
      <c r="AW74" s="94" t="s">
        <v>150</v>
      </c>
      <c r="AX74" s="94" t="s">
        <v>149</v>
      </c>
      <c r="AY74" s="95">
        <v>0</v>
      </c>
      <c r="AZ74" s="97">
        <v>0.19999999999999996</v>
      </c>
      <c r="BA74" s="72">
        <v>3899</v>
      </c>
      <c r="BB74" s="73">
        <v>1244</v>
      </c>
      <c r="BC74" s="73">
        <v>1310</v>
      </c>
      <c r="BD74" s="74"/>
      <c r="BE74" s="72">
        <v>3840</v>
      </c>
      <c r="BF74" s="73">
        <v>1190</v>
      </c>
      <c r="BG74" s="73">
        <v>718</v>
      </c>
      <c r="BH74" s="75"/>
      <c r="BI74" s="98">
        <v>32472.5</v>
      </c>
      <c r="BJ74" s="99">
        <v>38515.599999999999</v>
      </c>
      <c r="BK74" s="100" t="s">
        <v>226</v>
      </c>
      <c r="BL74" s="100">
        <v>0</v>
      </c>
      <c r="BM74" s="62"/>
      <c r="BN74" s="80" t="s">
        <v>229</v>
      </c>
      <c r="BO74" s="81">
        <v>41419</v>
      </c>
      <c r="BP74" s="82">
        <v>1</v>
      </c>
      <c r="BQ74" s="82">
        <v>1</v>
      </c>
      <c r="BR74" s="82">
        <v>1</v>
      </c>
      <c r="BS74" s="80">
        <v>329604</v>
      </c>
      <c r="BT74" s="83">
        <v>0.33333333333333331</v>
      </c>
      <c r="BU74" s="61"/>
      <c r="BV74" s="84">
        <v>0.875</v>
      </c>
      <c r="BW74" s="84">
        <v>0.34899999999999998</v>
      </c>
      <c r="BX74" s="84">
        <v>1.54</v>
      </c>
      <c r="BY74" s="84">
        <v>1.123</v>
      </c>
      <c r="BZ74" s="62"/>
      <c r="CA74" s="85"/>
      <c r="CB74" s="85"/>
      <c r="CC74" s="85"/>
      <c r="CD74" s="85"/>
      <c r="CE74" s="62"/>
      <c r="CF74" s="86">
        <v>0.84</v>
      </c>
      <c r="CG74" s="87">
        <v>0</v>
      </c>
      <c r="CH74" s="87">
        <v>0</v>
      </c>
      <c r="CI74" s="87">
        <v>0</v>
      </c>
      <c r="CJ74" s="87">
        <v>0</v>
      </c>
    </row>
    <row r="75" spans="1:88" x14ac:dyDescent="0.35">
      <c r="A75" s="88" t="s">
        <v>225</v>
      </c>
      <c r="B75" s="89">
        <v>74</v>
      </c>
      <c r="C75" s="90" t="s">
        <v>87</v>
      </c>
      <c r="D75" s="90" t="s">
        <v>12</v>
      </c>
      <c r="E75" s="91">
        <v>41919</v>
      </c>
      <c r="F75" s="91" t="s">
        <v>226</v>
      </c>
      <c r="G75" s="91" t="s">
        <v>226</v>
      </c>
      <c r="H75" s="92" t="s">
        <v>164</v>
      </c>
      <c r="I75" s="93" t="s">
        <v>157</v>
      </c>
      <c r="J75" s="94">
        <v>0</v>
      </c>
      <c r="K75" s="94">
        <v>0</v>
      </c>
      <c r="L75" s="95">
        <v>0</v>
      </c>
      <c r="M75" s="96">
        <v>0.45</v>
      </c>
      <c r="N75" s="72">
        <v>57942</v>
      </c>
      <c r="O75" s="73">
        <v>0</v>
      </c>
      <c r="P75" s="73">
        <v>0</v>
      </c>
      <c r="Q75" s="74">
        <v>0</v>
      </c>
      <c r="R75" s="72">
        <v>65623.5</v>
      </c>
      <c r="S75" s="73">
        <v>0</v>
      </c>
      <c r="T75" s="73">
        <v>0</v>
      </c>
      <c r="U75" s="75">
        <v>0</v>
      </c>
      <c r="V75" s="93" t="s">
        <v>158</v>
      </c>
      <c r="W75" s="94">
        <v>0</v>
      </c>
      <c r="X75" s="94">
        <v>0</v>
      </c>
      <c r="Y75" s="95">
        <v>0</v>
      </c>
      <c r="Z75" s="96">
        <v>0.25</v>
      </c>
      <c r="AA75" s="72">
        <v>15694.8</v>
      </c>
      <c r="AB75" s="73">
        <v>0</v>
      </c>
      <c r="AC75" s="73">
        <v>0</v>
      </c>
      <c r="AD75" s="74">
        <v>0</v>
      </c>
      <c r="AE75" s="72">
        <v>17342</v>
      </c>
      <c r="AF75" s="73">
        <v>0</v>
      </c>
      <c r="AG75" s="73">
        <v>0</v>
      </c>
      <c r="AH75" s="75">
        <v>0</v>
      </c>
      <c r="AI75" s="93" t="s">
        <v>150</v>
      </c>
      <c r="AJ75" s="94" t="s">
        <v>165</v>
      </c>
      <c r="AK75" s="94">
        <v>0</v>
      </c>
      <c r="AL75" s="95">
        <v>0</v>
      </c>
      <c r="AM75" s="96">
        <v>0.25</v>
      </c>
      <c r="AN75" s="72">
        <v>4308.95</v>
      </c>
      <c r="AO75" s="73">
        <v>0</v>
      </c>
      <c r="AP75" s="73">
        <v>0</v>
      </c>
      <c r="AQ75" s="74">
        <v>0</v>
      </c>
      <c r="AR75" s="72">
        <v>4080.55</v>
      </c>
      <c r="AS75" s="73">
        <v>1266.54</v>
      </c>
      <c r="AT75" s="73">
        <v>0</v>
      </c>
      <c r="AU75" s="75">
        <v>0</v>
      </c>
      <c r="AV75" s="93" t="s">
        <v>149</v>
      </c>
      <c r="AW75" s="94">
        <v>0</v>
      </c>
      <c r="AX75" s="94">
        <v>0</v>
      </c>
      <c r="AY75" s="95">
        <v>0</v>
      </c>
      <c r="AZ75" s="97">
        <v>5.0000000000000044E-2</v>
      </c>
      <c r="BA75" s="72">
        <v>3277.7780000000002</v>
      </c>
      <c r="BB75" s="73">
        <v>0</v>
      </c>
      <c r="BC75" s="73">
        <v>0</v>
      </c>
      <c r="BD75" s="74">
        <v>0</v>
      </c>
      <c r="BE75" s="72">
        <v>2577.1635000000001</v>
      </c>
      <c r="BF75" s="73">
        <v>0</v>
      </c>
      <c r="BG75" s="73">
        <v>0</v>
      </c>
      <c r="BH75" s="75">
        <v>0</v>
      </c>
      <c r="BI75" s="98">
        <v>81223.528000000006</v>
      </c>
      <c r="BJ75" s="99">
        <v>90889.753499999992</v>
      </c>
      <c r="BK75" s="100" t="s">
        <v>226</v>
      </c>
      <c r="BL75" s="100">
        <v>0.92</v>
      </c>
      <c r="BM75" s="62"/>
      <c r="BN75" s="80" t="s">
        <v>227</v>
      </c>
      <c r="BO75" s="81">
        <v>42011</v>
      </c>
      <c r="BP75" s="82">
        <v>3</v>
      </c>
      <c r="BQ75" s="82">
        <v>1</v>
      </c>
      <c r="BR75" s="82">
        <v>3</v>
      </c>
      <c r="BS75" s="80">
        <v>329604</v>
      </c>
      <c r="BT75" s="83">
        <v>1</v>
      </c>
      <c r="BU75" s="61"/>
      <c r="BV75" s="84">
        <v>0.88300000000000001</v>
      </c>
      <c r="BW75" s="84">
        <v>0.90500000000000003</v>
      </c>
      <c r="BX75" s="84">
        <v>0.80600000000000005</v>
      </c>
      <c r="BY75" s="84">
        <v>1.272</v>
      </c>
      <c r="BZ75" s="62"/>
      <c r="CA75" s="85"/>
      <c r="CB75" s="85"/>
      <c r="CC75" s="85"/>
      <c r="CD75" s="85"/>
      <c r="CE75" s="62"/>
      <c r="CF75" s="86">
        <v>0.89</v>
      </c>
      <c r="CG75" s="87">
        <v>0</v>
      </c>
      <c r="CH75" s="87">
        <v>0</v>
      </c>
      <c r="CI75" s="87">
        <v>0</v>
      </c>
      <c r="CJ75" s="87">
        <v>0.5</v>
      </c>
    </row>
    <row r="76" spans="1:88" x14ac:dyDescent="0.35">
      <c r="A76" s="88" t="s">
        <v>225</v>
      </c>
      <c r="B76" s="89">
        <v>75</v>
      </c>
      <c r="C76" s="90" t="s">
        <v>88</v>
      </c>
      <c r="D76" s="90" t="s">
        <v>12</v>
      </c>
      <c r="E76" s="91">
        <v>41529</v>
      </c>
      <c r="F76" s="91" t="s">
        <v>226</v>
      </c>
      <c r="G76" s="91" t="s">
        <v>226</v>
      </c>
      <c r="H76" s="92" t="s">
        <v>163</v>
      </c>
      <c r="I76" s="93" t="s">
        <v>149</v>
      </c>
      <c r="J76" s="94" t="s">
        <v>150</v>
      </c>
      <c r="K76" s="94">
        <v>0</v>
      </c>
      <c r="L76" s="95">
        <v>0</v>
      </c>
      <c r="M76" s="96">
        <v>0.1</v>
      </c>
      <c r="N76" s="72">
        <v>15049.333000000002</v>
      </c>
      <c r="O76" s="73">
        <v>7744.3250000000007</v>
      </c>
      <c r="P76" s="73">
        <v>0</v>
      </c>
      <c r="Q76" s="74">
        <v>0</v>
      </c>
      <c r="R76" s="72">
        <v>12113.050000000001</v>
      </c>
      <c r="S76" s="73">
        <v>7000.9000000000005</v>
      </c>
      <c r="T76" s="73">
        <v>0</v>
      </c>
      <c r="U76" s="75">
        <v>0</v>
      </c>
      <c r="V76" s="93" t="s">
        <v>159</v>
      </c>
      <c r="W76" s="94" t="s">
        <v>160</v>
      </c>
      <c r="X76" s="94" t="s">
        <v>161</v>
      </c>
      <c r="Y76" s="95">
        <v>0</v>
      </c>
      <c r="Z76" s="96">
        <v>0.3</v>
      </c>
      <c r="AA76" s="72">
        <v>174153.5</v>
      </c>
      <c r="AB76" s="73">
        <v>15831.759999999998</v>
      </c>
      <c r="AC76" s="73">
        <v>3813</v>
      </c>
      <c r="AD76" s="74">
        <v>0</v>
      </c>
      <c r="AE76" s="72">
        <v>166047</v>
      </c>
      <c r="AF76" s="73">
        <v>8980.1999999999989</v>
      </c>
      <c r="AG76" s="73">
        <v>6293</v>
      </c>
      <c r="AH76" s="75">
        <v>0</v>
      </c>
      <c r="AI76" s="93" t="s">
        <v>151</v>
      </c>
      <c r="AJ76" s="94">
        <v>0</v>
      </c>
      <c r="AK76" s="94">
        <v>0</v>
      </c>
      <c r="AL76" s="95">
        <v>0</v>
      </c>
      <c r="AM76" s="96">
        <v>0.3</v>
      </c>
      <c r="AN76" s="72">
        <v>155755.34000000003</v>
      </c>
      <c r="AO76" s="73">
        <v>0</v>
      </c>
      <c r="AP76" s="73">
        <v>0</v>
      </c>
      <c r="AQ76" s="74">
        <v>0</v>
      </c>
      <c r="AR76" s="72">
        <v>128976.12000000001</v>
      </c>
      <c r="AS76" s="73">
        <v>0</v>
      </c>
      <c r="AT76" s="73">
        <v>0</v>
      </c>
      <c r="AU76" s="75">
        <v>0</v>
      </c>
      <c r="AV76" s="93" t="s">
        <v>162</v>
      </c>
      <c r="AW76" s="94">
        <v>0</v>
      </c>
      <c r="AX76" s="94">
        <v>0</v>
      </c>
      <c r="AY76" s="95">
        <v>0</v>
      </c>
      <c r="AZ76" s="97">
        <v>0.3000000000000001</v>
      </c>
      <c r="BA76" s="72">
        <v>33868.94</v>
      </c>
      <c r="BB76" s="73">
        <v>0</v>
      </c>
      <c r="BC76" s="73">
        <v>0</v>
      </c>
      <c r="BD76" s="74">
        <v>0</v>
      </c>
      <c r="BE76" s="72">
        <v>30353.98</v>
      </c>
      <c r="BF76" s="73">
        <v>0</v>
      </c>
      <c r="BG76" s="73">
        <v>0</v>
      </c>
      <c r="BH76" s="75">
        <v>0</v>
      </c>
      <c r="BI76" s="98">
        <v>406216.19800000003</v>
      </c>
      <c r="BJ76" s="99">
        <v>359764.25</v>
      </c>
      <c r="BK76" s="100" t="s">
        <v>226</v>
      </c>
      <c r="BL76" s="100">
        <v>0.97</v>
      </c>
      <c r="BM76" s="62"/>
      <c r="BN76" s="80" t="s">
        <v>227</v>
      </c>
      <c r="BO76" s="81">
        <v>41620</v>
      </c>
      <c r="BP76" s="82">
        <v>3</v>
      </c>
      <c r="BQ76" s="82">
        <v>1</v>
      </c>
      <c r="BR76" s="82">
        <v>3</v>
      </c>
      <c r="BS76" s="80">
        <v>329604</v>
      </c>
      <c r="BT76" s="83">
        <v>1</v>
      </c>
      <c r="BU76" s="61"/>
      <c r="BV76" s="84">
        <v>1.1930000000000001</v>
      </c>
      <c r="BW76" s="84">
        <v>1.069</v>
      </c>
      <c r="BX76" s="84">
        <v>1.208</v>
      </c>
      <c r="BY76" s="84">
        <v>1.1160000000000001</v>
      </c>
      <c r="BZ76" s="62"/>
      <c r="CA76" s="85"/>
      <c r="CB76" s="85"/>
      <c r="CC76" s="85"/>
      <c r="CD76" s="85"/>
      <c r="CE76" s="62"/>
      <c r="CF76" s="86">
        <v>1.1299999999999999</v>
      </c>
      <c r="CG76" s="87">
        <v>1</v>
      </c>
      <c r="CH76" s="87">
        <v>2.15</v>
      </c>
      <c r="CI76" s="87">
        <v>0</v>
      </c>
      <c r="CJ76" s="87">
        <v>1</v>
      </c>
    </row>
    <row r="77" spans="1:88" x14ac:dyDescent="0.35">
      <c r="A77" s="88" t="s">
        <v>225</v>
      </c>
      <c r="B77" s="89">
        <v>76</v>
      </c>
      <c r="C77" s="90" t="s">
        <v>89</v>
      </c>
      <c r="D77" s="90" t="s">
        <v>12</v>
      </c>
      <c r="E77" s="91">
        <v>40787</v>
      </c>
      <c r="F77" s="91" t="s">
        <v>226</v>
      </c>
      <c r="G77" s="91" t="s">
        <v>226</v>
      </c>
      <c r="H77" s="92" t="s">
        <v>148</v>
      </c>
      <c r="I77" s="93" t="s">
        <v>149</v>
      </c>
      <c r="J77" s="94" t="s">
        <v>150</v>
      </c>
      <c r="K77" s="94">
        <v>0</v>
      </c>
      <c r="L77" s="95">
        <v>0</v>
      </c>
      <c r="M77" s="96">
        <v>0.5</v>
      </c>
      <c r="N77" s="72">
        <v>422723.07</v>
      </c>
      <c r="O77" s="73">
        <v>199408</v>
      </c>
      <c r="P77" s="73">
        <v>0</v>
      </c>
      <c r="Q77" s="74">
        <v>0</v>
      </c>
      <c r="R77" s="72">
        <v>340538.94</v>
      </c>
      <c r="S77" s="73">
        <v>185152.5</v>
      </c>
      <c r="T77" s="73">
        <v>0</v>
      </c>
      <c r="U77" s="75">
        <v>0</v>
      </c>
      <c r="V77" s="93" t="s">
        <v>151</v>
      </c>
      <c r="W77" s="94" t="s">
        <v>152</v>
      </c>
      <c r="X77" s="94">
        <v>0</v>
      </c>
      <c r="Y77" s="95">
        <v>0</v>
      </c>
      <c r="Z77" s="96">
        <v>0.25</v>
      </c>
      <c r="AA77" s="72">
        <v>376824.24</v>
      </c>
      <c r="AB77" s="73">
        <v>37848</v>
      </c>
      <c r="AC77" s="73">
        <v>0</v>
      </c>
      <c r="AD77" s="74">
        <v>0</v>
      </c>
      <c r="AE77" s="72">
        <v>261353.30000000002</v>
      </c>
      <c r="AF77" s="73">
        <v>42873.5</v>
      </c>
      <c r="AG77" s="73">
        <v>0</v>
      </c>
      <c r="AH77" s="75">
        <v>0</v>
      </c>
      <c r="AI77" s="93" t="s">
        <v>153</v>
      </c>
      <c r="AJ77" s="94" t="s">
        <v>154</v>
      </c>
      <c r="AK77" s="94">
        <v>0</v>
      </c>
      <c r="AL77" s="95">
        <v>0</v>
      </c>
      <c r="AM77" s="96">
        <v>0.1</v>
      </c>
      <c r="AN77" s="72">
        <v>32076</v>
      </c>
      <c r="AO77" s="73">
        <v>34896</v>
      </c>
      <c r="AP77" s="73">
        <v>0</v>
      </c>
      <c r="AQ77" s="74">
        <v>0</v>
      </c>
      <c r="AR77" s="72">
        <v>39732</v>
      </c>
      <c r="AS77" s="73">
        <v>37068</v>
      </c>
      <c r="AT77" s="73">
        <v>0</v>
      </c>
      <c r="AU77" s="75">
        <v>0</v>
      </c>
      <c r="AV77" s="93" t="s">
        <v>155</v>
      </c>
      <c r="AW77" s="94">
        <v>0</v>
      </c>
      <c r="AX77" s="94">
        <v>0</v>
      </c>
      <c r="AY77" s="95">
        <v>0</v>
      </c>
      <c r="AZ77" s="97">
        <v>0.15</v>
      </c>
      <c r="BA77" s="72">
        <v>6225.0000000000009</v>
      </c>
      <c r="BB77" s="73">
        <v>0</v>
      </c>
      <c r="BC77" s="73">
        <v>0</v>
      </c>
      <c r="BD77" s="74">
        <v>0</v>
      </c>
      <c r="BE77" s="72">
        <v>6640.0000000000009</v>
      </c>
      <c r="BF77" s="73">
        <v>0</v>
      </c>
      <c r="BG77" s="73">
        <v>0</v>
      </c>
      <c r="BH77" s="75">
        <v>0</v>
      </c>
      <c r="BI77" s="98">
        <v>1110000.31</v>
      </c>
      <c r="BJ77" s="99">
        <v>913358.24</v>
      </c>
      <c r="BK77" s="100" t="s">
        <v>226</v>
      </c>
      <c r="BL77" s="100">
        <v>0.98</v>
      </c>
      <c r="BM77" s="62"/>
      <c r="BN77" s="80" t="s">
        <v>227</v>
      </c>
      <c r="BO77" s="81">
        <v>40878</v>
      </c>
      <c r="BP77" s="82">
        <v>3</v>
      </c>
      <c r="BQ77" s="82">
        <v>1</v>
      </c>
      <c r="BR77" s="82">
        <v>3</v>
      </c>
      <c r="BS77" s="80">
        <v>329604</v>
      </c>
      <c r="BT77" s="83">
        <v>1</v>
      </c>
      <c r="BU77" s="61"/>
      <c r="BV77" s="84">
        <v>1.1830000000000001</v>
      </c>
      <c r="BW77" s="84">
        <v>1.363</v>
      </c>
      <c r="BX77" s="84">
        <v>0.872</v>
      </c>
      <c r="BY77" s="84">
        <v>0.93799999999999994</v>
      </c>
      <c r="BZ77" s="62"/>
      <c r="CA77" s="85"/>
      <c r="CB77" s="85"/>
      <c r="CC77" s="85"/>
      <c r="CD77" s="85"/>
      <c r="CE77" s="62"/>
      <c r="CF77" s="86">
        <v>1.22</v>
      </c>
      <c r="CG77" s="87">
        <v>1</v>
      </c>
      <c r="CH77" s="87">
        <v>2.5</v>
      </c>
      <c r="CI77" s="87">
        <v>0</v>
      </c>
      <c r="CJ77" s="87">
        <v>1</v>
      </c>
    </row>
    <row r="78" spans="1:88" x14ac:dyDescent="0.35">
      <c r="A78" s="88" t="s">
        <v>225</v>
      </c>
      <c r="B78" s="89">
        <v>77</v>
      </c>
      <c r="C78" s="90" t="s">
        <v>90</v>
      </c>
      <c r="D78" s="90" t="s">
        <v>12</v>
      </c>
      <c r="E78" s="91">
        <v>40695</v>
      </c>
      <c r="F78" s="91" t="s">
        <v>226</v>
      </c>
      <c r="G78" s="91" t="s">
        <v>226</v>
      </c>
      <c r="H78" s="92" t="s">
        <v>148</v>
      </c>
      <c r="I78" s="93" t="s">
        <v>149</v>
      </c>
      <c r="J78" s="94" t="s">
        <v>150</v>
      </c>
      <c r="K78" s="94">
        <v>0</v>
      </c>
      <c r="L78" s="95">
        <v>0</v>
      </c>
      <c r="M78" s="96">
        <v>0.5</v>
      </c>
      <c r="N78" s="72">
        <v>422723.07</v>
      </c>
      <c r="O78" s="73">
        <v>199408</v>
      </c>
      <c r="P78" s="73">
        <v>0</v>
      </c>
      <c r="Q78" s="74">
        <v>0</v>
      </c>
      <c r="R78" s="72">
        <v>340538.94</v>
      </c>
      <c r="S78" s="73">
        <v>185152.5</v>
      </c>
      <c r="T78" s="73">
        <v>0</v>
      </c>
      <c r="U78" s="75">
        <v>0</v>
      </c>
      <c r="V78" s="93" t="s">
        <v>151</v>
      </c>
      <c r="W78" s="94" t="s">
        <v>152</v>
      </c>
      <c r="X78" s="94">
        <v>0</v>
      </c>
      <c r="Y78" s="95">
        <v>0</v>
      </c>
      <c r="Z78" s="96">
        <v>0.25</v>
      </c>
      <c r="AA78" s="72">
        <v>376824.24</v>
      </c>
      <c r="AB78" s="73">
        <v>37848</v>
      </c>
      <c r="AC78" s="73">
        <v>0</v>
      </c>
      <c r="AD78" s="74">
        <v>0</v>
      </c>
      <c r="AE78" s="72">
        <v>261353.30000000002</v>
      </c>
      <c r="AF78" s="73">
        <v>42873.5</v>
      </c>
      <c r="AG78" s="73">
        <v>0</v>
      </c>
      <c r="AH78" s="75">
        <v>0</v>
      </c>
      <c r="AI78" s="93" t="s">
        <v>153</v>
      </c>
      <c r="AJ78" s="94" t="s">
        <v>154</v>
      </c>
      <c r="AK78" s="94">
        <v>0</v>
      </c>
      <c r="AL78" s="95">
        <v>0</v>
      </c>
      <c r="AM78" s="96">
        <v>0.1</v>
      </c>
      <c r="AN78" s="72">
        <v>32076</v>
      </c>
      <c r="AO78" s="73">
        <v>34896</v>
      </c>
      <c r="AP78" s="73">
        <v>0</v>
      </c>
      <c r="AQ78" s="74">
        <v>0</v>
      </c>
      <c r="AR78" s="72">
        <v>39732</v>
      </c>
      <c r="AS78" s="73">
        <v>37068</v>
      </c>
      <c r="AT78" s="73">
        <v>0</v>
      </c>
      <c r="AU78" s="75">
        <v>0</v>
      </c>
      <c r="AV78" s="93" t="s">
        <v>155</v>
      </c>
      <c r="AW78" s="94">
        <v>0</v>
      </c>
      <c r="AX78" s="94">
        <v>0</v>
      </c>
      <c r="AY78" s="95">
        <v>0</v>
      </c>
      <c r="AZ78" s="97">
        <v>0.15</v>
      </c>
      <c r="BA78" s="72">
        <v>6225.0000000000009</v>
      </c>
      <c r="BB78" s="73">
        <v>0</v>
      </c>
      <c r="BC78" s="73">
        <v>0</v>
      </c>
      <c r="BD78" s="74">
        <v>0</v>
      </c>
      <c r="BE78" s="72">
        <v>6640.0000000000009</v>
      </c>
      <c r="BF78" s="73">
        <v>0</v>
      </c>
      <c r="BG78" s="73">
        <v>0</v>
      </c>
      <c r="BH78" s="75">
        <v>0</v>
      </c>
      <c r="BI78" s="98">
        <v>1110000.31</v>
      </c>
      <c r="BJ78" s="99">
        <v>913358.24</v>
      </c>
      <c r="BK78" s="100" t="s">
        <v>226</v>
      </c>
      <c r="BL78" s="100">
        <v>0.99</v>
      </c>
      <c r="BM78" s="62"/>
      <c r="BN78" s="80" t="s">
        <v>227</v>
      </c>
      <c r="BO78" s="81">
        <v>40787</v>
      </c>
      <c r="BP78" s="82">
        <v>3</v>
      </c>
      <c r="BQ78" s="82">
        <v>1</v>
      </c>
      <c r="BR78" s="82">
        <v>3</v>
      </c>
      <c r="BS78" s="80">
        <v>329604</v>
      </c>
      <c r="BT78" s="83">
        <v>1</v>
      </c>
      <c r="BU78" s="61"/>
      <c r="BV78" s="84">
        <v>1.1830000000000001</v>
      </c>
      <c r="BW78" s="84">
        <v>1.363</v>
      </c>
      <c r="BX78" s="84">
        <v>0.872</v>
      </c>
      <c r="BY78" s="84">
        <v>0.93799999999999994</v>
      </c>
      <c r="BZ78" s="62"/>
      <c r="CA78" s="85"/>
      <c r="CB78" s="85"/>
      <c r="CC78" s="85"/>
      <c r="CD78" s="85"/>
      <c r="CE78" s="62"/>
      <c r="CF78" s="86">
        <v>1.22</v>
      </c>
      <c r="CG78" s="87">
        <v>1</v>
      </c>
      <c r="CH78" s="87">
        <v>2.5</v>
      </c>
      <c r="CI78" s="87">
        <v>0</v>
      </c>
      <c r="CJ78" s="87">
        <v>1</v>
      </c>
    </row>
    <row r="79" spans="1:88" x14ac:dyDescent="0.35">
      <c r="A79" s="88" t="s">
        <v>225</v>
      </c>
      <c r="B79" s="89">
        <v>78</v>
      </c>
      <c r="C79" s="90" t="s">
        <v>91</v>
      </c>
      <c r="D79" s="90" t="s">
        <v>38</v>
      </c>
      <c r="E79" s="91">
        <v>40680</v>
      </c>
      <c r="F79" s="91" t="s">
        <v>226</v>
      </c>
      <c r="G79" s="91" t="s">
        <v>226</v>
      </c>
      <c r="H79" s="92" t="s">
        <v>167</v>
      </c>
      <c r="I79" s="93" t="s">
        <v>168</v>
      </c>
      <c r="J79" s="94">
        <v>0</v>
      </c>
      <c r="K79" s="94">
        <v>0</v>
      </c>
      <c r="L79" s="95">
        <v>0</v>
      </c>
      <c r="M79" s="96">
        <v>0.5</v>
      </c>
      <c r="N79" s="72">
        <v>404146.04700000002</v>
      </c>
      <c r="O79" s="73">
        <v>0</v>
      </c>
      <c r="P79" s="73">
        <v>0</v>
      </c>
      <c r="Q79" s="74">
        <v>0</v>
      </c>
      <c r="R79" s="72">
        <v>356830.49000000011</v>
      </c>
      <c r="S79" s="73">
        <v>0</v>
      </c>
      <c r="T79" s="73">
        <v>0</v>
      </c>
      <c r="U79" s="75">
        <v>0</v>
      </c>
      <c r="V79" s="93" t="s">
        <v>169</v>
      </c>
      <c r="W79" s="94">
        <v>0</v>
      </c>
      <c r="X79" s="94">
        <v>0</v>
      </c>
      <c r="Y79" s="95">
        <v>0</v>
      </c>
      <c r="Z79" s="96">
        <v>0.25</v>
      </c>
      <c r="AA79" s="72">
        <v>120541</v>
      </c>
      <c r="AB79" s="73"/>
      <c r="AC79" s="73"/>
      <c r="AD79" s="74"/>
      <c r="AE79" s="72">
        <v>117141</v>
      </c>
      <c r="AF79" s="73"/>
      <c r="AG79" s="73"/>
      <c r="AH79" s="75"/>
      <c r="AI79" s="93" t="s">
        <v>170</v>
      </c>
      <c r="AJ79" s="94">
        <v>0</v>
      </c>
      <c r="AK79" s="94">
        <v>0</v>
      </c>
      <c r="AL79" s="95">
        <v>0</v>
      </c>
      <c r="AM79" s="96">
        <v>0.2</v>
      </c>
      <c r="AN79" s="72">
        <v>176969</v>
      </c>
      <c r="AO79" s="73"/>
      <c r="AP79" s="73"/>
      <c r="AQ79" s="74"/>
      <c r="AR79" s="72">
        <v>127657</v>
      </c>
      <c r="AS79" s="73"/>
      <c r="AT79" s="73"/>
      <c r="AU79" s="75"/>
      <c r="AV79" s="93" t="s">
        <v>171</v>
      </c>
      <c r="AW79" s="94">
        <v>0</v>
      </c>
      <c r="AX79" s="94">
        <v>0</v>
      </c>
      <c r="AY79" s="95">
        <v>0</v>
      </c>
      <c r="AZ79" s="97">
        <v>4.9999999999999989E-2</v>
      </c>
      <c r="BA79" s="72">
        <v>21060</v>
      </c>
      <c r="BB79" s="73"/>
      <c r="BC79" s="73"/>
      <c r="BD79" s="74"/>
      <c r="BE79" s="72">
        <v>21024</v>
      </c>
      <c r="BF79" s="73"/>
      <c r="BG79" s="73"/>
      <c r="BH79" s="75"/>
      <c r="BI79" s="98">
        <v>722716.04700000002</v>
      </c>
      <c r="BJ79" s="99">
        <v>622652.49000000011</v>
      </c>
      <c r="BK79" s="100">
        <v>0.73</v>
      </c>
      <c r="BL79" s="100">
        <v>0.9</v>
      </c>
      <c r="BM79" s="62"/>
      <c r="BN79" s="80" t="s">
        <v>227</v>
      </c>
      <c r="BO79" s="81">
        <v>40772</v>
      </c>
      <c r="BP79" s="82">
        <v>3</v>
      </c>
      <c r="BQ79" s="82">
        <v>1</v>
      </c>
      <c r="BR79" s="82">
        <v>3</v>
      </c>
      <c r="BS79" s="80">
        <v>605000</v>
      </c>
      <c r="BT79" s="83">
        <v>1</v>
      </c>
      <c r="BU79" s="61"/>
      <c r="BV79" s="84">
        <v>1.133</v>
      </c>
      <c r="BW79" s="84">
        <v>1.0289999999999999</v>
      </c>
      <c r="BX79" s="84">
        <v>1.3859999999999999</v>
      </c>
      <c r="BY79" s="84">
        <v>1.002</v>
      </c>
      <c r="BZ79" s="62"/>
      <c r="CA79" s="85"/>
      <c r="CB79" s="85"/>
      <c r="CC79" s="85"/>
      <c r="CD79" s="85"/>
      <c r="CE79" s="62"/>
      <c r="CF79" s="86">
        <v>1.1599999999999999</v>
      </c>
      <c r="CG79" s="87">
        <v>1</v>
      </c>
      <c r="CH79" s="87">
        <v>2.2999999999999998</v>
      </c>
      <c r="CI79" s="87">
        <v>1</v>
      </c>
      <c r="CJ79" s="87">
        <v>0.5</v>
      </c>
    </row>
    <row r="80" spans="1:88" x14ac:dyDescent="0.35">
      <c r="A80" s="88" t="s">
        <v>225</v>
      </c>
      <c r="B80" s="89">
        <v>79</v>
      </c>
      <c r="C80" s="90" t="s">
        <v>92</v>
      </c>
      <c r="D80" s="90" t="s">
        <v>12</v>
      </c>
      <c r="E80" s="91">
        <v>42186</v>
      </c>
      <c r="F80" s="91" t="s">
        <v>226</v>
      </c>
      <c r="G80" s="91" t="s">
        <v>226</v>
      </c>
      <c r="H80" s="92" t="s">
        <v>163</v>
      </c>
      <c r="I80" s="93" t="s">
        <v>149</v>
      </c>
      <c r="J80" s="94" t="s">
        <v>150</v>
      </c>
      <c r="K80" s="94">
        <v>0</v>
      </c>
      <c r="L80" s="95">
        <v>0</v>
      </c>
      <c r="M80" s="96">
        <v>0.1</v>
      </c>
      <c r="N80" s="72">
        <v>21136.1535</v>
      </c>
      <c r="O80" s="73">
        <v>9970.4000000000015</v>
      </c>
      <c r="P80" s="73">
        <v>0</v>
      </c>
      <c r="Q80" s="74">
        <v>0</v>
      </c>
      <c r="R80" s="72">
        <v>17026.947</v>
      </c>
      <c r="S80" s="73">
        <v>9257.625</v>
      </c>
      <c r="T80" s="73">
        <v>0</v>
      </c>
      <c r="U80" s="75">
        <v>0</v>
      </c>
      <c r="V80" s="93" t="s">
        <v>159</v>
      </c>
      <c r="W80" s="94" t="s">
        <v>160</v>
      </c>
      <c r="X80" s="94" t="s">
        <v>161</v>
      </c>
      <c r="Y80" s="95">
        <v>0</v>
      </c>
      <c r="Z80" s="96">
        <v>0.3</v>
      </c>
      <c r="AA80" s="72">
        <v>282509.5</v>
      </c>
      <c r="AB80" s="73">
        <v>9728.5499999999993</v>
      </c>
      <c r="AC80" s="73">
        <v>4712</v>
      </c>
      <c r="AD80" s="74">
        <v>0</v>
      </c>
      <c r="AE80" s="72">
        <v>148192.5</v>
      </c>
      <c r="AF80" s="73">
        <v>9678.66</v>
      </c>
      <c r="AG80" s="73">
        <v>9951</v>
      </c>
      <c r="AH80" s="75">
        <v>0</v>
      </c>
      <c r="AI80" s="93" t="s">
        <v>151</v>
      </c>
      <c r="AJ80" s="94">
        <v>0</v>
      </c>
      <c r="AK80" s="94">
        <v>0</v>
      </c>
      <c r="AL80" s="95">
        <v>0</v>
      </c>
      <c r="AM80" s="96">
        <v>0.3</v>
      </c>
      <c r="AN80" s="72">
        <v>376824.24</v>
      </c>
      <c r="AO80" s="73">
        <v>0</v>
      </c>
      <c r="AP80" s="73">
        <v>0</v>
      </c>
      <c r="AQ80" s="74">
        <v>0</v>
      </c>
      <c r="AR80" s="72">
        <v>261353.30000000002</v>
      </c>
      <c r="AS80" s="73">
        <v>0</v>
      </c>
      <c r="AT80" s="73">
        <v>0</v>
      </c>
      <c r="AU80" s="75">
        <v>0</v>
      </c>
      <c r="AV80" s="93" t="s">
        <v>162</v>
      </c>
      <c r="AW80" s="94">
        <v>0</v>
      </c>
      <c r="AX80" s="94">
        <v>0</v>
      </c>
      <c r="AY80" s="95">
        <v>0</v>
      </c>
      <c r="AZ80" s="97">
        <v>0.3000000000000001</v>
      </c>
      <c r="BA80" s="72">
        <v>90583.560000000012</v>
      </c>
      <c r="BB80" s="73">
        <v>0</v>
      </c>
      <c r="BC80" s="73">
        <v>0</v>
      </c>
      <c r="BD80" s="74">
        <v>0</v>
      </c>
      <c r="BE80" s="72">
        <v>73247.38</v>
      </c>
      <c r="BF80" s="73">
        <v>0</v>
      </c>
      <c r="BG80" s="73">
        <v>0</v>
      </c>
      <c r="BH80" s="75">
        <v>0</v>
      </c>
      <c r="BI80" s="98">
        <v>795464.40350000001</v>
      </c>
      <c r="BJ80" s="99">
        <v>528707.41200000001</v>
      </c>
      <c r="BK80" s="100" t="s">
        <v>226</v>
      </c>
      <c r="BL80" s="100">
        <v>0.96</v>
      </c>
      <c r="BM80" s="62"/>
      <c r="BN80" s="80" t="s">
        <v>227</v>
      </c>
      <c r="BO80" s="81">
        <v>42278</v>
      </c>
      <c r="BP80" s="82">
        <v>3</v>
      </c>
      <c r="BQ80" s="82">
        <v>1</v>
      </c>
      <c r="BR80" s="82">
        <v>3</v>
      </c>
      <c r="BS80" s="80">
        <v>329604</v>
      </c>
      <c r="BT80" s="83">
        <v>1</v>
      </c>
      <c r="BU80" s="61"/>
      <c r="BV80" s="84">
        <v>1.1830000000000001</v>
      </c>
      <c r="BW80" s="84">
        <v>1.7689999999999999</v>
      </c>
      <c r="BX80" s="84">
        <v>1.4419999999999999</v>
      </c>
      <c r="BY80" s="84">
        <v>1.2370000000000001</v>
      </c>
      <c r="BZ80" s="62"/>
      <c r="CA80" s="85"/>
      <c r="CB80" s="85"/>
      <c r="CC80" s="85"/>
      <c r="CD80" s="85"/>
      <c r="CE80" s="62"/>
      <c r="CF80" s="86">
        <v>1.5</v>
      </c>
      <c r="CG80" s="87">
        <v>1</v>
      </c>
      <c r="CH80" s="87">
        <v>2.5</v>
      </c>
      <c r="CI80" s="87">
        <v>0</v>
      </c>
      <c r="CJ80" s="87">
        <v>1</v>
      </c>
    </row>
    <row r="81" spans="1:88" x14ac:dyDescent="0.35">
      <c r="A81" s="88" t="s">
        <v>225</v>
      </c>
      <c r="B81" s="89">
        <v>80</v>
      </c>
      <c r="C81" s="90" t="s">
        <v>93</v>
      </c>
      <c r="D81" s="90" t="s">
        <v>12</v>
      </c>
      <c r="E81" s="91">
        <v>40680</v>
      </c>
      <c r="F81" s="91" t="s">
        <v>226</v>
      </c>
      <c r="G81" s="91" t="s">
        <v>226</v>
      </c>
      <c r="H81" s="92" t="s">
        <v>148</v>
      </c>
      <c r="I81" s="93" t="s">
        <v>149</v>
      </c>
      <c r="J81" s="94" t="s">
        <v>150</v>
      </c>
      <c r="K81" s="94">
        <v>0</v>
      </c>
      <c r="L81" s="95">
        <v>0</v>
      </c>
      <c r="M81" s="96">
        <v>0.5</v>
      </c>
      <c r="N81" s="72">
        <v>54997.490000000005</v>
      </c>
      <c r="O81" s="73">
        <v>23801.5</v>
      </c>
      <c r="P81" s="73">
        <v>0</v>
      </c>
      <c r="Q81" s="74">
        <v>0</v>
      </c>
      <c r="R81" s="72">
        <v>50786.47</v>
      </c>
      <c r="S81" s="73">
        <v>27282</v>
      </c>
      <c r="T81" s="73">
        <v>0</v>
      </c>
      <c r="U81" s="75">
        <v>0</v>
      </c>
      <c r="V81" s="93" t="s">
        <v>151</v>
      </c>
      <c r="W81" s="94" t="s">
        <v>152</v>
      </c>
      <c r="X81" s="94">
        <v>0</v>
      </c>
      <c r="Y81" s="95">
        <v>0</v>
      </c>
      <c r="Z81" s="96">
        <v>0.25</v>
      </c>
      <c r="AA81" s="72">
        <v>22717.760000000002</v>
      </c>
      <c r="AB81" s="73">
        <v>10678</v>
      </c>
      <c r="AC81" s="73">
        <v>0</v>
      </c>
      <c r="AD81" s="74">
        <v>0</v>
      </c>
      <c r="AE81" s="72">
        <v>22156.420000000002</v>
      </c>
      <c r="AF81" s="73">
        <v>10431</v>
      </c>
      <c r="AG81" s="73">
        <v>0</v>
      </c>
      <c r="AH81" s="75">
        <v>0</v>
      </c>
      <c r="AI81" s="93" t="s">
        <v>153</v>
      </c>
      <c r="AJ81" s="94" t="s">
        <v>154</v>
      </c>
      <c r="AK81" s="94">
        <v>0</v>
      </c>
      <c r="AL81" s="95">
        <v>0</v>
      </c>
      <c r="AM81" s="96">
        <v>0.1</v>
      </c>
      <c r="AN81" s="72">
        <v>4668</v>
      </c>
      <c r="AO81" s="73">
        <v>4776</v>
      </c>
      <c r="AP81" s="73">
        <v>0</v>
      </c>
      <c r="AQ81" s="74">
        <v>0</v>
      </c>
      <c r="AR81" s="72">
        <v>3564</v>
      </c>
      <c r="AS81" s="73">
        <v>3780</v>
      </c>
      <c r="AT81" s="73">
        <v>0</v>
      </c>
      <c r="AU81" s="75">
        <v>0</v>
      </c>
      <c r="AV81" s="93" t="s">
        <v>155</v>
      </c>
      <c r="AW81" s="94">
        <v>0</v>
      </c>
      <c r="AX81" s="94">
        <v>0</v>
      </c>
      <c r="AY81" s="95">
        <v>0</v>
      </c>
      <c r="AZ81" s="97">
        <v>0.15</v>
      </c>
      <c r="BA81" s="72">
        <v>1610.2000000000003</v>
      </c>
      <c r="BB81" s="73">
        <v>0</v>
      </c>
      <c r="BC81" s="73">
        <v>0</v>
      </c>
      <c r="BD81" s="74">
        <v>0</v>
      </c>
      <c r="BE81" s="72">
        <v>1494.0000000000002</v>
      </c>
      <c r="BF81" s="73">
        <v>0</v>
      </c>
      <c r="BG81" s="73">
        <v>0</v>
      </c>
      <c r="BH81" s="75">
        <v>0</v>
      </c>
      <c r="BI81" s="98">
        <v>123248.95</v>
      </c>
      <c r="BJ81" s="99">
        <v>119493.89</v>
      </c>
      <c r="BK81" s="100" t="s">
        <v>226</v>
      </c>
      <c r="BL81" s="100">
        <v>0.99</v>
      </c>
      <c r="BM81" s="62"/>
      <c r="BN81" s="80" t="s">
        <v>227</v>
      </c>
      <c r="BO81" s="81">
        <v>40772</v>
      </c>
      <c r="BP81" s="82">
        <v>3</v>
      </c>
      <c r="BQ81" s="82">
        <v>1</v>
      </c>
      <c r="BR81" s="82">
        <v>3</v>
      </c>
      <c r="BS81" s="80">
        <v>329604</v>
      </c>
      <c r="BT81" s="83">
        <v>1</v>
      </c>
      <c r="BU81" s="61"/>
      <c r="BV81" s="84">
        <v>1.0089999999999999</v>
      </c>
      <c r="BW81" s="84">
        <v>1.0249999999999999</v>
      </c>
      <c r="BX81" s="84">
        <v>1.286</v>
      </c>
      <c r="BY81" s="84">
        <v>1.0780000000000001</v>
      </c>
      <c r="BZ81" s="62"/>
      <c r="CA81" s="85"/>
      <c r="CB81" s="85"/>
      <c r="CC81" s="85"/>
      <c r="CD81" s="85"/>
      <c r="CE81" s="62"/>
      <c r="CF81" s="86">
        <v>1.03</v>
      </c>
      <c r="CG81" s="87">
        <v>1</v>
      </c>
      <c r="CH81" s="87">
        <v>1.3</v>
      </c>
      <c r="CI81" s="87">
        <v>0</v>
      </c>
      <c r="CJ81" s="87">
        <v>1</v>
      </c>
    </row>
    <row r="82" spans="1:88" x14ac:dyDescent="0.35">
      <c r="A82" s="88" t="s">
        <v>225</v>
      </c>
      <c r="B82" s="89">
        <v>81</v>
      </c>
      <c r="C82" s="90" t="s">
        <v>94</v>
      </c>
      <c r="D82" s="90" t="s">
        <v>12</v>
      </c>
      <c r="E82" s="91">
        <v>41353</v>
      </c>
      <c r="F82" s="91" t="s">
        <v>226</v>
      </c>
      <c r="G82" s="91" t="s">
        <v>226</v>
      </c>
      <c r="H82" s="92" t="s">
        <v>164</v>
      </c>
      <c r="I82" s="93" t="s">
        <v>157</v>
      </c>
      <c r="J82" s="94">
        <v>0</v>
      </c>
      <c r="K82" s="94">
        <v>0</v>
      </c>
      <c r="L82" s="95">
        <v>0</v>
      </c>
      <c r="M82" s="96">
        <v>0.45</v>
      </c>
      <c r="N82" s="72">
        <v>216202.5</v>
      </c>
      <c r="O82" s="73">
        <v>0</v>
      </c>
      <c r="P82" s="73">
        <v>0</v>
      </c>
      <c r="Q82" s="74">
        <v>0</v>
      </c>
      <c r="R82" s="72">
        <v>240300</v>
      </c>
      <c r="S82" s="73">
        <v>0</v>
      </c>
      <c r="T82" s="73">
        <v>0</v>
      </c>
      <c r="U82" s="75">
        <v>0</v>
      </c>
      <c r="V82" s="93" t="s">
        <v>158</v>
      </c>
      <c r="W82" s="94">
        <v>0</v>
      </c>
      <c r="X82" s="94">
        <v>0</v>
      </c>
      <c r="Y82" s="95">
        <v>0</v>
      </c>
      <c r="Z82" s="96">
        <v>0.25</v>
      </c>
      <c r="AA82" s="72">
        <v>116371.20000000001</v>
      </c>
      <c r="AB82" s="73">
        <v>0</v>
      </c>
      <c r="AC82" s="73">
        <v>0</v>
      </c>
      <c r="AD82" s="74">
        <v>0</v>
      </c>
      <c r="AE82" s="72">
        <v>120245.6</v>
      </c>
      <c r="AF82" s="73">
        <v>0</v>
      </c>
      <c r="AG82" s="73">
        <v>0</v>
      </c>
      <c r="AH82" s="75">
        <v>0</v>
      </c>
      <c r="AI82" s="93" t="s">
        <v>150</v>
      </c>
      <c r="AJ82" s="94" t="s">
        <v>165</v>
      </c>
      <c r="AK82" s="94">
        <v>0</v>
      </c>
      <c r="AL82" s="95">
        <v>0</v>
      </c>
      <c r="AM82" s="96">
        <v>0.25</v>
      </c>
      <c r="AN82" s="72">
        <v>19940.800000000003</v>
      </c>
      <c r="AO82" s="73">
        <v>399.96</v>
      </c>
      <c r="AP82" s="73">
        <v>0</v>
      </c>
      <c r="AQ82" s="74">
        <v>0</v>
      </c>
      <c r="AR82" s="72">
        <v>18515.25</v>
      </c>
      <c r="AS82" s="73">
        <v>4399.5599999999995</v>
      </c>
      <c r="AT82" s="73">
        <v>0</v>
      </c>
      <c r="AU82" s="75">
        <v>0</v>
      </c>
      <c r="AV82" s="93" t="s">
        <v>149</v>
      </c>
      <c r="AW82" s="94">
        <v>0</v>
      </c>
      <c r="AX82" s="94">
        <v>0</v>
      </c>
      <c r="AY82" s="95">
        <v>0</v>
      </c>
      <c r="AZ82" s="97">
        <v>5.0000000000000044E-2</v>
      </c>
      <c r="BA82" s="72">
        <v>21136.1535</v>
      </c>
      <c r="BB82" s="73">
        <v>0</v>
      </c>
      <c r="BC82" s="73">
        <v>0</v>
      </c>
      <c r="BD82" s="74">
        <v>0</v>
      </c>
      <c r="BE82" s="72">
        <v>17026.947</v>
      </c>
      <c r="BF82" s="73">
        <v>0</v>
      </c>
      <c r="BG82" s="73">
        <v>0</v>
      </c>
      <c r="BH82" s="75">
        <v>0</v>
      </c>
      <c r="BI82" s="98">
        <v>374050.61350000004</v>
      </c>
      <c r="BJ82" s="99">
        <v>400487.35699999996</v>
      </c>
      <c r="BK82" s="100" t="s">
        <v>226</v>
      </c>
      <c r="BL82" s="100">
        <v>0.97</v>
      </c>
      <c r="BM82" s="62"/>
      <c r="BN82" s="80" t="s">
        <v>227</v>
      </c>
      <c r="BO82" s="81">
        <v>41445</v>
      </c>
      <c r="BP82" s="82">
        <v>3</v>
      </c>
      <c r="BQ82" s="82">
        <v>1</v>
      </c>
      <c r="BR82" s="82">
        <v>3</v>
      </c>
      <c r="BS82" s="80">
        <v>329604</v>
      </c>
      <c r="BT82" s="83">
        <v>1</v>
      </c>
      <c r="BU82" s="61"/>
      <c r="BV82" s="84">
        <v>0.9</v>
      </c>
      <c r="BW82" s="84">
        <v>0.96799999999999997</v>
      </c>
      <c r="BX82" s="84">
        <v>0.88800000000000001</v>
      </c>
      <c r="BY82" s="84">
        <v>1.2410000000000001</v>
      </c>
      <c r="BZ82" s="62"/>
      <c r="CA82" s="85"/>
      <c r="CB82" s="85"/>
      <c r="CC82" s="85"/>
      <c r="CD82" s="85"/>
      <c r="CE82" s="62"/>
      <c r="CF82" s="86">
        <v>0.93</v>
      </c>
      <c r="CG82" s="87">
        <v>1</v>
      </c>
      <c r="CH82" s="87">
        <v>0.7</v>
      </c>
      <c r="CI82" s="87">
        <v>0</v>
      </c>
      <c r="CJ82" s="87">
        <v>1</v>
      </c>
    </row>
    <row r="83" spans="1:88" x14ac:dyDescent="0.35">
      <c r="A83" s="88" t="s">
        <v>225</v>
      </c>
      <c r="B83" s="89">
        <v>82</v>
      </c>
      <c r="C83" s="90" t="s">
        <v>95</v>
      </c>
      <c r="D83" s="90" t="s">
        <v>38</v>
      </c>
      <c r="E83" s="91">
        <v>40676</v>
      </c>
      <c r="F83" s="91" t="s">
        <v>226</v>
      </c>
      <c r="G83" s="91" t="s">
        <v>226</v>
      </c>
      <c r="H83" s="92" t="s">
        <v>167</v>
      </c>
      <c r="I83" s="93" t="s">
        <v>168</v>
      </c>
      <c r="J83" s="94">
        <v>0</v>
      </c>
      <c r="K83" s="94">
        <v>0</v>
      </c>
      <c r="L83" s="95">
        <v>0</v>
      </c>
      <c r="M83" s="96">
        <v>0.5</v>
      </c>
      <c r="N83" s="72">
        <v>294057.51</v>
      </c>
      <c r="O83" s="73">
        <v>0</v>
      </c>
      <c r="P83" s="73">
        <v>0</v>
      </c>
      <c r="Q83" s="74">
        <v>0</v>
      </c>
      <c r="R83" s="72">
        <v>280488.48</v>
      </c>
      <c r="S83" s="73">
        <v>0</v>
      </c>
      <c r="T83" s="73">
        <v>0</v>
      </c>
      <c r="U83" s="75">
        <v>0</v>
      </c>
      <c r="V83" s="93" t="s">
        <v>169</v>
      </c>
      <c r="W83" s="94">
        <v>0</v>
      </c>
      <c r="X83" s="94">
        <v>0</v>
      </c>
      <c r="Y83" s="95">
        <v>0</v>
      </c>
      <c r="Z83" s="96">
        <v>0.25</v>
      </c>
      <c r="AA83" s="72">
        <v>114995.08</v>
      </c>
      <c r="AB83" s="73">
        <v>0</v>
      </c>
      <c r="AC83" s="73">
        <v>0</v>
      </c>
      <c r="AD83" s="74">
        <v>0</v>
      </c>
      <c r="AE83" s="72">
        <v>115746.99999999999</v>
      </c>
      <c r="AF83" s="73">
        <v>0</v>
      </c>
      <c r="AG83" s="73">
        <v>0</v>
      </c>
      <c r="AH83" s="75">
        <v>0</v>
      </c>
      <c r="AI83" s="93" t="s">
        <v>170</v>
      </c>
      <c r="AJ83" s="94">
        <v>0</v>
      </c>
      <c r="AK83" s="94">
        <v>0</v>
      </c>
      <c r="AL83" s="95">
        <v>0</v>
      </c>
      <c r="AM83" s="96">
        <v>0.2</v>
      </c>
      <c r="AN83" s="72">
        <v>304464.31</v>
      </c>
      <c r="AO83" s="73">
        <v>0</v>
      </c>
      <c r="AP83" s="73">
        <v>0</v>
      </c>
      <c r="AQ83" s="74">
        <v>0</v>
      </c>
      <c r="AR83" s="72">
        <v>252801.66</v>
      </c>
      <c r="AS83" s="73">
        <v>0</v>
      </c>
      <c r="AT83" s="73">
        <v>0</v>
      </c>
      <c r="AU83" s="75">
        <v>0</v>
      </c>
      <c r="AV83" s="93" t="s">
        <v>171</v>
      </c>
      <c r="AW83" s="94">
        <v>0</v>
      </c>
      <c r="AX83" s="94">
        <v>0</v>
      </c>
      <c r="AY83" s="95">
        <v>0</v>
      </c>
      <c r="AZ83" s="97">
        <v>4.9999999999999989E-2</v>
      </c>
      <c r="BA83" s="72">
        <v>33504</v>
      </c>
      <c r="BB83" s="73">
        <v>0</v>
      </c>
      <c r="BC83" s="73">
        <v>0</v>
      </c>
      <c r="BD83" s="74">
        <v>0</v>
      </c>
      <c r="BE83" s="72">
        <v>27564</v>
      </c>
      <c r="BF83" s="73">
        <v>0</v>
      </c>
      <c r="BG83" s="73">
        <v>0</v>
      </c>
      <c r="BH83" s="75">
        <v>0</v>
      </c>
      <c r="BI83" s="98">
        <v>747020.9</v>
      </c>
      <c r="BJ83" s="99">
        <v>676601.14</v>
      </c>
      <c r="BK83" s="100">
        <v>0.57666666666666677</v>
      </c>
      <c r="BL83" s="100">
        <v>0.97</v>
      </c>
      <c r="BM83" s="62"/>
      <c r="BN83" s="80" t="s">
        <v>227</v>
      </c>
      <c r="BO83" s="81">
        <v>40768</v>
      </c>
      <c r="BP83" s="82">
        <v>3</v>
      </c>
      <c r="BQ83" s="82">
        <v>1</v>
      </c>
      <c r="BR83" s="82">
        <v>3</v>
      </c>
      <c r="BS83" s="80">
        <v>605000</v>
      </c>
      <c r="BT83" s="83">
        <v>1</v>
      </c>
      <c r="BU83" s="61"/>
      <c r="BV83" s="84">
        <v>1.048</v>
      </c>
      <c r="BW83" s="84">
        <v>0.99399999999999999</v>
      </c>
      <c r="BX83" s="84">
        <v>1.204</v>
      </c>
      <c r="BY83" s="84">
        <v>1.2150000000000001</v>
      </c>
      <c r="BZ83" s="62"/>
      <c r="CA83" s="85"/>
      <c r="CB83" s="85"/>
      <c r="CC83" s="85"/>
      <c r="CD83" s="85"/>
      <c r="CE83" s="62"/>
      <c r="CF83" s="86">
        <v>1.1000000000000001</v>
      </c>
      <c r="CG83" s="87">
        <v>1</v>
      </c>
      <c r="CH83" s="87">
        <v>2</v>
      </c>
      <c r="CI83" s="87">
        <v>0</v>
      </c>
      <c r="CJ83" s="87">
        <v>1</v>
      </c>
    </row>
    <row r="84" spans="1:88" x14ac:dyDescent="0.35">
      <c r="A84" s="88" t="s">
        <v>225</v>
      </c>
      <c r="B84" s="89">
        <v>83</v>
      </c>
      <c r="C84" s="90" t="s">
        <v>96</v>
      </c>
      <c r="D84" s="90" t="s">
        <v>38</v>
      </c>
      <c r="E84" s="91">
        <v>40676</v>
      </c>
      <c r="F84" s="91">
        <v>42767</v>
      </c>
      <c r="G84" s="91" t="s">
        <v>226</v>
      </c>
      <c r="H84" s="101" t="s">
        <v>167</v>
      </c>
      <c r="I84" s="93" t="s">
        <v>168</v>
      </c>
      <c r="J84" s="94">
        <v>0</v>
      </c>
      <c r="K84" s="94">
        <v>0</v>
      </c>
      <c r="L84" s="95">
        <v>0</v>
      </c>
      <c r="M84" s="96">
        <v>0.5</v>
      </c>
      <c r="N84" s="72">
        <v>304828</v>
      </c>
      <c r="O84" s="73"/>
      <c r="P84" s="73">
        <v>0</v>
      </c>
      <c r="Q84" s="74">
        <v>0</v>
      </c>
      <c r="R84" s="72">
        <v>280974</v>
      </c>
      <c r="S84" s="73">
        <v>0</v>
      </c>
      <c r="T84" s="73">
        <v>0</v>
      </c>
      <c r="U84" s="75">
        <v>0</v>
      </c>
      <c r="V84" s="93" t="s">
        <v>169</v>
      </c>
      <c r="W84" s="94">
        <v>0</v>
      </c>
      <c r="X84" s="94">
        <v>0</v>
      </c>
      <c r="Y84" s="95">
        <v>0</v>
      </c>
      <c r="Z84" s="96">
        <v>0.25</v>
      </c>
      <c r="AA84" s="72">
        <v>101767</v>
      </c>
      <c r="AB84" s="73"/>
      <c r="AC84" s="73"/>
      <c r="AD84" s="74"/>
      <c r="AE84" s="72">
        <v>127995</v>
      </c>
      <c r="AF84" s="73"/>
      <c r="AG84" s="73"/>
      <c r="AH84" s="75"/>
      <c r="AI84" s="93" t="s">
        <v>170</v>
      </c>
      <c r="AJ84" s="94">
        <v>0</v>
      </c>
      <c r="AK84" s="94">
        <v>0</v>
      </c>
      <c r="AL84" s="95">
        <v>0</v>
      </c>
      <c r="AM84" s="96">
        <v>0.2</v>
      </c>
      <c r="AN84" s="72">
        <v>90171</v>
      </c>
      <c r="AO84" s="73"/>
      <c r="AP84" s="73"/>
      <c r="AQ84" s="74"/>
      <c r="AR84" s="72">
        <v>79240</v>
      </c>
      <c r="AS84" s="73"/>
      <c r="AT84" s="73"/>
      <c r="AU84" s="75"/>
      <c r="AV84" s="93" t="s">
        <v>171</v>
      </c>
      <c r="AW84" s="94">
        <v>0</v>
      </c>
      <c r="AX84" s="94">
        <v>0</v>
      </c>
      <c r="AY84" s="95">
        <v>0</v>
      </c>
      <c r="AZ84" s="97">
        <v>4.9999999999999989E-2</v>
      </c>
      <c r="BA84" s="72">
        <v>33852</v>
      </c>
      <c r="BB84" s="73"/>
      <c r="BC84" s="73"/>
      <c r="BD84" s="74"/>
      <c r="BE84" s="72">
        <v>25704</v>
      </c>
      <c r="BF84" s="73"/>
      <c r="BG84" s="73"/>
      <c r="BH84" s="75"/>
      <c r="BI84" s="98">
        <v>530618</v>
      </c>
      <c r="BJ84" s="99">
        <v>513913</v>
      </c>
      <c r="BK84" s="100">
        <v>0</v>
      </c>
      <c r="BL84" s="100">
        <v>0.97</v>
      </c>
      <c r="BM84" s="62"/>
      <c r="BN84" s="80" t="s">
        <v>229</v>
      </c>
      <c r="BO84" s="81">
        <v>40768</v>
      </c>
      <c r="BP84" s="82">
        <v>1</v>
      </c>
      <c r="BQ84" s="82">
        <v>1</v>
      </c>
      <c r="BR84" s="82">
        <v>1</v>
      </c>
      <c r="BS84" s="80">
        <v>605000</v>
      </c>
      <c r="BT84" s="83">
        <v>0.33333333333333331</v>
      </c>
      <c r="BU84" s="61"/>
      <c r="BV84" s="84">
        <v>1.085</v>
      </c>
      <c r="BW84" s="84">
        <v>0.79500000000000004</v>
      </c>
      <c r="BX84" s="84">
        <v>1.1379999999999999</v>
      </c>
      <c r="BY84" s="84">
        <v>1.3169999999999999</v>
      </c>
      <c r="BZ84" s="62"/>
      <c r="CA84" s="85"/>
      <c r="CB84" s="85"/>
      <c r="CC84" s="85"/>
      <c r="CD84" s="85"/>
      <c r="CE84" s="62"/>
      <c r="CF84" s="86">
        <v>1.03</v>
      </c>
      <c r="CG84" s="87">
        <v>1</v>
      </c>
      <c r="CH84" s="87">
        <v>1.3</v>
      </c>
      <c r="CI84" s="87">
        <v>0</v>
      </c>
      <c r="CJ84" s="87">
        <v>1</v>
      </c>
    </row>
    <row r="85" spans="1:88" x14ac:dyDescent="0.35">
      <c r="A85" s="88" t="s">
        <v>225</v>
      </c>
      <c r="B85" s="89">
        <v>84</v>
      </c>
      <c r="C85" s="90" t="s">
        <v>97</v>
      </c>
      <c r="D85" s="90" t="s">
        <v>12</v>
      </c>
      <c r="E85" s="91">
        <v>42705</v>
      </c>
      <c r="F85" s="91" t="s">
        <v>226</v>
      </c>
      <c r="G85" s="91" t="s">
        <v>226</v>
      </c>
      <c r="H85" s="101" t="s">
        <v>156</v>
      </c>
      <c r="I85" s="93" t="s">
        <v>157</v>
      </c>
      <c r="J85" s="94" t="s">
        <v>158</v>
      </c>
      <c r="K85" s="94">
        <v>0</v>
      </c>
      <c r="L85" s="95">
        <v>0</v>
      </c>
      <c r="M85" s="96">
        <v>0.3</v>
      </c>
      <c r="N85" s="72">
        <v>11259</v>
      </c>
      <c r="O85" s="73">
        <v>3317.6</v>
      </c>
      <c r="P85" s="73">
        <v>0</v>
      </c>
      <c r="Q85" s="74">
        <v>0</v>
      </c>
      <c r="R85" s="72">
        <v>8100</v>
      </c>
      <c r="S85" s="73">
        <v>2760.7999999999997</v>
      </c>
      <c r="T85" s="73">
        <v>0</v>
      </c>
      <c r="U85" s="75">
        <v>0</v>
      </c>
      <c r="V85" s="93" t="s">
        <v>159</v>
      </c>
      <c r="W85" s="94" t="s">
        <v>160</v>
      </c>
      <c r="X85" s="94" t="s">
        <v>161</v>
      </c>
      <c r="Y85" s="95">
        <v>0</v>
      </c>
      <c r="Z85" s="96">
        <v>0.25</v>
      </c>
      <c r="AA85" s="72">
        <v>29872</v>
      </c>
      <c r="AB85" s="73">
        <v>0</v>
      </c>
      <c r="AC85" s="73">
        <v>31</v>
      </c>
      <c r="AD85" s="74">
        <v>0</v>
      </c>
      <c r="AE85" s="72">
        <v>10336</v>
      </c>
      <c r="AF85" s="73">
        <v>83.149999999999991</v>
      </c>
      <c r="AG85" s="73">
        <v>279</v>
      </c>
      <c r="AH85" s="75">
        <v>0</v>
      </c>
      <c r="AI85" s="93" t="s">
        <v>151</v>
      </c>
      <c r="AJ85" s="94">
        <v>0</v>
      </c>
      <c r="AK85" s="94">
        <v>0</v>
      </c>
      <c r="AL85" s="95">
        <v>0</v>
      </c>
      <c r="AM85" s="96">
        <v>0.25</v>
      </c>
      <c r="AN85" s="72">
        <v>5002.5300000000007</v>
      </c>
      <c r="AO85" s="73">
        <v>0</v>
      </c>
      <c r="AP85" s="73">
        <v>0</v>
      </c>
      <c r="AQ85" s="74">
        <v>0</v>
      </c>
      <c r="AR85" s="72">
        <v>3070.86</v>
      </c>
      <c r="AS85" s="73">
        <v>0</v>
      </c>
      <c r="AT85" s="73">
        <v>0</v>
      </c>
      <c r="AU85" s="75">
        <v>0</v>
      </c>
      <c r="AV85" s="93" t="s">
        <v>162</v>
      </c>
      <c r="AW85" s="94" t="s">
        <v>150</v>
      </c>
      <c r="AX85" s="94" t="s">
        <v>149</v>
      </c>
      <c r="AY85" s="95">
        <v>0</v>
      </c>
      <c r="AZ85" s="97">
        <v>0.19999999999999996</v>
      </c>
      <c r="BA85" s="72">
        <v>3243.86</v>
      </c>
      <c r="BB85" s="73">
        <v>843.2</v>
      </c>
      <c r="BC85" s="73">
        <v>697.61650000000009</v>
      </c>
      <c r="BD85" s="74">
        <v>0</v>
      </c>
      <c r="BE85" s="72">
        <v>2202.36</v>
      </c>
      <c r="BF85" s="73">
        <v>886.6</v>
      </c>
      <c r="BG85" s="73">
        <v>500.303</v>
      </c>
      <c r="BH85" s="75">
        <v>0</v>
      </c>
      <c r="BI85" s="98">
        <v>54266.806499999999</v>
      </c>
      <c r="BJ85" s="99">
        <v>28219.072999999997</v>
      </c>
      <c r="BK85" s="100" t="s">
        <v>226</v>
      </c>
      <c r="BL85" s="100">
        <v>0.92</v>
      </c>
      <c r="BM85" s="62"/>
      <c r="BN85" s="80" t="s">
        <v>228</v>
      </c>
      <c r="BO85" s="81">
        <v>42795</v>
      </c>
      <c r="BP85" s="82">
        <v>1</v>
      </c>
      <c r="BQ85" s="82">
        <v>3</v>
      </c>
      <c r="BR85" s="82">
        <v>3</v>
      </c>
      <c r="BS85" s="80">
        <v>329604</v>
      </c>
      <c r="BT85" s="83">
        <v>0.33333333333333331</v>
      </c>
      <c r="BU85" s="61"/>
      <c r="BV85" s="84">
        <v>1.3420000000000001</v>
      </c>
      <c r="BW85" s="84">
        <v>2.7949999999999999</v>
      </c>
      <c r="BX85" s="84">
        <v>1.629</v>
      </c>
      <c r="BY85" s="84">
        <v>1.333</v>
      </c>
      <c r="BZ85" s="62"/>
      <c r="CA85" s="85"/>
      <c r="CB85" s="85"/>
      <c r="CC85" s="85"/>
      <c r="CD85" s="85"/>
      <c r="CE85" s="62"/>
      <c r="CF85" s="86">
        <v>1.92</v>
      </c>
      <c r="CG85" s="87">
        <v>1</v>
      </c>
      <c r="CH85" s="87">
        <v>2.5</v>
      </c>
      <c r="CI85" s="87">
        <v>0</v>
      </c>
      <c r="CJ85" s="87">
        <v>0.5</v>
      </c>
    </row>
    <row r="86" spans="1:88" x14ac:dyDescent="0.35">
      <c r="A86" s="88" t="s">
        <v>225</v>
      </c>
      <c r="B86" s="89">
        <v>85</v>
      </c>
      <c r="C86" s="90" t="s">
        <v>98</v>
      </c>
      <c r="D86" s="90" t="s">
        <v>12</v>
      </c>
      <c r="E86" s="91">
        <v>42705</v>
      </c>
      <c r="F86" s="91" t="s">
        <v>226</v>
      </c>
      <c r="G86" s="91" t="s">
        <v>226</v>
      </c>
      <c r="H86" s="101" t="s">
        <v>156</v>
      </c>
      <c r="I86" s="93" t="s">
        <v>157</v>
      </c>
      <c r="J86" s="94" t="s">
        <v>158</v>
      </c>
      <c r="K86" s="94">
        <v>0</v>
      </c>
      <c r="L86" s="95">
        <v>0</v>
      </c>
      <c r="M86" s="96">
        <v>0.3</v>
      </c>
      <c r="N86" s="72">
        <v>14323.5</v>
      </c>
      <c r="O86" s="73">
        <v>7922.8</v>
      </c>
      <c r="P86" s="73">
        <v>0</v>
      </c>
      <c r="Q86" s="74">
        <v>0</v>
      </c>
      <c r="R86" s="72">
        <v>16348.5</v>
      </c>
      <c r="S86" s="73">
        <v>8769.5999999999985</v>
      </c>
      <c r="T86" s="73">
        <v>0</v>
      </c>
      <c r="U86" s="75">
        <v>0</v>
      </c>
      <c r="V86" s="93" t="s">
        <v>159</v>
      </c>
      <c r="W86" s="94" t="s">
        <v>160</v>
      </c>
      <c r="X86" s="94" t="s">
        <v>161</v>
      </c>
      <c r="Y86" s="95">
        <v>0</v>
      </c>
      <c r="Z86" s="96">
        <v>0.25</v>
      </c>
      <c r="AA86" s="72">
        <v>19990.5</v>
      </c>
      <c r="AB86" s="73">
        <v>881.39</v>
      </c>
      <c r="AC86" s="73">
        <v>124</v>
      </c>
      <c r="AD86" s="74">
        <v>0</v>
      </c>
      <c r="AE86" s="72">
        <v>11206.5</v>
      </c>
      <c r="AF86" s="73">
        <v>831.5</v>
      </c>
      <c r="AG86" s="73">
        <v>620</v>
      </c>
      <c r="AH86" s="75">
        <v>0</v>
      </c>
      <c r="AI86" s="93" t="s">
        <v>151</v>
      </c>
      <c r="AJ86" s="94">
        <v>0</v>
      </c>
      <c r="AK86" s="94">
        <v>0</v>
      </c>
      <c r="AL86" s="95">
        <v>0</v>
      </c>
      <c r="AM86" s="96">
        <v>0.25</v>
      </c>
      <c r="AN86" s="72">
        <v>5844.5400000000009</v>
      </c>
      <c r="AO86" s="73">
        <v>0</v>
      </c>
      <c r="AP86" s="73">
        <v>0</v>
      </c>
      <c r="AQ86" s="74">
        <v>0</v>
      </c>
      <c r="AR86" s="72">
        <v>5976.6200000000008</v>
      </c>
      <c r="AS86" s="73">
        <v>0</v>
      </c>
      <c r="AT86" s="73">
        <v>0</v>
      </c>
      <c r="AU86" s="75">
        <v>0</v>
      </c>
      <c r="AV86" s="93" t="s">
        <v>162</v>
      </c>
      <c r="AW86" s="94" t="s">
        <v>150</v>
      </c>
      <c r="AX86" s="94" t="s">
        <v>149</v>
      </c>
      <c r="AY86" s="95">
        <v>0</v>
      </c>
      <c r="AZ86" s="97">
        <v>0.19999999999999996</v>
      </c>
      <c r="BA86" s="72">
        <v>9107.880000000001</v>
      </c>
      <c r="BB86" s="73">
        <v>957.90000000000009</v>
      </c>
      <c r="BC86" s="73">
        <v>1148.4085</v>
      </c>
      <c r="BD86" s="74">
        <v>0</v>
      </c>
      <c r="BE86" s="72">
        <v>5607.9000000000005</v>
      </c>
      <c r="BF86" s="73">
        <v>1142.4000000000001</v>
      </c>
      <c r="BG86" s="73">
        <v>1033.2040000000002</v>
      </c>
      <c r="BH86" s="75">
        <v>0</v>
      </c>
      <c r="BI86" s="98">
        <v>60300.9185</v>
      </c>
      <c r="BJ86" s="99">
        <v>51536.224000000002</v>
      </c>
      <c r="BK86" s="100" t="s">
        <v>226</v>
      </c>
      <c r="BL86" s="100">
        <v>0.82</v>
      </c>
      <c r="BM86" s="62"/>
      <c r="BN86" s="80" t="s">
        <v>228</v>
      </c>
      <c r="BO86" s="81">
        <v>42795</v>
      </c>
      <c r="BP86" s="82">
        <v>1</v>
      </c>
      <c r="BQ86" s="82">
        <v>3</v>
      </c>
      <c r="BR86" s="82">
        <v>3</v>
      </c>
      <c r="BS86" s="80">
        <v>329604</v>
      </c>
      <c r="BT86" s="83">
        <v>0.33333333333333331</v>
      </c>
      <c r="BU86" s="61"/>
      <c r="BV86" s="84">
        <v>0.88600000000000001</v>
      </c>
      <c r="BW86" s="84">
        <v>1.659</v>
      </c>
      <c r="BX86" s="84">
        <v>0.97799999999999998</v>
      </c>
      <c r="BY86" s="84">
        <v>1.4410000000000001</v>
      </c>
      <c r="BZ86" s="62"/>
      <c r="CA86" s="85"/>
      <c r="CB86" s="85"/>
      <c r="CC86" s="85"/>
      <c r="CD86" s="85"/>
      <c r="CE86" s="62"/>
      <c r="CF86" s="86">
        <v>1.17</v>
      </c>
      <c r="CG86" s="87">
        <v>1</v>
      </c>
      <c r="CH86" s="87">
        <v>2.35</v>
      </c>
      <c r="CI86" s="87">
        <v>0</v>
      </c>
      <c r="CJ86" s="87">
        <v>0.5</v>
      </c>
    </row>
    <row r="87" spans="1:88" x14ac:dyDescent="0.35">
      <c r="A87" s="88" t="s">
        <v>225</v>
      </c>
      <c r="B87" s="89">
        <v>86</v>
      </c>
      <c r="C87" s="90" t="s">
        <v>99</v>
      </c>
      <c r="D87" s="90" t="s">
        <v>21</v>
      </c>
      <c r="E87" s="91">
        <v>41899</v>
      </c>
      <c r="F87" s="91">
        <v>42767</v>
      </c>
      <c r="G87" s="91" t="s">
        <v>226</v>
      </c>
      <c r="H87" s="101" t="s">
        <v>166</v>
      </c>
      <c r="I87" s="93" t="s">
        <v>149</v>
      </c>
      <c r="J87" s="94">
        <v>0</v>
      </c>
      <c r="K87" s="94">
        <v>0</v>
      </c>
      <c r="L87" s="95">
        <v>0</v>
      </c>
      <c r="M87" s="96">
        <v>0.4</v>
      </c>
      <c r="N87" s="72">
        <v>33238</v>
      </c>
      <c r="O87" s="73">
        <v>0</v>
      </c>
      <c r="P87" s="73">
        <v>0</v>
      </c>
      <c r="Q87" s="74">
        <v>0</v>
      </c>
      <c r="R87" s="72">
        <v>33187</v>
      </c>
      <c r="S87" s="73">
        <v>0</v>
      </c>
      <c r="T87" s="73">
        <v>0</v>
      </c>
      <c r="U87" s="75">
        <v>0</v>
      </c>
      <c r="V87" s="93" t="s">
        <v>150</v>
      </c>
      <c r="W87" s="94">
        <v>0</v>
      </c>
      <c r="X87" s="94">
        <v>0</v>
      </c>
      <c r="Y87" s="95">
        <v>0</v>
      </c>
      <c r="Z87" s="96">
        <v>0.35</v>
      </c>
      <c r="AA87" s="72">
        <v>22165</v>
      </c>
      <c r="AB87" s="73"/>
      <c r="AC87" s="73"/>
      <c r="AD87" s="74"/>
      <c r="AE87" s="72">
        <v>21673</v>
      </c>
      <c r="AF87" s="73"/>
      <c r="AG87" s="73"/>
      <c r="AH87" s="75"/>
      <c r="AI87" s="93" t="s">
        <v>153</v>
      </c>
      <c r="AJ87" s="94" t="s">
        <v>154</v>
      </c>
      <c r="AK87" s="94">
        <v>0</v>
      </c>
      <c r="AL87" s="95">
        <v>0</v>
      </c>
      <c r="AM87" s="96">
        <v>0.25</v>
      </c>
      <c r="AN87" s="72">
        <v>3012</v>
      </c>
      <c r="AO87" s="73">
        <v>3912</v>
      </c>
      <c r="AP87" s="73"/>
      <c r="AQ87" s="74"/>
      <c r="AR87" s="72">
        <v>2040</v>
      </c>
      <c r="AS87" s="73">
        <v>3312</v>
      </c>
      <c r="AT87" s="73"/>
      <c r="AU87" s="75"/>
      <c r="AV87" s="93">
        <v>0</v>
      </c>
      <c r="AW87" s="94">
        <v>0</v>
      </c>
      <c r="AX87" s="94">
        <v>0</v>
      </c>
      <c r="AY87" s="95">
        <v>0</v>
      </c>
      <c r="AZ87" s="97">
        <v>0</v>
      </c>
      <c r="BA87" s="72"/>
      <c r="BB87" s="73"/>
      <c r="BC87" s="73"/>
      <c r="BD87" s="74"/>
      <c r="BE87" s="72"/>
      <c r="BF87" s="73"/>
      <c r="BG87" s="73"/>
      <c r="BH87" s="75"/>
      <c r="BI87" s="98">
        <v>62327</v>
      </c>
      <c r="BJ87" s="99">
        <v>60212</v>
      </c>
      <c r="BK87" s="100"/>
      <c r="BL87" s="100"/>
      <c r="BM87" s="62"/>
      <c r="BN87" s="80" t="s">
        <v>229</v>
      </c>
      <c r="BO87" s="81">
        <v>41990</v>
      </c>
      <c r="BP87" s="82">
        <v>1</v>
      </c>
      <c r="BQ87" s="82">
        <v>1</v>
      </c>
      <c r="BR87" s="82">
        <v>1</v>
      </c>
      <c r="BS87" s="80">
        <v>329604</v>
      </c>
      <c r="BT87" s="83">
        <v>0.33333333333333331</v>
      </c>
      <c r="BU87" s="61"/>
      <c r="BV87" s="84">
        <v>1.002</v>
      </c>
      <c r="BW87" s="84">
        <v>1.0229999999999999</v>
      </c>
      <c r="BX87" s="84">
        <v>1.294</v>
      </c>
      <c r="BY87" s="84">
        <v>0</v>
      </c>
      <c r="BZ87" s="62"/>
      <c r="CA87" s="85"/>
      <c r="CB87" s="85"/>
      <c r="CC87" s="85"/>
      <c r="CD87" s="85"/>
      <c r="CE87" s="62"/>
      <c r="CF87" s="86">
        <v>1.04</v>
      </c>
      <c r="CG87" s="87">
        <v>1</v>
      </c>
      <c r="CH87" s="87">
        <v>1.4</v>
      </c>
      <c r="CI87" s="87">
        <v>0</v>
      </c>
      <c r="CJ87" s="87">
        <v>0</v>
      </c>
    </row>
    <row r="88" spans="1:88" x14ac:dyDescent="0.35">
      <c r="A88" s="88" t="s">
        <v>225</v>
      </c>
      <c r="B88" s="89">
        <v>87</v>
      </c>
      <c r="C88" s="90" t="s">
        <v>106</v>
      </c>
      <c r="D88" s="90" t="s">
        <v>12</v>
      </c>
      <c r="E88" s="91">
        <v>42781</v>
      </c>
      <c r="F88" s="91" t="s">
        <v>226</v>
      </c>
      <c r="G88" s="91" t="s">
        <v>226</v>
      </c>
      <c r="H88" s="101" t="s">
        <v>164</v>
      </c>
      <c r="I88" s="93" t="s">
        <v>157</v>
      </c>
      <c r="J88" s="94">
        <v>0</v>
      </c>
      <c r="K88" s="94">
        <v>0</v>
      </c>
      <c r="L88" s="95">
        <v>0</v>
      </c>
      <c r="M88" s="96">
        <v>0.45</v>
      </c>
      <c r="N88" s="72">
        <v>53662.5</v>
      </c>
      <c r="O88" s="73">
        <v>0</v>
      </c>
      <c r="P88" s="73">
        <v>0</v>
      </c>
      <c r="Q88" s="74">
        <v>0</v>
      </c>
      <c r="R88" s="72">
        <v>55431</v>
      </c>
      <c r="S88" s="73">
        <v>0</v>
      </c>
      <c r="T88" s="73">
        <v>0</v>
      </c>
      <c r="U88" s="75">
        <v>0</v>
      </c>
      <c r="V88" s="93" t="s">
        <v>158</v>
      </c>
      <c r="W88" s="94">
        <v>0</v>
      </c>
      <c r="X88" s="94">
        <v>0</v>
      </c>
      <c r="Y88" s="95">
        <v>0</v>
      </c>
      <c r="Z88" s="96">
        <v>0.25</v>
      </c>
      <c r="AA88" s="72">
        <v>24882</v>
      </c>
      <c r="AB88" s="73">
        <v>0</v>
      </c>
      <c r="AC88" s="73">
        <v>0</v>
      </c>
      <c r="AD88" s="74">
        <v>0</v>
      </c>
      <c r="AE88" s="72">
        <v>23687.199999999997</v>
      </c>
      <c r="AF88" s="73">
        <v>0</v>
      </c>
      <c r="AG88" s="73">
        <v>0</v>
      </c>
      <c r="AH88" s="75">
        <v>0</v>
      </c>
      <c r="AI88" s="93" t="s">
        <v>150</v>
      </c>
      <c r="AJ88" s="94" t="s">
        <v>165</v>
      </c>
      <c r="AK88" s="94">
        <v>0</v>
      </c>
      <c r="AL88" s="95">
        <v>0</v>
      </c>
      <c r="AM88" s="96">
        <v>0.25</v>
      </c>
      <c r="AN88" s="72">
        <v>6875.2000000000007</v>
      </c>
      <c r="AO88" s="73">
        <v>66.66</v>
      </c>
      <c r="AP88" s="73">
        <v>0</v>
      </c>
      <c r="AQ88" s="74">
        <v>0</v>
      </c>
      <c r="AR88" s="72">
        <v>6143.5</v>
      </c>
      <c r="AS88" s="73">
        <v>1399.8600000000001</v>
      </c>
      <c r="AT88" s="73">
        <v>0</v>
      </c>
      <c r="AU88" s="75">
        <v>0</v>
      </c>
      <c r="AV88" s="93" t="s">
        <v>149</v>
      </c>
      <c r="AW88" s="94">
        <v>0</v>
      </c>
      <c r="AX88" s="94">
        <v>0</v>
      </c>
      <c r="AY88" s="95">
        <v>0</v>
      </c>
      <c r="AZ88" s="97">
        <v>5.0000000000000044E-2</v>
      </c>
      <c r="BA88" s="72">
        <v>5524.2157500000003</v>
      </c>
      <c r="BB88" s="73">
        <v>0</v>
      </c>
      <c r="BC88" s="73">
        <v>0</v>
      </c>
      <c r="BD88" s="74">
        <v>0</v>
      </c>
      <c r="BE88" s="72">
        <v>4951.5205000000005</v>
      </c>
      <c r="BF88" s="73">
        <v>0</v>
      </c>
      <c r="BG88" s="73">
        <v>0</v>
      </c>
      <c r="BH88" s="75">
        <v>0</v>
      </c>
      <c r="BI88" s="98">
        <v>91010.575750000004</v>
      </c>
      <c r="BJ88" s="99">
        <v>91613.080499999996</v>
      </c>
      <c r="BK88" s="100"/>
      <c r="BL88" s="100"/>
      <c r="BM88" s="62"/>
      <c r="BN88" s="80" t="s">
        <v>228</v>
      </c>
      <c r="BO88" s="81">
        <v>42870</v>
      </c>
      <c r="BP88" s="82">
        <v>0</v>
      </c>
      <c r="BQ88" s="82">
        <v>6</v>
      </c>
      <c r="BR88" s="82">
        <v>3</v>
      </c>
      <c r="BS88" s="80">
        <v>329604</v>
      </c>
      <c r="BT88" s="83">
        <v>0</v>
      </c>
      <c r="BU88" s="61"/>
      <c r="BV88" s="84">
        <v>0.96799999999999997</v>
      </c>
      <c r="BW88" s="84">
        <v>1.05</v>
      </c>
      <c r="BX88" s="84">
        <v>0.92</v>
      </c>
      <c r="BY88" s="84">
        <v>1.1160000000000001</v>
      </c>
      <c r="BZ88" s="62"/>
      <c r="CA88" s="85"/>
      <c r="CB88" s="85"/>
      <c r="CC88" s="85"/>
      <c r="CD88" s="85"/>
      <c r="CE88" s="62"/>
      <c r="CF88" s="86">
        <v>0.99</v>
      </c>
      <c r="CG88" s="87">
        <v>1</v>
      </c>
      <c r="CH88" s="87">
        <v>0.96</v>
      </c>
      <c r="CI88" s="87">
        <v>0</v>
      </c>
      <c r="CJ88" s="87">
        <v>0</v>
      </c>
    </row>
    <row r="89" spans="1:88" x14ac:dyDescent="0.35">
      <c r="A89" s="88" t="s">
        <v>225</v>
      </c>
      <c r="B89" s="89">
        <v>88</v>
      </c>
      <c r="C89" s="90" t="s">
        <v>226</v>
      </c>
      <c r="D89" s="90" t="s">
        <v>226</v>
      </c>
      <c r="E89" s="91" t="s">
        <v>226</v>
      </c>
      <c r="F89" s="91" t="s">
        <v>226</v>
      </c>
      <c r="G89" s="91" t="s">
        <v>226</v>
      </c>
      <c r="H89" s="101"/>
      <c r="I89" s="93">
        <v>0</v>
      </c>
      <c r="J89" s="94">
        <v>0</v>
      </c>
      <c r="K89" s="94">
        <v>0</v>
      </c>
      <c r="L89" s="95">
        <v>0</v>
      </c>
      <c r="M89" s="96">
        <v>0</v>
      </c>
      <c r="N89" s="72"/>
      <c r="O89" s="73"/>
      <c r="P89" s="73"/>
      <c r="Q89" s="74"/>
      <c r="R89" s="72"/>
      <c r="S89" s="73"/>
      <c r="T89" s="73"/>
      <c r="U89" s="75"/>
      <c r="V89" s="93">
        <v>0</v>
      </c>
      <c r="W89" s="94">
        <v>0</v>
      </c>
      <c r="X89" s="94">
        <v>0</v>
      </c>
      <c r="Y89" s="95">
        <v>0</v>
      </c>
      <c r="Z89" s="96">
        <v>0</v>
      </c>
      <c r="AA89" s="72"/>
      <c r="AB89" s="73"/>
      <c r="AC89" s="73"/>
      <c r="AD89" s="74"/>
      <c r="AE89" s="72"/>
      <c r="AF89" s="73"/>
      <c r="AG89" s="73"/>
      <c r="AH89" s="75"/>
      <c r="AI89" s="93">
        <v>0</v>
      </c>
      <c r="AJ89" s="94">
        <v>0</v>
      </c>
      <c r="AK89" s="94">
        <v>0</v>
      </c>
      <c r="AL89" s="95">
        <v>0</v>
      </c>
      <c r="AM89" s="96">
        <v>0</v>
      </c>
      <c r="AN89" s="72"/>
      <c r="AO89" s="73"/>
      <c r="AP89" s="73"/>
      <c r="AQ89" s="74"/>
      <c r="AR89" s="72"/>
      <c r="AS89" s="73"/>
      <c r="AT89" s="73"/>
      <c r="AU89" s="75"/>
      <c r="AV89" s="93">
        <v>0</v>
      </c>
      <c r="AW89" s="94">
        <v>0</v>
      </c>
      <c r="AX89" s="94">
        <v>0</v>
      </c>
      <c r="AY89" s="95">
        <v>0</v>
      </c>
      <c r="AZ89" s="97">
        <v>1</v>
      </c>
      <c r="BA89" s="72"/>
      <c r="BB89" s="73"/>
      <c r="BC89" s="73"/>
      <c r="BD89" s="74"/>
      <c r="BE89" s="72"/>
      <c r="BF89" s="73"/>
      <c r="BG89" s="73"/>
      <c r="BH89" s="75"/>
      <c r="BI89" s="98">
        <v>0</v>
      </c>
      <c r="BJ89" s="99">
        <v>0</v>
      </c>
      <c r="BK89" s="100"/>
      <c r="BL89" s="100"/>
      <c r="BM89" s="62"/>
      <c r="BN89" s="80" t="e">
        <v>#VALUE!</v>
      </c>
      <c r="BO89" s="81" t="e">
        <v>#VALUE!</v>
      </c>
      <c r="BP89" s="82" t="e">
        <v>#VALUE!</v>
      </c>
      <c r="BQ89" s="82" t="e">
        <v>#VALUE!</v>
      </c>
      <c r="BR89" s="82" t="e">
        <v>#VALUE!</v>
      </c>
      <c r="BS89" s="80">
        <v>0</v>
      </c>
      <c r="BT89" s="83" t="s">
        <v>226</v>
      </c>
      <c r="BU89" s="61"/>
      <c r="BV89" s="84">
        <v>0</v>
      </c>
      <c r="BW89" s="84">
        <v>0</v>
      </c>
      <c r="BX89" s="84">
        <v>0</v>
      </c>
      <c r="BY89" s="84">
        <v>0</v>
      </c>
      <c r="BZ89" s="62"/>
      <c r="CA89" s="85"/>
      <c r="CB89" s="85"/>
      <c r="CC89" s="85"/>
      <c r="CD89" s="85"/>
      <c r="CE89" s="62"/>
      <c r="CF89" s="86">
        <v>0</v>
      </c>
      <c r="CG89" s="87">
        <v>0</v>
      </c>
      <c r="CH89" s="87">
        <v>0</v>
      </c>
      <c r="CI89" s="87">
        <v>0</v>
      </c>
      <c r="CJ89" s="87">
        <v>0</v>
      </c>
    </row>
    <row r="90" spans="1:88" x14ac:dyDescent="0.35">
      <c r="A90" s="88" t="s">
        <v>225</v>
      </c>
      <c r="B90" s="89">
        <v>89</v>
      </c>
      <c r="C90" s="102" t="s">
        <v>226</v>
      </c>
      <c r="D90" s="102" t="s">
        <v>226</v>
      </c>
      <c r="E90" s="103" t="s">
        <v>226</v>
      </c>
      <c r="F90" s="103" t="s">
        <v>226</v>
      </c>
      <c r="G90" s="103" t="s">
        <v>226</v>
      </c>
      <c r="H90" s="101"/>
      <c r="I90" s="93">
        <v>0</v>
      </c>
      <c r="J90" s="94">
        <v>0</v>
      </c>
      <c r="K90" s="94">
        <v>0</v>
      </c>
      <c r="L90" s="95">
        <v>0</v>
      </c>
      <c r="M90" s="96">
        <v>0</v>
      </c>
      <c r="N90" s="72"/>
      <c r="O90" s="73"/>
      <c r="P90" s="73"/>
      <c r="Q90" s="74"/>
      <c r="R90" s="72"/>
      <c r="S90" s="73"/>
      <c r="T90" s="73"/>
      <c r="U90" s="75"/>
      <c r="V90" s="93">
        <v>0</v>
      </c>
      <c r="W90" s="94">
        <v>0</v>
      </c>
      <c r="X90" s="94">
        <v>0</v>
      </c>
      <c r="Y90" s="95">
        <v>0</v>
      </c>
      <c r="Z90" s="96">
        <v>0</v>
      </c>
      <c r="AA90" s="72"/>
      <c r="AB90" s="73"/>
      <c r="AC90" s="73"/>
      <c r="AD90" s="74"/>
      <c r="AE90" s="72"/>
      <c r="AF90" s="73"/>
      <c r="AG90" s="73"/>
      <c r="AH90" s="75"/>
      <c r="AI90" s="93">
        <v>0</v>
      </c>
      <c r="AJ90" s="94">
        <v>0</v>
      </c>
      <c r="AK90" s="94">
        <v>0</v>
      </c>
      <c r="AL90" s="95">
        <v>0</v>
      </c>
      <c r="AM90" s="96">
        <v>0</v>
      </c>
      <c r="AN90" s="72"/>
      <c r="AO90" s="73"/>
      <c r="AP90" s="73"/>
      <c r="AQ90" s="74"/>
      <c r="AR90" s="72"/>
      <c r="AS90" s="73"/>
      <c r="AT90" s="73"/>
      <c r="AU90" s="75"/>
      <c r="AV90" s="93">
        <v>0</v>
      </c>
      <c r="AW90" s="94">
        <v>0</v>
      </c>
      <c r="AX90" s="94">
        <v>0</v>
      </c>
      <c r="AY90" s="95">
        <v>0</v>
      </c>
      <c r="AZ90" s="97">
        <v>1</v>
      </c>
      <c r="BA90" s="72"/>
      <c r="BB90" s="73"/>
      <c r="BC90" s="73"/>
      <c r="BD90" s="74"/>
      <c r="BE90" s="72"/>
      <c r="BF90" s="73"/>
      <c r="BG90" s="73"/>
      <c r="BH90" s="75"/>
      <c r="BI90" s="98">
        <v>0</v>
      </c>
      <c r="BJ90" s="99">
        <v>0</v>
      </c>
      <c r="BK90" s="100"/>
      <c r="BL90" s="100"/>
      <c r="BM90" s="62"/>
      <c r="BN90" s="80" t="e">
        <v>#VALUE!</v>
      </c>
      <c r="BO90" s="81" t="e">
        <v>#VALUE!</v>
      </c>
      <c r="BP90" s="82" t="e">
        <v>#VALUE!</v>
      </c>
      <c r="BQ90" s="82" t="e">
        <v>#VALUE!</v>
      </c>
      <c r="BR90" s="82" t="e">
        <v>#VALUE!</v>
      </c>
      <c r="BS90" s="80">
        <v>0</v>
      </c>
      <c r="BT90" s="83" t="s">
        <v>226</v>
      </c>
      <c r="BU90" s="61"/>
      <c r="BV90" s="84">
        <v>0</v>
      </c>
      <c r="BW90" s="84">
        <v>0</v>
      </c>
      <c r="BX90" s="84">
        <v>0</v>
      </c>
      <c r="BY90" s="84">
        <v>0</v>
      </c>
      <c r="BZ90" s="62"/>
      <c r="CA90" s="85"/>
      <c r="CB90" s="85"/>
      <c r="CC90" s="85"/>
      <c r="CD90" s="85"/>
      <c r="CE90" s="62"/>
      <c r="CF90" s="86">
        <v>0</v>
      </c>
      <c r="CG90" s="87">
        <v>0</v>
      </c>
      <c r="CH90" s="87">
        <v>0</v>
      </c>
      <c r="CI90" s="87">
        <v>0</v>
      </c>
      <c r="CJ90" s="87">
        <v>0</v>
      </c>
    </row>
    <row r="91" spans="1:88" x14ac:dyDescent="0.35">
      <c r="A91" s="88" t="s">
        <v>225</v>
      </c>
      <c r="B91" s="89">
        <v>90</v>
      </c>
      <c r="C91" s="102" t="s">
        <v>226</v>
      </c>
      <c r="D91" s="102" t="s">
        <v>226</v>
      </c>
      <c r="E91" s="103" t="s">
        <v>226</v>
      </c>
      <c r="F91" s="103" t="s">
        <v>226</v>
      </c>
      <c r="G91" s="103" t="s">
        <v>226</v>
      </c>
      <c r="H91" s="101"/>
      <c r="I91" s="93">
        <v>0</v>
      </c>
      <c r="J91" s="94">
        <v>0</v>
      </c>
      <c r="K91" s="94">
        <v>0</v>
      </c>
      <c r="L91" s="95">
        <v>0</v>
      </c>
      <c r="M91" s="96">
        <v>0</v>
      </c>
      <c r="N91" s="72"/>
      <c r="O91" s="73"/>
      <c r="P91" s="73"/>
      <c r="Q91" s="74"/>
      <c r="R91" s="72"/>
      <c r="S91" s="73"/>
      <c r="T91" s="73"/>
      <c r="U91" s="75"/>
      <c r="V91" s="93">
        <v>0</v>
      </c>
      <c r="W91" s="94">
        <v>0</v>
      </c>
      <c r="X91" s="94">
        <v>0</v>
      </c>
      <c r="Y91" s="95">
        <v>0</v>
      </c>
      <c r="Z91" s="96">
        <v>0</v>
      </c>
      <c r="AA91" s="72"/>
      <c r="AB91" s="73"/>
      <c r="AC91" s="73"/>
      <c r="AD91" s="74"/>
      <c r="AE91" s="72"/>
      <c r="AF91" s="73"/>
      <c r="AG91" s="73"/>
      <c r="AH91" s="75"/>
      <c r="AI91" s="93">
        <v>0</v>
      </c>
      <c r="AJ91" s="94">
        <v>0</v>
      </c>
      <c r="AK91" s="94">
        <v>0</v>
      </c>
      <c r="AL91" s="95">
        <v>0</v>
      </c>
      <c r="AM91" s="96">
        <v>0</v>
      </c>
      <c r="AN91" s="72"/>
      <c r="AO91" s="73"/>
      <c r="AP91" s="73"/>
      <c r="AQ91" s="74"/>
      <c r="AR91" s="72"/>
      <c r="AS91" s="73"/>
      <c r="AT91" s="73"/>
      <c r="AU91" s="75"/>
      <c r="AV91" s="93">
        <v>0</v>
      </c>
      <c r="AW91" s="94">
        <v>0</v>
      </c>
      <c r="AX91" s="94">
        <v>0</v>
      </c>
      <c r="AY91" s="95">
        <v>0</v>
      </c>
      <c r="AZ91" s="97">
        <v>1</v>
      </c>
      <c r="BA91" s="72"/>
      <c r="BB91" s="73"/>
      <c r="BC91" s="73"/>
      <c r="BD91" s="74"/>
      <c r="BE91" s="72"/>
      <c r="BF91" s="73"/>
      <c r="BG91" s="73"/>
      <c r="BH91" s="75"/>
      <c r="BI91" s="98">
        <v>0</v>
      </c>
      <c r="BJ91" s="99">
        <v>0</v>
      </c>
      <c r="BK91" s="100"/>
      <c r="BL91" s="100"/>
      <c r="BM91" s="62"/>
      <c r="BN91" s="80" t="e">
        <v>#VALUE!</v>
      </c>
      <c r="BO91" s="81" t="e">
        <v>#VALUE!</v>
      </c>
      <c r="BP91" s="82" t="e">
        <v>#VALUE!</v>
      </c>
      <c r="BQ91" s="82" t="e">
        <v>#VALUE!</v>
      </c>
      <c r="BR91" s="82" t="e">
        <v>#VALUE!</v>
      </c>
      <c r="BS91" s="80">
        <v>0</v>
      </c>
      <c r="BT91" s="83" t="s">
        <v>226</v>
      </c>
      <c r="BU91" s="61"/>
      <c r="BV91" s="84">
        <v>0</v>
      </c>
      <c r="BW91" s="84">
        <v>0</v>
      </c>
      <c r="BX91" s="84">
        <v>0</v>
      </c>
      <c r="BY91" s="84">
        <v>0</v>
      </c>
      <c r="BZ91" s="62"/>
      <c r="CA91" s="85"/>
      <c r="CB91" s="85"/>
      <c r="CC91" s="85"/>
      <c r="CD91" s="85"/>
      <c r="CE91" s="62"/>
      <c r="CF91" s="86">
        <v>0</v>
      </c>
      <c r="CG91" s="87">
        <v>0</v>
      </c>
      <c r="CH91" s="87">
        <v>0</v>
      </c>
      <c r="CI91" s="87">
        <v>0</v>
      </c>
      <c r="CJ91" s="87">
        <v>0</v>
      </c>
    </row>
    <row r="92" spans="1:88" x14ac:dyDescent="0.35">
      <c r="A92" s="88" t="s">
        <v>225</v>
      </c>
      <c r="B92" s="89">
        <v>91</v>
      </c>
      <c r="C92" s="102" t="s">
        <v>226</v>
      </c>
      <c r="D92" s="102" t="s">
        <v>226</v>
      </c>
      <c r="E92" s="103" t="s">
        <v>226</v>
      </c>
      <c r="F92" s="103" t="s">
        <v>226</v>
      </c>
      <c r="G92" s="103" t="s">
        <v>226</v>
      </c>
      <c r="H92" s="101"/>
      <c r="I92" s="93">
        <v>0</v>
      </c>
      <c r="J92" s="94">
        <v>0</v>
      </c>
      <c r="K92" s="94">
        <v>0</v>
      </c>
      <c r="L92" s="95">
        <v>0</v>
      </c>
      <c r="M92" s="96">
        <v>0</v>
      </c>
      <c r="N92" s="72"/>
      <c r="O92" s="73"/>
      <c r="P92" s="73"/>
      <c r="Q92" s="74"/>
      <c r="R92" s="72"/>
      <c r="S92" s="73"/>
      <c r="T92" s="73"/>
      <c r="U92" s="75"/>
      <c r="V92" s="93">
        <v>0</v>
      </c>
      <c r="W92" s="94">
        <v>0</v>
      </c>
      <c r="X92" s="94">
        <v>0</v>
      </c>
      <c r="Y92" s="95">
        <v>0</v>
      </c>
      <c r="Z92" s="96">
        <v>0</v>
      </c>
      <c r="AA92" s="72"/>
      <c r="AB92" s="73"/>
      <c r="AC92" s="73"/>
      <c r="AD92" s="74"/>
      <c r="AE92" s="72"/>
      <c r="AF92" s="73"/>
      <c r="AG92" s="73"/>
      <c r="AH92" s="75"/>
      <c r="AI92" s="93">
        <v>0</v>
      </c>
      <c r="AJ92" s="94">
        <v>0</v>
      </c>
      <c r="AK92" s="94">
        <v>0</v>
      </c>
      <c r="AL92" s="95">
        <v>0</v>
      </c>
      <c r="AM92" s="96">
        <v>0</v>
      </c>
      <c r="AN92" s="72"/>
      <c r="AO92" s="73"/>
      <c r="AP92" s="73"/>
      <c r="AQ92" s="74"/>
      <c r="AR92" s="72"/>
      <c r="AS92" s="73"/>
      <c r="AT92" s="73"/>
      <c r="AU92" s="75"/>
      <c r="AV92" s="93">
        <v>0</v>
      </c>
      <c r="AW92" s="94">
        <v>0</v>
      </c>
      <c r="AX92" s="94">
        <v>0</v>
      </c>
      <c r="AY92" s="95">
        <v>0</v>
      </c>
      <c r="AZ92" s="97">
        <v>1</v>
      </c>
      <c r="BA92" s="72"/>
      <c r="BB92" s="73"/>
      <c r="BC92" s="73"/>
      <c r="BD92" s="74"/>
      <c r="BE92" s="72"/>
      <c r="BF92" s="73"/>
      <c r="BG92" s="73"/>
      <c r="BH92" s="75"/>
      <c r="BI92" s="98">
        <v>0</v>
      </c>
      <c r="BJ92" s="99">
        <v>0</v>
      </c>
      <c r="BK92" s="100"/>
      <c r="BL92" s="100"/>
      <c r="BM92" s="62"/>
      <c r="BN92" s="80" t="e">
        <v>#VALUE!</v>
      </c>
      <c r="BO92" s="81" t="e">
        <v>#VALUE!</v>
      </c>
      <c r="BP92" s="82" t="e">
        <v>#VALUE!</v>
      </c>
      <c r="BQ92" s="82" t="e">
        <v>#VALUE!</v>
      </c>
      <c r="BR92" s="82" t="e">
        <v>#VALUE!</v>
      </c>
      <c r="BS92" s="80">
        <v>0</v>
      </c>
      <c r="BT92" s="83" t="s">
        <v>226</v>
      </c>
      <c r="BU92" s="61"/>
      <c r="BV92" s="84">
        <v>0</v>
      </c>
      <c r="BW92" s="84">
        <v>0</v>
      </c>
      <c r="BX92" s="84">
        <v>0</v>
      </c>
      <c r="BY92" s="84">
        <v>0</v>
      </c>
      <c r="BZ92" s="62"/>
      <c r="CA92" s="85"/>
      <c r="CB92" s="85"/>
      <c r="CC92" s="85"/>
      <c r="CD92" s="85"/>
      <c r="CE92" s="62"/>
      <c r="CF92" s="86">
        <v>0</v>
      </c>
      <c r="CG92" s="87">
        <v>0</v>
      </c>
      <c r="CH92" s="87">
        <v>0</v>
      </c>
      <c r="CI92" s="87">
        <v>0</v>
      </c>
      <c r="CJ92" s="87">
        <v>0</v>
      </c>
    </row>
    <row r="93" spans="1:88" x14ac:dyDescent="0.35">
      <c r="A93" s="88" t="s">
        <v>225</v>
      </c>
      <c r="B93" s="89">
        <v>92</v>
      </c>
      <c r="C93" s="102" t="s">
        <v>226</v>
      </c>
      <c r="D93" s="102" t="s">
        <v>226</v>
      </c>
      <c r="E93" s="103" t="s">
        <v>226</v>
      </c>
      <c r="F93" s="103" t="s">
        <v>226</v>
      </c>
      <c r="G93" s="103" t="s">
        <v>226</v>
      </c>
      <c r="H93" s="101"/>
      <c r="I93" s="93">
        <v>0</v>
      </c>
      <c r="J93" s="94">
        <v>0</v>
      </c>
      <c r="K93" s="94">
        <v>0</v>
      </c>
      <c r="L93" s="95">
        <v>0</v>
      </c>
      <c r="M93" s="96">
        <v>0</v>
      </c>
      <c r="N93" s="72"/>
      <c r="O93" s="73"/>
      <c r="P93" s="73"/>
      <c r="Q93" s="74"/>
      <c r="R93" s="72"/>
      <c r="S93" s="73"/>
      <c r="T93" s="73"/>
      <c r="U93" s="75"/>
      <c r="V93" s="93">
        <v>0</v>
      </c>
      <c r="W93" s="94">
        <v>0</v>
      </c>
      <c r="X93" s="94">
        <v>0</v>
      </c>
      <c r="Y93" s="95">
        <v>0</v>
      </c>
      <c r="Z93" s="96">
        <v>0</v>
      </c>
      <c r="AA93" s="72"/>
      <c r="AB93" s="73"/>
      <c r="AC93" s="73"/>
      <c r="AD93" s="74"/>
      <c r="AE93" s="72"/>
      <c r="AF93" s="73"/>
      <c r="AG93" s="73"/>
      <c r="AH93" s="75"/>
      <c r="AI93" s="93">
        <v>0</v>
      </c>
      <c r="AJ93" s="94">
        <v>0</v>
      </c>
      <c r="AK93" s="94">
        <v>0</v>
      </c>
      <c r="AL93" s="95">
        <v>0</v>
      </c>
      <c r="AM93" s="96">
        <v>0</v>
      </c>
      <c r="AN93" s="72"/>
      <c r="AO93" s="73"/>
      <c r="AP93" s="73"/>
      <c r="AQ93" s="74"/>
      <c r="AR93" s="72"/>
      <c r="AS93" s="73"/>
      <c r="AT93" s="73"/>
      <c r="AU93" s="75"/>
      <c r="AV93" s="93">
        <v>0</v>
      </c>
      <c r="AW93" s="94">
        <v>0</v>
      </c>
      <c r="AX93" s="94">
        <v>0</v>
      </c>
      <c r="AY93" s="95">
        <v>0</v>
      </c>
      <c r="AZ93" s="97">
        <v>1</v>
      </c>
      <c r="BA93" s="72"/>
      <c r="BB93" s="73"/>
      <c r="BC93" s="73"/>
      <c r="BD93" s="74"/>
      <c r="BE93" s="72"/>
      <c r="BF93" s="73"/>
      <c r="BG93" s="73"/>
      <c r="BH93" s="75"/>
      <c r="BI93" s="98">
        <v>0</v>
      </c>
      <c r="BJ93" s="99">
        <v>0</v>
      </c>
      <c r="BK93" s="100"/>
      <c r="BL93" s="100"/>
      <c r="BM93" s="62"/>
      <c r="BN93" s="80" t="e">
        <v>#VALUE!</v>
      </c>
      <c r="BO93" s="81" t="e">
        <v>#VALUE!</v>
      </c>
      <c r="BP93" s="82" t="e">
        <v>#VALUE!</v>
      </c>
      <c r="BQ93" s="82" t="e">
        <v>#VALUE!</v>
      </c>
      <c r="BR93" s="82" t="e">
        <v>#VALUE!</v>
      </c>
      <c r="BS93" s="80">
        <v>0</v>
      </c>
      <c r="BT93" s="83" t="s">
        <v>226</v>
      </c>
      <c r="BU93" s="61"/>
      <c r="BV93" s="84">
        <v>0</v>
      </c>
      <c r="BW93" s="84">
        <v>0</v>
      </c>
      <c r="BX93" s="84">
        <v>0</v>
      </c>
      <c r="BY93" s="84">
        <v>0</v>
      </c>
      <c r="BZ93" s="62"/>
      <c r="CA93" s="85"/>
      <c r="CB93" s="85"/>
      <c r="CC93" s="85"/>
      <c r="CD93" s="85"/>
      <c r="CE93" s="62"/>
      <c r="CF93" s="86">
        <v>0</v>
      </c>
      <c r="CG93" s="87">
        <v>0</v>
      </c>
      <c r="CH93" s="87">
        <v>0</v>
      </c>
      <c r="CI93" s="87">
        <v>0</v>
      </c>
      <c r="CJ93" s="87">
        <v>0</v>
      </c>
    </row>
    <row r="94" spans="1:88" x14ac:dyDescent="0.35">
      <c r="A94" s="88" t="s">
        <v>225</v>
      </c>
      <c r="B94" s="89">
        <v>93</v>
      </c>
      <c r="C94" s="102" t="s">
        <v>226</v>
      </c>
      <c r="D94" s="102" t="s">
        <v>226</v>
      </c>
      <c r="E94" s="103" t="s">
        <v>226</v>
      </c>
      <c r="F94" s="103" t="s">
        <v>226</v>
      </c>
      <c r="G94" s="103" t="s">
        <v>226</v>
      </c>
      <c r="H94" s="101"/>
      <c r="I94" s="93">
        <v>0</v>
      </c>
      <c r="J94" s="94">
        <v>0</v>
      </c>
      <c r="K94" s="94">
        <v>0</v>
      </c>
      <c r="L94" s="95">
        <v>0</v>
      </c>
      <c r="M94" s="96">
        <v>0</v>
      </c>
      <c r="N94" s="72"/>
      <c r="O94" s="73"/>
      <c r="P94" s="73"/>
      <c r="Q94" s="74"/>
      <c r="R94" s="72"/>
      <c r="S94" s="73"/>
      <c r="T94" s="73"/>
      <c r="U94" s="75"/>
      <c r="V94" s="93">
        <v>0</v>
      </c>
      <c r="W94" s="94">
        <v>0</v>
      </c>
      <c r="X94" s="94">
        <v>0</v>
      </c>
      <c r="Y94" s="95">
        <v>0</v>
      </c>
      <c r="Z94" s="96">
        <v>0</v>
      </c>
      <c r="AA94" s="72"/>
      <c r="AB94" s="73"/>
      <c r="AC94" s="73"/>
      <c r="AD94" s="74"/>
      <c r="AE94" s="72"/>
      <c r="AF94" s="73"/>
      <c r="AG94" s="73"/>
      <c r="AH94" s="75"/>
      <c r="AI94" s="93">
        <v>0</v>
      </c>
      <c r="AJ94" s="94">
        <v>0</v>
      </c>
      <c r="AK94" s="94">
        <v>0</v>
      </c>
      <c r="AL94" s="95">
        <v>0</v>
      </c>
      <c r="AM94" s="96">
        <v>0</v>
      </c>
      <c r="AN94" s="72"/>
      <c r="AO94" s="73"/>
      <c r="AP94" s="73"/>
      <c r="AQ94" s="74"/>
      <c r="AR94" s="72"/>
      <c r="AS94" s="73"/>
      <c r="AT94" s="73"/>
      <c r="AU94" s="75"/>
      <c r="AV94" s="93">
        <v>0</v>
      </c>
      <c r="AW94" s="94">
        <v>0</v>
      </c>
      <c r="AX94" s="94">
        <v>0</v>
      </c>
      <c r="AY94" s="95">
        <v>0</v>
      </c>
      <c r="AZ94" s="97">
        <v>1</v>
      </c>
      <c r="BA94" s="72"/>
      <c r="BB94" s="73"/>
      <c r="BC94" s="73"/>
      <c r="BD94" s="74"/>
      <c r="BE94" s="72"/>
      <c r="BF94" s="73"/>
      <c r="BG94" s="73"/>
      <c r="BH94" s="75"/>
      <c r="BI94" s="98">
        <v>0</v>
      </c>
      <c r="BJ94" s="99">
        <v>0</v>
      </c>
      <c r="BK94" s="100"/>
      <c r="BL94" s="100"/>
      <c r="BM94" s="62"/>
      <c r="BN94" s="80" t="e">
        <v>#VALUE!</v>
      </c>
      <c r="BO94" s="81" t="e">
        <v>#VALUE!</v>
      </c>
      <c r="BP94" s="82" t="e">
        <v>#VALUE!</v>
      </c>
      <c r="BQ94" s="82" t="e">
        <v>#VALUE!</v>
      </c>
      <c r="BR94" s="82" t="e">
        <v>#VALUE!</v>
      </c>
      <c r="BS94" s="80">
        <v>0</v>
      </c>
      <c r="BT94" s="83" t="s">
        <v>226</v>
      </c>
      <c r="BU94" s="61"/>
      <c r="BV94" s="84">
        <v>0</v>
      </c>
      <c r="BW94" s="84">
        <v>0</v>
      </c>
      <c r="BX94" s="84">
        <v>0</v>
      </c>
      <c r="BY94" s="84">
        <v>0</v>
      </c>
      <c r="BZ94" s="62"/>
      <c r="CA94" s="85"/>
      <c r="CB94" s="85"/>
      <c r="CC94" s="85"/>
      <c r="CD94" s="85"/>
      <c r="CE94" s="62"/>
      <c r="CF94" s="86">
        <v>0</v>
      </c>
      <c r="CG94" s="87">
        <v>0</v>
      </c>
      <c r="CH94" s="87">
        <v>0</v>
      </c>
      <c r="CI94" s="87">
        <v>0</v>
      </c>
      <c r="CJ94" s="87">
        <v>0</v>
      </c>
    </row>
    <row r="95" spans="1:88" x14ac:dyDescent="0.35">
      <c r="A95" s="88" t="s">
        <v>225</v>
      </c>
      <c r="B95" s="89">
        <v>94</v>
      </c>
      <c r="C95" s="102" t="s">
        <v>226</v>
      </c>
      <c r="D95" s="102" t="s">
        <v>226</v>
      </c>
      <c r="E95" s="103" t="s">
        <v>226</v>
      </c>
      <c r="F95" s="103" t="s">
        <v>226</v>
      </c>
      <c r="G95" s="103" t="s">
        <v>226</v>
      </c>
      <c r="H95" s="101"/>
      <c r="I95" s="93">
        <v>0</v>
      </c>
      <c r="J95" s="94">
        <v>0</v>
      </c>
      <c r="K95" s="94">
        <v>0</v>
      </c>
      <c r="L95" s="95">
        <v>0</v>
      </c>
      <c r="M95" s="96">
        <v>0</v>
      </c>
      <c r="N95" s="72"/>
      <c r="O95" s="73"/>
      <c r="P95" s="73"/>
      <c r="Q95" s="74"/>
      <c r="R95" s="72"/>
      <c r="S95" s="73"/>
      <c r="T95" s="73"/>
      <c r="U95" s="75"/>
      <c r="V95" s="93">
        <v>0</v>
      </c>
      <c r="W95" s="94">
        <v>0</v>
      </c>
      <c r="X95" s="94">
        <v>0</v>
      </c>
      <c r="Y95" s="95">
        <v>0</v>
      </c>
      <c r="Z95" s="96">
        <v>0</v>
      </c>
      <c r="AA95" s="72"/>
      <c r="AB95" s="73"/>
      <c r="AC95" s="73"/>
      <c r="AD95" s="74"/>
      <c r="AE95" s="72"/>
      <c r="AF95" s="73"/>
      <c r="AG95" s="73"/>
      <c r="AH95" s="75"/>
      <c r="AI95" s="93">
        <v>0</v>
      </c>
      <c r="AJ95" s="94">
        <v>0</v>
      </c>
      <c r="AK95" s="94">
        <v>0</v>
      </c>
      <c r="AL95" s="95">
        <v>0</v>
      </c>
      <c r="AM95" s="96">
        <v>0</v>
      </c>
      <c r="AN95" s="72"/>
      <c r="AO95" s="73"/>
      <c r="AP95" s="73"/>
      <c r="AQ95" s="74"/>
      <c r="AR95" s="72"/>
      <c r="AS95" s="73"/>
      <c r="AT95" s="73"/>
      <c r="AU95" s="75"/>
      <c r="AV95" s="93">
        <v>0</v>
      </c>
      <c r="AW95" s="94">
        <v>0</v>
      </c>
      <c r="AX95" s="94">
        <v>0</v>
      </c>
      <c r="AY95" s="95">
        <v>0</v>
      </c>
      <c r="AZ95" s="97">
        <v>1</v>
      </c>
      <c r="BA95" s="72"/>
      <c r="BB95" s="73"/>
      <c r="BC95" s="73"/>
      <c r="BD95" s="74"/>
      <c r="BE95" s="72"/>
      <c r="BF95" s="73"/>
      <c r="BG95" s="73"/>
      <c r="BH95" s="75"/>
      <c r="BI95" s="98">
        <v>0</v>
      </c>
      <c r="BJ95" s="99">
        <v>0</v>
      </c>
      <c r="BK95" s="100"/>
      <c r="BL95" s="100"/>
      <c r="BM95" s="62"/>
      <c r="BN95" s="80" t="e">
        <v>#VALUE!</v>
      </c>
      <c r="BO95" s="81" t="e">
        <v>#VALUE!</v>
      </c>
      <c r="BP95" s="82" t="e">
        <v>#VALUE!</v>
      </c>
      <c r="BQ95" s="82" t="e">
        <v>#VALUE!</v>
      </c>
      <c r="BR95" s="82" t="e">
        <v>#VALUE!</v>
      </c>
      <c r="BS95" s="80">
        <v>0</v>
      </c>
      <c r="BT95" s="83" t="s">
        <v>226</v>
      </c>
      <c r="BU95" s="61"/>
      <c r="BV95" s="84">
        <v>0</v>
      </c>
      <c r="BW95" s="84">
        <v>0</v>
      </c>
      <c r="BX95" s="84">
        <v>0</v>
      </c>
      <c r="BY95" s="84">
        <v>0</v>
      </c>
      <c r="BZ95" s="62"/>
      <c r="CA95" s="85"/>
      <c r="CB95" s="85"/>
      <c r="CC95" s="85"/>
      <c r="CD95" s="85"/>
      <c r="CE95" s="62"/>
      <c r="CF95" s="86">
        <v>0</v>
      </c>
      <c r="CG95" s="87">
        <v>0</v>
      </c>
      <c r="CH95" s="87">
        <v>0</v>
      </c>
      <c r="CI95" s="87">
        <v>0</v>
      </c>
      <c r="CJ95" s="87">
        <v>0</v>
      </c>
    </row>
    <row r="96" spans="1:88" x14ac:dyDescent="0.35">
      <c r="A96" s="88" t="s">
        <v>225</v>
      </c>
      <c r="B96" s="89">
        <v>95</v>
      </c>
      <c r="C96" s="102" t="s">
        <v>226</v>
      </c>
      <c r="D96" s="102" t="s">
        <v>226</v>
      </c>
      <c r="E96" s="103" t="s">
        <v>226</v>
      </c>
      <c r="F96" s="103" t="s">
        <v>226</v>
      </c>
      <c r="G96" s="103" t="s">
        <v>226</v>
      </c>
      <c r="H96" s="101"/>
      <c r="I96" s="93">
        <v>0</v>
      </c>
      <c r="J96" s="94">
        <v>0</v>
      </c>
      <c r="K96" s="94">
        <v>0</v>
      </c>
      <c r="L96" s="95">
        <v>0</v>
      </c>
      <c r="M96" s="96">
        <v>0</v>
      </c>
      <c r="N96" s="72"/>
      <c r="O96" s="73"/>
      <c r="P96" s="73"/>
      <c r="Q96" s="74"/>
      <c r="R96" s="72"/>
      <c r="S96" s="73"/>
      <c r="T96" s="73"/>
      <c r="U96" s="75"/>
      <c r="V96" s="93">
        <v>0</v>
      </c>
      <c r="W96" s="94">
        <v>0</v>
      </c>
      <c r="X96" s="94">
        <v>0</v>
      </c>
      <c r="Y96" s="95">
        <v>0</v>
      </c>
      <c r="Z96" s="96">
        <v>0</v>
      </c>
      <c r="AA96" s="72"/>
      <c r="AB96" s="73"/>
      <c r="AC96" s="73"/>
      <c r="AD96" s="74"/>
      <c r="AE96" s="72"/>
      <c r="AF96" s="73"/>
      <c r="AG96" s="73"/>
      <c r="AH96" s="75"/>
      <c r="AI96" s="93">
        <v>0</v>
      </c>
      <c r="AJ96" s="94">
        <v>0</v>
      </c>
      <c r="AK96" s="94">
        <v>0</v>
      </c>
      <c r="AL96" s="95">
        <v>0</v>
      </c>
      <c r="AM96" s="96">
        <v>0</v>
      </c>
      <c r="AN96" s="72"/>
      <c r="AO96" s="73"/>
      <c r="AP96" s="73"/>
      <c r="AQ96" s="74"/>
      <c r="AR96" s="72"/>
      <c r="AS96" s="73"/>
      <c r="AT96" s="73"/>
      <c r="AU96" s="75"/>
      <c r="AV96" s="93">
        <v>0</v>
      </c>
      <c r="AW96" s="94">
        <v>0</v>
      </c>
      <c r="AX96" s="94">
        <v>0</v>
      </c>
      <c r="AY96" s="95">
        <v>0</v>
      </c>
      <c r="AZ96" s="97">
        <v>1</v>
      </c>
      <c r="BA96" s="72"/>
      <c r="BB96" s="73"/>
      <c r="BC96" s="73"/>
      <c r="BD96" s="74"/>
      <c r="BE96" s="72"/>
      <c r="BF96" s="73"/>
      <c r="BG96" s="73"/>
      <c r="BH96" s="75"/>
      <c r="BI96" s="98">
        <v>0</v>
      </c>
      <c r="BJ96" s="99">
        <v>0</v>
      </c>
      <c r="BK96" s="100"/>
      <c r="BL96" s="100"/>
      <c r="BM96" s="62"/>
      <c r="BN96" s="80" t="e">
        <v>#VALUE!</v>
      </c>
      <c r="BO96" s="81" t="e">
        <v>#VALUE!</v>
      </c>
      <c r="BP96" s="82" t="e">
        <v>#VALUE!</v>
      </c>
      <c r="BQ96" s="82" t="e">
        <v>#VALUE!</v>
      </c>
      <c r="BR96" s="82" t="e">
        <v>#VALUE!</v>
      </c>
      <c r="BS96" s="80">
        <v>0</v>
      </c>
      <c r="BT96" s="83" t="s">
        <v>226</v>
      </c>
      <c r="BU96" s="61"/>
      <c r="BV96" s="84">
        <v>0</v>
      </c>
      <c r="BW96" s="84">
        <v>0</v>
      </c>
      <c r="BX96" s="84">
        <v>0</v>
      </c>
      <c r="BY96" s="84">
        <v>0</v>
      </c>
      <c r="BZ96" s="62"/>
      <c r="CA96" s="85"/>
      <c r="CB96" s="85"/>
      <c r="CC96" s="85"/>
      <c r="CD96" s="85"/>
      <c r="CE96" s="62"/>
      <c r="CF96" s="86">
        <v>0</v>
      </c>
      <c r="CG96" s="87">
        <v>0</v>
      </c>
      <c r="CH96" s="87">
        <v>0</v>
      </c>
      <c r="CI96" s="87">
        <v>0</v>
      </c>
      <c r="CJ96" s="87">
        <v>0</v>
      </c>
    </row>
    <row r="97" spans="1:88" x14ac:dyDescent="0.35">
      <c r="A97" s="88" t="s">
        <v>225</v>
      </c>
      <c r="B97" s="89">
        <v>96</v>
      </c>
      <c r="C97" s="102" t="s">
        <v>226</v>
      </c>
      <c r="D97" s="102" t="s">
        <v>226</v>
      </c>
      <c r="E97" s="103" t="s">
        <v>226</v>
      </c>
      <c r="F97" s="103" t="s">
        <v>226</v>
      </c>
      <c r="G97" s="103" t="s">
        <v>226</v>
      </c>
      <c r="H97" s="101"/>
      <c r="I97" s="93">
        <v>0</v>
      </c>
      <c r="J97" s="94">
        <v>0</v>
      </c>
      <c r="K97" s="94">
        <v>0</v>
      </c>
      <c r="L97" s="95">
        <v>0</v>
      </c>
      <c r="M97" s="96">
        <v>0</v>
      </c>
      <c r="N97" s="72"/>
      <c r="O97" s="73"/>
      <c r="P97" s="73"/>
      <c r="Q97" s="74"/>
      <c r="R97" s="72"/>
      <c r="S97" s="73"/>
      <c r="T97" s="73"/>
      <c r="U97" s="75"/>
      <c r="V97" s="93">
        <v>0</v>
      </c>
      <c r="W97" s="94">
        <v>0</v>
      </c>
      <c r="X97" s="94">
        <v>0</v>
      </c>
      <c r="Y97" s="95">
        <v>0</v>
      </c>
      <c r="Z97" s="96">
        <v>0</v>
      </c>
      <c r="AA97" s="72"/>
      <c r="AB97" s="73"/>
      <c r="AC97" s="73"/>
      <c r="AD97" s="74"/>
      <c r="AE97" s="72"/>
      <c r="AF97" s="73"/>
      <c r="AG97" s="73"/>
      <c r="AH97" s="75"/>
      <c r="AI97" s="93">
        <v>0</v>
      </c>
      <c r="AJ97" s="94">
        <v>0</v>
      </c>
      <c r="AK97" s="94">
        <v>0</v>
      </c>
      <c r="AL97" s="95">
        <v>0</v>
      </c>
      <c r="AM97" s="96">
        <v>0</v>
      </c>
      <c r="AN97" s="72"/>
      <c r="AO97" s="73"/>
      <c r="AP97" s="73"/>
      <c r="AQ97" s="74"/>
      <c r="AR97" s="72"/>
      <c r="AS97" s="73"/>
      <c r="AT97" s="73"/>
      <c r="AU97" s="75"/>
      <c r="AV97" s="93">
        <v>0</v>
      </c>
      <c r="AW97" s="94">
        <v>0</v>
      </c>
      <c r="AX97" s="94">
        <v>0</v>
      </c>
      <c r="AY97" s="95">
        <v>0</v>
      </c>
      <c r="AZ97" s="97">
        <v>1</v>
      </c>
      <c r="BA97" s="72"/>
      <c r="BB97" s="73"/>
      <c r="BC97" s="73"/>
      <c r="BD97" s="74"/>
      <c r="BE97" s="72"/>
      <c r="BF97" s="73"/>
      <c r="BG97" s="73"/>
      <c r="BH97" s="75"/>
      <c r="BI97" s="98">
        <v>0</v>
      </c>
      <c r="BJ97" s="99">
        <v>0</v>
      </c>
      <c r="BK97" s="100"/>
      <c r="BL97" s="100"/>
      <c r="BM97" s="62"/>
      <c r="BN97" s="80" t="e">
        <v>#VALUE!</v>
      </c>
      <c r="BO97" s="81" t="e">
        <v>#VALUE!</v>
      </c>
      <c r="BP97" s="82" t="e">
        <v>#VALUE!</v>
      </c>
      <c r="BQ97" s="82" t="e">
        <v>#VALUE!</v>
      </c>
      <c r="BR97" s="82" t="e">
        <v>#VALUE!</v>
      </c>
      <c r="BS97" s="80">
        <v>0</v>
      </c>
      <c r="BT97" s="83" t="s">
        <v>226</v>
      </c>
      <c r="BU97" s="61"/>
      <c r="BV97" s="84">
        <v>0</v>
      </c>
      <c r="BW97" s="84">
        <v>0</v>
      </c>
      <c r="BX97" s="84">
        <v>0</v>
      </c>
      <c r="BY97" s="84">
        <v>0</v>
      </c>
      <c r="BZ97" s="62"/>
      <c r="CA97" s="85"/>
      <c r="CB97" s="85"/>
      <c r="CC97" s="85"/>
      <c r="CD97" s="85"/>
      <c r="CE97" s="62"/>
      <c r="CF97" s="86">
        <v>0</v>
      </c>
      <c r="CG97" s="87">
        <v>0</v>
      </c>
      <c r="CH97" s="87">
        <v>0</v>
      </c>
      <c r="CI97" s="87">
        <v>0</v>
      </c>
      <c r="CJ97" s="87">
        <v>0</v>
      </c>
    </row>
    <row r="98" spans="1:88" x14ac:dyDescent="0.35">
      <c r="A98" s="88" t="s">
        <v>225</v>
      </c>
      <c r="B98" s="89">
        <v>97</v>
      </c>
      <c r="C98" s="102" t="s">
        <v>226</v>
      </c>
      <c r="D98" s="102" t="s">
        <v>226</v>
      </c>
      <c r="E98" s="103" t="s">
        <v>226</v>
      </c>
      <c r="F98" s="103" t="s">
        <v>226</v>
      </c>
      <c r="G98" s="103" t="s">
        <v>226</v>
      </c>
      <c r="H98" s="101"/>
      <c r="I98" s="93">
        <v>0</v>
      </c>
      <c r="J98" s="94">
        <v>0</v>
      </c>
      <c r="K98" s="94">
        <v>0</v>
      </c>
      <c r="L98" s="95">
        <v>0</v>
      </c>
      <c r="M98" s="96">
        <v>0</v>
      </c>
      <c r="N98" s="72"/>
      <c r="O98" s="73"/>
      <c r="P98" s="73"/>
      <c r="Q98" s="74"/>
      <c r="R98" s="72"/>
      <c r="S98" s="73"/>
      <c r="T98" s="73"/>
      <c r="U98" s="75"/>
      <c r="V98" s="93">
        <v>0</v>
      </c>
      <c r="W98" s="94">
        <v>0</v>
      </c>
      <c r="X98" s="94">
        <v>0</v>
      </c>
      <c r="Y98" s="95">
        <v>0</v>
      </c>
      <c r="Z98" s="96">
        <v>0</v>
      </c>
      <c r="AA98" s="72"/>
      <c r="AB98" s="73"/>
      <c r="AC98" s="73"/>
      <c r="AD98" s="74"/>
      <c r="AE98" s="72"/>
      <c r="AF98" s="73"/>
      <c r="AG98" s="73"/>
      <c r="AH98" s="75"/>
      <c r="AI98" s="93">
        <v>0</v>
      </c>
      <c r="AJ98" s="94">
        <v>0</v>
      </c>
      <c r="AK98" s="94">
        <v>0</v>
      </c>
      <c r="AL98" s="95">
        <v>0</v>
      </c>
      <c r="AM98" s="96">
        <v>0</v>
      </c>
      <c r="AN98" s="72"/>
      <c r="AO98" s="73"/>
      <c r="AP98" s="73"/>
      <c r="AQ98" s="74"/>
      <c r="AR98" s="72"/>
      <c r="AS98" s="73"/>
      <c r="AT98" s="73"/>
      <c r="AU98" s="75"/>
      <c r="AV98" s="93">
        <v>0</v>
      </c>
      <c r="AW98" s="94">
        <v>0</v>
      </c>
      <c r="AX98" s="94">
        <v>0</v>
      </c>
      <c r="AY98" s="95">
        <v>0</v>
      </c>
      <c r="AZ98" s="97">
        <v>1</v>
      </c>
      <c r="BA98" s="72"/>
      <c r="BB98" s="73"/>
      <c r="BC98" s="73"/>
      <c r="BD98" s="74"/>
      <c r="BE98" s="72"/>
      <c r="BF98" s="73"/>
      <c r="BG98" s="73"/>
      <c r="BH98" s="75"/>
      <c r="BI98" s="98">
        <v>0</v>
      </c>
      <c r="BJ98" s="99">
        <v>0</v>
      </c>
      <c r="BK98" s="100"/>
      <c r="BL98" s="100"/>
      <c r="BM98" s="62"/>
      <c r="BN98" s="80" t="e">
        <v>#VALUE!</v>
      </c>
      <c r="BO98" s="81" t="e">
        <v>#VALUE!</v>
      </c>
      <c r="BP98" s="82" t="e">
        <v>#VALUE!</v>
      </c>
      <c r="BQ98" s="82" t="e">
        <v>#VALUE!</v>
      </c>
      <c r="BR98" s="82" t="e">
        <v>#VALUE!</v>
      </c>
      <c r="BS98" s="80">
        <v>0</v>
      </c>
      <c r="BT98" s="83" t="s">
        <v>226</v>
      </c>
      <c r="BU98" s="61"/>
      <c r="BV98" s="84">
        <v>0</v>
      </c>
      <c r="BW98" s="84">
        <v>0</v>
      </c>
      <c r="BX98" s="84">
        <v>0</v>
      </c>
      <c r="BY98" s="84">
        <v>0</v>
      </c>
      <c r="BZ98" s="62"/>
      <c r="CA98" s="85"/>
      <c r="CB98" s="85"/>
      <c r="CC98" s="85"/>
      <c r="CD98" s="85"/>
      <c r="CE98" s="62"/>
      <c r="CF98" s="86">
        <v>0</v>
      </c>
      <c r="CG98" s="87">
        <v>0</v>
      </c>
      <c r="CH98" s="87">
        <v>0</v>
      </c>
      <c r="CI98" s="87">
        <v>0</v>
      </c>
      <c r="CJ98" s="87">
        <v>0</v>
      </c>
    </row>
    <row r="99" spans="1:88" x14ac:dyDescent="0.35">
      <c r="A99" s="88" t="s">
        <v>225</v>
      </c>
      <c r="B99" s="89">
        <v>98</v>
      </c>
      <c r="C99" s="102" t="s">
        <v>226</v>
      </c>
      <c r="D99" s="102" t="s">
        <v>226</v>
      </c>
      <c r="E99" s="103" t="s">
        <v>226</v>
      </c>
      <c r="F99" s="103" t="s">
        <v>226</v>
      </c>
      <c r="G99" s="103" t="s">
        <v>226</v>
      </c>
      <c r="H99" s="101"/>
      <c r="I99" s="93">
        <v>0</v>
      </c>
      <c r="J99" s="94">
        <v>0</v>
      </c>
      <c r="K99" s="94">
        <v>0</v>
      </c>
      <c r="L99" s="95">
        <v>0</v>
      </c>
      <c r="M99" s="96">
        <v>0</v>
      </c>
      <c r="N99" s="72"/>
      <c r="O99" s="73"/>
      <c r="P99" s="73"/>
      <c r="Q99" s="74"/>
      <c r="R99" s="72"/>
      <c r="S99" s="73"/>
      <c r="T99" s="73"/>
      <c r="U99" s="75"/>
      <c r="V99" s="93">
        <v>0</v>
      </c>
      <c r="W99" s="94">
        <v>0</v>
      </c>
      <c r="X99" s="94">
        <v>0</v>
      </c>
      <c r="Y99" s="95">
        <v>0</v>
      </c>
      <c r="Z99" s="96">
        <v>0</v>
      </c>
      <c r="AA99" s="72"/>
      <c r="AB99" s="73"/>
      <c r="AC99" s="73"/>
      <c r="AD99" s="74"/>
      <c r="AE99" s="72"/>
      <c r="AF99" s="73"/>
      <c r="AG99" s="73"/>
      <c r="AH99" s="75"/>
      <c r="AI99" s="93">
        <v>0</v>
      </c>
      <c r="AJ99" s="94">
        <v>0</v>
      </c>
      <c r="AK99" s="94">
        <v>0</v>
      </c>
      <c r="AL99" s="95">
        <v>0</v>
      </c>
      <c r="AM99" s="96">
        <v>0</v>
      </c>
      <c r="AN99" s="72"/>
      <c r="AO99" s="73"/>
      <c r="AP99" s="73"/>
      <c r="AQ99" s="74"/>
      <c r="AR99" s="72"/>
      <c r="AS99" s="73"/>
      <c r="AT99" s="73"/>
      <c r="AU99" s="75"/>
      <c r="AV99" s="93">
        <v>0</v>
      </c>
      <c r="AW99" s="94">
        <v>0</v>
      </c>
      <c r="AX99" s="94">
        <v>0</v>
      </c>
      <c r="AY99" s="95">
        <v>0</v>
      </c>
      <c r="AZ99" s="97">
        <v>1</v>
      </c>
      <c r="BA99" s="72"/>
      <c r="BB99" s="73"/>
      <c r="BC99" s="73"/>
      <c r="BD99" s="74"/>
      <c r="BE99" s="72"/>
      <c r="BF99" s="73"/>
      <c r="BG99" s="73"/>
      <c r="BH99" s="75"/>
      <c r="BI99" s="98">
        <v>0</v>
      </c>
      <c r="BJ99" s="99">
        <v>0</v>
      </c>
      <c r="BK99" s="100"/>
      <c r="BL99" s="100"/>
      <c r="BM99" s="62"/>
      <c r="BN99" s="80" t="e">
        <v>#VALUE!</v>
      </c>
      <c r="BO99" s="81" t="e">
        <v>#VALUE!</v>
      </c>
      <c r="BP99" s="82" t="e">
        <v>#VALUE!</v>
      </c>
      <c r="BQ99" s="82" t="e">
        <v>#VALUE!</v>
      </c>
      <c r="BR99" s="82" t="e">
        <v>#VALUE!</v>
      </c>
      <c r="BS99" s="80">
        <v>0</v>
      </c>
      <c r="BT99" s="83" t="s">
        <v>226</v>
      </c>
      <c r="BU99" s="61"/>
      <c r="BV99" s="84">
        <v>0</v>
      </c>
      <c r="BW99" s="84">
        <v>0</v>
      </c>
      <c r="BX99" s="84">
        <v>0</v>
      </c>
      <c r="BY99" s="84">
        <v>0</v>
      </c>
      <c r="BZ99" s="62"/>
      <c r="CA99" s="85"/>
      <c r="CB99" s="85"/>
      <c r="CC99" s="85"/>
      <c r="CD99" s="85"/>
      <c r="CE99" s="62"/>
      <c r="CF99" s="86">
        <v>0</v>
      </c>
      <c r="CG99" s="87">
        <v>0</v>
      </c>
      <c r="CH99" s="87">
        <v>0</v>
      </c>
      <c r="CI99" s="87">
        <v>0</v>
      </c>
      <c r="CJ99" s="87">
        <v>0</v>
      </c>
    </row>
    <row r="100" spans="1:88" x14ac:dyDescent="0.35">
      <c r="A100" s="88" t="s">
        <v>225</v>
      </c>
      <c r="B100" s="89">
        <v>99</v>
      </c>
      <c r="C100" s="102" t="s">
        <v>226</v>
      </c>
      <c r="D100" s="102" t="s">
        <v>226</v>
      </c>
      <c r="E100" s="103" t="s">
        <v>226</v>
      </c>
      <c r="F100" s="103" t="s">
        <v>226</v>
      </c>
      <c r="G100" s="103" t="s">
        <v>226</v>
      </c>
      <c r="H100" s="101"/>
      <c r="I100" s="93">
        <v>0</v>
      </c>
      <c r="J100" s="94">
        <v>0</v>
      </c>
      <c r="K100" s="94">
        <v>0</v>
      </c>
      <c r="L100" s="95">
        <v>0</v>
      </c>
      <c r="M100" s="96">
        <v>0</v>
      </c>
      <c r="N100" s="72"/>
      <c r="O100" s="73"/>
      <c r="P100" s="73"/>
      <c r="Q100" s="74"/>
      <c r="R100" s="72"/>
      <c r="S100" s="73"/>
      <c r="T100" s="73"/>
      <c r="U100" s="75"/>
      <c r="V100" s="93">
        <v>0</v>
      </c>
      <c r="W100" s="94">
        <v>0</v>
      </c>
      <c r="X100" s="94">
        <v>0</v>
      </c>
      <c r="Y100" s="95">
        <v>0</v>
      </c>
      <c r="Z100" s="96">
        <v>0</v>
      </c>
      <c r="AA100" s="72"/>
      <c r="AB100" s="73"/>
      <c r="AC100" s="73"/>
      <c r="AD100" s="74"/>
      <c r="AE100" s="72"/>
      <c r="AF100" s="73"/>
      <c r="AG100" s="73"/>
      <c r="AH100" s="75"/>
      <c r="AI100" s="93">
        <v>0</v>
      </c>
      <c r="AJ100" s="94">
        <v>0</v>
      </c>
      <c r="AK100" s="94">
        <v>0</v>
      </c>
      <c r="AL100" s="95">
        <v>0</v>
      </c>
      <c r="AM100" s="96">
        <v>0</v>
      </c>
      <c r="AN100" s="72"/>
      <c r="AO100" s="73"/>
      <c r="AP100" s="73"/>
      <c r="AQ100" s="74"/>
      <c r="AR100" s="72"/>
      <c r="AS100" s="73"/>
      <c r="AT100" s="73"/>
      <c r="AU100" s="75"/>
      <c r="AV100" s="93">
        <v>0</v>
      </c>
      <c r="AW100" s="94">
        <v>0</v>
      </c>
      <c r="AX100" s="94">
        <v>0</v>
      </c>
      <c r="AY100" s="95">
        <v>0</v>
      </c>
      <c r="AZ100" s="97">
        <v>1</v>
      </c>
      <c r="BA100" s="72"/>
      <c r="BB100" s="73"/>
      <c r="BC100" s="73"/>
      <c r="BD100" s="74"/>
      <c r="BE100" s="72"/>
      <c r="BF100" s="73"/>
      <c r="BG100" s="73"/>
      <c r="BH100" s="75"/>
      <c r="BI100" s="98">
        <v>0</v>
      </c>
      <c r="BJ100" s="99">
        <v>0</v>
      </c>
      <c r="BK100" s="100"/>
      <c r="BL100" s="100"/>
      <c r="BM100" s="62"/>
      <c r="BN100" s="80" t="e">
        <v>#VALUE!</v>
      </c>
      <c r="BO100" s="81" t="e">
        <v>#VALUE!</v>
      </c>
      <c r="BP100" s="82" t="e">
        <v>#VALUE!</v>
      </c>
      <c r="BQ100" s="82" t="e">
        <v>#VALUE!</v>
      </c>
      <c r="BR100" s="82" t="e">
        <v>#VALUE!</v>
      </c>
      <c r="BS100" s="80">
        <v>0</v>
      </c>
      <c r="BT100" s="83" t="s">
        <v>226</v>
      </c>
      <c r="BU100" s="61"/>
      <c r="BV100" s="84">
        <v>0</v>
      </c>
      <c r="BW100" s="84">
        <v>0</v>
      </c>
      <c r="BX100" s="84">
        <v>0</v>
      </c>
      <c r="BY100" s="84">
        <v>0</v>
      </c>
      <c r="BZ100" s="62"/>
      <c r="CA100" s="85"/>
      <c r="CB100" s="85"/>
      <c r="CC100" s="85"/>
      <c r="CD100" s="85"/>
      <c r="CE100" s="62"/>
      <c r="CF100" s="86">
        <v>0</v>
      </c>
      <c r="CG100" s="87">
        <v>0</v>
      </c>
      <c r="CH100" s="87">
        <v>0</v>
      </c>
      <c r="CI100" s="87">
        <v>0</v>
      </c>
      <c r="CJ100" s="87">
        <v>0</v>
      </c>
    </row>
    <row r="101" spans="1:88" x14ac:dyDescent="0.35">
      <c r="A101" s="88" t="s">
        <v>225</v>
      </c>
      <c r="B101" s="89">
        <v>100</v>
      </c>
      <c r="C101" s="102" t="s">
        <v>226</v>
      </c>
      <c r="D101" s="102" t="s">
        <v>226</v>
      </c>
      <c r="E101" s="103" t="s">
        <v>226</v>
      </c>
      <c r="F101" s="103" t="s">
        <v>226</v>
      </c>
      <c r="G101" s="103" t="s">
        <v>226</v>
      </c>
      <c r="H101" s="101"/>
      <c r="I101" s="93">
        <v>0</v>
      </c>
      <c r="J101" s="94">
        <v>0</v>
      </c>
      <c r="K101" s="94">
        <v>0</v>
      </c>
      <c r="L101" s="95">
        <v>0</v>
      </c>
      <c r="M101" s="96">
        <v>0</v>
      </c>
      <c r="N101" s="72"/>
      <c r="O101" s="73"/>
      <c r="P101" s="73"/>
      <c r="Q101" s="74"/>
      <c r="R101" s="72"/>
      <c r="S101" s="73"/>
      <c r="T101" s="73"/>
      <c r="U101" s="75"/>
      <c r="V101" s="93">
        <v>0</v>
      </c>
      <c r="W101" s="94">
        <v>0</v>
      </c>
      <c r="X101" s="94">
        <v>0</v>
      </c>
      <c r="Y101" s="95">
        <v>0</v>
      </c>
      <c r="Z101" s="96">
        <v>0</v>
      </c>
      <c r="AA101" s="72"/>
      <c r="AB101" s="73"/>
      <c r="AC101" s="73"/>
      <c r="AD101" s="74"/>
      <c r="AE101" s="72"/>
      <c r="AF101" s="73"/>
      <c r="AG101" s="73"/>
      <c r="AH101" s="75"/>
      <c r="AI101" s="93">
        <v>0</v>
      </c>
      <c r="AJ101" s="94">
        <v>0</v>
      </c>
      <c r="AK101" s="94">
        <v>0</v>
      </c>
      <c r="AL101" s="95">
        <v>0</v>
      </c>
      <c r="AM101" s="96">
        <v>0</v>
      </c>
      <c r="AN101" s="72"/>
      <c r="AO101" s="73"/>
      <c r="AP101" s="73"/>
      <c r="AQ101" s="74"/>
      <c r="AR101" s="72"/>
      <c r="AS101" s="73"/>
      <c r="AT101" s="73"/>
      <c r="AU101" s="75"/>
      <c r="AV101" s="93">
        <v>0</v>
      </c>
      <c r="AW101" s="94">
        <v>0</v>
      </c>
      <c r="AX101" s="94">
        <v>0</v>
      </c>
      <c r="AY101" s="95">
        <v>0</v>
      </c>
      <c r="AZ101" s="97">
        <v>1</v>
      </c>
      <c r="BA101" s="72"/>
      <c r="BB101" s="73"/>
      <c r="BC101" s="73"/>
      <c r="BD101" s="74"/>
      <c r="BE101" s="72"/>
      <c r="BF101" s="73"/>
      <c r="BG101" s="73"/>
      <c r="BH101" s="75"/>
      <c r="BI101" s="98">
        <v>0</v>
      </c>
      <c r="BJ101" s="99">
        <v>0</v>
      </c>
      <c r="BK101" s="100"/>
      <c r="BL101" s="100"/>
      <c r="BM101" s="62"/>
      <c r="BN101" s="80" t="e">
        <v>#VALUE!</v>
      </c>
      <c r="BO101" s="81" t="e">
        <v>#VALUE!</v>
      </c>
      <c r="BP101" s="82" t="e">
        <v>#VALUE!</v>
      </c>
      <c r="BQ101" s="82" t="e">
        <v>#VALUE!</v>
      </c>
      <c r="BR101" s="82" t="e">
        <v>#VALUE!</v>
      </c>
      <c r="BS101" s="80">
        <v>0</v>
      </c>
      <c r="BT101" s="83" t="s">
        <v>226</v>
      </c>
      <c r="BU101" s="61"/>
      <c r="BV101" s="84">
        <v>0</v>
      </c>
      <c r="BW101" s="84">
        <v>0</v>
      </c>
      <c r="BX101" s="84">
        <v>0</v>
      </c>
      <c r="BY101" s="84">
        <v>0</v>
      </c>
      <c r="BZ101" s="62"/>
      <c r="CA101" s="85"/>
      <c r="CB101" s="85"/>
      <c r="CC101" s="85"/>
      <c r="CD101" s="85"/>
      <c r="CE101" s="62"/>
      <c r="CF101" s="86">
        <v>0</v>
      </c>
      <c r="CG101" s="87">
        <v>0</v>
      </c>
      <c r="CH101" s="87">
        <v>0</v>
      </c>
      <c r="CI101" s="87">
        <v>0</v>
      </c>
      <c r="CJ101" s="87">
        <v>0</v>
      </c>
    </row>
    <row r="102" spans="1:88" x14ac:dyDescent="0.35">
      <c r="A102" s="88" t="s">
        <v>225</v>
      </c>
      <c r="B102" s="89">
        <v>101</v>
      </c>
      <c r="C102" s="102" t="s">
        <v>226</v>
      </c>
      <c r="D102" s="102" t="s">
        <v>226</v>
      </c>
      <c r="E102" s="103" t="s">
        <v>226</v>
      </c>
      <c r="F102" s="103" t="s">
        <v>226</v>
      </c>
      <c r="G102" s="103" t="s">
        <v>226</v>
      </c>
      <c r="H102" s="101"/>
      <c r="I102" s="93">
        <v>0</v>
      </c>
      <c r="J102" s="94">
        <v>0</v>
      </c>
      <c r="K102" s="94">
        <v>0</v>
      </c>
      <c r="L102" s="95">
        <v>0</v>
      </c>
      <c r="M102" s="96">
        <v>0</v>
      </c>
      <c r="N102" s="72"/>
      <c r="O102" s="73"/>
      <c r="P102" s="73"/>
      <c r="Q102" s="74"/>
      <c r="R102" s="72"/>
      <c r="S102" s="73"/>
      <c r="T102" s="73"/>
      <c r="U102" s="75"/>
      <c r="V102" s="93">
        <v>0</v>
      </c>
      <c r="W102" s="94">
        <v>0</v>
      </c>
      <c r="X102" s="94">
        <v>0</v>
      </c>
      <c r="Y102" s="95">
        <v>0</v>
      </c>
      <c r="Z102" s="96">
        <v>0</v>
      </c>
      <c r="AA102" s="72"/>
      <c r="AB102" s="73"/>
      <c r="AC102" s="73"/>
      <c r="AD102" s="74"/>
      <c r="AE102" s="72"/>
      <c r="AF102" s="73"/>
      <c r="AG102" s="73"/>
      <c r="AH102" s="75"/>
      <c r="AI102" s="93">
        <v>0</v>
      </c>
      <c r="AJ102" s="94">
        <v>0</v>
      </c>
      <c r="AK102" s="94">
        <v>0</v>
      </c>
      <c r="AL102" s="95">
        <v>0</v>
      </c>
      <c r="AM102" s="96">
        <v>0</v>
      </c>
      <c r="AN102" s="72"/>
      <c r="AO102" s="73"/>
      <c r="AP102" s="73"/>
      <c r="AQ102" s="74"/>
      <c r="AR102" s="72"/>
      <c r="AS102" s="73"/>
      <c r="AT102" s="73"/>
      <c r="AU102" s="75"/>
      <c r="AV102" s="93">
        <v>0</v>
      </c>
      <c r="AW102" s="94">
        <v>0</v>
      </c>
      <c r="AX102" s="94">
        <v>0</v>
      </c>
      <c r="AY102" s="95">
        <v>0</v>
      </c>
      <c r="AZ102" s="97">
        <v>1</v>
      </c>
      <c r="BA102" s="72"/>
      <c r="BB102" s="73"/>
      <c r="BC102" s="73"/>
      <c r="BD102" s="74"/>
      <c r="BE102" s="72"/>
      <c r="BF102" s="73"/>
      <c r="BG102" s="73"/>
      <c r="BH102" s="75"/>
      <c r="BI102" s="98">
        <v>0</v>
      </c>
      <c r="BJ102" s="99">
        <v>0</v>
      </c>
      <c r="BK102" s="100"/>
      <c r="BL102" s="100"/>
      <c r="BM102" s="62"/>
      <c r="BN102" s="80" t="e">
        <v>#VALUE!</v>
      </c>
      <c r="BO102" s="81" t="e">
        <v>#VALUE!</v>
      </c>
      <c r="BP102" s="82" t="e">
        <v>#VALUE!</v>
      </c>
      <c r="BQ102" s="82" t="e">
        <v>#VALUE!</v>
      </c>
      <c r="BR102" s="82" t="e">
        <v>#VALUE!</v>
      </c>
      <c r="BS102" s="80">
        <v>0</v>
      </c>
      <c r="BT102" s="83" t="s">
        <v>226</v>
      </c>
      <c r="BU102" s="61"/>
      <c r="BV102" s="84">
        <v>0</v>
      </c>
      <c r="BW102" s="84">
        <v>0</v>
      </c>
      <c r="BX102" s="84">
        <v>0</v>
      </c>
      <c r="BY102" s="84">
        <v>0</v>
      </c>
      <c r="BZ102" s="62"/>
      <c r="CA102" s="85"/>
      <c r="CB102" s="85"/>
      <c r="CC102" s="85"/>
      <c r="CD102" s="85"/>
      <c r="CE102" s="62"/>
      <c r="CF102" s="86">
        <v>0</v>
      </c>
      <c r="CG102" s="87">
        <v>0</v>
      </c>
      <c r="CH102" s="87">
        <v>0</v>
      </c>
      <c r="CI102" s="87">
        <v>0</v>
      </c>
      <c r="CJ102" s="87">
        <v>0</v>
      </c>
    </row>
    <row r="103" spans="1:88" x14ac:dyDescent="0.35">
      <c r="A103" s="88" t="s">
        <v>225</v>
      </c>
      <c r="B103" s="89">
        <v>102</v>
      </c>
      <c r="C103" s="102" t="s">
        <v>226</v>
      </c>
      <c r="D103" s="102" t="s">
        <v>226</v>
      </c>
      <c r="E103" s="103" t="s">
        <v>226</v>
      </c>
      <c r="F103" s="103" t="s">
        <v>226</v>
      </c>
      <c r="G103" s="103" t="s">
        <v>226</v>
      </c>
      <c r="H103" s="101"/>
      <c r="I103" s="93">
        <v>0</v>
      </c>
      <c r="J103" s="94">
        <v>0</v>
      </c>
      <c r="K103" s="94">
        <v>0</v>
      </c>
      <c r="L103" s="95">
        <v>0</v>
      </c>
      <c r="M103" s="96">
        <v>0</v>
      </c>
      <c r="N103" s="72"/>
      <c r="O103" s="73"/>
      <c r="P103" s="73"/>
      <c r="Q103" s="74"/>
      <c r="R103" s="72"/>
      <c r="S103" s="73"/>
      <c r="T103" s="73"/>
      <c r="U103" s="75"/>
      <c r="V103" s="93">
        <v>0</v>
      </c>
      <c r="W103" s="94">
        <v>0</v>
      </c>
      <c r="X103" s="94">
        <v>0</v>
      </c>
      <c r="Y103" s="95">
        <v>0</v>
      </c>
      <c r="Z103" s="96">
        <v>0</v>
      </c>
      <c r="AA103" s="72"/>
      <c r="AB103" s="73"/>
      <c r="AC103" s="73"/>
      <c r="AD103" s="74"/>
      <c r="AE103" s="72"/>
      <c r="AF103" s="73"/>
      <c r="AG103" s="73"/>
      <c r="AH103" s="75"/>
      <c r="AI103" s="93">
        <v>0</v>
      </c>
      <c r="AJ103" s="94">
        <v>0</v>
      </c>
      <c r="AK103" s="94">
        <v>0</v>
      </c>
      <c r="AL103" s="95">
        <v>0</v>
      </c>
      <c r="AM103" s="96">
        <v>0</v>
      </c>
      <c r="AN103" s="72"/>
      <c r="AO103" s="73"/>
      <c r="AP103" s="73"/>
      <c r="AQ103" s="74"/>
      <c r="AR103" s="72"/>
      <c r="AS103" s="73"/>
      <c r="AT103" s="73"/>
      <c r="AU103" s="75"/>
      <c r="AV103" s="93">
        <v>0</v>
      </c>
      <c r="AW103" s="94">
        <v>0</v>
      </c>
      <c r="AX103" s="94">
        <v>0</v>
      </c>
      <c r="AY103" s="95">
        <v>0</v>
      </c>
      <c r="AZ103" s="97">
        <v>1</v>
      </c>
      <c r="BA103" s="72"/>
      <c r="BB103" s="73"/>
      <c r="BC103" s="73"/>
      <c r="BD103" s="74"/>
      <c r="BE103" s="72"/>
      <c r="BF103" s="73"/>
      <c r="BG103" s="73"/>
      <c r="BH103" s="75"/>
      <c r="BI103" s="98">
        <v>0</v>
      </c>
      <c r="BJ103" s="99">
        <v>0</v>
      </c>
      <c r="BK103" s="100"/>
      <c r="BL103" s="100"/>
      <c r="BM103" s="62"/>
      <c r="BN103" s="80" t="e">
        <v>#VALUE!</v>
      </c>
      <c r="BO103" s="81" t="e">
        <v>#VALUE!</v>
      </c>
      <c r="BP103" s="82" t="e">
        <v>#VALUE!</v>
      </c>
      <c r="BQ103" s="82" t="e">
        <v>#VALUE!</v>
      </c>
      <c r="BR103" s="82" t="e">
        <v>#VALUE!</v>
      </c>
      <c r="BS103" s="80">
        <v>0</v>
      </c>
      <c r="BT103" s="83" t="s">
        <v>226</v>
      </c>
      <c r="BU103" s="61"/>
      <c r="BV103" s="84">
        <v>0</v>
      </c>
      <c r="BW103" s="84">
        <v>0</v>
      </c>
      <c r="BX103" s="84">
        <v>0</v>
      </c>
      <c r="BY103" s="84">
        <v>0</v>
      </c>
      <c r="BZ103" s="62"/>
      <c r="CA103" s="85"/>
      <c r="CB103" s="85"/>
      <c r="CC103" s="85"/>
      <c r="CD103" s="85"/>
      <c r="CE103" s="62"/>
      <c r="CF103" s="86">
        <v>0</v>
      </c>
      <c r="CG103" s="87">
        <v>0</v>
      </c>
      <c r="CH103" s="87">
        <v>0</v>
      </c>
      <c r="CI103" s="87">
        <v>0</v>
      </c>
      <c r="CJ103" s="87">
        <v>0</v>
      </c>
    </row>
    <row r="104" spans="1:88" x14ac:dyDescent="0.35">
      <c r="A104" s="88" t="s">
        <v>225</v>
      </c>
      <c r="B104" s="89">
        <v>103</v>
      </c>
      <c r="C104" s="102" t="s">
        <v>226</v>
      </c>
      <c r="D104" s="102" t="s">
        <v>226</v>
      </c>
      <c r="E104" s="103" t="s">
        <v>226</v>
      </c>
      <c r="F104" s="103" t="s">
        <v>226</v>
      </c>
      <c r="G104" s="103" t="s">
        <v>226</v>
      </c>
      <c r="H104" s="101"/>
      <c r="I104" s="93">
        <v>0</v>
      </c>
      <c r="J104" s="94">
        <v>0</v>
      </c>
      <c r="K104" s="94">
        <v>0</v>
      </c>
      <c r="L104" s="95">
        <v>0</v>
      </c>
      <c r="M104" s="96">
        <v>0</v>
      </c>
      <c r="N104" s="72"/>
      <c r="O104" s="73"/>
      <c r="P104" s="73"/>
      <c r="Q104" s="74"/>
      <c r="R104" s="72"/>
      <c r="S104" s="73"/>
      <c r="T104" s="73"/>
      <c r="U104" s="75"/>
      <c r="V104" s="93">
        <v>0</v>
      </c>
      <c r="W104" s="94">
        <v>0</v>
      </c>
      <c r="X104" s="94">
        <v>0</v>
      </c>
      <c r="Y104" s="95">
        <v>0</v>
      </c>
      <c r="Z104" s="96">
        <v>0</v>
      </c>
      <c r="AA104" s="72"/>
      <c r="AB104" s="73"/>
      <c r="AC104" s="73"/>
      <c r="AD104" s="74"/>
      <c r="AE104" s="72"/>
      <c r="AF104" s="73"/>
      <c r="AG104" s="73"/>
      <c r="AH104" s="75"/>
      <c r="AI104" s="93">
        <v>0</v>
      </c>
      <c r="AJ104" s="94">
        <v>0</v>
      </c>
      <c r="AK104" s="94">
        <v>0</v>
      </c>
      <c r="AL104" s="95">
        <v>0</v>
      </c>
      <c r="AM104" s="96">
        <v>0</v>
      </c>
      <c r="AN104" s="72"/>
      <c r="AO104" s="73"/>
      <c r="AP104" s="73"/>
      <c r="AQ104" s="74"/>
      <c r="AR104" s="72"/>
      <c r="AS104" s="73"/>
      <c r="AT104" s="73"/>
      <c r="AU104" s="75"/>
      <c r="AV104" s="93">
        <v>0</v>
      </c>
      <c r="AW104" s="94">
        <v>0</v>
      </c>
      <c r="AX104" s="94">
        <v>0</v>
      </c>
      <c r="AY104" s="95">
        <v>0</v>
      </c>
      <c r="AZ104" s="97">
        <v>1</v>
      </c>
      <c r="BA104" s="72"/>
      <c r="BB104" s="73"/>
      <c r="BC104" s="73"/>
      <c r="BD104" s="74"/>
      <c r="BE104" s="72"/>
      <c r="BF104" s="73"/>
      <c r="BG104" s="73"/>
      <c r="BH104" s="75"/>
      <c r="BI104" s="98">
        <v>0</v>
      </c>
      <c r="BJ104" s="99">
        <v>0</v>
      </c>
      <c r="BK104" s="100"/>
      <c r="BL104" s="100"/>
      <c r="BM104" s="62"/>
      <c r="BN104" s="80" t="e">
        <v>#VALUE!</v>
      </c>
      <c r="BO104" s="81" t="e">
        <v>#VALUE!</v>
      </c>
      <c r="BP104" s="82" t="e">
        <v>#VALUE!</v>
      </c>
      <c r="BQ104" s="82" t="e">
        <v>#VALUE!</v>
      </c>
      <c r="BR104" s="82" t="e">
        <v>#VALUE!</v>
      </c>
      <c r="BS104" s="80">
        <v>0</v>
      </c>
      <c r="BT104" s="83" t="s">
        <v>226</v>
      </c>
      <c r="BU104" s="61"/>
      <c r="BV104" s="84">
        <v>0</v>
      </c>
      <c r="BW104" s="84">
        <v>0</v>
      </c>
      <c r="BX104" s="84">
        <v>0</v>
      </c>
      <c r="BY104" s="84">
        <v>0</v>
      </c>
      <c r="BZ104" s="62"/>
      <c r="CA104" s="85"/>
      <c r="CB104" s="85"/>
      <c r="CC104" s="85"/>
      <c r="CD104" s="85"/>
      <c r="CE104" s="62"/>
      <c r="CF104" s="86">
        <v>0</v>
      </c>
      <c r="CG104" s="87">
        <v>0</v>
      </c>
      <c r="CH104" s="87">
        <v>0</v>
      </c>
      <c r="CI104" s="87">
        <v>0</v>
      </c>
      <c r="CJ104" s="87">
        <v>0</v>
      </c>
    </row>
    <row r="105" spans="1:88" x14ac:dyDescent="0.35">
      <c r="A105" s="88" t="s">
        <v>225</v>
      </c>
      <c r="B105" s="89">
        <v>104</v>
      </c>
      <c r="C105" s="102" t="s">
        <v>226</v>
      </c>
      <c r="D105" s="102" t="s">
        <v>226</v>
      </c>
      <c r="E105" s="103" t="s">
        <v>226</v>
      </c>
      <c r="F105" s="103" t="s">
        <v>226</v>
      </c>
      <c r="G105" s="103" t="s">
        <v>226</v>
      </c>
      <c r="H105" s="101"/>
      <c r="I105" s="93">
        <v>0</v>
      </c>
      <c r="J105" s="94">
        <v>0</v>
      </c>
      <c r="K105" s="94">
        <v>0</v>
      </c>
      <c r="L105" s="95">
        <v>0</v>
      </c>
      <c r="M105" s="96">
        <v>0</v>
      </c>
      <c r="N105" s="72"/>
      <c r="O105" s="73"/>
      <c r="P105" s="73"/>
      <c r="Q105" s="74"/>
      <c r="R105" s="72"/>
      <c r="S105" s="73"/>
      <c r="T105" s="73"/>
      <c r="U105" s="75"/>
      <c r="V105" s="93">
        <v>0</v>
      </c>
      <c r="W105" s="94">
        <v>0</v>
      </c>
      <c r="X105" s="94">
        <v>0</v>
      </c>
      <c r="Y105" s="95">
        <v>0</v>
      </c>
      <c r="Z105" s="96">
        <v>0</v>
      </c>
      <c r="AA105" s="72"/>
      <c r="AB105" s="73"/>
      <c r="AC105" s="73"/>
      <c r="AD105" s="74"/>
      <c r="AE105" s="72"/>
      <c r="AF105" s="73"/>
      <c r="AG105" s="73"/>
      <c r="AH105" s="75"/>
      <c r="AI105" s="93">
        <v>0</v>
      </c>
      <c r="AJ105" s="94">
        <v>0</v>
      </c>
      <c r="AK105" s="94">
        <v>0</v>
      </c>
      <c r="AL105" s="95">
        <v>0</v>
      </c>
      <c r="AM105" s="96">
        <v>0</v>
      </c>
      <c r="AN105" s="72"/>
      <c r="AO105" s="73"/>
      <c r="AP105" s="73"/>
      <c r="AQ105" s="74"/>
      <c r="AR105" s="72"/>
      <c r="AS105" s="73"/>
      <c r="AT105" s="73"/>
      <c r="AU105" s="75"/>
      <c r="AV105" s="93">
        <v>0</v>
      </c>
      <c r="AW105" s="94">
        <v>0</v>
      </c>
      <c r="AX105" s="94">
        <v>0</v>
      </c>
      <c r="AY105" s="95">
        <v>0</v>
      </c>
      <c r="AZ105" s="97">
        <v>1</v>
      </c>
      <c r="BA105" s="72"/>
      <c r="BB105" s="73"/>
      <c r="BC105" s="73"/>
      <c r="BD105" s="74"/>
      <c r="BE105" s="72"/>
      <c r="BF105" s="73"/>
      <c r="BG105" s="73"/>
      <c r="BH105" s="75"/>
      <c r="BI105" s="98">
        <v>0</v>
      </c>
      <c r="BJ105" s="99">
        <v>0</v>
      </c>
      <c r="BK105" s="100"/>
      <c r="BL105" s="100"/>
      <c r="BM105" s="62"/>
      <c r="BN105" s="80" t="e">
        <v>#VALUE!</v>
      </c>
      <c r="BO105" s="81" t="e">
        <v>#VALUE!</v>
      </c>
      <c r="BP105" s="82" t="e">
        <v>#VALUE!</v>
      </c>
      <c r="BQ105" s="82" t="e">
        <v>#VALUE!</v>
      </c>
      <c r="BR105" s="82" t="e">
        <v>#VALUE!</v>
      </c>
      <c r="BS105" s="80">
        <v>0</v>
      </c>
      <c r="BT105" s="83" t="s">
        <v>226</v>
      </c>
      <c r="BU105" s="61"/>
      <c r="BV105" s="84">
        <v>0</v>
      </c>
      <c r="BW105" s="84">
        <v>0</v>
      </c>
      <c r="BX105" s="84">
        <v>0</v>
      </c>
      <c r="BY105" s="84">
        <v>0</v>
      </c>
      <c r="BZ105" s="62"/>
      <c r="CA105" s="85"/>
      <c r="CB105" s="85"/>
      <c r="CC105" s="85"/>
      <c r="CD105" s="85"/>
      <c r="CE105" s="62"/>
      <c r="CF105" s="86">
        <v>0</v>
      </c>
      <c r="CG105" s="87">
        <v>0</v>
      </c>
      <c r="CH105" s="87">
        <v>0</v>
      </c>
      <c r="CI105" s="87">
        <v>0</v>
      </c>
      <c r="CJ105" s="87">
        <v>0</v>
      </c>
    </row>
    <row r="106" spans="1:88" x14ac:dyDescent="0.35">
      <c r="A106" s="88" t="s">
        <v>225</v>
      </c>
      <c r="B106" s="89">
        <v>105</v>
      </c>
      <c r="C106" s="102" t="s">
        <v>226</v>
      </c>
      <c r="D106" s="102" t="s">
        <v>226</v>
      </c>
      <c r="E106" s="103" t="s">
        <v>226</v>
      </c>
      <c r="F106" s="103" t="s">
        <v>226</v>
      </c>
      <c r="G106" s="103" t="s">
        <v>226</v>
      </c>
      <c r="H106" s="101"/>
      <c r="I106" s="93">
        <v>0</v>
      </c>
      <c r="J106" s="94">
        <v>0</v>
      </c>
      <c r="K106" s="94">
        <v>0</v>
      </c>
      <c r="L106" s="95">
        <v>0</v>
      </c>
      <c r="M106" s="96">
        <v>0</v>
      </c>
      <c r="N106" s="72"/>
      <c r="O106" s="73"/>
      <c r="P106" s="73"/>
      <c r="Q106" s="74"/>
      <c r="R106" s="72"/>
      <c r="S106" s="73"/>
      <c r="T106" s="73"/>
      <c r="U106" s="75"/>
      <c r="V106" s="93">
        <v>0</v>
      </c>
      <c r="W106" s="94">
        <v>0</v>
      </c>
      <c r="X106" s="94">
        <v>0</v>
      </c>
      <c r="Y106" s="95">
        <v>0</v>
      </c>
      <c r="Z106" s="96">
        <v>0</v>
      </c>
      <c r="AA106" s="72"/>
      <c r="AB106" s="73"/>
      <c r="AC106" s="73"/>
      <c r="AD106" s="74"/>
      <c r="AE106" s="72"/>
      <c r="AF106" s="73"/>
      <c r="AG106" s="73"/>
      <c r="AH106" s="75"/>
      <c r="AI106" s="93">
        <v>0</v>
      </c>
      <c r="AJ106" s="94">
        <v>0</v>
      </c>
      <c r="AK106" s="94">
        <v>0</v>
      </c>
      <c r="AL106" s="95">
        <v>0</v>
      </c>
      <c r="AM106" s="96">
        <v>0</v>
      </c>
      <c r="AN106" s="72"/>
      <c r="AO106" s="73"/>
      <c r="AP106" s="73"/>
      <c r="AQ106" s="74"/>
      <c r="AR106" s="72"/>
      <c r="AS106" s="73"/>
      <c r="AT106" s="73"/>
      <c r="AU106" s="75"/>
      <c r="AV106" s="93">
        <v>0</v>
      </c>
      <c r="AW106" s="94">
        <v>0</v>
      </c>
      <c r="AX106" s="94">
        <v>0</v>
      </c>
      <c r="AY106" s="95">
        <v>0</v>
      </c>
      <c r="AZ106" s="97">
        <v>1</v>
      </c>
      <c r="BA106" s="72"/>
      <c r="BB106" s="73"/>
      <c r="BC106" s="73"/>
      <c r="BD106" s="74"/>
      <c r="BE106" s="72"/>
      <c r="BF106" s="73"/>
      <c r="BG106" s="73"/>
      <c r="BH106" s="75"/>
      <c r="BI106" s="98">
        <v>0</v>
      </c>
      <c r="BJ106" s="99">
        <v>0</v>
      </c>
      <c r="BK106" s="100"/>
      <c r="BL106" s="100"/>
      <c r="BM106" s="62"/>
      <c r="BN106" s="80" t="e">
        <v>#VALUE!</v>
      </c>
      <c r="BO106" s="81" t="e">
        <v>#VALUE!</v>
      </c>
      <c r="BP106" s="82" t="e">
        <v>#VALUE!</v>
      </c>
      <c r="BQ106" s="82" t="e">
        <v>#VALUE!</v>
      </c>
      <c r="BR106" s="82" t="e">
        <v>#VALUE!</v>
      </c>
      <c r="BS106" s="80">
        <v>0</v>
      </c>
      <c r="BT106" s="83" t="s">
        <v>226</v>
      </c>
      <c r="BU106" s="61"/>
      <c r="BV106" s="84">
        <v>0</v>
      </c>
      <c r="BW106" s="84">
        <v>0</v>
      </c>
      <c r="BX106" s="84">
        <v>0</v>
      </c>
      <c r="BY106" s="84">
        <v>0</v>
      </c>
      <c r="BZ106" s="62"/>
      <c r="CA106" s="85"/>
      <c r="CB106" s="85"/>
      <c r="CC106" s="85"/>
      <c r="CD106" s="85"/>
      <c r="CE106" s="62"/>
      <c r="CF106" s="86">
        <v>0</v>
      </c>
      <c r="CG106" s="87">
        <v>0</v>
      </c>
      <c r="CH106" s="87">
        <v>0</v>
      </c>
      <c r="CI106" s="87">
        <v>0</v>
      </c>
      <c r="CJ106" s="87">
        <v>0</v>
      </c>
    </row>
    <row r="107" spans="1:88" x14ac:dyDescent="0.35">
      <c r="A107" s="88" t="s">
        <v>225</v>
      </c>
      <c r="B107" s="89">
        <v>106</v>
      </c>
      <c r="C107" s="102" t="s">
        <v>226</v>
      </c>
      <c r="D107" s="102" t="s">
        <v>226</v>
      </c>
      <c r="E107" s="103" t="s">
        <v>226</v>
      </c>
      <c r="F107" s="103" t="s">
        <v>226</v>
      </c>
      <c r="G107" s="103" t="s">
        <v>226</v>
      </c>
      <c r="H107" s="101"/>
      <c r="I107" s="93">
        <v>0</v>
      </c>
      <c r="J107" s="94">
        <v>0</v>
      </c>
      <c r="K107" s="94">
        <v>0</v>
      </c>
      <c r="L107" s="95">
        <v>0</v>
      </c>
      <c r="M107" s="96">
        <v>0</v>
      </c>
      <c r="N107" s="72"/>
      <c r="O107" s="73"/>
      <c r="P107" s="73"/>
      <c r="Q107" s="74"/>
      <c r="R107" s="72"/>
      <c r="S107" s="73"/>
      <c r="T107" s="73"/>
      <c r="U107" s="75"/>
      <c r="V107" s="93">
        <v>0</v>
      </c>
      <c r="W107" s="94">
        <v>0</v>
      </c>
      <c r="X107" s="94">
        <v>0</v>
      </c>
      <c r="Y107" s="95">
        <v>0</v>
      </c>
      <c r="Z107" s="96">
        <v>0</v>
      </c>
      <c r="AA107" s="72"/>
      <c r="AB107" s="73"/>
      <c r="AC107" s="73"/>
      <c r="AD107" s="74"/>
      <c r="AE107" s="72"/>
      <c r="AF107" s="73"/>
      <c r="AG107" s="73"/>
      <c r="AH107" s="75"/>
      <c r="AI107" s="93">
        <v>0</v>
      </c>
      <c r="AJ107" s="94">
        <v>0</v>
      </c>
      <c r="AK107" s="94">
        <v>0</v>
      </c>
      <c r="AL107" s="95">
        <v>0</v>
      </c>
      <c r="AM107" s="96">
        <v>0</v>
      </c>
      <c r="AN107" s="72"/>
      <c r="AO107" s="73"/>
      <c r="AP107" s="73"/>
      <c r="AQ107" s="74"/>
      <c r="AR107" s="72"/>
      <c r="AS107" s="73"/>
      <c r="AT107" s="73"/>
      <c r="AU107" s="75"/>
      <c r="AV107" s="93">
        <v>0</v>
      </c>
      <c r="AW107" s="94">
        <v>0</v>
      </c>
      <c r="AX107" s="94">
        <v>0</v>
      </c>
      <c r="AY107" s="95">
        <v>0</v>
      </c>
      <c r="AZ107" s="97">
        <v>1</v>
      </c>
      <c r="BA107" s="72"/>
      <c r="BB107" s="73"/>
      <c r="BC107" s="73"/>
      <c r="BD107" s="74"/>
      <c r="BE107" s="72"/>
      <c r="BF107" s="73"/>
      <c r="BG107" s="73"/>
      <c r="BH107" s="75"/>
      <c r="BI107" s="98">
        <v>0</v>
      </c>
      <c r="BJ107" s="99">
        <v>0</v>
      </c>
      <c r="BK107" s="100"/>
      <c r="BL107" s="100"/>
      <c r="BM107" s="62"/>
      <c r="BN107" s="80" t="e">
        <v>#VALUE!</v>
      </c>
      <c r="BO107" s="81" t="e">
        <v>#VALUE!</v>
      </c>
      <c r="BP107" s="82" t="e">
        <v>#VALUE!</v>
      </c>
      <c r="BQ107" s="82" t="e">
        <v>#VALUE!</v>
      </c>
      <c r="BR107" s="82" t="e">
        <v>#VALUE!</v>
      </c>
      <c r="BS107" s="80">
        <v>0</v>
      </c>
      <c r="BT107" s="83" t="s">
        <v>226</v>
      </c>
      <c r="BU107" s="61"/>
      <c r="BV107" s="84">
        <v>0</v>
      </c>
      <c r="BW107" s="84">
        <v>0</v>
      </c>
      <c r="BX107" s="84">
        <v>0</v>
      </c>
      <c r="BY107" s="84">
        <v>0</v>
      </c>
      <c r="BZ107" s="62"/>
      <c r="CA107" s="85"/>
      <c r="CB107" s="85"/>
      <c r="CC107" s="85"/>
      <c r="CD107" s="85"/>
      <c r="CE107" s="62"/>
      <c r="CF107" s="86">
        <v>0</v>
      </c>
      <c r="CG107" s="87">
        <v>0</v>
      </c>
      <c r="CH107" s="87">
        <v>0</v>
      </c>
      <c r="CI107" s="87">
        <v>0</v>
      </c>
      <c r="CJ107" s="87">
        <v>0</v>
      </c>
    </row>
    <row r="108" spans="1:88" x14ac:dyDescent="0.35">
      <c r="A108" s="88" t="s">
        <v>225</v>
      </c>
      <c r="B108" s="89">
        <v>107</v>
      </c>
      <c r="C108" s="102" t="s">
        <v>226</v>
      </c>
      <c r="D108" s="102" t="s">
        <v>226</v>
      </c>
      <c r="E108" s="103" t="s">
        <v>226</v>
      </c>
      <c r="F108" s="103" t="s">
        <v>226</v>
      </c>
      <c r="G108" s="103" t="s">
        <v>226</v>
      </c>
      <c r="H108" s="101"/>
      <c r="I108" s="93">
        <v>0</v>
      </c>
      <c r="J108" s="94">
        <v>0</v>
      </c>
      <c r="K108" s="94">
        <v>0</v>
      </c>
      <c r="L108" s="95">
        <v>0</v>
      </c>
      <c r="M108" s="96">
        <v>0</v>
      </c>
      <c r="N108" s="72"/>
      <c r="O108" s="73"/>
      <c r="P108" s="73"/>
      <c r="Q108" s="74"/>
      <c r="R108" s="72"/>
      <c r="S108" s="73"/>
      <c r="T108" s="73"/>
      <c r="U108" s="75"/>
      <c r="V108" s="93">
        <v>0</v>
      </c>
      <c r="W108" s="94">
        <v>0</v>
      </c>
      <c r="X108" s="94">
        <v>0</v>
      </c>
      <c r="Y108" s="95">
        <v>0</v>
      </c>
      <c r="Z108" s="96">
        <v>0</v>
      </c>
      <c r="AA108" s="72"/>
      <c r="AB108" s="73"/>
      <c r="AC108" s="73"/>
      <c r="AD108" s="74"/>
      <c r="AE108" s="72"/>
      <c r="AF108" s="73"/>
      <c r="AG108" s="73"/>
      <c r="AH108" s="75"/>
      <c r="AI108" s="93">
        <v>0</v>
      </c>
      <c r="AJ108" s="94">
        <v>0</v>
      </c>
      <c r="AK108" s="94">
        <v>0</v>
      </c>
      <c r="AL108" s="95">
        <v>0</v>
      </c>
      <c r="AM108" s="96">
        <v>0</v>
      </c>
      <c r="AN108" s="72"/>
      <c r="AO108" s="73"/>
      <c r="AP108" s="73"/>
      <c r="AQ108" s="74"/>
      <c r="AR108" s="72"/>
      <c r="AS108" s="73"/>
      <c r="AT108" s="73"/>
      <c r="AU108" s="75"/>
      <c r="AV108" s="93">
        <v>0</v>
      </c>
      <c r="AW108" s="94">
        <v>0</v>
      </c>
      <c r="AX108" s="94">
        <v>0</v>
      </c>
      <c r="AY108" s="95">
        <v>0</v>
      </c>
      <c r="AZ108" s="97">
        <v>1</v>
      </c>
      <c r="BA108" s="72"/>
      <c r="BB108" s="73"/>
      <c r="BC108" s="73"/>
      <c r="BD108" s="74"/>
      <c r="BE108" s="72"/>
      <c r="BF108" s="73"/>
      <c r="BG108" s="73"/>
      <c r="BH108" s="75"/>
      <c r="BI108" s="98">
        <v>0</v>
      </c>
      <c r="BJ108" s="99">
        <v>0</v>
      </c>
      <c r="BK108" s="100"/>
      <c r="BL108" s="100"/>
      <c r="BM108" s="62"/>
      <c r="BN108" s="80" t="e">
        <v>#VALUE!</v>
      </c>
      <c r="BO108" s="81" t="e">
        <v>#VALUE!</v>
      </c>
      <c r="BP108" s="82" t="e">
        <v>#VALUE!</v>
      </c>
      <c r="BQ108" s="82" t="e">
        <v>#VALUE!</v>
      </c>
      <c r="BR108" s="82" t="e">
        <v>#VALUE!</v>
      </c>
      <c r="BS108" s="80">
        <v>0</v>
      </c>
      <c r="BT108" s="83" t="s">
        <v>226</v>
      </c>
      <c r="BU108" s="61"/>
      <c r="BV108" s="84">
        <v>0</v>
      </c>
      <c r="BW108" s="84">
        <v>0</v>
      </c>
      <c r="BX108" s="84">
        <v>0</v>
      </c>
      <c r="BY108" s="84">
        <v>0</v>
      </c>
      <c r="BZ108" s="62"/>
      <c r="CA108" s="85"/>
      <c r="CB108" s="85"/>
      <c r="CC108" s="85"/>
      <c r="CD108" s="85"/>
      <c r="CE108" s="62"/>
      <c r="CF108" s="86">
        <v>0</v>
      </c>
      <c r="CG108" s="87">
        <v>0</v>
      </c>
      <c r="CH108" s="87">
        <v>0</v>
      </c>
      <c r="CI108" s="87">
        <v>0</v>
      </c>
      <c r="CJ108" s="87">
        <v>0</v>
      </c>
    </row>
    <row r="109" spans="1:88" x14ac:dyDescent="0.35">
      <c r="A109" s="88" t="s">
        <v>225</v>
      </c>
      <c r="B109" s="89">
        <v>108</v>
      </c>
      <c r="C109" s="102" t="s">
        <v>226</v>
      </c>
      <c r="D109" s="102" t="s">
        <v>226</v>
      </c>
      <c r="E109" s="103" t="s">
        <v>226</v>
      </c>
      <c r="F109" s="103" t="s">
        <v>226</v>
      </c>
      <c r="G109" s="103" t="s">
        <v>226</v>
      </c>
      <c r="H109" s="101"/>
      <c r="I109" s="93">
        <v>0</v>
      </c>
      <c r="J109" s="94">
        <v>0</v>
      </c>
      <c r="K109" s="94">
        <v>0</v>
      </c>
      <c r="L109" s="95">
        <v>0</v>
      </c>
      <c r="M109" s="96">
        <v>0</v>
      </c>
      <c r="N109" s="72"/>
      <c r="O109" s="73"/>
      <c r="P109" s="73"/>
      <c r="Q109" s="74"/>
      <c r="R109" s="72"/>
      <c r="S109" s="73"/>
      <c r="T109" s="73"/>
      <c r="U109" s="75"/>
      <c r="V109" s="93">
        <v>0</v>
      </c>
      <c r="W109" s="94">
        <v>0</v>
      </c>
      <c r="X109" s="94">
        <v>0</v>
      </c>
      <c r="Y109" s="95">
        <v>0</v>
      </c>
      <c r="Z109" s="96">
        <v>0</v>
      </c>
      <c r="AA109" s="72"/>
      <c r="AB109" s="73"/>
      <c r="AC109" s="73"/>
      <c r="AD109" s="74"/>
      <c r="AE109" s="72"/>
      <c r="AF109" s="73"/>
      <c r="AG109" s="73"/>
      <c r="AH109" s="75"/>
      <c r="AI109" s="93">
        <v>0</v>
      </c>
      <c r="AJ109" s="94">
        <v>0</v>
      </c>
      <c r="AK109" s="94">
        <v>0</v>
      </c>
      <c r="AL109" s="95">
        <v>0</v>
      </c>
      <c r="AM109" s="96">
        <v>0</v>
      </c>
      <c r="AN109" s="72"/>
      <c r="AO109" s="73"/>
      <c r="AP109" s="73"/>
      <c r="AQ109" s="74"/>
      <c r="AR109" s="72"/>
      <c r="AS109" s="73"/>
      <c r="AT109" s="73"/>
      <c r="AU109" s="75"/>
      <c r="AV109" s="93">
        <v>0</v>
      </c>
      <c r="AW109" s="94">
        <v>0</v>
      </c>
      <c r="AX109" s="94">
        <v>0</v>
      </c>
      <c r="AY109" s="95">
        <v>0</v>
      </c>
      <c r="AZ109" s="97">
        <v>1</v>
      </c>
      <c r="BA109" s="72"/>
      <c r="BB109" s="73"/>
      <c r="BC109" s="73"/>
      <c r="BD109" s="74"/>
      <c r="BE109" s="72"/>
      <c r="BF109" s="73"/>
      <c r="BG109" s="73"/>
      <c r="BH109" s="75"/>
      <c r="BI109" s="98">
        <v>0</v>
      </c>
      <c r="BJ109" s="99">
        <v>0</v>
      </c>
      <c r="BK109" s="100"/>
      <c r="BL109" s="100"/>
      <c r="BM109" s="62"/>
      <c r="BN109" s="80" t="e">
        <v>#VALUE!</v>
      </c>
      <c r="BO109" s="81" t="e">
        <v>#VALUE!</v>
      </c>
      <c r="BP109" s="82" t="e">
        <v>#VALUE!</v>
      </c>
      <c r="BQ109" s="82" t="e">
        <v>#VALUE!</v>
      </c>
      <c r="BR109" s="82" t="e">
        <v>#VALUE!</v>
      </c>
      <c r="BS109" s="80">
        <v>0</v>
      </c>
      <c r="BT109" s="83" t="s">
        <v>226</v>
      </c>
      <c r="BU109" s="61"/>
      <c r="BV109" s="84">
        <v>0</v>
      </c>
      <c r="BW109" s="84">
        <v>0</v>
      </c>
      <c r="BX109" s="84">
        <v>0</v>
      </c>
      <c r="BY109" s="84">
        <v>0</v>
      </c>
      <c r="BZ109" s="62"/>
      <c r="CA109" s="85"/>
      <c r="CB109" s="85"/>
      <c r="CC109" s="85"/>
      <c r="CD109" s="85"/>
      <c r="CE109" s="62"/>
      <c r="CF109" s="86">
        <v>0</v>
      </c>
      <c r="CG109" s="87">
        <v>0</v>
      </c>
      <c r="CH109" s="87">
        <v>0</v>
      </c>
      <c r="CI109" s="87">
        <v>0</v>
      </c>
      <c r="CJ109" s="87">
        <v>0</v>
      </c>
    </row>
    <row r="110" spans="1:88" x14ac:dyDescent="0.35">
      <c r="A110" s="88" t="s">
        <v>225</v>
      </c>
      <c r="B110" s="89">
        <v>109</v>
      </c>
      <c r="C110" s="102" t="s">
        <v>226</v>
      </c>
      <c r="D110" s="102" t="s">
        <v>226</v>
      </c>
      <c r="E110" s="103" t="s">
        <v>226</v>
      </c>
      <c r="F110" s="103" t="s">
        <v>226</v>
      </c>
      <c r="G110" s="103" t="s">
        <v>226</v>
      </c>
      <c r="H110" s="101"/>
      <c r="I110" s="93">
        <v>0</v>
      </c>
      <c r="J110" s="94">
        <v>0</v>
      </c>
      <c r="K110" s="94">
        <v>0</v>
      </c>
      <c r="L110" s="95">
        <v>0</v>
      </c>
      <c r="M110" s="96">
        <v>0</v>
      </c>
      <c r="N110" s="72"/>
      <c r="O110" s="73"/>
      <c r="P110" s="73"/>
      <c r="Q110" s="74"/>
      <c r="R110" s="72"/>
      <c r="S110" s="73"/>
      <c r="T110" s="73"/>
      <c r="U110" s="75"/>
      <c r="V110" s="93">
        <v>0</v>
      </c>
      <c r="W110" s="94">
        <v>0</v>
      </c>
      <c r="X110" s="94">
        <v>0</v>
      </c>
      <c r="Y110" s="95">
        <v>0</v>
      </c>
      <c r="Z110" s="96">
        <v>0</v>
      </c>
      <c r="AA110" s="72"/>
      <c r="AB110" s="73"/>
      <c r="AC110" s="73"/>
      <c r="AD110" s="74"/>
      <c r="AE110" s="72"/>
      <c r="AF110" s="73"/>
      <c r="AG110" s="73"/>
      <c r="AH110" s="75"/>
      <c r="AI110" s="93">
        <v>0</v>
      </c>
      <c r="AJ110" s="94">
        <v>0</v>
      </c>
      <c r="AK110" s="94">
        <v>0</v>
      </c>
      <c r="AL110" s="95">
        <v>0</v>
      </c>
      <c r="AM110" s="96">
        <v>0</v>
      </c>
      <c r="AN110" s="72"/>
      <c r="AO110" s="73"/>
      <c r="AP110" s="73"/>
      <c r="AQ110" s="74"/>
      <c r="AR110" s="72"/>
      <c r="AS110" s="73"/>
      <c r="AT110" s="73"/>
      <c r="AU110" s="75"/>
      <c r="AV110" s="93">
        <v>0</v>
      </c>
      <c r="AW110" s="94">
        <v>0</v>
      </c>
      <c r="AX110" s="94">
        <v>0</v>
      </c>
      <c r="AY110" s="95">
        <v>0</v>
      </c>
      <c r="AZ110" s="97">
        <v>1</v>
      </c>
      <c r="BA110" s="72"/>
      <c r="BB110" s="73"/>
      <c r="BC110" s="73"/>
      <c r="BD110" s="74"/>
      <c r="BE110" s="72"/>
      <c r="BF110" s="73"/>
      <c r="BG110" s="73"/>
      <c r="BH110" s="75"/>
      <c r="BI110" s="98">
        <v>0</v>
      </c>
      <c r="BJ110" s="99">
        <v>0</v>
      </c>
      <c r="BK110" s="100"/>
      <c r="BL110" s="100"/>
      <c r="BM110" s="62"/>
      <c r="BN110" s="80" t="e">
        <v>#VALUE!</v>
      </c>
      <c r="BO110" s="81" t="e">
        <v>#VALUE!</v>
      </c>
      <c r="BP110" s="82" t="e">
        <v>#VALUE!</v>
      </c>
      <c r="BQ110" s="82" t="e">
        <v>#VALUE!</v>
      </c>
      <c r="BR110" s="82" t="e">
        <v>#VALUE!</v>
      </c>
      <c r="BS110" s="80">
        <v>0</v>
      </c>
      <c r="BT110" s="83" t="s">
        <v>226</v>
      </c>
      <c r="BU110" s="61"/>
      <c r="BV110" s="84">
        <v>0</v>
      </c>
      <c r="BW110" s="84">
        <v>0</v>
      </c>
      <c r="BX110" s="84">
        <v>0</v>
      </c>
      <c r="BY110" s="84">
        <v>0</v>
      </c>
      <c r="BZ110" s="62"/>
      <c r="CA110" s="85"/>
      <c r="CB110" s="85"/>
      <c r="CC110" s="85"/>
      <c r="CD110" s="85"/>
      <c r="CE110" s="62"/>
      <c r="CF110" s="86">
        <v>0</v>
      </c>
      <c r="CG110" s="87">
        <v>0</v>
      </c>
      <c r="CH110" s="87">
        <v>0</v>
      </c>
      <c r="CI110" s="87">
        <v>0</v>
      </c>
      <c r="CJ110" s="87">
        <v>0</v>
      </c>
    </row>
    <row r="111" spans="1:88" x14ac:dyDescent="0.35">
      <c r="A111" s="88" t="s">
        <v>225</v>
      </c>
      <c r="B111" s="89">
        <v>110</v>
      </c>
      <c r="C111" s="102" t="s">
        <v>226</v>
      </c>
      <c r="D111" s="102" t="s">
        <v>226</v>
      </c>
      <c r="E111" s="103" t="s">
        <v>226</v>
      </c>
      <c r="F111" s="103" t="s">
        <v>226</v>
      </c>
      <c r="G111" s="103" t="s">
        <v>226</v>
      </c>
      <c r="H111" s="101"/>
      <c r="I111" s="93">
        <v>0</v>
      </c>
      <c r="J111" s="94">
        <v>0</v>
      </c>
      <c r="K111" s="94">
        <v>0</v>
      </c>
      <c r="L111" s="95">
        <v>0</v>
      </c>
      <c r="M111" s="96">
        <v>0</v>
      </c>
      <c r="N111" s="72"/>
      <c r="O111" s="73"/>
      <c r="P111" s="73"/>
      <c r="Q111" s="74"/>
      <c r="R111" s="72"/>
      <c r="S111" s="73"/>
      <c r="T111" s="73"/>
      <c r="U111" s="75"/>
      <c r="V111" s="93">
        <v>0</v>
      </c>
      <c r="W111" s="94">
        <v>0</v>
      </c>
      <c r="X111" s="94">
        <v>0</v>
      </c>
      <c r="Y111" s="95">
        <v>0</v>
      </c>
      <c r="Z111" s="96">
        <v>0</v>
      </c>
      <c r="AA111" s="72"/>
      <c r="AB111" s="73"/>
      <c r="AC111" s="73"/>
      <c r="AD111" s="74"/>
      <c r="AE111" s="72"/>
      <c r="AF111" s="73"/>
      <c r="AG111" s="73"/>
      <c r="AH111" s="75"/>
      <c r="AI111" s="93">
        <v>0</v>
      </c>
      <c r="AJ111" s="94">
        <v>0</v>
      </c>
      <c r="AK111" s="94">
        <v>0</v>
      </c>
      <c r="AL111" s="95">
        <v>0</v>
      </c>
      <c r="AM111" s="96">
        <v>0</v>
      </c>
      <c r="AN111" s="72"/>
      <c r="AO111" s="73"/>
      <c r="AP111" s="73"/>
      <c r="AQ111" s="74"/>
      <c r="AR111" s="72"/>
      <c r="AS111" s="73"/>
      <c r="AT111" s="73"/>
      <c r="AU111" s="75"/>
      <c r="AV111" s="93">
        <v>0</v>
      </c>
      <c r="AW111" s="94">
        <v>0</v>
      </c>
      <c r="AX111" s="94">
        <v>0</v>
      </c>
      <c r="AY111" s="95">
        <v>0</v>
      </c>
      <c r="AZ111" s="97">
        <v>1</v>
      </c>
      <c r="BA111" s="72"/>
      <c r="BB111" s="73"/>
      <c r="BC111" s="73"/>
      <c r="BD111" s="74"/>
      <c r="BE111" s="72"/>
      <c r="BF111" s="73"/>
      <c r="BG111" s="73"/>
      <c r="BH111" s="75"/>
      <c r="BI111" s="98">
        <v>0</v>
      </c>
      <c r="BJ111" s="99">
        <v>0</v>
      </c>
      <c r="BK111" s="100"/>
      <c r="BL111" s="100"/>
      <c r="BM111" s="62"/>
      <c r="BN111" s="80" t="e">
        <v>#VALUE!</v>
      </c>
      <c r="BO111" s="81" t="e">
        <v>#VALUE!</v>
      </c>
      <c r="BP111" s="82" t="e">
        <v>#VALUE!</v>
      </c>
      <c r="BQ111" s="82" t="e">
        <v>#VALUE!</v>
      </c>
      <c r="BR111" s="82" t="e">
        <v>#VALUE!</v>
      </c>
      <c r="BS111" s="80">
        <v>0</v>
      </c>
      <c r="BT111" s="83" t="s">
        <v>226</v>
      </c>
      <c r="BU111" s="61"/>
      <c r="BV111" s="84">
        <v>0</v>
      </c>
      <c r="BW111" s="84">
        <v>0</v>
      </c>
      <c r="BX111" s="84">
        <v>0</v>
      </c>
      <c r="BY111" s="84">
        <v>0</v>
      </c>
      <c r="BZ111" s="62"/>
      <c r="CA111" s="85"/>
      <c r="CB111" s="85"/>
      <c r="CC111" s="85"/>
      <c r="CD111" s="85"/>
      <c r="CE111" s="62"/>
      <c r="CF111" s="86">
        <v>0</v>
      </c>
      <c r="CG111" s="87">
        <v>0</v>
      </c>
      <c r="CH111" s="87">
        <v>0</v>
      </c>
      <c r="CI111" s="87">
        <v>0</v>
      </c>
      <c r="CJ111" s="87">
        <v>0</v>
      </c>
    </row>
    <row r="112" spans="1:88" x14ac:dyDescent="0.35">
      <c r="A112" s="88" t="s">
        <v>225</v>
      </c>
      <c r="B112" s="89">
        <v>111</v>
      </c>
      <c r="C112" s="102" t="s">
        <v>226</v>
      </c>
      <c r="D112" s="102" t="s">
        <v>226</v>
      </c>
      <c r="E112" s="103" t="s">
        <v>226</v>
      </c>
      <c r="F112" s="103" t="s">
        <v>226</v>
      </c>
      <c r="G112" s="103" t="s">
        <v>226</v>
      </c>
      <c r="H112" s="101"/>
      <c r="I112" s="93">
        <v>0</v>
      </c>
      <c r="J112" s="94">
        <v>0</v>
      </c>
      <c r="K112" s="94">
        <v>0</v>
      </c>
      <c r="L112" s="95">
        <v>0</v>
      </c>
      <c r="M112" s="96">
        <v>0</v>
      </c>
      <c r="N112" s="72"/>
      <c r="O112" s="73"/>
      <c r="P112" s="73"/>
      <c r="Q112" s="74"/>
      <c r="R112" s="72"/>
      <c r="S112" s="73"/>
      <c r="T112" s="73"/>
      <c r="U112" s="75"/>
      <c r="V112" s="93">
        <v>0</v>
      </c>
      <c r="W112" s="94">
        <v>0</v>
      </c>
      <c r="X112" s="94">
        <v>0</v>
      </c>
      <c r="Y112" s="95">
        <v>0</v>
      </c>
      <c r="Z112" s="96">
        <v>0</v>
      </c>
      <c r="AA112" s="72"/>
      <c r="AB112" s="73"/>
      <c r="AC112" s="73"/>
      <c r="AD112" s="74"/>
      <c r="AE112" s="72"/>
      <c r="AF112" s="73"/>
      <c r="AG112" s="73"/>
      <c r="AH112" s="75"/>
      <c r="AI112" s="93">
        <v>0</v>
      </c>
      <c r="AJ112" s="94">
        <v>0</v>
      </c>
      <c r="AK112" s="94">
        <v>0</v>
      </c>
      <c r="AL112" s="95">
        <v>0</v>
      </c>
      <c r="AM112" s="96">
        <v>0</v>
      </c>
      <c r="AN112" s="72"/>
      <c r="AO112" s="73"/>
      <c r="AP112" s="73"/>
      <c r="AQ112" s="74"/>
      <c r="AR112" s="72"/>
      <c r="AS112" s="73"/>
      <c r="AT112" s="73"/>
      <c r="AU112" s="75"/>
      <c r="AV112" s="93">
        <v>0</v>
      </c>
      <c r="AW112" s="94">
        <v>0</v>
      </c>
      <c r="AX112" s="94">
        <v>0</v>
      </c>
      <c r="AY112" s="95">
        <v>0</v>
      </c>
      <c r="AZ112" s="97">
        <v>1</v>
      </c>
      <c r="BA112" s="72"/>
      <c r="BB112" s="73"/>
      <c r="BC112" s="73"/>
      <c r="BD112" s="74"/>
      <c r="BE112" s="72"/>
      <c r="BF112" s="73"/>
      <c r="BG112" s="73"/>
      <c r="BH112" s="75"/>
      <c r="BI112" s="98">
        <v>0</v>
      </c>
      <c r="BJ112" s="99">
        <v>0</v>
      </c>
      <c r="BK112" s="100"/>
      <c r="BL112" s="100"/>
      <c r="BM112" s="62"/>
      <c r="BN112" s="80" t="e">
        <v>#VALUE!</v>
      </c>
      <c r="BO112" s="81" t="e">
        <v>#VALUE!</v>
      </c>
      <c r="BP112" s="82" t="e">
        <v>#VALUE!</v>
      </c>
      <c r="BQ112" s="82" t="e">
        <v>#VALUE!</v>
      </c>
      <c r="BR112" s="82" t="e">
        <v>#VALUE!</v>
      </c>
      <c r="BS112" s="80">
        <v>0</v>
      </c>
      <c r="BT112" s="83" t="s">
        <v>226</v>
      </c>
      <c r="BU112" s="61"/>
      <c r="BV112" s="84">
        <v>0</v>
      </c>
      <c r="BW112" s="84">
        <v>0</v>
      </c>
      <c r="BX112" s="84">
        <v>0</v>
      </c>
      <c r="BY112" s="84">
        <v>0</v>
      </c>
      <c r="BZ112" s="62"/>
      <c r="CA112" s="85"/>
      <c r="CB112" s="85"/>
      <c r="CC112" s="85"/>
      <c r="CD112" s="85"/>
      <c r="CE112" s="62"/>
      <c r="CF112" s="86">
        <v>0</v>
      </c>
      <c r="CG112" s="87">
        <v>0</v>
      </c>
      <c r="CH112" s="87">
        <v>0</v>
      </c>
      <c r="CI112" s="87">
        <v>0</v>
      </c>
      <c r="CJ112" s="87">
        <v>0</v>
      </c>
    </row>
    <row r="113" spans="1:88" x14ac:dyDescent="0.35">
      <c r="A113" s="88" t="s">
        <v>225</v>
      </c>
      <c r="B113" s="89">
        <v>112</v>
      </c>
      <c r="C113" s="102" t="s">
        <v>226</v>
      </c>
      <c r="D113" s="102" t="s">
        <v>226</v>
      </c>
      <c r="E113" s="103" t="s">
        <v>226</v>
      </c>
      <c r="F113" s="103" t="s">
        <v>226</v>
      </c>
      <c r="G113" s="103" t="s">
        <v>226</v>
      </c>
      <c r="H113" s="101"/>
      <c r="I113" s="93">
        <v>0</v>
      </c>
      <c r="J113" s="94">
        <v>0</v>
      </c>
      <c r="K113" s="94">
        <v>0</v>
      </c>
      <c r="L113" s="95">
        <v>0</v>
      </c>
      <c r="M113" s="96">
        <v>0</v>
      </c>
      <c r="N113" s="72"/>
      <c r="O113" s="73"/>
      <c r="P113" s="73"/>
      <c r="Q113" s="74"/>
      <c r="R113" s="72"/>
      <c r="S113" s="73"/>
      <c r="T113" s="73"/>
      <c r="U113" s="75"/>
      <c r="V113" s="93">
        <v>0</v>
      </c>
      <c r="W113" s="94">
        <v>0</v>
      </c>
      <c r="X113" s="94">
        <v>0</v>
      </c>
      <c r="Y113" s="95">
        <v>0</v>
      </c>
      <c r="Z113" s="96">
        <v>0</v>
      </c>
      <c r="AA113" s="72"/>
      <c r="AB113" s="73"/>
      <c r="AC113" s="73"/>
      <c r="AD113" s="74"/>
      <c r="AE113" s="72"/>
      <c r="AF113" s="73"/>
      <c r="AG113" s="73"/>
      <c r="AH113" s="75"/>
      <c r="AI113" s="93">
        <v>0</v>
      </c>
      <c r="AJ113" s="94">
        <v>0</v>
      </c>
      <c r="AK113" s="94">
        <v>0</v>
      </c>
      <c r="AL113" s="95">
        <v>0</v>
      </c>
      <c r="AM113" s="96">
        <v>0</v>
      </c>
      <c r="AN113" s="72"/>
      <c r="AO113" s="73"/>
      <c r="AP113" s="73"/>
      <c r="AQ113" s="74"/>
      <c r="AR113" s="72"/>
      <c r="AS113" s="73"/>
      <c r="AT113" s="73"/>
      <c r="AU113" s="75"/>
      <c r="AV113" s="93">
        <v>0</v>
      </c>
      <c r="AW113" s="94">
        <v>0</v>
      </c>
      <c r="AX113" s="94">
        <v>0</v>
      </c>
      <c r="AY113" s="95">
        <v>0</v>
      </c>
      <c r="AZ113" s="97">
        <v>1</v>
      </c>
      <c r="BA113" s="72"/>
      <c r="BB113" s="73"/>
      <c r="BC113" s="73"/>
      <c r="BD113" s="74"/>
      <c r="BE113" s="72"/>
      <c r="BF113" s="73"/>
      <c r="BG113" s="73"/>
      <c r="BH113" s="75"/>
      <c r="BI113" s="98">
        <v>0</v>
      </c>
      <c r="BJ113" s="99">
        <v>0</v>
      </c>
      <c r="BK113" s="100"/>
      <c r="BL113" s="100"/>
      <c r="BM113" s="62"/>
      <c r="BN113" s="80" t="e">
        <v>#VALUE!</v>
      </c>
      <c r="BO113" s="81" t="e">
        <v>#VALUE!</v>
      </c>
      <c r="BP113" s="82" t="e">
        <v>#VALUE!</v>
      </c>
      <c r="BQ113" s="82" t="e">
        <v>#VALUE!</v>
      </c>
      <c r="BR113" s="82" t="e">
        <v>#VALUE!</v>
      </c>
      <c r="BS113" s="80">
        <v>0</v>
      </c>
      <c r="BT113" s="83" t="s">
        <v>226</v>
      </c>
      <c r="BU113" s="61"/>
      <c r="BV113" s="84">
        <v>0</v>
      </c>
      <c r="BW113" s="84">
        <v>0</v>
      </c>
      <c r="BX113" s="84">
        <v>0</v>
      </c>
      <c r="BY113" s="84">
        <v>0</v>
      </c>
      <c r="BZ113" s="62"/>
      <c r="CA113" s="85"/>
      <c r="CB113" s="85"/>
      <c r="CC113" s="85"/>
      <c r="CD113" s="85"/>
      <c r="CE113" s="62"/>
      <c r="CF113" s="86">
        <v>0</v>
      </c>
      <c r="CG113" s="87">
        <v>0</v>
      </c>
      <c r="CH113" s="87">
        <v>0</v>
      </c>
      <c r="CI113" s="87">
        <v>0</v>
      </c>
      <c r="CJ113" s="87">
        <v>0</v>
      </c>
    </row>
    <row r="114" spans="1:88" x14ac:dyDescent="0.35">
      <c r="A114" s="88" t="s">
        <v>225</v>
      </c>
      <c r="B114" s="89">
        <v>113</v>
      </c>
      <c r="C114" s="102" t="s">
        <v>226</v>
      </c>
      <c r="D114" s="102" t="s">
        <v>226</v>
      </c>
      <c r="E114" s="103" t="s">
        <v>226</v>
      </c>
      <c r="F114" s="103" t="s">
        <v>226</v>
      </c>
      <c r="G114" s="103" t="s">
        <v>226</v>
      </c>
      <c r="H114" s="101"/>
      <c r="I114" s="93">
        <v>0</v>
      </c>
      <c r="J114" s="94">
        <v>0</v>
      </c>
      <c r="K114" s="94">
        <v>0</v>
      </c>
      <c r="L114" s="95">
        <v>0</v>
      </c>
      <c r="M114" s="96">
        <v>0</v>
      </c>
      <c r="N114" s="72"/>
      <c r="O114" s="73"/>
      <c r="P114" s="73"/>
      <c r="Q114" s="74"/>
      <c r="R114" s="72"/>
      <c r="S114" s="73"/>
      <c r="T114" s="73"/>
      <c r="U114" s="75"/>
      <c r="V114" s="93">
        <v>0</v>
      </c>
      <c r="W114" s="94">
        <v>0</v>
      </c>
      <c r="X114" s="94">
        <v>0</v>
      </c>
      <c r="Y114" s="95">
        <v>0</v>
      </c>
      <c r="Z114" s="96">
        <v>0</v>
      </c>
      <c r="AA114" s="72"/>
      <c r="AB114" s="73"/>
      <c r="AC114" s="73"/>
      <c r="AD114" s="74"/>
      <c r="AE114" s="72"/>
      <c r="AF114" s="73"/>
      <c r="AG114" s="73"/>
      <c r="AH114" s="75"/>
      <c r="AI114" s="93">
        <v>0</v>
      </c>
      <c r="AJ114" s="94">
        <v>0</v>
      </c>
      <c r="AK114" s="94">
        <v>0</v>
      </c>
      <c r="AL114" s="95">
        <v>0</v>
      </c>
      <c r="AM114" s="96">
        <v>0</v>
      </c>
      <c r="AN114" s="72"/>
      <c r="AO114" s="73"/>
      <c r="AP114" s="73"/>
      <c r="AQ114" s="74"/>
      <c r="AR114" s="72"/>
      <c r="AS114" s="73"/>
      <c r="AT114" s="73"/>
      <c r="AU114" s="75"/>
      <c r="AV114" s="93">
        <v>0</v>
      </c>
      <c r="AW114" s="94">
        <v>0</v>
      </c>
      <c r="AX114" s="94">
        <v>0</v>
      </c>
      <c r="AY114" s="95">
        <v>0</v>
      </c>
      <c r="AZ114" s="97">
        <v>1</v>
      </c>
      <c r="BA114" s="72"/>
      <c r="BB114" s="73"/>
      <c r="BC114" s="73"/>
      <c r="BD114" s="74"/>
      <c r="BE114" s="72"/>
      <c r="BF114" s="73"/>
      <c r="BG114" s="73"/>
      <c r="BH114" s="75"/>
      <c r="BI114" s="98">
        <v>0</v>
      </c>
      <c r="BJ114" s="99">
        <v>0</v>
      </c>
      <c r="BK114" s="100"/>
      <c r="BL114" s="100"/>
      <c r="BM114" s="62"/>
      <c r="BN114" s="80" t="e">
        <v>#VALUE!</v>
      </c>
      <c r="BO114" s="81" t="e">
        <v>#VALUE!</v>
      </c>
      <c r="BP114" s="82" t="e">
        <v>#VALUE!</v>
      </c>
      <c r="BQ114" s="82" t="e">
        <v>#VALUE!</v>
      </c>
      <c r="BR114" s="82" t="e">
        <v>#VALUE!</v>
      </c>
      <c r="BS114" s="80">
        <v>0</v>
      </c>
      <c r="BT114" s="83" t="s">
        <v>226</v>
      </c>
      <c r="BU114" s="61"/>
      <c r="BV114" s="84">
        <v>0</v>
      </c>
      <c r="BW114" s="84">
        <v>0</v>
      </c>
      <c r="BX114" s="84">
        <v>0</v>
      </c>
      <c r="BY114" s="84">
        <v>0</v>
      </c>
      <c r="BZ114" s="62"/>
      <c r="CA114" s="85"/>
      <c r="CB114" s="85"/>
      <c r="CC114" s="85"/>
      <c r="CD114" s="85"/>
      <c r="CE114" s="62"/>
      <c r="CF114" s="86">
        <v>0</v>
      </c>
      <c r="CG114" s="87">
        <v>0</v>
      </c>
      <c r="CH114" s="87">
        <v>0</v>
      </c>
      <c r="CI114" s="87">
        <v>0</v>
      </c>
      <c r="CJ114" s="87">
        <v>0</v>
      </c>
    </row>
    <row r="115" spans="1:88" x14ac:dyDescent="0.35">
      <c r="A115" s="88" t="s">
        <v>225</v>
      </c>
      <c r="B115" s="89">
        <v>114</v>
      </c>
      <c r="C115" s="102" t="s">
        <v>226</v>
      </c>
      <c r="D115" s="102" t="s">
        <v>226</v>
      </c>
      <c r="E115" s="103" t="s">
        <v>226</v>
      </c>
      <c r="F115" s="103" t="s">
        <v>226</v>
      </c>
      <c r="G115" s="103" t="s">
        <v>226</v>
      </c>
      <c r="H115" s="101"/>
      <c r="I115" s="93">
        <v>0</v>
      </c>
      <c r="J115" s="94">
        <v>0</v>
      </c>
      <c r="K115" s="94">
        <v>0</v>
      </c>
      <c r="L115" s="95">
        <v>0</v>
      </c>
      <c r="M115" s="96">
        <v>0</v>
      </c>
      <c r="N115" s="72"/>
      <c r="O115" s="73"/>
      <c r="P115" s="73"/>
      <c r="Q115" s="74"/>
      <c r="R115" s="72"/>
      <c r="S115" s="73"/>
      <c r="T115" s="73"/>
      <c r="U115" s="75"/>
      <c r="V115" s="93">
        <v>0</v>
      </c>
      <c r="W115" s="94">
        <v>0</v>
      </c>
      <c r="X115" s="94">
        <v>0</v>
      </c>
      <c r="Y115" s="95">
        <v>0</v>
      </c>
      <c r="Z115" s="96">
        <v>0</v>
      </c>
      <c r="AA115" s="72"/>
      <c r="AB115" s="73"/>
      <c r="AC115" s="73"/>
      <c r="AD115" s="74"/>
      <c r="AE115" s="72"/>
      <c r="AF115" s="73"/>
      <c r="AG115" s="73"/>
      <c r="AH115" s="75"/>
      <c r="AI115" s="93">
        <v>0</v>
      </c>
      <c r="AJ115" s="94">
        <v>0</v>
      </c>
      <c r="AK115" s="94">
        <v>0</v>
      </c>
      <c r="AL115" s="95">
        <v>0</v>
      </c>
      <c r="AM115" s="96">
        <v>0</v>
      </c>
      <c r="AN115" s="72"/>
      <c r="AO115" s="73"/>
      <c r="AP115" s="73"/>
      <c r="AQ115" s="74"/>
      <c r="AR115" s="72"/>
      <c r="AS115" s="73"/>
      <c r="AT115" s="73"/>
      <c r="AU115" s="75"/>
      <c r="AV115" s="93">
        <v>0</v>
      </c>
      <c r="AW115" s="94">
        <v>0</v>
      </c>
      <c r="AX115" s="94">
        <v>0</v>
      </c>
      <c r="AY115" s="95">
        <v>0</v>
      </c>
      <c r="AZ115" s="97">
        <v>1</v>
      </c>
      <c r="BA115" s="72"/>
      <c r="BB115" s="73"/>
      <c r="BC115" s="73"/>
      <c r="BD115" s="74"/>
      <c r="BE115" s="72"/>
      <c r="BF115" s="73"/>
      <c r="BG115" s="73"/>
      <c r="BH115" s="75"/>
      <c r="BI115" s="98">
        <v>0</v>
      </c>
      <c r="BJ115" s="99">
        <v>0</v>
      </c>
      <c r="BK115" s="100"/>
      <c r="BL115" s="100"/>
      <c r="BM115" s="62"/>
      <c r="BN115" s="80" t="e">
        <v>#VALUE!</v>
      </c>
      <c r="BO115" s="81" t="e">
        <v>#VALUE!</v>
      </c>
      <c r="BP115" s="82" t="e">
        <v>#VALUE!</v>
      </c>
      <c r="BQ115" s="82" t="e">
        <v>#VALUE!</v>
      </c>
      <c r="BR115" s="82" t="e">
        <v>#VALUE!</v>
      </c>
      <c r="BS115" s="80">
        <v>0</v>
      </c>
      <c r="BT115" s="83" t="s">
        <v>226</v>
      </c>
      <c r="BU115" s="61"/>
      <c r="BV115" s="84">
        <v>0</v>
      </c>
      <c r="BW115" s="84">
        <v>0</v>
      </c>
      <c r="BX115" s="84">
        <v>0</v>
      </c>
      <c r="BY115" s="84">
        <v>0</v>
      </c>
      <c r="BZ115" s="62"/>
      <c r="CA115" s="85"/>
      <c r="CB115" s="85"/>
      <c r="CC115" s="85"/>
      <c r="CD115" s="85"/>
      <c r="CE115" s="62"/>
      <c r="CF115" s="86">
        <v>0</v>
      </c>
      <c r="CG115" s="87">
        <v>0</v>
      </c>
      <c r="CH115" s="87">
        <v>0</v>
      </c>
      <c r="CI115" s="87">
        <v>0</v>
      </c>
      <c r="CJ115" s="87">
        <v>0</v>
      </c>
    </row>
    <row r="116" spans="1:88" x14ac:dyDescent="0.35">
      <c r="A116" s="88" t="s">
        <v>225</v>
      </c>
      <c r="B116" s="89">
        <v>115</v>
      </c>
      <c r="C116" s="102" t="s">
        <v>226</v>
      </c>
      <c r="D116" s="102" t="s">
        <v>226</v>
      </c>
      <c r="E116" s="103" t="s">
        <v>226</v>
      </c>
      <c r="F116" s="103" t="s">
        <v>226</v>
      </c>
      <c r="G116" s="103" t="s">
        <v>226</v>
      </c>
      <c r="H116" s="101"/>
      <c r="I116" s="93">
        <v>0</v>
      </c>
      <c r="J116" s="94">
        <v>0</v>
      </c>
      <c r="K116" s="94">
        <v>0</v>
      </c>
      <c r="L116" s="95">
        <v>0</v>
      </c>
      <c r="M116" s="96">
        <v>0</v>
      </c>
      <c r="N116" s="72"/>
      <c r="O116" s="73"/>
      <c r="P116" s="73"/>
      <c r="Q116" s="74"/>
      <c r="R116" s="72"/>
      <c r="S116" s="73"/>
      <c r="T116" s="73"/>
      <c r="U116" s="75"/>
      <c r="V116" s="93">
        <v>0</v>
      </c>
      <c r="W116" s="94">
        <v>0</v>
      </c>
      <c r="X116" s="94">
        <v>0</v>
      </c>
      <c r="Y116" s="95">
        <v>0</v>
      </c>
      <c r="Z116" s="96">
        <v>0</v>
      </c>
      <c r="AA116" s="72"/>
      <c r="AB116" s="73"/>
      <c r="AC116" s="73"/>
      <c r="AD116" s="74"/>
      <c r="AE116" s="72"/>
      <c r="AF116" s="73"/>
      <c r="AG116" s="73"/>
      <c r="AH116" s="75"/>
      <c r="AI116" s="93">
        <v>0</v>
      </c>
      <c r="AJ116" s="94">
        <v>0</v>
      </c>
      <c r="AK116" s="94">
        <v>0</v>
      </c>
      <c r="AL116" s="95">
        <v>0</v>
      </c>
      <c r="AM116" s="96">
        <v>0</v>
      </c>
      <c r="AN116" s="72"/>
      <c r="AO116" s="73"/>
      <c r="AP116" s="73"/>
      <c r="AQ116" s="74"/>
      <c r="AR116" s="72"/>
      <c r="AS116" s="73"/>
      <c r="AT116" s="73"/>
      <c r="AU116" s="75"/>
      <c r="AV116" s="93">
        <v>0</v>
      </c>
      <c r="AW116" s="94">
        <v>0</v>
      </c>
      <c r="AX116" s="94">
        <v>0</v>
      </c>
      <c r="AY116" s="95">
        <v>0</v>
      </c>
      <c r="AZ116" s="97">
        <v>1</v>
      </c>
      <c r="BA116" s="72"/>
      <c r="BB116" s="73"/>
      <c r="BC116" s="73"/>
      <c r="BD116" s="74"/>
      <c r="BE116" s="72"/>
      <c r="BF116" s="73"/>
      <c r="BG116" s="73"/>
      <c r="BH116" s="75"/>
      <c r="BI116" s="98">
        <v>0</v>
      </c>
      <c r="BJ116" s="99">
        <v>0</v>
      </c>
      <c r="BK116" s="100"/>
      <c r="BL116" s="100"/>
      <c r="BM116" s="62"/>
      <c r="BN116" s="80" t="e">
        <v>#VALUE!</v>
      </c>
      <c r="BO116" s="81" t="e">
        <v>#VALUE!</v>
      </c>
      <c r="BP116" s="82" t="e">
        <v>#VALUE!</v>
      </c>
      <c r="BQ116" s="82" t="e">
        <v>#VALUE!</v>
      </c>
      <c r="BR116" s="82" t="e">
        <v>#VALUE!</v>
      </c>
      <c r="BS116" s="80">
        <v>0</v>
      </c>
      <c r="BT116" s="83" t="s">
        <v>226</v>
      </c>
      <c r="BU116" s="61"/>
      <c r="BV116" s="84">
        <v>0</v>
      </c>
      <c r="BW116" s="84">
        <v>0</v>
      </c>
      <c r="BX116" s="84">
        <v>0</v>
      </c>
      <c r="BY116" s="84">
        <v>0</v>
      </c>
      <c r="BZ116" s="62"/>
      <c r="CA116" s="85"/>
      <c r="CB116" s="85"/>
      <c r="CC116" s="85"/>
      <c r="CD116" s="85"/>
      <c r="CE116" s="62"/>
      <c r="CF116" s="86">
        <v>0</v>
      </c>
      <c r="CG116" s="87">
        <v>0</v>
      </c>
      <c r="CH116" s="87">
        <v>0</v>
      </c>
      <c r="CI116" s="87">
        <v>0</v>
      </c>
      <c r="CJ116" s="87">
        <v>0</v>
      </c>
    </row>
    <row r="117" spans="1:88" x14ac:dyDescent="0.35">
      <c r="A117" s="88" t="s">
        <v>225</v>
      </c>
      <c r="B117" s="89">
        <v>116</v>
      </c>
      <c r="C117" s="102" t="s">
        <v>226</v>
      </c>
      <c r="D117" s="102" t="s">
        <v>226</v>
      </c>
      <c r="E117" s="103" t="s">
        <v>226</v>
      </c>
      <c r="F117" s="103" t="s">
        <v>226</v>
      </c>
      <c r="G117" s="103" t="s">
        <v>226</v>
      </c>
      <c r="H117" s="101"/>
      <c r="I117" s="93">
        <v>0</v>
      </c>
      <c r="J117" s="94">
        <v>0</v>
      </c>
      <c r="K117" s="94">
        <v>0</v>
      </c>
      <c r="L117" s="95">
        <v>0</v>
      </c>
      <c r="M117" s="96">
        <v>0</v>
      </c>
      <c r="N117" s="72"/>
      <c r="O117" s="73"/>
      <c r="P117" s="73"/>
      <c r="Q117" s="74"/>
      <c r="R117" s="72"/>
      <c r="S117" s="73"/>
      <c r="T117" s="73"/>
      <c r="U117" s="75"/>
      <c r="V117" s="93">
        <v>0</v>
      </c>
      <c r="W117" s="94">
        <v>0</v>
      </c>
      <c r="X117" s="94">
        <v>0</v>
      </c>
      <c r="Y117" s="95">
        <v>0</v>
      </c>
      <c r="Z117" s="96">
        <v>0</v>
      </c>
      <c r="AA117" s="72"/>
      <c r="AB117" s="73"/>
      <c r="AC117" s="73"/>
      <c r="AD117" s="74"/>
      <c r="AE117" s="72"/>
      <c r="AF117" s="73"/>
      <c r="AG117" s="73"/>
      <c r="AH117" s="75"/>
      <c r="AI117" s="93">
        <v>0</v>
      </c>
      <c r="AJ117" s="94">
        <v>0</v>
      </c>
      <c r="AK117" s="94">
        <v>0</v>
      </c>
      <c r="AL117" s="95">
        <v>0</v>
      </c>
      <c r="AM117" s="96">
        <v>0</v>
      </c>
      <c r="AN117" s="72"/>
      <c r="AO117" s="73"/>
      <c r="AP117" s="73"/>
      <c r="AQ117" s="74"/>
      <c r="AR117" s="72"/>
      <c r="AS117" s="73"/>
      <c r="AT117" s="73"/>
      <c r="AU117" s="75"/>
      <c r="AV117" s="93">
        <v>0</v>
      </c>
      <c r="AW117" s="94">
        <v>0</v>
      </c>
      <c r="AX117" s="94">
        <v>0</v>
      </c>
      <c r="AY117" s="95">
        <v>0</v>
      </c>
      <c r="AZ117" s="97">
        <v>1</v>
      </c>
      <c r="BA117" s="72"/>
      <c r="BB117" s="73"/>
      <c r="BC117" s="73"/>
      <c r="BD117" s="74"/>
      <c r="BE117" s="72"/>
      <c r="BF117" s="73"/>
      <c r="BG117" s="73"/>
      <c r="BH117" s="75"/>
      <c r="BI117" s="98">
        <v>0</v>
      </c>
      <c r="BJ117" s="99">
        <v>0</v>
      </c>
      <c r="BK117" s="100"/>
      <c r="BL117" s="100"/>
      <c r="BM117" s="62"/>
      <c r="BN117" s="80" t="e">
        <v>#VALUE!</v>
      </c>
      <c r="BO117" s="81" t="e">
        <v>#VALUE!</v>
      </c>
      <c r="BP117" s="82" t="e">
        <v>#VALUE!</v>
      </c>
      <c r="BQ117" s="82" t="e">
        <v>#VALUE!</v>
      </c>
      <c r="BR117" s="82" t="e">
        <v>#VALUE!</v>
      </c>
      <c r="BS117" s="80">
        <v>0</v>
      </c>
      <c r="BT117" s="83" t="s">
        <v>226</v>
      </c>
      <c r="BU117" s="61"/>
      <c r="BV117" s="84">
        <v>0</v>
      </c>
      <c r="BW117" s="84">
        <v>0</v>
      </c>
      <c r="BX117" s="84">
        <v>0</v>
      </c>
      <c r="BY117" s="84">
        <v>0</v>
      </c>
      <c r="BZ117" s="62"/>
      <c r="CA117" s="85"/>
      <c r="CB117" s="85"/>
      <c r="CC117" s="85"/>
      <c r="CD117" s="85"/>
      <c r="CE117" s="62"/>
      <c r="CF117" s="86">
        <v>0</v>
      </c>
      <c r="CG117" s="87">
        <v>0</v>
      </c>
      <c r="CH117" s="87">
        <v>0</v>
      </c>
      <c r="CI117" s="87">
        <v>0</v>
      </c>
      <c r="CJ117" s="87">
        <v>0</v>
      </c>
    </row>
    <row r="118" spans="1:88" x14ac:dyDescent="0.35">
      <c r="A118" s="88" t="s">
        <v>225</v>
      </c>
      <c r="B118" s="89">
        <v>117</v>
      </c>
      <c r="C118" s="102" t="s">
        <v>226</v>
      </c>
      <c r="D118" s="102" t="s">
        <v>226</v>
      </c>
      <c r="E118" s="103" t="s">
        <v>226</v>
      </c>
      <c r="F118" s="103" t="s">
        <v>226</v>
      </c>
      <c r="G118" s="103" t="s">
        <v>226</v>
      </c>
      <c r="H118" s="101"/>
      <c r="I118" s="93">
        <v>0</v>
      </c>
      <c r="J118" s="94">
        <v>0</v>
      </c>
      <c r="K118" s="94">
        <v>0</v>
      </c>
      <c r="L118" s="95">
        <v>0</v>
      </c>
      <c r="M118" s="96">
        <v>0</v>
      </c>
      <c r="N118" s="72"/>
      <c r="O118" s="73"/>
      <c r="P118" s="73"/>
      <c r="Q118" s="74"/>
      <c r="R118" s="72"/>
      <c r="S118" s="73"/>
      <c r="T118" s="73"/>
      <c r="U118" s="75"/>
      <c r="V118" s="93">
        <v>0</v>
      </c>
      <c r="W118" s="94">
        <v>0</v>
      </c>
      <c r="X118" s="94">
        <v>0</v>
      </c>
      <c r="Y118" s="95">
        <v>0</v>
      </c>
      <c r="Z118" s="96">
        <v>0</v>
      </c>
      <c r="AA118" s="72"/>
      <c r="AB118" s="73"/>
      <c r="AC118" s="73"/>
      <c r="AD118" s="74"/>
      <c r="AE118" s="72"/>
      <c r="AF118" s="73"/>
      <c r="AG118" s="73"/>
      <c r="AH118" s="75"/>
      <c r="AI118" s="93">
        <v>0</v>
      </c>
      <c r="AJ118" s="94">
        <v>0</v>
      </c>
      <c r="AK118" s="94">
        <v>0</v>
      </c>
      <c r="AL118" s="95">
        <v>0</v>
      </c>
      <c r="AM118" s="96">
        <v>0</v>
      </c>
      <c r="AN118" s="72"/>
      <c r="AO118" s="73"/>
      <c r="AP118" s="73"/>
      <c r="AQ118" s="74"/>
      <c r="AR118" s="72"/>
      <c r="AS118" s="73"/>
      <c r="AT118" s="73"/>
      <c r="AU118" s="75"/>
      <c r="AV118" s="93">
        <v>0</v>
      </c>
      <c r="AW118" s="94">
        <v>0</v>
      </c>
      <c r="AX118" s="94">
        <v>0</v>
      </c>
      <c r="AY118" s="95">
        <v>0</v>
      </c>
      <c r="AZ118" s="97">
        <v>1</v>
      </c>
      <c r="BA118" s="72"/>
      <c r="BB118" s="73"/>
      <c r="BC118" s="73"/>
      <c r="BD118" s="74"/>
      <c r="BE118" s="72"/>
      <c r="BF118" s="73"/>
      <c r="BG118" s="73"/>
      <c r="BH118" s="75"/>
      <c r="BI118" s="98">
        <v>0</v>
      </c>
      <c r="BJ118" s="99">
        <v>0</v>
      </c>
      <c r="BK118" s="100"/>
      <c r="BL118" s="100"/>
      <c r="BM118" s="62"/>
      <c r="BN118" s="80" t="e">
        <v>#VALUE!</v>
      </c>
      <c r="BO118" s="81" t="e">
        <v>#VALUE!</v>
      </c>
      <c r="BP118" s="82" t="e">
        <v>#VALUE!</v>
      </c>
      <c r="BQ118" s="82" t="e">
        <v>#VALUE!</v>
      </c>
      <c r="BR118" s="82" t="e">
        <v>#VALUE!</v>
      </c>
      <c r="BS118" s="80">
        <v>0</v>
      </c>
      <c r="BT118" s="83" t="s">
        <v>226</v>
      </c>
      <c r="BU118" s="61"/>
      <c r="BV118" s="84">
        <v>0</v>
      </c>
      <c r="BW118" s="84">
        <v>0</v>
      </c>
      <c r="BX118" s="84">
        <v>0</v>
      </c>
      <c r="BY118" s="84">
        <v>0</v>
      </c>
      <c r="BZ118" s="62"/>
      <c r="CA118" s="85"/>
      <c r="CB118" s="85"/>
      <c r="CC118" s="85"/>
      <c r="CD118" s="85"/>
      <c r="CE118" s="62"/>
      <c r="CF118" s="86">
        <v>0</v>
      </c>
      <c r="CG118" s="87">
        <v>0</v>
      </c>
      <c r="CH118" s="87">
        <v>0</v>
      </c>
      <c r="CI118" s="87">
        <v>0</v>
      </c>
      <c r="CJ118" s="87">
        <v>0</v>
      </c>
    </row>
    <row r="119" spans="1:88" x14ac:dyDescent="0.35">
      <c r="A119" s="88" t="s">
        <v>225</v>
      </c>
      <c r="B119" s="89">
        <v>118</v>
      </c>
      <c r="C119" s="102" t="s">
        <v>226</v>
      </c>
      <c r="D119" s="102" t="s">
        <v>226</v>
      </c>
      <c r="E119" s="103" t="s">
        <v>226</v>
      </c>
      <c r="F119" s="103" t="s">
        <v>226</v>
      </c>
      <c r="G119" s="103" t="s">
        <v>226</v>
      </c>
      <c r="H119" s="101"/>
      <c r="I119" s="93">
        <v>0</v>
      </c>
      <c r="J119" s="94">
        <v>0</v>
      </c>
      <c r="K119" s="94">
        <v>0</v>
      </c>
      <c r="L119" s="95">
        <v>0</v>
      </c>
      <c r="M119" s="96">
        <v>0</v>
      </c>
      <c r="N119" s="72"/>
      <c r="O119" s="73"/>
      <c r="P119" s="73"/>
      <c r="Q119" s="74"/>
      <c r="R119" s="72"/>
      <c r="S119" s="73"/>
      <c r="T119" s="73"/>
      <c r="U119" s="75"/>
      <c r="V119" s="93">
        <v>0</v>
      </c>
      <c r="W119" s="94">
        <v>0</v>
      </c>
      <c r="X119" s="94">
        <v>0</v>
      </c>
      <c r="Y119" s="95">
        <v>0</v>
      </c>
      <c r="Z119" s="96">
        <v>0</v>
      </c>
      <c r="AA119" s="72"/>
      <c r="AB119" s="73"/>
      <c r="AC119" s="73"/>
      <c r="AD119" s="74"/>
      <c r="AE119" s="72"/>
      <c r="AF119" s="73"/>
      <c r="AG119" s="73"/>
      <c r="AH119" s="75"/>
      <c r="AI119" s="93">
        <v>0</v>
      </c>
      <c r="AJ119" s="94">
        <v>0</v>
      </c>
      <c r="AK119" s="94">
        <v>0</v>
      </c>
      <c r="AL119" s="95">
        <v>0</v>
      </c>
      <c r="AM119" s="96">
        <v>0</v>
      </c>
      <c r="AN119" s="72"/>
      <c r="AO119" s="73"/>
      <c r="AP119" s="73"/>
      <c r="AQ119" s="74"/>
      <c r="AR119" s="72"/>
      <c r="AS119" s="73"/>
      <c r="AT119" s="73"/>
      <c r="AU119" s="75"/>
      <c r="AV119" s="93">
        <v>0</v>
      </c>
      <c r="AW119" s="94">
        <v>0</v>
      </c>
      <c r="AX119" s="94">
        <v>0</v>
      </c>
      <c r="AY119" s="95">
        <v>0</v>
      </c>
      <c r="AZ119" s="97">
        <v>1</v>
      </c>
      <c r="BA119" s="72"/>
      <c r="BB119" s="73"/>
      <c r="BC119" s="73"/>
      <c r="BD119" s="74"/>
      <c r="BE119" s="72"/>
      <c r="BF119" s="73"/>
      <c r="BG119" s="73"/>
      <c r="BH119" s="75"/>
      <c r="BI119" s="98">
        <v>0</v>
      </c>
      <c r="BJ119" s="99">
        <v>0</v>
      </c>
      <c r="BK119" s="100"/>
      <c r="BL119" s="100"/>
      <c r="BM119" s="62"/>
      <c r="BN119" s="80" t="e">
        <v>#VALUE!</v>
      </c>
      <c r="BO119" s="81" t="e">
        <v>#VALUE!</v>
      </c>
      <c r="BP119" s="82" t="e">
        <v>#VALUE!</v>
      </c>
      <c r="BQ119" s="82" t="e">
        <v>#VALUE!</v>
      </c>
      <c r="BR119" s="82" t="e">
        <v>#VALUE!</v>
      </c>
      <c r="BS119" s="80">
        <v>0</v>
      </c>
      <c r="BT119" s="83" t="s">
        <v>226</v>
      </c>
      <c r="BU119" s="61"/>
      <c r="BV119" s="84">
        <v>0</v>
      </c>
      <c r="BW119" s="84">
        <v>0</v>
      </c>
      <c r="BX119" s="84">
        <v>0</v>
      </c>
      <c r="BY119" s="84">
        <v>0</v>
      </c>
      <c r="BZ119" s="62"/>
      <c r="CA119" s="85"/>
      <c r="CB119" s="85"/>
      <c r="CC119" s="85"/>
      <c r="CD119" s="85"/>
      <c r="CE119" s="62"/>
      <c r="CF119" s="86">
        <v>0</v>
      </c>
      <c r="CG119" s="87">
        <v>0</v>
      </c>
      <c r="CH119" s="87">
        <v>0</v>
      </c>
      <c r="CI119" s="87">
        <v>0</v>
      </c>
      <c r="CJ119" s="87">
        <v>0</v>
      </c>
    </row>
    <row r="120" spans="1:88" x14ac:dyDescent="0.35">
      <c r="A120" s="88" t="s">
        <v>225</v>
      </c>
      <c r="B120" s="89">
        <v>119</v>
      </c>
      <c r="C120" s="102" t="s">
        <v>226</v>
      </c>
      <c r="D120" s="102" t="s">
        <v>226</v>
      </c>
      <c r="E120" s="103" t="s">
        <v>226</v>
      </c>
      <c r="F120" s="103" t="s">
        <v>226</v>
      </c>
      <c r="G120" s="103" t="s">
        <v>226</v>
      </c>
      <c r="H120" s="101"/>
      <c r="I120" s="93">
        <v>0</v>
      </c>
      <c r="J120" s="94">
        <v>0</v>
      </c>
      <c r="K120" s="94">
        <v>0</v>
      </c>
      <c r="L120" s="95">
        <v>0</v>
      </c>
      <c r="M120" s="96">
        <v>0</v>
      </c>
      <c r="N120" s="72"/>
      <c r="O120" s="73"/>
      <c r="P120" s="73"/>
      <c r="Q120" s="74"/>
      <c r="R120" s="72"/>
      <c r="S120" s="73"/>
      <c r="T120" s="73"/>
      <c r="U120" s="75"/>
      <c r="V120" s="93">
        <v>0</v>
      </c>
      <c r="W120" s="94">
        <v>0</v>
      </c>
      <c r="X120" s="94">
        <v>0</v>
      </c>
      <c r="Y120" s="95">
        <v>0</v>
      </c>
      <c r="Z120" s="96">
        <v>0</v>
      </c>
      <c r="AA120" s="72"/>
      <c r="AB120" s="73"/>
      <c r="AC120" s="73"/>
      <c r="AD120" s="74"/>
      <c r="AE120" s="72"/>
      <c r="AF120" s="73"/>
      <c r="AG120" s="73"/>
      <c r="AH120" s="75"/>
      <c r="AI120" s="93">
        <v>0</v>
      </c>
      <c r="AJ120" s="94">
        <v>0</v>
      </c>
      <c r="AK120" s="94">
        <v>0</v>
      </c>
      <c r="AL120" s="95">
        <v>0</v>
      </c>
      <c r="AM120" s="96">
        <v>0</v>
      </c>
      <c r="AN120" s="72"/>
      <c r="AO120" s="73"/>
      <c r="AP120" s="73"/>
      <c r="AQ120" s="74"/>
      <c r="AR120" s="72"/>
      <c r="AS120" s="73"/>
      <c r="AT120" s="73"/>
      <c r="AU120" s="75"/>
      <c r="AV120" s="93">
        <v>0</v>
      </c>
      <c r="AW120" s="94">
        <v>0</v>
      </c>
      <c r="AX120" s="94">
        <v>0</v>
      </c>
      <c r="AY120" s="95">
        <v>0</v>
      </c>
      <c r="AZ120" s="97">
        <v>1</v>
      </c>
      <c r="BA120" s="72"/>
      <c r="BB120" s="73"/>
      <c r="BC120" s="73"/>
      <c r="BD120" s="74"/>
      <c r="BE120" s="72"/>
      <c r="BF120" s="73"/>
      <c r="BG120" s="73"/>
      <c r="BH120" s="75"/>
      <c r="BI120" s="98">
        <v>0</v>
      </c>
      <c r="BJ120" s="99">
        <v>0</v>
      </c>
      <c r="BK120" s="100"/>
      <c r="BL120" s="100"/>
      <c r="BM120" s="62"/>
      <c r="BN120" s="80" t="e">
        <v>#VALUE!</v>
      </c>
      <c r="BO120" s="81" t="e">
        <v>#VALUE!</v>
      </c>
      <c r="BP120" s="82" t="e">
        <v>#VALUE!</v>
      </c>
      <c r="BQ120" s="82" t="e">
        <v>#VALUE!</v>
      </c>
      <c r="BR120" s="82" t="e">
        <v>#VALUE!</v>
      </c>
      <c r="BS120" s="80">
        <v>0</v>
      </c>
      <c r="BT120" s="83" t="s">
        <v>226</v>
      </c>
      <c r="BU120" s="61"/>
      <c r="BV120" s="84">
        <v>0</v>
      </c>
      <c r="BW120" s="84">
        <v>0</v>
      </c>
      <c r="BX120" s="84">
        <v>0</v>
      </c>
      <c r="BY120" s="84">
        <v>0</v>
      </c>
      <c r="BZ120" s="62"/>
      <c r="CA120" s="85"/>
      <c r="CB120" s="85"/>
      <c r="CC120" s="85"/>
      <c r="CD120" s="85"/>
      <c r="CE120" s="62"/>
      <c r="CF120" s="86">
        <v>0</v>
      </c>
      <c r="CG120" s="87">
        <v>0</v>
      </c>
      <c r="CH120" s="87">
        <v>0</v>
      </c>
      <c r="CI120" s="87">
        <v>0</v>
      </c>
      <c r="CJ120" s="87">
        <v>0</v>
      </c>
    </row>
    <row r="121" spans="1:88" x14ac:dyDescent="0.35">
      <c r="A121" s="88" t="s">
        <v>225</v>
      </c>
      <c r="B121" s="89">
        <v>120</v>
      </c>
      <c r="C121" s="102" t="s">
        <v>226</v>
      </c>
      <c r="D121" s="102" t="s">
        <v>226</v>
      </c>
      <c r="E121" s="103" t="s">
        <v>226</v>
      </c>
      <c r="F121" s="103" t="s">
        <v>226</v>
      </c>
      <c r="G121" s="103" t="s">
        <v>226</v>
      </c>
      <c r="H121" s="101"/>
      <c r="I121" s="93">
        <v>0</v>
      </c>
      <c r="J121" s="94">
        <v>0</v>
      </c>
      <c r="K121" s="94">
        <v>0</v>
      </c>
      <c r="L121" s="95">
        <v>0</v>
      </c>
      <c r="M121" s="96">
        <v>0</v>
      </c>
      <c r="N121" s="72"/>
      <c r="O121" s="73"/>
      <c r="P121" s="73"/>
      <c r="Q121" s="74"/>
      <c r="R121" s="72"/>
      <c r="S121" s="73"/>
      <c r="T121" s="73"/>
      <c r="U121" s="75"/>
      <c r="V121" s="93">
        <v>0</v>
      </c>
      <c r="W121" s="94">
        <v>0</v>
      </c>
      <c r="X121" s="94">
        <v>0</v>
      </c>
      <c r="Y121" s="95">
        <v>0</v>
      </c>
      <c r="Z121" s="96">
        <v>0</v>
      </c>
      <c r="AA121" s="72"/>
      <c r="AB121" s="73"/>
      <c r="AC121" s="73"/>
      <c r="AD121" s="74"/>
      <c r="AE121" s="72"/>
      <c r="AF121" s="73"/>
      <c r="AG121" s="73"/>
      <c r="AH121" s="75"/>
      <c r="AI121" s="93">
        <v>0</v>
      </c>
      <c r="AJ121" s="94">
        <v>0</v>
      </c>
      <c r="AK121" s="94">
        <v>0</v>
      </c>
      <c r="AL121" s="95">
        <v>0</v>
      </c>
      <c r="AM121" s="96">
        <v>0</v>
      </c>
      <c r="AN121" s="72"/>
      <c r="AO121" s="73"/>
      <c r="AP121" s="73"/>
      <c r="AQ121" s="74"/>
      <c r="AR121" s="72"/>
      <c r="AS121" s="73"/>
      <c r="AT121" s="73"/>
      <c r="AU121" s="75"/>
      <c r="AV121" s="93">
        <v>0</v>
      </c>
      <c r="AW121" s="94">
        <v>0</v>
      </c>
      <c r="AX121" s="94">
        <v>0</v>
      </c>
      <c r="AY121" s="95">
        <v>0</v>
      </c>
      <c r="AZ121" s="97">
        <v>1</v>
      </c>
      <c r="BA121" s="72"/>
      <c r="BB121" s="73"/>
      <c r="BC121" s="73"/>
      <c r="BD121" s="74"/>
      <c r="BE121" s="72"/>
      <c r="BF121" s="73"/>
      <c r="BG121" s="73"/>
      <c r="BH121" s="75"/>
      <c r="BI121" s="98">
        <v>0</v>
      </c>
      <c r="BJ121" s="99">
        <v>0</v>
      </c>
      <c r="BK121" s="100"/>
      <c r="BL121" s="100"/>
      <c r="BM121" s="62"/>
      <c r="BN121" s="80" t="e">
        <v>#VALUE!</v>
      </c>
      <c r="BO121" s="81" t="e">
        <v>#VALUE!</v>
      </c>
      <c r="BP121" s="82" t="e">
        <v>#VALUE!</v>
      </c>
      <c r="BQ121" s="82" t="e">
        <v>#VALUE!</v>
      </c>
      <c r="BR121" s="82" t="e">
        <v>#VALUE!</v>
      </c>
      <c r="BS121" s="80">
        <v>0</v>
      </c>
      <c r="BT121" s="83" t="s">
        <v>226</v>
      </c>
      <c r="BU121" s="61"/>
      <c r="BV121" s="84">
        <v>0</v>
      </c>
      <c r="BW121" s="84">
        <v>0</v>
      </c>
      <c r="BX121" s="84">
        <v>0</v>
      </c>
      <c r="BY121" s="84">
        <v>0</v>
      </c>
      <c r="BZ121" s="62"/>
      <c r="CA121" s="85"/>
      <c r="CB121" s="85"/>
      <c r="CC121" s="85"/>
      <c r="CD121" s="85"/>
      <c r="CE121" s="62"/>
      <c r="CF121" s="86">
        <v>0</v>
      </c>
      <c r="CG121" s="87">
        <v>0</v>
      </c>
      <c r="CH121" s="87">
        <v>0</v>
      </c>
      <c r="CI121" s="87">
        <v>0</v>
      </c>
      <c r="CJ121" s="87">
        <v>0</v>
      </c>
    </row>
    <row r="122" spans="1:88" x14ac:dyDescent="0.35">
      <c r="A122" s="88" t="s">
        <v>225</v>
      </c>
      <c r="B122" s="89">
        <v>121</v>
      </c>
      <c r="C122" s="102" t="s">
        <v>226</v>
      </c>
      <c r="D122" s="102" t="s">
        <v>226</v>
      </c>
      <c r="E122" s="103" t="s">
        <v>226</v>
      </c>
      <c r="F122" s="103" t="s">
        <v>226</v>
      </c>
      <c r="G122" s="103" t="s">
        <v>226</v>
      </c>
      <c r="H122" s="101"/>
      <c r="I122" s="93">
        <v>0</v>
      </c>
      <c r="J122" s="94">
        <v>0</v>
      </c>
      <c r="K122" s="94">
        <v>0</v>
      </c>
      <c r="L122" s="95">
        <v>0</v>
      </c>
      <c r="M122" s="96">
        <v>0</v>
      </c>
      <c r="N122" s="72"/>
      <c r="O122" s="73"/>
      <c r="P122" s="73"/>
      <c r="Q122" s="74"/>
      <c r="R122" s="72"/>
      <c r="S122" s="73"/>
      <c r="T122" s="73"/>
      <c r="U122" s="75"/>
      <c r="V122" s="93">
        <v>0</v>
      </c>
      <c r="W122" s="94">
        <v>0</v>
      </c>
      <c r="X122" s="94">
        <v>0</v>
      </c>
      <c r="Y122" s="95">
        <v>0</v>
      </c>
      <c r="Z122" s="96">
        <v>0</v>
      </c>
      <c r="AA122" s="72"/>
      <c r="AB122" s="73"/>
      <c r="AC122" s="73"/>
      <c r="AD122" s="74"/>
      <c r="AE122" s="72"/>
      <c r="AF122" s="73"/>
      <c r="AG122" s="73"/>
      <c r="AH122" s="75"/>
      <c r="AI122" s="93">
        <v>0</v>
      </c>
      <c r="AJ122" s="94">
        <v>0</v>
      </c>
      <c r="AK122" s="94">
        <v>0</v>
      </c>
      <c r="AL122" s="95">
        <v>0</v>
      </c>
      <c r="AM122" s="96">
        <v>0</v>
      </c>
      <c r="AN122" s="72"/>
      <c r="AO122" s="73"/>
      <c r="AP122" s="73"/>
      <c r="AQ122" s="74"/>
      <c r="AR122" s="72"/>
      <c r="AS122" s="73"/>
      <c r="AT122" s="73"/>
      <c r="AU122" s="75"/>
      <c r="AV122" s="93">
        <v>0</v>
      </c>
      <c r="AW122" s="94">
        <v>0</v>
      </c>
      <c r="AX122" s="94">
        <v>0</v>
      </c>
      <c r="AY122" s="95">
        <v>0</v>
      </c>
      <c r="AZ122" s="97">
        <v>1</v>
      </c>
      <c r="BA122" s="72"/>
      <c r="BB122" s="73"/>
      <c r="BC122" s="73"/>
      <c r="BD122" s="74"/>
      <c r="BE122" s="72"/>
      <c r="BF122" s="73"/>
      <c r="BG122" s="73"/>
      <c r="BH122" s="75"/>
      <c r="BI122" s="98">
        <v>0</v>
      </c>
      <c r="BJ122" s="99">
        <v>0</v>
      </c>
      <c r="BK122" s="100"/>
      <c r="BL122" s="100"/>
      <c r="BM122" s="62"/>
      <c r="BN122" s="80" t="e">
        <v>#VALUE!</v>
      </c>
      <c r="BO122" s="81" t="e">
        <v>#VALUE!</v>
      </c>
      <c r="BP122" s="82" t="e">
        <v>#VALUE!</v>
      </c>
      <c r="BQ122" s="82" t="e">
        <v>#VALUE!</v>
      </c>
      <c r="BR122" s="82" t="e">
        <v>#VALUE!</v>
      </c>
      <c r="BS122" s="80">
        <v>0</v>
      </c>
      <c r="BT122" s="83" t="s">
        <v>226</v>
      </c>
      <c r="BU122" s="61"/>
      <c r="BV122" s="84">
        <v>0</v>
      </c>
      <c r="BW122" s="84">
        <v>0</v>
      </c>
      <c r="BX122" s="84">
        <v>0</v>
      </c>
      <c r="BY122" s="84">
        <v>0</v>
      </c>
      <c r="BZ122" s="62"/>
      <c r="CA122" s="85"/>
      <c r="CB122" s="85"/>
      <c r="CC122" s="85"/>
      <c r="CD122" s="85"/>
      <c r="CE122" s="62"/>
      <c r="CF122" s="86">
        <v>0</v>
      </c>
      <c r="CG122" s="87">
        <v>0</v>
      </c>
      <c r="CH122" s="87">
        <v>0</v>
      </c>
      <c r="CI122" s="87">
        <v>0</v>
      </c>
      <c r="CJ122" s="87">
        <v>0</v>
      </c>
    </row>
    <row r="123" spans="1:88" x14ac:dyDescent="0.35">
      <c r="A123" s="88" t="s">
        <v>225</v>
      </c>
      <c r="B123" s="89">
        <v>122</v>
      </c>
      <c r="C123" s="102" t="s">
        <v>226</v>
      </c>
      <c r="D123" s="102" t="s">
        <v>226</v>
      </c>
      <c r="E123" s="103" t="s">
        <v>226</v>
      </c>
      <c r="F123" s="103" t="s">
        <v>226</v>
      </c>
      <c r="G123" s="103" t="s">
        <v>226</v>
      </c>
      <c r="H123" s="101"/>
      <c r="I123" s="93">
        <v>0</v>
      </c>
      <c r="J123" s="94">
        <v>0</v>
      </c>
      <c r="K123" s="94">
        <v>0</v>
      </c>
      <c r="L123" s="95">
        <v>0</v>
      </c>
      <c r="M123" s="96">
        <v>0</v>
      </c>
      <c r="N123" s="72"/>
      <c r="O123" s="73"/>
      <c r="P123" s="73"/>
      <c r="Q123" s="74"/>
      <c r="R123" s="72"/>
      <c r="S123" s="73"/>
      <c r="T123" s="73"/>
      <c r="U123" s="75"/>
      <c r="V123" s="93">
        <v>0</v>
      </c>
      <c r="W123" s="94">
        <v>0</v>
      </c>
      <c r="X123" s="94">
        <v>0</v>
      </c>
      <c r="Y123" s="95">
        <v>0</v>
      </c>
      <c r="Z123" s="96">
        <v>0</v>
      </c>
      <c r="AA123" s="72"/>
      <c r="AB123" s="73"/>
      <c r="AC123" s="73"/>
      <c r="AD123" s="74"/>
      <c r="AE123" s="72"/>
      <c r="AF123" s="73"/>
      <c r="AG123" s="73"/>
      <c r="AH123" s="75"/>
      <c r="AI123" s="93">
        <v>0</v>
      </c>
      <c r="AJ123" s="94">
        <v>0</v>
      </c>
      <c r="AK123" s="94">
        <v>0</v>
      </c>
      <c r="AL123" s="95">
        <v>0</v>
      </c>
      <c r="AM123" s="96">
        <v>0</v>
      </c>
      <c r="AN123" s="72"/>
      <c r="AO123" s="73"/>
      <c r="AP123" s="73"/>
      <c r="AQ123" s="74"/>
      <c r="AR123" s="72"/>
      <c r="AS123" s="73"/>
      <c r="AT123" s="73"/>
      <c r="AU123" s="75"/>
      <c r="AV123" s="93">
        <v>0</v>
      </c>
      <c r="AW123" s="94">
        <v>0</v>
      </c>
      <c r="AX123" s="94">
        <v>0</v>
      </c>
      <c r="AY123" s="95">
        <v>0</v>
      </c>
      <c r="AZ123" s="97">
        <v>1</v>
      </c>
      <c r="BA123" s="72"/>
      <c r="BB123" s="73"/>
      <c r="BC123" s="73"/>
      <c r="BD123" s="74"/>
      <c r="BE123" s="72"/>
      <c r="BF123" s="73"/>
      <c r="BG123" s="73"/>
      <c r="BH123" s="75"/>
      <c r="BI123" s="98">
        <v>0</v>
      </c>
      <c r="BJ123" s="99">
        <v>0</v>
      </c>
      <c r="BK123" s="100"/>
      <c r="BL123" s="100"/>
      <c r="BM123" s="62"/>
      <c r="BN123" s="80" t="e">
        <v>#VALUE!</v>
      </c>
      <c r="BO123" s="81" t="e">
        <v>#VALUE!</v>
      </c>
      <c r="BP123" s="82" t="e">
        <v>#VALUE!</v>
      </c>
      <c r="BQ123" s="82" t="e">
        <v>#VALUE!</v>
      </c>
      <c r="BR123" s="82" t="e">
        <v>#VALUE!</v>
      </c>
      <c r="BS123" s="80">
        <v>0</v>
      </c>
      <c r="BT123" s="83" t="s">
        <v>226</v>
      </c>
      <c r="BU123" s="61"/>
      <c r="BV123" s="84">
        <v>0</v>
      </c>
      <c r="BW123" s="84">
        <v>0</v>
      </c>
      <c r="BX123" s="84">
        <v>0</v>
      </c>
      <c r="BY123" s="84">
        <v>0</v>
      </c>
      <c r="BZ123" s="62"/>
      <c r="CA123" s="85"/>
      <c r="CB123" s="85"/>
      <c r="CC123" s="85"/>
      <c r="CD123" s="85"/>
      <c r="CE123" s="62"/>
      <c r="CF123" s="86">
        <v>0</v>
      </c>
      <c r="CG123" s="87">
        <v>0</v>
      </c>
      <c r="CH123" s="87">
        <v>0</v>
      </c>
      <c r="CI123" s="87">
        <v>0</v>
      </c>
      <c r="CJ123" s="87">
        <v>0</v>
      </c>
    </row>
    <row r="124" spans="1:88" x14ac:dyDescent="0.35">
      <c r="A124" s="88" t="s">
        <v>225</v>
      </c>
      <c r="B124" s="89">
        <v>123</v>
      </c>
      <c r="C124" s="102" t="s">
        <v>226</v>
      </c>
      <c r="D124" s="102" t="s">
        <v>226</v>
      </c>
      <c r="E124" s="103" t="s">
        <v>226</v>
      </c>
      <c r="F124" s="103" t="s">
        <v>226</v>
      </c>
      <c r="G124" s="103" t="s">
        <v>226</v>
      </c>
      <c r="H124" s="101"/>
      <c r="I124" s="93">
        <v>0</v>
      </c>
      <c r="J124" s="94">
        <v>0</v>
      </c>
      <c r="K124" s="94">
        <v>0</v>
      </c>
      <c r="L124" s="95">
        <v>0</v>
      </c>
      <c r="M124" s="96">
        <v>0</v>
      </c>
      <c r="N124" s="72"/>
      <c r="O124" s="73"/>
      <c r="P124" s="73"/>
      <c r="Q124" s="74"/>
      <c r="R124" s="72"/>
      <c r="S124" s="73"/>
      <c r="T124" s="73"/>
      <c r="U124" s="75"/>
      <c r="V124" s="93">
        <v>0</v>
      </c>
      <c r="W124" s="94">
        <v>0</v>
      </c>
      <c r="X124" s="94">
        <v>0</v>
      </c>
      <c r="Y124" s="95">
        <v>0</v>
      </c>
      <c r="Z124" s="96">
        <v>0</v>
      </c>
      <c r="AA124" s="72"/>
      <c r="AB124" s="73"/>
      <c r="AC124" s="73"/>
      <c r="AD124" s="74"/>
      <c r="AE124" s="72"/>
      <c r="AF124" s="73"/>
      <c r="AG124" s="73"/>
      <c r="AH124" s="75"/>
      <c r="AI124" s="93">
        <v>0</v>
      </c>
      <c r="AJ124" s="94">
        <v>0</v>
      </c>
      <c r="AK124" s="94">
        <v>0</v>
      </c>
      <c r="AL124" s="95">
        <v>0</v>
      </c>
      <c r="AM124" s="96">
        <v>0</v>
      </c>
      <c r="AN124" s="72"/>
      <c r="AO124" s="73"/>
      <c r="AP124" s="73"/>
      <c r="AQ124" s="74"/>
      <c r="AR124" s="72"/>
      <c r="AS124" s="73"/>
      <c r="AT124" s="73"/>
      <c r="AU124" s="75"/>
      <c r="AV124" s="93">
        <v>0</v>
      </c>
      <c r="AW124" s="94">
        <v>0</v>
      </c>
      <c r="AX124" s="94">
        <v>0</v>
      </c>
      <c r="AY124" s="95">
        <v>0</v>
      </c>
      <c r="AZ124" s="97">
        <v>1</v>
      </c>
      <c r="BA124" s="72"/>
      <c r="BB124" s="73"/>
      <c r="BC124" s="73"/>
      <c r="BD124" s="74"/>
      <c r="BE124" s="72"/>
      <c r="BF124" s="73"/>
      <c r="BG124" s="73"/>
      <c r="BH124" s="75"/>
      <c r="BI124" s="98">
        <v>0</v>
      </c>
      <c r="BJ124" s="99">
        <v>0</v>
      </c>
      <c r="BK124" s="100"/>
      <c r="BL124" s="100"/>
      <c r="BM124" s="62"/>
      <c r="BN124" s="80" t="e">
        <v>#VALUE!</v>
      </c>
      <c r="BO124" s="81" t="e">
        <v>#VALUE!</v>
      </c>
      <c r="BP124" s="82" t="e">
        <v>#VALUE!</v>
      </c>
      <c r="BQ124" s="82" t="e">
        <v>#VALUE!</v>
      </c>
      <c r="BR124" s="82" t="e">
        <v>#VALUE!</v>
      </c>
      <c r="BS124" s="80">
        <v>0</v>
      </c>
      <c r="BT124" s="83" t="s">
        <v>226</v>
      </c>
      <c r="BU124" s="61"/>
      <c r="BV124" s="84">
        <v>0</v>
      </c>
      <c r="BW124" s="84">
        <v>0</v>
      </c>
      <c r="BX124" s="84">
        <v>0</v>
      </c>
      <c r="BY124" s="84">
        <v>0</v>
      </c>
      <c r="BZ124" s="62"/>
      <c r="CA124" s="85"/>
      <c r="CB124" s="85"/>
      <c r="CC124" s="85"/>
      <c r="CD124" s="85"/>
      <c r="CE124" s="62"/>
      <c r="CF124" s="86">
        <v>0</v>
      </c>
      <c r="CG124" s="87">
        <v>0</v>
      </c>
      <c r="CH124" s="87">
        <v>0</v>
      </c>
      <c r="CI124" s="87">
        <v>0</v>
      </c>
      <c r="CJ124" s="87">
        <v>0</v>
      </c>
    </row>
    <row r="125" spans="1:88" x14ac:dyDescent="0.35">
      <c r="A125" s="88" t="s">
        <v>225</v>
      </c>
      <c r="B125" s="89">
        <v>124</v>
      </c>
      <c r="C125" s="102" t="s">
        <v>226</v>
      </c>
      <c r="D125" s="102" t="s">
        <v>226</v>
      </c>
      <c r="E125" s="103" t="s">
        <v>226</v>
      </c>
      <c r="F125" s="103" t="s">
        <v>226</v>
      </c>
      <c r="G125" s="103" t="s">
        <v>226</v>
      </c>
      <c r="H125" s="101"/>
      <c r="I125" s="93">
        <v>0</v>
      </c>
      <c r="J125" s="94">
        <v>0</v>
      </c>
      <c r="K125" s="94">
        <v>0</v>
      </c>
      <c r="L125" s="95">
        <v>0</v>
      </c>
      <c r="M125" s="96">
        <v>0</v>
      </c>
      <c r="N125" s="72"/>
      <c r="O125" s="73"/>
      <c r="P125" s="73"/>
      <c r="Q125" s="74"/>
      <c r="R125" s="72"/>
      <c r="S125" s="73"/>
      <c r="T125" s="73"/>
      <c r="U125" s="75"/>
      <c r="V125" s="93">
        <v>0</v>
      </c>
      <c r="W125" s="94">
        <v>0</v>
      </c>
      <c r="X125" s="94">
        <v>0</v>
      </c>
      <c r="Y125" s="95">
        <v>0</v>
      </c>
      <c r="Z125" s="96">
        <v>0</v>
      </c>
      <c r="AA125" s="72"/>
      <c r="AB125" s="73"/>
      <c r="AC125" s="73"/>
      <c r="AD125" s="74"/>
      <c r="AE125" s="72"/>
      <c r="AF125" s="73"/>
      <c r="AG125" s="73"/>
      <c r="AH125" s="75"/>
      <c r="AI125" s="93">
        <v>0</v>
      </c>
      <c r="AJ125" s="94">
        <v>0</v>
      </c>
      <c r="AK125" s="94">
        <v>0</v>
      </c>
      <c r="AL125" s="95">
        <v>0</v>
      </c>
      <c r="AM125" s="96">
        <v>0</v>
      </c>
      <c r="AN125" s="72"/>
      <c r="AO125" s="73"/>
      <c r="AP125" s="73"/>
      <c r="AQ125" s="74"/>
      <c r="AR125" s="72"/>
      <c r="AS125" s="73"/>
      <c r="AT125" s="73"/>
      <c r="AU125" s="75"/>
      <c r="AV125" s="93">
        <v>0</v>
      </c>
      <c r="AW125" s="94">
        <v>0</v>
      </c>
      <c r="AX125" s="94">
        <v>0</v>
      </c>
      <c r="AY125" s="95">
        <v>0</v>
      </c>
      <c r="AZ125" s="97">
        <v>1</v>
      </c>
      <c r="BA125" s="72"/>
      <c r="BB125" s="73"/>
      <c r="BC125" s="73"/>
      <c r="BD125" s="74"/>
      <c r="BE125" s="72"/>
      <c r="BF125" s="73"/>
      <c r="BG125" s="73"/>
      <c r="BH125" s="75"/>
      <c r="BI125" s="98">
        <v>0</v>
      </c>
      <c r="BJ125" s="99">
        <v>0</v>
      </c>
      <c r="BK125" s="100"/>
      <c r="BL125" s="100"/>
      <c r="BM125" s="62"/>
      <c r="BN125" s="80" t="e">
        <v>#VALUE!</v>
      </c>
      <c r="BO125" s="81" t="e">
        <v>#VALUE!</v>
      </c>
      <c r="BP125" s="82" t="e">
        <v>#VALUE!</v>
      </c>
      <c r="BQ125" s="82" t="e">
        <v>#VALUE!</v>
      </c>
      <c r="BR125" s="82" t="e">
        <v>#VALUE!</v>
      </c>
      <c r="BS125" s="80">
        <v>0</v>
      </c>
      <c r="BT125" s="83" t="s">
        <v>226</v>
      </c>
      <c r="BU125" s="61"/>
      <c r="BV125" s="84">
        <v>0</v>
      </c>
      <c r="BW125" s="84">
        <v>0</v>
      </c>
      <c r="BX125" s="84">
        <v>0</v>
      </c>
      <c r="BY125" s="84">
        <v>0</v>
      </c>
      <c r="BZ125" s="62"/>
      <c r="CA125" s="85"/>
      <c r="CB125" s="85"/>
      <c r="CC125" s="85"/>
      <c r="CD125" s="85"/>
      <c r="CE125" s="62"/>
      <c r="CF125" s="86">
        <v>0</v>
      </c>
      <c r="CG125" s="87">
        <v>0</v>
      </c>
      <c r="CH125" s="87">
        <v>0</v>
      </c>
      <c r="CI125" s="87">
        <v>0</v>
      </c>
      <c r="CJ125" s="87">
        <v>0</v>
      </c>
    </row>
    <row r="126" spans="1:88" x14ac:dyDescent="0.35">
      <c r="A126" s="88" t="s">
        <v>225</v>
      </c>
      <c r="B126" s="89">
        <v>125</v>
      </c>
      <c r="C126" s="102" t="s">
        <v>226</v>
      </c>
      <c r="D126" s="102" t="s">
        <v>226</v>
      </c>
      <c r="E126" s="103" t="s">
        <v>226</v>
      </c>
      <c r="F126" s="103" t="s">
        <v>226</v>
      </c>
      <c r="G126" s="103" t="s">
        <v>226</v>
      </c>
      <c r="H126" s="101"/>
      <c r="I126" s="93">
        <v>0</v>
      </c>
      <c r="J126" s="94">
        <v>0</v>
      </c>
      <c r="K126" s="94">
        <v>0</v>
      </c>
      <c r="L126" s="95">
        <v>0</v>
      </c>
      <c r="M126" s="96">
        <v>0</v>
      </c>
      <c r="N126" s="72"/>
      <c r="O126" s="73"/>
      <c r="P126" s="73"/>
      <c r="Q126" s="74"/>
      <c r="R126" s="72"/>
      <c r="S126" s="73"/>
      <c r="T126" s="73"/>
      <c r="U126" s="75"/>
      <c r="V126" s="93">
        <v>0</v>
      </c>
      <c r="W126" s="94">
        <v>0</v>
      </c>
      <c r="X126" s="94">
        <v>0</v>
      </c>
      <c r="Y126" s="95">
        <v>0</v>
      </c>
      <c r="Z126" s="96">
        <v>0</v>
      </c>
      <c r="AA126" s="72"/>
      <c r="AB126" s="73"/>
      <c r="AC126" s="73"/>
      <c r="AD126" s="74"/>
      <c r="AE126" s="72"/>
      <c r="AF126" s="73"/>
      <c r="AG126" s="73"/>
      <c r="AH126" s="75"/>
      <c r="AI126" s="93">
        <v>0</v>
      </c>
      <c r="AJ126" s="94">
        <v>0</v>
      </c>
      <c r="AK126" s="94">
        <v>0</v>
      </c>
      <c r="AL126" s="95">
        <v>0</v>
      </c>
      <c r="AM126" s="96">
        <v>0</v>
      </c>
      <c r="AN126" s="72"/>
      <c r="AO126" s="73"/>
      <c r="AP126" s="73"/>
      <c r="AQ126" s="74"/>
      <c r="AR126" s="72"/>
      <c r="AS126" s="73"/>
      <c r="AT126" s="73"/>
      <c r="AU126" s="75"/>
      <c r="AV126" s="93">
        <v>0</v>
      </c>
      <c r="AW126" s="94">
        <v>0</v>
      </c>
      <c r="AX126" s="94">
        <v>0</v>
      </c>
      <c r="AY126" s="95">
        <v>0</v>
      </c>
      <c r="AZ126" s="97">
        <v>1</v>
      </c>
      <c r="BA126" s="72"/>
      <c r="BB126" s="73"/>
      <c r="BC126" s="73"/>
      <c r="BD126" s="74"/>
      <c r="BE126" s="72"/>
      <c r="BF126" s="73"/>
      <c r="BG126" s="73"/>
      <c r="BH126" s="75"/>
      <c r="BI126" s="98">
        <v>0</v>
      </c>
      <c r="BJ126" s="99">
        <v>0</v>
      </c>
      <c r="BK126" s="100"/>
      <c r="BL126" s="100"/>
      <c r="BM126" s="62"/>
      <c r="BN126" s="80" t="e">
        <v>#VALUE!</v>
      </c>
      <c r="BO126" s="81" t="e">
        <v>#VALUE!</v>
      </c>
      <c r="BP126" s="82" t="e">
        <v>#VALUE!</v>
      </c>
      <c r="BQ126" s="82" t="e">
        <v>#VALUE!</v>
      </c>
      <c r="BR126" s="82" t="e">
        <v>#VALUE!</v>
      </c>
      <c r="BS126" s="80">
        <v>0</v>
      </c>
      <c r="BT126" s="83" t="s">
        <v>226</v>
      </c>
      <c r="BU126" s="61"/>
      <c r="BV126" s="84">
        <v>0</v>
      </c>
      <c r="BW126" s="84">
        <v>0</v>
      </c>
      <c r="BX126" s="84">
        <v>0</v>
      </c>
      <c r="BY126" s="84">
        <v>0</v>
      </c>
      <c r="BZ126" s="62"/>
      <c r="CA126" s="85"/>
      <c r="CB126" s="85"/>
      <c r="CC126" s="85"/>
      <c r="CD126" s="85"/>
      <c r="CE126" s="62"/>
      <c r="CF126" s="86">
        <v>0</v>
      </c>
      <c r="CG126" s="87">
        <v>0</v>
      </c>
      <c r="CH126" s="87">
        <v>0</v>
      </c>
      <c r="CI126" s="87">
        <v>0</v>
      </c>
      <c r="CJ126" s="87">
        <v>0</v>
      </c>
    </row>
    <row r="127" spans="1:88" x14ac:dyDescent="0.35">
      <c r="A127" s="88" t="s">
        <v>225</v>
      </c>
      <c r="B127" s="89">
        <v>126</v>
      </c>
      <c r="C127" s="102" t="s">
        <v>226</v>
      </c>
      <c r="D127" s="102" t="s">
        <v>226</v>
      </c>
      <c r="E127" s="103" t="s">
        <v>226</v>
      </c>
      <c r="F127" s="103" t="s">
        <v>226</v>
      </c>
      <c r="G127" s="103" t="s">
        <v>226</v>
      </c>
      <c r="H127" s="101"/>
      <c r="I127" s="93">
        <v>0</v>
      </c>
      <c r="J127" s="94">
        <v>0</v>
      </c>
      <c r="K127" s="94">
        <v>0</v>
      </c>
      <c r="L127" s="95">
        <v>0</v>
      </c>
      <c r="M127" s="96">
        <v>0</v>
      </c>
      <c r="N127" s="72"/>
      <c r="O127" s="73"/>
      <c r="P127" s="73"/>
      <c r="Q127" s="74"/>
      <c r="R127" s="72"/>
      <c r="S127" s="73"/>
      <c r="T127" s="73"/>
      <c r="U127" s="75"/>
      <c r="V127" s="93">
        <v>0</v>
      </c>
      <c r="W127" s="94">
        <v>0</v>
      </c>
      <c r="X127" s="94">
        <v>0</v>
      </c>
      <c r="Y127" s="95">
        <v>0</v>
      </c>
      <c r="Z127" s="96">
        <v>0</v>
      </c>
      <c r="AA127" s="72"/>
      <c r="AB127" s="73"/>
      <c r="AC127" s="73"/>
      <c r="AD127" s="74"/>
      <c r="AE127" s="72"/>
      <c r="AF127" s="73"/>
      <c r="AG127" s="73"/>
      <c r="AH127" s="75"/>
      <c r="AI127" s="93">
        <v>0</v>
      </c>
      <c r="AJ127" s="94">
        <v>0</v>
      </c>
      <c r="AK127" s="94">
        <v>0</v>
      </c>
      <c r="AL127" s="95">
        <v>0</v>
      </c>
      <c r="AM127" s="96">
        <v>0</v>
      </c>
      <c r="AN127" s="72"/>
      <c r="AO127" s="73"/>
      <c r="AP127" s="73"/>
      <c r="AQ127" s="74"/>
      <c r="AR127" s="72"/>
      <c r="AS127" s="73"/>
      <c r="AT127" s="73"/>
      <c r="AU127" s="75"/>
      <c r="AV127" s="93">
        <v>0</v>
      </c>
      <c r="AW127" s="94">
        <v>0</v>
      </c>
      <c r="AX127" s="94">
        <v>0</v>
      </c>
      <c r="AY127" s="95">
        <v>0</v>
      </c>
      <c r="AZ127" s="97">
        <v>1</v>
      </c>
      <c r="BA127" s="72"/>
      <c r="BB127" s="73"/>
      <c r="BC127" s="73"/>
      <c r="BD127" s="74"/>
      <c r="BE127" s="72"/>
      <c r="BF127" s="73"/>
      <c r="BG127" s="73"/>
      <c r="BH127" s="75"/>
      <c r="BI127" s="98">
        <v>0</v>
      </c>
      <c r="BJ127" s="99">
        <v>0</v>
      </c>
      <c r="BK127" s="100"/>
      <c r="BL127" s="100"/>
      <c r="BM127" s="62"/>
      <c r="BN127" s="80" t="e">
        <v>#VALUE!</v>
      </c>
      <c r="BO127" s="81" t="e">
        <v>#VALUE!</v>
      </c>
      <c r="BP127" s="82" t="e">
        <v>#VALUE!</v>
      </c>
      <c r="BQ127" s="82" t="e">
        <v>#VALUE!</v>
      </c>
      <c r="BR127" s="82" t="e">
        <v>#VALUE!</v>
      </c>
      <c r="BS127" s="80">
        <v>0</v>
      </c>
      <c r="BT127" s="83" t="s">
        <v>226</v>
      </c>
      <c r="BU127" s="61"/>
      <c r="BV127" s="84">
        <v>0</v>
      </c>
      <c r="BW127" s="84">
        <v>0</v>
      </c>
      <c r="BX127" s="84">
        <v>0</v>
      </c>
      <c r="BY127" s="84">
        <v>0</v>
      </c>
      <c r="BZ127" s="62"/>
      <c r="CA127" s="85"/>
      <c r="CB127" s="85"/>
      <c r="CC127" s="85"/>
      <c r="CD127" s="85"/>
      <c r="CE127" s="62"/>
      <c r="CF127" s="86">
        <v>0</v>
      </c>
      <c r="CG127" s="87">
        <v>0</v>
      </c>
      <c r="CH127" s="87">
        <v>0</v>
      </c>
      <c r="CI127" s="87">
        <v>0</v>
      </c>
      <c r="CJ127" s="87">
        <v>0</v>
      </c>
    </row>
    <row r="128" spans="1:88" x14ac:dyDescent="0.35">
      <c r="A128" s="88" t="s">
        <v>225</v>
      </c>
      <c r="B128" s="89">
        <v>127</v>
      </c>
      <c r="C128" s="102" t="s">
        <v>226</v>
      </c>
      <c r="D128" s="102" t="s">
        <v>226</v>
      </c>
      <c r="E128" s="103" t="s">
        <v>226</v>
      </c>
      <c r="F128" s="103" t="s">
        <v>226</v>
      </c>
      <c r="G128" s="103" t="s">
        <v>226</v>
      </c>
      <c r="H128" s="101"/>
      <c r="I128" s="93">
        <v>0</v>
      </c>
      <c r="J128" s="94">
        <v>0</v>
      </c>
      <c r="K128" s="94">
        <v>0</v>
      </c>
      <c r="L128" s="95">
        <v>0</v>
      </c>
      <c r="M128" s="96">
        <v>0</v>
      </c>
      <c r="N128" s="72"/>
      <c r="O128" s="73"/>
      <c r="P128" s="73"/>
      <c r="Q128" s="74"/>
      <c r="R128" s="72"/>
      <c r="S128" s="73"/>
      <c r="T128" s="73"/>
      <c r="U128" s="75"/>
      <c r="V128" s="93">
        <v>0</v>
      </c>
      <c r="W128" s="94">
        <v>0</v>
      </c>
      <c r="X128" s="94">
        <v>0</v>
      </c>
      <c r="Y128" s="95">
        <v>0</v>
      </c>
      <c r="Z128" s="96">
        <v>0</v>
      </c>
      <c r="AA128" s="72"/>
      <c r="AB128" s="73"/>
      <c r="AC128" s="73"/>
      <c r="AD128" s="74"/>
      <c r="AE128" s="72"/>
      <c r="AF128" s="73"/>
      <c r="AG128" s="73"/>
      <c r="AH128" s="75"/>
      <c r="AI128" s="93">
        <v>0</v>
      </c>
      <c r="AJ128" s="94">
        <v>0</v>
      </c>
      <c r="AK128" s="94">
        <v>0</v>
      </c>
      <c r="AL128" s="95">
        <v>0</v>
      </c>
      <c r="AM128" s="96">
        <v>0</v>
      </c>
      <c r="AN128" s="72"/>
      <c r="AO128" s="73"/>
      <c r="AP128" s="73"/>
      <c r="AQ128" s="74"/>
      <c r="AR128" s="72"/>
      <c r="AS128" s="73"/>
      <c r="AT128" s="73"/>
      <c r="AU128" s="75"/>
      <c r="AV128" s="93">
        <v>0</v>
      </c>
      <c r="AW128" s="94">
        <v>0</v>
      </c>
      <c r="AX128" s="94">
        <v>0</v>
      </c>
      <c r="AY128" s="95">
        <v>0</v>
      </c>
      <c r="AZ128" s="97">
        <v>1</v>
      </c>
      <c r="BA128" s="72"/>
      <c r="BB128" s="73"/>
      <c r="BC128" s="73"/>
      <c r="BD128" s="74"/>
      <c r="BE128" s="72"/>
      <c r="BF128" s="73"/>
      <c r="BG128" s="73"/>
      <c r="BH128" s="75"/>
      <c r="BI128" s="98">
        <v>0</v>
      </c>
      <c r="BJ128" s="99">
        <v>0</v>
      </c>
      <c r="BK128" s="100"/>
      <c r="BL128" s="100"/>
      <c r="BM128" s="62"/>
      <c r="BN128" s="80" t="e">
        <v>#VALUE!</v>
      </c>
      <c r="BO128" s="81" t="e">
        <v>#VALUE!</v>
      </c>
      <c r="BP128" s="82" t="e">
        <v>#VALUE!</v>
      </c>
      <c r="BQ128" s="82" t="e">
        <v>#VALUE!</v>
      </c>
      <c r="BR128" s="82" t="e">
        <v>#VALUE!</v>
      </c>
      <c r="BS128" s="80">
        <v>0</v>
      </c>
      <c r="BT128" s="83" t="s">
        <v>226</v>
      </c>
      <c r="BU128" s="61"/>
      <c r="BV128" s="84">
        <v>0</v>
      </c>
      <c r="BW128" s="84">
        <v>0</v>
      </c>
      <c r="BX128" s="84">
        <v>0</v>
      </c>
      <c r="BY128" s="84">
        <v>0</v>
      </c>
      <c r="BZ128" s="62"/>
      <c r="CA128" s="85"/>
      <c r="CB128" s="85"/>
      <c r="CC128" s="85"/>
      <c r="CD128" s="85"/>
      <c r="CE128" s="62"/>
      <c r="CF128" s="86">
        <v>0</v>
      </c>
      <c r="CG128" s="87">
        <v>0</v>
      </c>
      <c r="CH128" s="87">
        <v>0</v>
      </c>
      <c r="CI128" s="87">
        <v>0</v>
      </c>
      <c r="CJ128" s="87">
        <v>0</v>
      </c>
    </row>
    <row r="129" spans="1:88" x14ac:dyDescent="0.35">
      <c r="A129" s="88" t="s">
        <v>225</v>
      </c>
      <c r="B129" s="89">
        <v>128</v>
      </c>
      <c r="C129" s="102" t="s">
        <v>226</v>
      </c>
      <c r="D129" s="102" t="s">
        <v>226</v>
      </c>
      <c r="E129" s="103" t="s">
        <v>226</v>
      </c>
      <c r="F129" s="103" t="s">
        <v>226</v>
      </c>
      <c r="G129" s="103" t="s">
        <v>226</v>
      </c>
      <c r="H129" s="101"/>
      <c r="I129" s="93">
        <v>0</v>
      </c>
      <c r="J129" s="94">
        <v>0</v>
      </c>
      <c r="K129" s="94">
        <v>0</v>
      </c>
      <c r="L129" s="95">
        <v>0</v>
      </c>
      <c r="M129" s="96">
        <v>0</v>
      </c>
      <c r="N129" s="72"/>
      <c r="O129" s="73"/>
      <c r="P129" s="73"/>
      <c r="Q129" s="74"/>
      <c r="R129" s="72"/>
      <c r="S129" s="73"/>
      <c r="T129" s="73"/>
      <c r="U129" s="75"/>
      <c r="V129" s="93">
        <v>0</v>
      </c>
      <c r="W129" s="94">
        <v>0</v>
      </c>
      <c r="X129" s="94">
        <v>0</v>
      </c>
      <c r="Y129" s="95">
        <v>0</v>
      </c>
      <c r="Z129" s="96">
        <v>0</v>
      </c>
      <c r="AA129" s="72"/>
      <c r="AB129" s="73"/>
      <c r="AC129" s="73"/>
      <c r="AD129" s="74"/>
      <c r="AE129" s="72"/>
      <c r="AF129" s="73"/>
      <c r="AG129" s="73"/>
      <c r="AH129" s="75"/>
      <c r="AI129" s="93">
        <v>0</v>
      </c>
      <c r="AJ129" s="94">
        <v>0</v>
      </c>
      <c r="AK129" s="94">
        <v>0</v>
      </c>
      <c r="AL129" s="95">
        <v>0</v>
      </c>
      <c r="AM129" s="96">
        <v>0</v>
      </c>
      <c r="AN129" s="72"/>
      <c r="AO129" s="73"/>
      <c r="AP129" s="73"/>
      <c r="AQ129" s="74"/>
      <c r="AR129" s="72"/>
      <c r="AS129" s="73"/>
      <c r="AT129" s="73"/>
      <c r="AU129" s="75"/>
      <c r="AV129" s="93">
        <v>0</v>
      </c>
      <c r="AW129" s="94">
        <v>0</v>
      </c>
      <c r="AX129" s="94">
        <v>0</v>
      </c>
      <c r="AY129" s="95">
        <v>0</v>
      </c>
      <c r="AZ129" s="97">
        <v>1</v>
      </c>
      <c r="BA129" s="72"/>
      <c r="BB129" s="73"/>
      <c r="BC129" s="73"/>
      <c r="BD129" s="74"/>
      <c r="BE129" s="72"/>
      <c r="BF129" s="73"/>
      <c r="BG129" s="73"/>
      <c r="BH129" s="75"/>
      <c r="BI129" s="98">
        <v>0</v>
      </c>
      <c r="BJ129" s="99">
        <v>0</v>
      </c>
      <c r="BK129" s="100"/>
      <c r="BL129" s="100"/>
      <c r="BM129" s="62"/>
      <c r="BN129" s="80" t="e">
        <v>#VALUE!</v>
      </c>
      <c r="BO129" s="81" t="e">
        <v>#VALUE!</v>
      </c>
      <c r="BP129" s="82" t="e">
        <v>#VALUE!</v>
      </c>
      <c r="BQ129" s="82" t="e">
        <v>#VALUE!</v>
      </c>
      <c r="BR129" s="82" t="e">
        <v>#VALUE!</v>
      </c>
      <c r="BS129" s="80">
        <v>0</v>
      </c>
      <c r="BT129" s="83" t="s">
        <v>226</v>
      </c>
      <c r="BU129" s="61"/>
      <c r="BV129" s="84">
        <v>0</v>
      </c>
      <c r="BW129" s="84">
        <v>0</v>
      </c>
      <c r="BX129" s="84">
        <v>0</v>
      </c>
      <c r="BY129" s="84">
        <v>0</v>
      </c>
      <c r="BZ129" s="62"/>
      <c r="CA129" s="85"/>
      <c r="CB129" s="85"/>
      <c r="CC129" s="85"/>
      <c r="CD129" s="85"/>
      <c r="CE129" s="62"/>
      <c r="CF129" s="86">
        <v>0</v>
      </c>
      <c r="CG129" s="87">
        <v>0</v>
      </c>
      <c r="CH129" s="87">
        <v>0</v>
      </c>
      <c r="CI129" s="87">
        <v>0</v>
      </c>
      <c r="CJ129" s="87">
        <v>0</v>
      </c>
    </row>
    <row r="130" spans="1:88" x14ac:dyDescent="0.35">
      <c r="A130" s="88" t="s">
        <v>225</v>
      </c>
      <c r="B130" s="89">
        <v>129</v>
      </c>
      <c r="C130" s="102" t="s">
        <v>226</v>
      </c>
      <c r="D130" s="102" t="s">
        <v>226</v>
      </c>
      <c r="E130" s="103" t="s">
        <v>226</v>
      </c>
      <c r="F130" s="103" t="s">
        <v>226</v>
      </c>
      <c r="G130" s="103" t="s">
        <v>226</v>
      </c>
      <c r="H130" s="101"/>
      <c r="I130" s="93">
        <v>0</v>
      </c>
      <c r="J130" s="94">
        <v>0</v>
      </c>
      <c r="K130" s="94">
        <v>0</v>
      </c>
      <c r="L130" s="95">
        <v>0</v>
      </c>
      <c r="M130" s="96">
        <v>0</v>
      </c>
      <c r="N130" s="72"/>
      <c r="O130" s="73"/>
      <c r="P130" s="73"/>
      <c r="Q130" s="74"/>
      <c r="R130" s="72"/>
      <c r="S130" s="73"/>
      <c r="T130" s="73"/>
      <c r="U130" s="75"/>
      <c r="V130" s="93">
        <v>0</v>
      </c>
      <c r="W130" s="94">
        <v>0</v>
      </c>
      <c r="X130" s="94">
        <v>0</v>
      </c>
      <c r="Y130" s="95">
        <v>0</v>
      </c>
      <c r="Z130" s="96">
        <v>0</v>
      </c>
      <c r="AA130" s="72"/>
      <c r="AB130" s="73"/>
      <c r="AC130" s="73"/>
      <c r="AD130" s="74"/>
      <c r="AE130" s="72"/>
      <c r="AF130" s="73"/>
      <c r="AG130" s="73"/>
      <c r="AH130" s="75"/>
      <c r="AI130" s="93">
        <v>0</v>
      </c>
      <c r="AJ130" s="94">
        <v>0</v>
      </c>
      <c r="AK130" s="94">
        <v>0</v>
      </c>
      <c r="AL130" s="95">
        <v>0</v>
      </c>
      <c r="AM130" s="96">
        <v>0</v>
      </c>
      <c r="AN130" s="72"/>
      <c r="AO130" s="73"/>
      <c r="AP130" s="73"/>
      <c r="AQ130" s="74"/>
      <c r="AR130" s="72"/>
      <c r="AS130" s="73"/>
      <c r="AT130" s="73"/>
      <c r="AU130" s="75"/>
      <c r="AV130" s="93">
        <v>0</v>
      </c>
      <c r="AW130" s="94">
        <v>0</v>
      </c>
      <c r="AX130" s="94">
        <v>0</v>
      </c>
      <c r="AY130" s="95">
        <v>0</v>
      </c>
      <c r="AZ130" s="97">
        <v>1</v>
      </c>
      <c r="BA130" s="72"/>
      <c r="BB130" s="73"/>
      <c r="BC130" s="73"/>
      <c r="BD130" s="74"/>
      <c r="BE130" s="72"/>
      <c r="BF130" s="73"/>
      <c r="BG130" s="73"/>
      <c r="BH130" s="75"/>
      <c r="BI130" s="98">
        <v>0</v>
      </c>
      <c r="BJ130" s="99">
        <v>0</v>
      </c>
      <c r="BK130" s="100"/>
      <c r="BL130" s="100"/>
      <c r="BM130" s="62"/>
      <c r="BN130" s="80" t="e">
        <v>#VALUE!</v>
      </c>
      <c r="BO130" s="81" t="e">
        <v>#VALUE!</v>
      </c>
      <c r="BP130" s="82" t="e">
        <v>#VALUE!</v>
      </c>
      <c r="BQ130" s="82" t="e">
        <v>#VALUE!</v>
      </c>
      <c r="BR130" s="82" t="e">
        <v>#VALUE!</v>
      </c>
      <c r="BS130" s="80">
        <v>0</v>
      </c>
      <c r="BT130" s="83" t="s">
        <v>226</v>
      </c>
      <c r="BU130" s="61"/>
      <c r="BV130" s="84">
        <v>0</v>
      </c>
      <c r="BW130" s="84">
        <v>0</v>
      </c>
      <c r="BX130" s="84">
        <v>0</v>
      </c>
      <c r="BY130" s="84">
        <v>0</v>
      </c>
      <c r="BZ130" s="62"/>
      <c r="CA130" s="85"/>
      <c r="CB130" s="85"/>
      <c r="CC130" s="85"/>
      <c r="CD130" s="85"/>
      <c r="CE130" s="62"/>
      <c r="CF130" s="86">
        <v>0</v>
      </c>
      <c r="CG130" s="87">
        <v>0</v>
      </c>
      <c r="CH130" s="87">
        <v>0</v>
      </c>
      <c r="CI130" s="87">
        <v>0</v>
      </c>
      <c r="CJ130" s="87">
        <v>0</v>
      </c>
    </row>
    <row r="131" spans="1:88" x14ac:dyDescent="0.35">
      <c r="A131" s="88" t="s">
        <v>225</v>
      </c>
      <c r="B131" s="89">
        <v>130</v>
      </c>
      <c r="C131" s="102" t="s">
        <v>226</v>
      </c>
      <c r="D131" s="102" t="s">
        <v>226</v>
      </c>
      <c r="E131" s="103" t="s">
        <v>226</v>
      </c>
      <c r="F131" s="103" t="s">
        <v>226</v>
      </c>
      <c r="G131" s="103" t="s">
        <v>226</v>
      </c>
      <c r="H131" s="101"/>
      <c r="I131" s="93">
        <v>0</v>
      </c>
      <c r="J131" s="94">
        <v>0</v>
      </c>
      <c r="K131" s="94">
        <v>0</v>
      </c>
      <c r="L131" s="95">
        <v>0</v>
      </c>
      <c r="M131" s="96">
        <v>0</v>
      </c>
      <c r="N131" s="72"/>
      <c r="O131" s="73"/>
      <c r="P131" s="73"/>
      <c r="Q131" s="74"/>
      <c r="R131" s="72"/>
      <c r="S131" s="73"/>
      <c r="T131" s="73"/>
      <c r="U131" s="75"/>
      <c r="V131" s="93">
        <v>0</v>
      </c>
      <c r="W131" s="94">
        <v>0</v>
      </c>
      <c r="X131" s="94">
        <v>0</v>
      </c>
      <c r="Y131" s="95">
        <v>0</v>
      </c>
      <c r="Z131" s="96">
        <v>0</v>
      </c>
      <c r="AA131" s="72"/>
      <c r="AB131" s="73"/>
      <c r="AC131" s="73"/>
      <c r="AD131" s="74"/>
      <c r="AE131" s="72"/>
      <c r="AF131" s="73"/>
      <c r="AG131" s="73"/>
      <c r="AH131" s="75"/>
      <c r="AI131" s="93">
        <v>0</v>
      </c>
      <c r="AJ131" s="94">
        <v>0</v>
      </c>
      <c r="AK131" s="94">
        <v>0</v>
      </c>
      <c r="AL131" s="95">
        <v>0</v>
      </c>
      <c r="AM131" s="96">
        <v>0</v>
      </c>
      <c r="AN131" s="72"/>
      <c r="AO131" s="73"/>
      <c r="AP131" s="73"/>
      <c r="AQ131" s="74"/>
      <c r="AR131" s="72"/>
      <c r="AS131" s="73"/>
      <c r="AT131" s="73"/>
      <c r="AU131" s="75"/>
      <c r="AV131" s="93">
        <v>0</v>
      </c>
      <c r="AW131" s="94">
        <v>0</v>
      </c>
      <c r="AX131" s="94">
        <v>0</v>
      </c>
      <c r="AY131" s="95">
        <v>0</v>
      </c>
      <c r="AZ131" s="97">
        <v>1</v>
      </c>
      <c r="BA131" s="72"/>
      <c r="BB131" s="73"/>
      <c r="BC131" s="73"/>
      <c r="BD131" s="74"/>
      <c r="BE131" s="72"/>
      <c r="BF131" s="73"/>
      <c r="BG131" s="73"/>
      <c r="BH131" s="75"/>
      <c r="BI131" s="98">
        <v>0</v>
      </c>
      <c r="BJ131" s="99">
        <v>0</v>
      </c>
      <c r="BK131" s="100"/>
      <c r="BL131" s="100"/>
      <c r="BM131" s="62"/>
      <c r="BN131" s="80" t="e">
        <v>#VALUE!</v>
      </c>
      <c r="BO131" s="81" t="e">
        <v>#VALUE!</v>
      </c>
      <c r="BP131" s="82" t="e">
        <v>#VALUE!</v>
      </c>
      <c r="BQ131" s="82" t="e">
        <v>#VALUE!</v>
      </c>
      <c r="BR131" s="82" t="e">
        <v>#VALUE!</v>
      </c>
      <c r="BS131" s="80">
        <v>0</v>
      </c>
      <c r="BT131" s="83" t="s">
        <v>226</v>
      </c>
      <c r="BU131" s="61"/>
      <c r="BV131" s="84">
        <v>0</v>
      </c>
      <c r="BW131" s="84">
        <v>0</v>
      </c>
      <c r="BX131" s="84">
        <v>0</v>
      </c>
      <c r="BY131" s="84">
        <v>0</v>
      </c>
      <c r="BZ131" s="62"/>
      <c r="CA131" s="85"/>
      <c r="CB131" s="85"/>
      <c r="CC131" s="85"/>
      <c r="CD131" s="85"/>
      <c r="CE131" s="62"/>
      <c r="CF131" s="86">
        <v>0</v>
      </c>
      <c r="CG131" s="87">
        <v>0</v>
      </c>
      <c r="CH131" s="87">
        <v>0</v>
      </c>
      <c r="CI131" s="87">
        <v>0</v>
      </c>
      <c r="CJ131" s="87">
        <v>0</v>
      </c>
    </row>
    <row r="132" spans="1:88" x14ac:dyDescent="0.35">
      <c r="A132" s="88" t="s">
        <v>225</v>
      </c>
      <c r="B132" s="89">
        <v>131</v>
      </c>
      <c r="C132" s="102" t="s">
        <v>226</v>
      </c>
      <c r="D132" s="102" t="s">
        <v>226</v>
      </c>
      <c r="E132" s="103" t="s">
        <v>226</v>
      </c>
      <c r="F132" s="103" t="s">
        <v>226</v>
      </c>
      <c r="G132" s="103" t="s">
        <v>226</v>
      </c>
      <c r="H132" s="101"/>
      <c r="I132" s="93">
        <v>0</v>
      </c>
      <c r="J132" s="94">
        <v>0</v>
      </c>
      <c r="K132" s="94">
        <v>0</v>
      </c>
      <c r="L132" s="95">
        <v>0</v>
      </c>
      <c r="M132" s="96">
        <v>0</v>
      </c>
      <c r="N132" s="72"/>
      <c r="O132" s="73"/>
      <c r="P132" s="73"/>
      <c r="Q132" s="74"/>
      <c r="R132" s="72"/>
      <c r="S132" s="73"/>
      <c r="T132" s="73"/>
      <c r="U132" s="75"/>
      <c r="V132" s="93">
        <v>0</v>
      </c>
      <c r="W132" s="94">
        <v>0</v>
      </c>
      <c r="X132" s="94">
        <v>0</v>
      </c>
      <c r="Y132" s="95">
        <v>0</v>
      </c>
      <c r="Z132" s="96">
        <v>0</v>
      </c>
      <c r="AA132" s="72"/>
      <c r="AB132" s="73"/>
      <c r="AC132" s="73"/>
      <c r="AD132" s="74"/>
      <c r="AE132" s="72"/>
      <c r="AF132" s="73"/>
      <c r="AG132" s="73"/>
      <c r="AH132" s="75"/>
      <c r="AI132" s="93">
        <v>0</v>
      </c>
      <c r="AJ132" s="94">
        <v>0</v>
      </c>
      <c r="AK132" s="94">
        <v>0</v>
      </c>
      <c r="AL132" s="95">
        <v>0</v>
      </c>
      <c r="AM132" s="96">
        <v>0</v>
      </c>
      <c r="AN132" s="72"/>
      <c r="AO132" s="73"/>
      <c r="AP132" s="73"/>
      <c r="AQ132" s="74"/>
      <c r="AR132" s="72"/>
      <c r="AS132" s="73"/>
      <c r="AT132" s="73"/>
      <c r="AU132" s="75"/>
      <c r="AV132" s="93">
        <v>0</v>
      </c>
      <c r="AW132" s="94">
        <v>0</v>
      </c>
      <c r="AX132" s="94">
        <v>0</v>
      </c>
      <c r="AY132" s="95">
        <v>0</v>
      </c>
      <c r="AZ132" s="97">
        <v>1</v>
      </c>
      <c r="BA132" s="72"/>
      <c r="BB132" s="73"/>
      <c r="BC132" s="73"/>
      <c r="BD132" s="74"/>
      <c r="BE132" s="72"/>
      <c r="BF132" s="73"/>
      <c r="BG132" s="73"/>
      <c r="BH132" s="75"/>
      <c r="BI132" s="98">
        <v>0</v>
      </c>
      <c r="BJ132" s="99">
        <v>0</v>
      </c>
      <c r="BK132" s="100"/>
      <c r="BL132" s="100"/>
      <c r="BM132" s="62"/>
      <c r="BN132" s="80" t="e">
        <v>#VALUE!</v>
      </c>
      <c r="BO132" s="81" t="e">
        <v>#VALUE!</v>
      </c>
      <c r="BP132" s="82" t="e">
        <v>#VALUE!</v>
      </c>
      <c r="BQ132" s="82" t="e">
        <v>#VALUE!</v>
      </c>
      <c r="BR132" s="82" t="e">
        <v>#VALUE!</v>
      </c>
      <c r="BS132" s="80">
        <v>0</v>
      </c>
      <c r="BT132" s="83" t="s">
        <v>226</v>
      </c>
      <c r="BU132" s="61"/>
      <c r="BV132" s="84">
        <v>0</v>
      </c>
      <c r="BW132" s="84">
        <v>0</v>
      </c>
      <c r="BX132" s="84">
        <v>0</v>
      </c>
      <c r="BY132" s="84">
        <v>0</v>
      </c>
      <c r="BZ132" s="62"/>
      <c r="CA132" s="85"/>
      <c r="CB132" s="85"/>
      <c r="CC132" s="85"/>
      <c r="CD132" s="85"/>
      <c r="CE132" s="62"/>
      <c r="CF132" s="86">
        <v>0</v>
      </c>
      <c r="CG132" s="87">
        <v>0</v>
      </c>
      <c r="CH132" s="87">
        <v>0</v>
      </c>
      <c r="CI132" s="87">
        <v>0</v>
      </c>
      <c r="CJ132" s="87">
        <v>0</v>
      </c>
    </row>
    <row r="133" spans="1:88" x14ac:dyDescent="0.35">
      <c r="A133" s="88" t="s">
        <v>225</v>
      </c>
      <c r="B133" s="89">
        <v>132</v>
      </c>
      <c r="C133" s="102" t="s">
        <v>226</v>
      </c>
      <c r="D133" s="102" t="s">
        <v>226</v>
      </c>
      <c r="E133" s="103" t="s">
        <v>226</v>
      </c>
      <c r="F133" s="103" t="s">
        <v>226</v>
      </c>
      <c r="G133" s="103" t="s">
        <v>226</v>
      </c>
      <c r="H133" s="101"/>
      <c r="I133" s="93">
        <v>0</v>
      </c>
      <c r="J133" s="94">
        <v>0</v>
      </c>
      <c r="K133" s="94">
        <v>0</v>
      </c>
      <c r="L133" s="95">
        <v>0</v>
      </c>
      <c r="M133" s="96">
        <v>0</v>
      </c>
      <c r="N133" s="72"/>
      <c r="O133" s="73"/>
      <c r="P133" s="73"/>
      <c r="Q133" s="74"/>
      <c r="R133" s="72"/>
      <c r="S133" s="73"/>
      <c r="T133" s="73"/>
      <c r="U133" s="75"/>
      <c r="V133" s="93">
        <v>0</v>
      </c>
      <c r="W133" s="94">
        <v>0</v>
      </c>
      <c r="X133" s="94">
        <v>0</v>
      </c>
      <c r="Y133" s="95">
        <v>0</v>
      </c>
      <c r="Z133" s="96">
        <v>0</v>
      </c>
      <c r="AA133" s="72"/>
      <c r="AB133" s="73"/>
      <c r="AC133" s="73"/>
      <c r="AD133" s="74"/>
      <c r="AE133" s="72"/>
      <c r="AF133" s="73"/>
      <c r="AG133" s="73"/>
      <c r="AH133" s="75"/>
      <c r="AI133" s="93">
        <v>0</v>
      </c>
      <c r="AJ133" s="94">
        <v>0</v>
      </c>
      <c r="AK133" s="94">
        <v>0</v>
      </c>
      <c r="AL133" s="95">
        <v>0</v>
      </c>
      <c r="AM133" s="96">
        <v>0</v>
      </c>
      <c r="AN133" s="72"/>
      <c r="AO133" s="73"/>
      <c r="AP133" s="73"/>
      <c r="AQ133" s="74"/>
      <c r="AR133" s="72"/>
      <c r="AS133" s="73"/>
      <c r="AT133" s="73"/>
      <c r="AU133" s="75"/>
      <c r="AV133" s="93">
        <v>0</v>
      </c>
      <c r="AW133" s="94">
        <v>0</v>
      </c>
      <c r="AX133" s="94">
        <v>0</v>
      </c>
      <c r="AY133" s="95">
        <v>0</v>
      </c>
      <c r="AZ133" s="97">
        <v>1</v>
      </c>
      <c r="BA133" s="72"/>
      <c r="BB133" s="73"/>
      <c r="BC133" s="73"/>
      <c r="BD133" s="74"/>
      <c r="BE133" s="72"/>
      <c r="BF133" s="73"/>
      <c r="BG133" s="73"/>
      <c r="BH133" s="75"/>
      <c r="BI133" s="98">
        <v>0</v>
      </c>
      <c r="BJ133" s="99">
        <v>0</v>
      </c>
      <c r="BK133" s="100"/>
      <c r="BL133" s="100"/>
      <c r="BM133" s="62"/>
      <c r="BN133" s="80" t="e">
        <v>#VALUE!</v>
      </c>
      <c r="BO133" s="81" t="e">
        <v>#VALUE!</v>
      </c>
      <c r="BP133" s="82" t="e">
        <v>#VALUE!</v>
      </c>
      <c r="BQ133" s="82" t="e">
        <v>#VALUE!</v>
      </c>
      <c r="BR133" s="82" t="e">
        <v>#VALUE!</v>
      </c>
      <c r="BS133" s="80">
        <v>0</v>
      </c>
      <c r="BT133" s="83" t="s">
        <v>226</v>
      </c>
      <c r="BU133" s="61"/>
      <c r="BV133" s="84">
        <v>0</v>
      </c>
      <c r="BW133" s="84">
        <v>0</v>
      </c>
      <c r="BX133" s="84">
        <v>0</v>
      </c>
      <c r="BY133" s="84">
        <v>0</v>
      </c>
      <c r="BZ133" s="62"/>
      <c r="CA133" s="85"/>
      <c r="CB133" s="85"/>
      <c r="CC133" s="85"/>
      <c r="CD133" s="85"/>
      <c r="CE133" s="62"/>
      <c r="CF133" s="86">
        <v>0</v>
      </c>
      <c r="CG133" s="87">
        <v>0</v>
      </c>
      <c r="CH133" s="87">
        <v>0</v>
      </c>
      <c r="CI133" s="87">
        <v>0</v>
      </c>
      <c r="CJ133" s="87">
        <v>0</v>
      </c>
    </row>
    <row r="134" spans="1:88" x14ac:dyDescent="0.35">
      <c r="A134" s="88" t="s">
        <v>225</v>
      </c>
      <c r="B134" s="89">
        <v>133</v>
      </c>
      <c r="C134" s="102" t="s">
        <v>226</v>
      </c>
      <c r="D134" s="102" t="s">
        <v>226</v>
      </c>
      <c r="E134" s="103" t="s">
        <v>226</v>
      </c>
      <c r="F134" s="103" t="s">
        <v>226</v>
      </c>
      <c r="G134" s="103" t="s">
        <v>226</v>
      </c>
      <c r="H134" s="101"/>
      <c r="I134" s="93">
        <v>0</v>
      </c>
      <c r="J134" s="94">
        <v>0</v>
      </c>
      <c r="K134" s="94">
        <v>0</v>
      </c>
      <c r="L134" s="95">
        <v>0</v>
      </c>
      <c r="M134" s="96">
        <v>0</v>
      </c>
      <c r="N134" s="72"/>
      <c r="O134" s="73"/>
      <c r="P134" s="73"/>
      <c r="Q134" s="74"/>
      <c r="R134" s="72"/>
      <c r="S134" s="73"/>
      <c r="T134" s="73"/>
      <c r="U134" s="75"/>
      <c r="V134" s="93">
        <v>0</v>
      </c>
      <c r="W134" s="94">
        <v>0</v>
      </c>
      <c r="X134" s="94">
        <v>0</v>
      </c>
      <c r="Y134" s="95">
        <v>0</v>
      </c>
      <c r="Z134" s="96">
        <v>0</v>
      </c>
      <c r="AA134" s="72"/>
      <c r="AB134" s="73"/>
      <c r="AC134" s="73"/>
      <c r="AD134" s="74"/>
      <c r="AE134" s="72"/>
      <c r="AF134" s="73"/>
      <c r="AG134" s="73"/>
      <c r="AH134" s="75"/>
      <c r="AI134" s="93">
        <v>0</v>
      </c>
      <c r="AJ134" s="94">
        <v>0</v>
      </c>
      <c r="AK134" s="94">
        <v>0</v>
      </c>
      <c r="AL134" s="95">
        <v>0</v>
      </c>
      <c r="AM134" s="96">
        <v>0</v>
      </c>
      <c r="AN134" s="72"/>
      <c r="AO134" s="73"/>
      <c r="AP134" s="73"/>
      <c r="AQ134" s="74"/>
      <c r="AR134" s="72"/>
      <c r="AS134" s="73"/>
      <c r="AT134" s="73"/>
      <c r="AU134" s="75"/>
      <c r="AV134" s="93">
        <v>0</v>
      </c>
      <c r="AW134" s="94">
        <v>0</v>
      </c>
      <c r="AX134" s="94">
        <v>0</v>
      </c>
      <c r="AY134" s="95">
        <v>0</v>
      </c>
      <c r="AZ134" s="97">
        <v>1</v>
      </c>
      <c r="BA134" s="72"/>
      <c r="BB134" s="73"/>
      <c r="BC134" s="73"/>
      <c r="BD134" s="74"/>
      <c r="BE134" s="72"/>
      <c r="BF134" s="73"/>
      <c r="BG134" s="73"/>
      <c r="BH134" s="75"/>
      <c r="BI134" s="98">
        <v>0</v>
      </c>
      <c r="BJ134" s="99">
        <v>0</v>
      </c>
      <c r="BK134" s="100"/>
      <c r="BL134" s="100"/>
      <c r="BM134" s="62"/>
      <c r="BN134" s="80" t="e">
        <v>#VALUE!</v>
      </c>
      <c r="BO134" s="81" t="e">
        <v>#VALUE!</v>
      </c>
      <c r="BP134" s="82" t="e">
        <v>#VALUE!</v>
      </c>
      <c r="BQ134" s="82" t="e">
        <v>#VALUE!</v>
      </c>
      <c r="BR134" s="82" t="e">
        <v>#VALUE!</v>
      </c>
      <c r="BS134" s="80">
        <v>0</v>
      </c>
      <c r="BT134" s="83" t="s">
        <v>226</v>
      </c>
      <c r="BU134" s="61"/>
      <c r="BV134" s="84">
        <v>0</v>
      </c>
      <c r="BW134" s="84">
        <v>0</v>
      </c>
      <c r="BX134" s="84">
        <v>0</v>
      </c>
      <c r="BY134" s="84">
        <v>0</v>
      </c>
      <c r="BZ134" s="62"/>
      <c r="CA134" s="85"/>
      <c r="CB134" s="85"/>
      <c r="CC134" s="85"/>
      <c r="CD134" s="85"/>
      <c r="CE134" s="62"/>
      <c r="CF134" s="86">
        <v>0</v>
      </c>
      <c r="CG134" s="87">
        <v>0</v>
      </c>
      <c r="CH134" s="87">
        <v>0</v>
      </c>
      <c r="CI134" s="87">
        <v>0</v>
      </c>
      <c r="CJ134" s="87">
        <v>0</v>
      </c>
    </row>
    <row r="135" spans="1:88" x14ac:dyDescent="0.35">
      <c r="A135" s="88" t="s">
        <v>225</v>
      </c>
      <c r="B135" s="89">
        <v>134</v>
      </c>
      <c r="C135" s="102" t="s">
        <v>226</v>
      </c>
      <c r="D135" s="102" t="s">
        <v>226</v>
      </c>
      <c r="E135" s="103" t="s">
        <v>226</v>
      </c>
      <c r="F135" s="103" t="s">
        <v>226</v>
      </c>
      <c r="G135" s="103" t="s">
        <v>226</v>
      </c>
      <c r="H135" s="101"/>
      <c r="I135" s="93">
        <v>0</v>
      </c>
      <c r="J135" s="94">
        <v>0</v>
      </c>
      <c r="K135" s="94">
        <v>0</v>
      </c>
      <c r="L135" s="95">
        <v>0</v>
      </c>
      <c r="M135" s="96">
        <v>0</v>
      </c>
      <c r="N135" s="72"/>
      <c r="O135" s="73"/>
      <c r="P135" s="73"/>
      <c r="Q135" s="74"/>
      <c r="R135" s="72"/>
      <c r="S135" s="73"/>
      <c r="T135" s="73"/>
      <c r="U135" s="75"/>
      <c r="V135" s="93">
        <v>0</v>
      </c>
      <c r="W135" s="94">
        <v>0</v>
      </c>
      <c r="X135" s="94">
        <v>0</v>
      </c>
      <c r="Y135" s="95">
        <v>0</v>
      </c>
      <c r="Z135" s="96">
        <v>0</v>
      </c>
      <c r="AA135" s="72"/>
      <c r="AB135" s="73"/>
      <c r="AC135" s="73"/>
      <c r="AD135" s="74"/>
      <c r="AE135" s="72"/>
      <c r="AF135" s="73"/>
      <c r="AG135" s="73"/>
      <c r="AH135" s="75"/>
      <c r="AI135" s="93">
        <v>0</v>
      </c>
      <c r="AJ135" s="94">
        <v>0</v>
      </c>
      <c r="AK135" s="94">
        <v>0</v>
      </c>
      <c r="AL135" s="95">
        <v>0</v>
      </c>
      <c r="AM135" s="96">
        <v>0</v>
      </c>
      <c r="AN135" s="72"/>
      <c r="AO135" s="73"/>
      <c r="AP135" s="73"/>
      <c r="AQ135" s="74"/>
      <c r="AR135" s="72"/>
      <c r="AS135" s="73"/>
      <c r="AT135" s="73"/>
      <c r="AU135" s="75"/>
      <c r="AV135" s="93">
        <v>0</v>
      </c>
      <c r="AW135" s="94">
        <v>0</v>
      </c>
      <c r="AX135" s="94">
        <v>0</v>
      </c>
      <c r="AY135" s="95">
        <v>0</v>
      </c>
      <c r="AZ135" s="97">
        <v>1</v>
      </c>
      <c r="BA135" s="72"/>
      <c r="BB135" s="73"/>
      <c r="BC135" s="73"/>
      <c r="BD135" s="74"/>
      <c r="BE135" s="72"/>
      <c r="BF135" s="73"/>
      <c r="BG135" s="73"/>
      <c r="BH135" s="75"/>
      <c r="BI135" s="98">
        <v>0</v>
      </c>
      <c r="BJ135" s="99">
        <v>0</v>
      </c>
      <c r="BK135" s="100"/>
      <c r="BL135" s="100"/>
      <c r="BM135" s="62"/>
      <c r="BN135" s="80" t="e">
        <v>#VALUE!</v>
      </c>
      <c r="BO135" s="81" t="e">
        <v>#VALUE!</v>
      </c>
      <c r="BP135" s="82" t="e">
        <v>#VALUE!</v>
      </c>
      <c r="BQ135" s="82" t="e">
        <v>#VALUE!</v>
      </c>
      <c r="BR135" s="82" t="e">
        <v>#VALUE!</v>
      </c>
      <c r="BS135" s="80">
        <v>0</v>
      </c>
      <c r="BT135" s="83" t="s">
        <v>226</v>
      </c>
      <c r="BU135" s="61"/>
      <c r="BV135" s="84">
        <v>0</v>
      </c>
      <c r="BW135" s="84">
        <v>0</v>
      </c>
      <c r="BX135" s="84">
        <v>0</v>
      </c>
      <c r="BY135" s="84">
        <v>0</v>
      </c>
      <c r="BZ135" s="62"/>
      <c r="CA135" s="85"/>
      <c r="CB135" s="85"/>
      <c r="CC135" s="85"/>
      <c r="CD135" s="85"/>
      <c r="CE135" s="62"/>
      <c r="CF135" s="86">
        <v>0</v>
      </c>
      <c r="CG135" s="87">
        <v>0</v>
      </c>
      <c r="CH135" s="87">
        <v>0</v>
      </c>
      <c r="CI135" s="87">
        <v>0</v>
      </c>
      <c r="CJ135" s="87">
        <v>0</v>
      </c>
    </row>
    <row r="136" spans="1:88" x14ac:dyDescent="0.35">
      <c r="A136" s="88" t="s">
        <v>225</v>
      </c>
      <c r="B136" s="89">
        <v>135</v>
      </c>
      <c r="C136" s="102" t="s">
        <v>226</v>
      </c>
      <c r="D136" s="102" t="s">
        <v>226</v>
      </c>
      <c r="E136" s="103" t="s">
        <v>226</v>
      </c>
      <c r="F136" s="103" t="s">
        <v>226</v>
      </c>
      <c r="G136" s="103" t="s">
        <v>226</v>
      </c>
      <c r="H136" s="101"/>
      <c r="I136" s="93">
        <v>0</v>
      </c>
      <c r="J136" s="94">
        <v>0</v>
      </c>
      <c r="K136" s="94">
        <v>0</v>
      </c>
      <c r="L136" s="95">
        <v>0</v>
      </c>
      <c r="M136" s="96">
        <v>0</v>
      </c>
      <c r="N136" s="72"/>
      <c r="O136" s="73"/>
      <c r="P136" s="73"/>
      <c r="Q136" s="74"/>
      <c r="R136" s="72"/>
      <c r="S136" s="73"/>
      <c r="T136" s="73"/>
      <c r="U136" s="75"/>
      <c r="V136" s="93">
        <v>0</v>
      </c>
      <c r="W136" s="94">
        <v>0</v>
      </c>
      <c r="X136" s="94">
        <v>0</v>
      </c>
      <c r="Y136" s="95">
        <v>0</v>
      </c>
      <c r="Z136" s="96">
        <v>0</v>
      </c>
      <c r="AA136" s="72"/>
      <c r="AB136" s="73"/>
      <c r="AC136" s="73"/>
      <c r="AD136" s="74"/>
      <c r="AE136" s="72"/>
      <c r="AF136" s="73"/>
      <c r="AG136" s="73"/>
      <c r="AH136" s="75"/>
      <c r="AI136" s="93">
        <v>0</v>
      </c>
      <c r="AJ136" s="94">
        <v>0</v>
      </c>
      <c r="AK136" s="94">
        <v>0</v>
      </c>
      <c r="AL136" s="95">
        <v>0</v>
      </c>
      <c r="AM136" s="96">
        <v>0</v>
      </c>
      <c r="AN136" s="72"/>
      <c r="AO136" s="73"/>
      <c r="AP136" s="73"/>
      <c r="AQ136" s="74"/>
      <c r="AR136" s="72"/>
      <c r="AS136" s="73"/>
      <c r="AT136" s="73"/>
      <c r="AU136" s="75"/>
      <c r="AV136" s="93">
        <v>0</v>
      </c>
      <c r="AW136" s="94">
        <v>0</v>
      </c>
      <c r="AX136" s="94">
        <v>0</v>
      </c>
      <c r="AY136" s="95">
        <v>0</v>
      </c>
      <c r="AZ136" s="97">
        <v>1</v>
      </c>
      <c r="BA136" s="72"/>
      <c r="BB136" s="73"/>
      <c r="BC136" s="73"/>
      <c r="BD136" s="74"/>
      <c r="BE136" s="72"/>
      <c r="BF136" s="73"/>
      <c r="BG136" s="73"/>
      <c r="BH136" s="75"/>
      <c r="BI136" s="98">
        <v>0</v>
      </c>
      <c r="BJ136" s="99">
        <v>0</v>
      </c>
      <c r="BK136" s="100"/>
      <c r="BL136" s="100"/>
      <c r="BM136" s="62"/>
      <c r="BN136" s="80" t="e">
        <v>#VALUE!</v>
      </c>
      <c r="BO136" s="81" t="e">
        <v>#VALUE!</v>
      </c>
      <c r="BP136" s="82" t="e">
        <v>#VALUE!</v>
      </c>
      <c r="BQ136" s="82" t="e">
        <v>#VALUE!</v>
      </c>
      <c r="BR136" s="82" t="e">
        <v>#VALUE!</v>
      </c>
      <c r="BS136" s="80">
        <v>0</v>
      </c>
      <c r="BT136" s="83" t="s">
        <v>226</v>
      </c>
      <c r="BU136" s="61"/>
      <c r="BV136" s="84">
        <v>0</v>
      </c>
      <c r="BW136" s="84">
        <v>0</v>
      </c>
      <c r="BX136" s="84">
        <v>0</v>
      </c>
      <c r="BY136" s="84">
        <v>0</v>
      </c>
      <c r="BZ136" s="62"/>
      <c r="CA136" s="85"/>
      <c r="CB136" s="85"/>
      <c r="CC136" s="85"/>
      <c r="CD136" s="85"/>
      <c r="CE136" s="62"/>
      <c r="CF136" s="86">
        <v>0</v>
      </c>
      <c r="CG136" s="87">
        <v>0</v>
      </c>
      <c r="CH136" s="87">
        <v>0</v>
      </c>
      <c r="CI136" s="87">
        <v>0</v>
      </c>
      <c r="CJ136" s="87">
        <v>0</v>
      </c>
    </row>
    <row r="137" spans="1:88" x14ac:dyDescent="0.35">
      <c r="A137" s="88" t="s">
        <v>225</v>
      </c>
      <c r="B137" s="89">
        <v>136</v>
      </c>
      <c r="C137" s="102" t="s">
        <v>226</v>
      </c>
      <c r="D137" s="102" t="s">
        <v>226</v>
      </c>
      <c r="E137" s="103" t="s">
        <v>226</v>
      </c>
      <c r="F137" s="103" t="s">
        <v>226</v>
      </c>
      <c r="G137" s="103" t="s">
        <v>226</v>
      </c>
      <c r="H137" s="101"/>
      <c r="I137" s="93">
        <v>0</v>
      </c>
      <c r="J137" s="94">
        <v>0</v>
      </c>
      <c r="K137" s="94">
        <v>0</v>
      </c>
      <c r="L137" s="95">
        <v>0</v>
      </c>
      <c r="M137" s="96">
        <v>0</v>
      </c>
      <c r="N137" s="72"/>
      <c r="O137" s="73"/>
      <c r="P137" s="73"/>
      <c r="Q137" s="74"/>
      <c r="R137" s="72"/>
      <c r="S137" s="73"/>
      <c r="T137" s="73"/>
      <c r="U137" s="75"/>
      <c r="V137" s="93">
        <v>0</v>
      </c>
      <c r="W137" s="94">
        <v>0</v>
      </c>
      <c r="X137" s="94">
        <v>0</v>
      </c>
      <c r="Y137" s="95">
        <v>0</v>
      </c>
      <c r="Z137" s="96">
        <v>0</v>
      </c>
      <c r="AA137" s="72"/>
      <c r="AB137" s="73"/>
      <c r="AC137" s="73"/>
      <c r="AD137" s="74"/>
      <c r="AE137" s="72"/>
      <c r="AF137" s="73"/>
      <c r="AG137" s="73"/>
      <c r="AH137" s="75"/>
      <c r="AI137" s="93">
        <v>0</v>
      </c>
      <c r="AJ137" s="94">
        <v>0</v>
      </c>
      <c r="AK137" s="94">
        <v>0</v>
      </c>
      <c r="AL137" s="95">
        <v>0</v>
      </c>
      <c r="AM137" s="96">
        <v>0</v>
      </c>
      <c r="AN137" s="72"/>
      <c r="AO137" s="73"/>
      <c r="AP137" s="73"/>
      <c r="AQ137" s="74"/>
      <c r="AR137" s="72"/>
      <c r="AS137" s="73"/>
      <c r="AT137" s="73"/>
      <c r="AU137" s="75"/>
      <c r="AV137" s="93">
        <v>0</v>
      </c>
      <c r="AW137" s="94">
        <v>0</v>
      </c>
      <c r="AX137" s="94">
        <v>0</v>
      </c>
      <c r="AY137" s="95">
        <v>0</v>
      </c>
      <c r="AZ137" s="97">
        <v>1</v>
      </c>
      <c r="BA137" s="72"/>
      <c r="BB137" s="73"/>
      <c r="BC137" s="73"/>
      <c r="BD137" s="74"/>
      <c r="BE137" s="72"/>
      <c r="BF137" s="73"/>
      <c r="BG137" s="73"/>
      <c r="BH137" s="75"/>
      <c r="BI137" s="98">
        <v>0</v>
      </c>
      <c r="BJ137" s="99">
        <v>0</v>
      </c>
      <c r="BK137" s="100"/>
      <c r="BL137" s="100"/>
      <c r="BM137" s="62"/>
      <c r="BN137" s="80" t="e">
        <v>#VALUE!</v>
      </c>
      <c r="BO137" s="81" t="e">
        <v>#VALUE!</v>
      </c>
      <c r="BP137" s="82" t="e">
        <v>#VALUE!</v>
      </c>
      <c r="BQ137" s="82" t="e">
        <v>#VALUE!</v>
      </c>
      <c r="BR137" s="82" t="e">
        <v>#VALUE!</v>
      </c>
      <c r="BS137" s="80">
        <v>0</v>
      </c>
      <c r="BT137" s="83" t="s">
        <v>226</v>
      </c>
      <c r="BU137" s="61"/>
      <c r="BV137" s="84">
        <v>0</v>
      </c>
      <c r="BW137" s="84">
        <v>0</v>
      </c>
      <c r="BX137" s="84">
        <v>0</v>
      </c>
      <c r="BY137" s="84">
        <v>0</v>
      </c>
      <c r="BZ137" s="62"/>
      <c r="CA137" s="85"/>
      <c r="CB137" s="85"/>
      <c r="CC137" s="85"/>
      <c r="CD137" s="85"/>
      <c r="CE137" s="62"/>
      <c r="CF137" s="86">
        <v>0</v>
      </c>
      <c r="CG137" s="87">
        <v>0</v>
      </c>
      <c r="CH137" s="87">
        <v>0</v>
      </c>
      <c r="CI137" s="87">
        <v>0</v>
      </c>
      <c r="CJ137" s="87">
        <v>0</v>
      </c>
    </row>
    <row r="138" spans="1:88" x14ac:dyDescent="0.35">
      <c r="A138" s="88" t="s">
        <v>225</v>
      </c>
      <c r="B138" s="89">
        <v>137</v>
      </c>
      <c r="C138" s="102" t="s">
        <v>226</v>
      </c>
      <c r="D138" s="102" t="s">
        <v>226</v>
      </c>
      <c r="E138" s="103" t="s">
        <v>226</v>
      </c>
      <c r="F138" s="103" t="s">
        <v>226</v>
      </c>
      <c r="G138" s="103" t="s">
        <v>226</v>
      </c>
      <c r="H138" s="101"/>
      <c r="I138" s="93">
        <v>0</v>
      </c>
      <c r="J138" s="94">
        <v>0</v>
      </c>
      <c r="K138" s="94">
        <v>0</v>
      </c>
      <c r="L138" s="95">
        <v>0</v>
      </c>
      <c r="M138" s="96">
        <v>0</v>
      </c>
      <c r="N138" s="72"/>
      <c r="O138" s="73"/>
      <c r="P138" s="73"/>
      <c r="Q138" s="74"/>
      <c r="R138" s="72"/>
      <c r="S138" s="73"/>
      <c r="T138" s="73"/>
      <c r="U138" s="75"/>
      <c r="V138" s="93">
        <v>0</v>
      </c>
      <c r="W138" s="94">
        <v>0</v>
      </c>
      <c r="X138" s="94">
        <v>0</v>
      </c>
      <c r="Y138" s="95">
        <v>0</v>
      </c>
      <c r="Z138" s="96">
        <v>0</v>
      </c>
      <c r="AA138" s="72"/>
      <c r="AB138" s="73"/>
      <c r="AC138" s="73"/>
      <c r="AD138" s="74"/>
      <c r="AE138" s="72"/>
      <c r="AF138" s="73"/>
      <c r="AG138" s="73"/>
      <c r="AH138" s="75"/>
      <c r="AI138" s="93">
        <v>0</v>
      </c>
      <c r="AJ138" s="94">
        <v>0</v>
      </c>
      <c r="AK138" s="94">
        <v>0</v>
      </c>
      <c r="AL138" s="95">
        <v>0</v>
      </c>
      <c r="AM138" s="96">
        <v>0</v>
      </c>
      <c r="AN138" s="72"/>
      <c r="AO138" s="73"/>
      <c r="AP138" s="73"/>
      <c r="AQ138" s="74"/>
      <c r="AR138" s="72"/>
      <c r="AS138" s="73"/>
      <c r="AT138" s="73"/>
      <c r="AU138" s="75"/>
      <c r="AV138" s="93">
        <v>0</v>
      </c>
      <c r="AW138" s="94">
        <v>0</v>
      </c>
      <c r="AX138" s="94">
        <v>0</v>
      </c>
      <c r="AY138" s="95">
        <v>0</v>
      </c>
      <c r="AZ138" s="97">
        <v>1</v>
      </c>
      <c r="BA138" s="72"/>
      <c r="BB138" s="73"/>
      <c r="BC138" s="73"/>
      <c r="BD138" s="74"/>
      <c r="BE138" s="72"/>
      <c r="BF138" s="73"/>
      <c r="BG138" s="73"/>
      <c r="BH138" s="75"/>
      <c r="BI138" s="98">
        <v>0</v>
      </c>
      <c r="BJ138" s="99">
        <v>0</v>
      </c>
      <c r="BK138" s="100"/>
      <c r="BL138" s="100"/>
      <c r="BM138" s="62"/>
      <c r="BN138" s="80" t="e">
        <v>#VALUE!</v>
      </c>
      <c r="BO138" s="81" t="e">
        <v>#VALUE!</v>
      </c>
      <c r="BP138" s="82" t="e">
        <v>#VALUE!</v>
      </c>
      <c r="BQ138" s="82" t="e">
        <v>#VALUE!</v>
      </c>
      <c r="BR138" s="82" t="e">
        <v>#VALUE!</v>
      </c>
      <c r="BS138" s="80">
        <v>0</v>
      </c>
      <c r="BT138" s="83" t="s">
        <v>226</v>
      </c>
      <c r="BU138" s="61"/>
      <c r="BV138" s="84">
        <v>0</v>
      </c>
      <c r="BW138" s="84">
        <v>0</v>
      </c>
      <c r="BX138" s="84">
        <v>0</v>
      </c>
      <c r="BY138" s="84">
        <v>0</v>
      </c>
      <c r="BZ138" s="62"/>
      <c r="CA138" s="85"/>
      <c r="CB138" s="85"/>
      <c r="CC138" s="85"/>
      <c r="CD138" s="85"/>
      <c r="CE138" s="62"/>
      <c r="CF138" s="86">
        <v>0</v>
      </c>
      <c r="CG138" s="87">
        <v>0</v>
      </c>
      <c r="CH138" s="87">
        <v>0</v>
      </c>
      <c r="CI138" s="87">
        <v>0</v>
      </c>
      <c r="CJ138" s="87">
        <v>0</v>
      </c>
    </row>
    <row r="139" spans="1:88" x14ac:dyDescent="0.35">
      <c r="A139" s="88" t="s">
        <v>225</v>
      </c>
      <c r="B139" s="89">
        <v>138</v>
      </c>
      <c r="C139" s="102" t="s">
        <v>226</v>
      </c>
      <c r="D139" s="102" t="s">
        <v>226</v>
      </c>
      <c r="E139" s="103" t="s">
        <v>226</v>
      </c>
      <c r="F139" s="103" t="s">
        <v>226</v>
      </c>
      <c r="G139" s="103" t="s">
        <v>226</v>
      </c>
      <c r="H139" s="101"/>
      <c r="I139" s="93">
        <v>0</v>
      </c>
      <c r="J139" s="94">
        <v>0</v>
      </c>
      <c r="K139" s="94">
        <v>0</v>
      </c>
      <c r="L139" s="95">
        <v>0</v>
      </c>
      <c r="M139" s="96">
        <v>0</v>
      </c>
      <c r="N139" s="72"/>
      <c r="O139" s="73"/>
      <c r="P139" s="73"/>
      <c r="Q139" s="74"/>
      <c r="R139" s="72"/>
      <c r="S139" s="73"/>
      <c r="T139" s="73"/>
      <c r="U139" s="75"/>
      <c r="V139" s="93">
        <v>0</v>
      </c>
      <c r="W139" s="94">
        <v>0</v>
      </c>
      <c r="X139" s="94">
        <v>0</v>
      </c>
      <c r="Y139" s="95">
        <v>0</v>
      </c>
      <c r="Z139" s="96">
        <v>0</v>
      </c>
      <c r="AA139" s="72"/>
      <c r="AB139" s="73"/>
      <c r="AC139" s="73"/>
      <c r="AD139" s="74"/>
      <c r="AE139" s="72"/>
      <c r="AF139" s="73"/>
      <c r="AG139" s="73"/>
      <c r="AH139" s="75"/>
      <c r="AI139" s="93">
        <v>0</v>
      </c>
      <c r="AJ139" s="94">
        <v>0</v>
      </c>
      <c r="AK139" s="94">
        <v>0</v>
      </c>
      <c r="AL139" s="95">
        <v>0</v>
      </c>
      <c r="AM139" s="96">
        <v>0</v>
      </c>
      <c r="AN139" s="72"/>
      <c r="AO139" s="73"/>
      <c r="AP139" s="73"/>
      <c r="AQ139" s="74"/>
      <c r="AR139" s="72"/>
      <c r="AS139" s="73"/>
      <c r="AT139" s="73"/>
      <c r="AU139" s="75"/>
      <c r="AV139" s="93">
        <v>0</v>
      </c>
      <c r="AW139" s="94">
        <v>0</v>
      </c>
      <c r="AX139" s="94">
        <v>0</v>
      </c>
      <c r="AY139" s="95">
        <v>0</v>
      </c>
      <c r="AZ139" s="97">
        <v>1</v>
      </c>
      <c r="BA139" s="72"/>
      <c r="BB139" s="73"/>
      <c r="BC139" s="73"/>
      <c r="BD139" s="74"/>
      <c r="BE139" s="72"/>
      <c r="BF139" s="73"/>
      <c r="BG139" s="73"/>
      <c r="BH139" s="75"/>
      <c r="BI139" s="98">
        <v>0</v>
      </c>
      <c r="BJ139" s="99">
        <v>0</v>
      </c>
      <c r="BK139" s="100"/>
      <c r="BL139" s="100"/>
      <c r="BM139" s="62"/>
      <c r="BN139" s="80" t="e">
        <v>#VALUE!</v>
      </c>
      <c r="BO139" s="81" t="e">
        <v>#VALUE!</v>
      </c>
      <c r="BP139" s="82" t="e">
        <v>#VALUE!</v>
      </c>
      <c r="BQ139" s="82" t="e">
        <v>#VALUE!</v>
      </c>
      <c r="BR139" s="82" t="e">
        <v>#VALUE!</v>
      </c>
      <c r="BS139" s="80">
        <v>0</v>
      </c>
      <c r="BT139" s="83" t="s">
        <v>226</v>
      </c>
      <c r="BU139" s="61"/>
      <c r="BV139" s="84">
        <v>0</v>
      </c>
      <c r="BW139" s="84">
        <v>0</v>
      </c>
      <c r="BX139" s="84">
        <v>0</v>
      </c>
      <c r="BY139" s="84">
        <v>0</v>
      </c>
      <c r="BZ139" s="62"/>
      <c r="CA139" s="85"/>
      <c r="CB139" s="85"/>
      <c r="CC139" s="85"/>
      <c r="CD139" s="85"/>
      <c r="CE139" s="62"/>
      <c r="CF139" s="86">
        <v>0</v>
      </c>
      <c r="CG139" s="87">
        <v>0</v>
      </c>
      <c r="CH139" s="87">
        <v>0</v>
      </c>
      <c r="CI139" s="87">
        <v>0</v>
      </c>
      <c r="CJ139" s="87">
        <v>0</v>
      </c>
    </row>
    <row r="140" spans="1:88" x14ac:dyDescent="0.35">
      <c r="A140" s="88" t="s">
        <v>225</v>
      </c>
      <c r="B140" s="89">
        <v>139</v>
      </c>
      <c r="C140" s="102" t="s">
        <v>226</v>
      </c>
      <c r="D140" s="102" t="s">
        <v>226</v>
      </c>
      <c r="E140" s="103" t="s">
        <v>226</v>
      </c>
      <c r="F140" s="103" t="s">
        <v>226</v>
      </c>
      <c r="G140" s="103" t="s">
        <v>226</v>
      </c>
      <c r="H140" s="101"/>
      <c r="I140" s="93">
        <v>0</v>
      </c>
      <c r="J140" s="94">
        <v>0</v>
      </c>
      <c r="K140" s="94">
        <v>0</v>
      </c>
      <c r="L140" s="95">
        <v>0</v>
      </c>
      <c r="M140" s="96">
        <v>0</v>
      </c>
      <c r="N140" s="72"/>
      <c r="O140" s="73"/>
      <c r="P140" s="73"/>
      <c r="Q140" s="74"/>
      <c r="R140" s="72"/>
      <c r="S140" s="73"/>
      <c r="T140" s="73"/>
      <c r="U140" s="75"/>
      <c r="V140" s="93">
        <v>0</v>
      </c>
      <c r="W140" s="94">
        <v>0</v>
      </c>
      <c r="X140" s="94">
        <v>0</v>
      </c>
      <c r="Y140" s="95">
        <v>0</v>
      </c>
      <c r="Z140" s="96">
        <v>0</v>
      </c>
      <c r="AA140" s="72"/>
      <c r="AB140" s="73"/>
      <c r="AC140" s="73"/>
      <c r="AD140" s="74"/>
      <c r="AE140" s="72"/>
      <c r="AF140" s="73"/>
      <c r="AG140" s="73"/>
      <c r="AH140" s="75"/>
      <c r="AI140" s="93">
        <v>0</v>
      </c>
      <c r="AJ140" s="94">
        <v>0</v>
      </c>
      <c r="AK140" s="94">
        <v>0</v>
      </c>
      <c r="AL140" s="95">
        <v>0</v>
      </c>
      <c r="AM140" s="96">
        <v>0</v>
      </c>
      <c r="AN140" s="72"/>
      <c r="AO140" s="73"/>
      <c r="AP140" s="73"/>
      <c r="AQ140" s="74"/>
      <c r="AR140" s="72"/>
      <c r="AS140" s="73"/>
      <c r="AT140" s="73"/>
      <c r="AU140" s="75"/>
      <c r="AV140" s="93">
        <v>0</v>
      </c>
      <c r="AW140" s="94">
        <v>0</v>
      </c>
      <c r="AX140" s="94">
        <v>0</v>
      </c>
      <c r="AY140" s="95">
        <v>0</v>
      </c>
      <c r="AZ140" s="97">
        <v>1</v>
      </c>
      <c r="BA140" s="72"/>
      <c r="BB140" s="73"/>
      <c r="BC140" s="73"/>
      <c r="BD140" s="74"/>
      <c r="BE140" s="72"/>
      <c r="BF140" s="73"/>
      <c r="BG140" s="73"/>
      <c r="BH140" s="75"/>
      <c r="BI140" s="98">
        <v>0</v>
      </c>
      <c r="BJ140" s="99">
        <v>0</v>
      </c>
      <c r="BK140" s="100"/>
      <c r="BL140" s="100"/>
      <c r="BM140" s="62"/>
      <c r="BN140" s="80" t="e">
        <v>#VALUE!</v>
      </c>
      <c r="BO140" s="81" t="e">
        <v>#VALUE!</v>
      </c>
      <c r="BP140" s="82" t="e">
        <v>#VALUE!</v>
      </c>
      <c r="BQ140" s="82" t="e">
        <v>#VALUE!</v>
      </c>
      <c r="BR140" s="82" t="e">
        <v>#VALUE!</v>
      </c>
      <c r="BS140" s="80">
        <v>0</v>
      </c>
      <c r="BT140" s="83" t="s">
        <v>226</v>
      </c>
      <c r="BU140" s="61"/>
      <c r="BV140" s="84">
        <v>0</v>
      </c>
      <c r="BW140" s="84">
        <v>0</v>
      </c>
      <c r="BX140" s="84">
        <v>0</v>
      </c>
      <c r="BY140" s="84">
        <v>0</v>
      </c>
      <c r="BZ140" s="62"/>
      <c r="CA140" s="85"/>
      <c r="CB140" s="85"/>
      <c r="CC140" s="85"/>
      <c r="CD140" s="85"/>
      <c r="CE140" s="62"/>
      <c r="CF140" s="86">
        <v>0</v>
      </c>
      <c r="CG140" s="87">
        <v>0</v>
      </c>
      <c r="CH140" s="87">
        <v>0</v>
      </c>
      <c r="CI140" s="87">
        <v>0</v>
      </c>
      <c r="CJ140" s="87">
        <v>0</v>
      </c>
    </row>
    <row r="141" spans="1:88" x14ac:dyDescent="0.35">
      <c r="A141" s="88" t="s">
        <v>225</v>
      </c>
      <c r="B141" s="89">
        <v>140</v>
      </c>
      <c r="C141" s="102" t="s">
        <v>226</v>
      </c>
      <c r="D141" s="102" t="s">
        <v>226</v>
      </c>
      <c r="E141" s="103" t="s">
        <v>226</v>
      </c>
      <c r="F141" s="103" t="s">
        <v>226</v>
      </c>
      <c r="G141" s="103" t="s">
        <v>226</v>
      </c>
      <c r="H141" s="101"/>
      <c r="I141" s="93">
        <v>0</v>
      </c>
      <c r="J141" s="94">
        <v>0</v>
      </c>
      <c r="K141" s="94">
        <v>0</v>
      </c>
      <c r="L141" s="95">
        <v>0</v>
      </c>
      <c r="M141" s="96">
        <v>0</v>
      </c>
      <c r="N141" s="72"/>
      <c r="O141" s="73"/>
      <c r="P141" s="73"/>
      <c r="Q141" s="74"/>
      <c r="R141" s="72"/>
      <c r="S141" s="73"/>
      <c r="T141" s="73"/>
      <c r="U141" s="75"/>
      <c r="V141" s="93">
        <v>0</v>
      </c>
      <c r="W141" s="94">
        <v>0</v>
      </c>
      <c r="X141" s="94">
        <v>0</v>
      </c>
      <c r="Y141" s="95">
        <v>0</v>
      </c>
      <c r="Z141" s="96">
        <v>0</v>
      </c>
      <c r="AA141" s="72"/>
      <c r="AB141" s="73"/>
      <c r="AC141" s="73"/>
      <c r="AD141" s="74"/>
      <c r="AE141" s="72"/>
      <c r="AF141" s="73"/>
      <c r="AG141" s="73"/>
      <c r="AH141" s="75"/>
      <c r="AI141" s="93">
        <v>0</v>
      </c>
      <c r="AJ141" s="94">
        <v>0</v>
      </c>
      <c r="AK141" s="94">
        <v>0</v>
      </c>
      <c r="AL141" s="95">
        <v>0</v>
      </c>
      <c r="AM141" s="96">
        <v>0</v>
      </c>
      <c r="AN141" s="72"/>
      <c r="AO141" s="73"/>
      <c r="AP141" s="73"/>
      <c r="AQ141" s="74"/>
      <c r="AR141" s="72"/>
      <c r="AS141" s="73"/>
      <c r="AT141" s="73"/>
      <c r="AU141" s="75"/>
      <c r="AV141" s="93">
        <v>0</v>
      </c>
      <c r="AW141" s="94">
        <v>0</v>
      </c>
      <c r="AX141" s="94">
        <v>0</v>
      </c>
      <c r="AY141" s="95">
        <v>0</v>
      </c>
      <c r="AZ141" s="97">
        <v>1</v>
      </c>
      <c r="BA141" s="72"/>
      <c r="BB141" s="73"/>
      <c r="BC141" s="73"/>
      <c r="BD141" s="74"/>
      <c r="BE141" s="72"/>
      <c r="BF141" s="73"/>
      <c r="BG141" s="73"/>
      <c r="BH141" s="75"/>
      <c r="BI141" s="98">
        <v>0</v>
      </c>
      <c r="BJ141" s="99">
        <v>0</v>
      </c>
      <c r="BK141" s="100"/>
      <c r="BL141" s="100"/>
      <c r="BM141" s="62"/>
      <c r="BN141" s="80" t="e">
        <v>#VALUE!</v>
      </c>
      <c r="BO141" s="81" t="e">
        <v>#VALUE!</v>
      </c>
      <c r="BP141" s="82" t="e">
        <v>#VALUE!</v>
      </c>
      <c r="BQ141" s="82" t="e">
        <v>#VALUE!</v>
      </c>
      <c r="BR141" s="82" t="e">
        <v>#VALUE!</v>
      </c>
      <c r="BS141" s="80">
        <v>0</v>
      </c>
      <c r="BT141" s="83" t="s">
        <v>226</v>
      </c>
      <c r="BU141" s="61"/>
      <c r="BV141" s="84">
        <v>0</v>
      </c>
      <c r="BW141" s="84">
        <v>0</v>
      </c>
      <c r="BX141" s="84">
        <v>0</v>
      </c>
      <c r="BY141" s="84">
        <v>0</v>
      </c>
      <c r="BZ141" s="62"/>
      <c r="CA141" s="85"/>
      <c r="CB141" s="85"/>
      <c r="CC141" s="85"/>
      <c r="CD141" s="85"/>
      <c r="CE141" s="62"/>
      <c r="CF141" s="86">
        <v>0</v>
      </c>
      <c r="CG141" s="87">
        <v>0</v>
      </c>
      <c r="CH141" s="87">
        <v>0</v>
      </c>
      <c r="CI141" s="87">
        <v>0</v>
      </c>
      <c r="CJ141" s="87">
        <v>0</v>
      </c>
    </row>
    <row r="142" spans="1:88" x14ac:dyDescent="0.35">
      <c r="A142" s="88" t="s">
        <v>225</v>
      </c>
      <c r="B142" s="89">
        <v>141</v>
      </c>
      <c r="C142" s="102" t="s">
        <v>226</v>
      </c>
      <c r="D142" s="102" t="s">
        <v>226</v>
      </c>
      <c r="E142" s="103" t="s">
        <v>226</v>
      </c>
      <c r="F142" s="103" t="s">
        <v>226</v>
      </c>
      <c r="G142" s="103" t="s">
        <v>226</v>
      </c>
      <c r="H142" s="101"/>
      <c r="I142" s="93">
        <v>0</v>
      </c>
      <c r="J142" s="94">
        <v>0</v>
      </c>
      <c r="K142" s="94">
        <v>0</v>
      </c>
      <c r="L142" s="95">
        <v>0</v>
      </c>
      <c r="M142" s="96">
        <v>0</v>
      </c>
      <c r="N142" s="72"/>
      <c r="O142" s="73"/>
      <c r="P142" s="73"/>
      <c r="Q142" s="74"/>
      <c r="R142" s="72"/>
      <c r="S142" s="73"/>
      <c r="T142" s="73"/>
      <c r="U142" s="75"/>
      <c r="V142" s="93">
        <v>0</v>
      </c>
      <c r="W142" s="94">
        <v>0</v>
      </c>
      <c r="X142" s="94">
        <v>0</v>
      </c>
      <c r="Y142" s="95">
        <v>0</v>
      </c>
      <c r="Z142" s="96">
        <v>0</v>
      </c>
      <c r="AA142" s="72"/>
      <c r="AB142" s="73"/>
      <c r="AC142" s="73"/>
      <c r="AD142" s="74"/>
      <c r="AE142" s="72"/>
      <c r="AF142" s="73"/>
      <c r="AG142" s="73"/>
      <c r="AH142" s="75"/>
      <c r="AI142" s="93">
        <v>0</v>
      </c>
      <c r="AJ142" s="94">
        <v>0</v>
      </c>
      <c r="AK142" s="94">
        <v>0</v>
      </c>
      <c r="AL142" s="95">
        <v>0</v>
      </c>
      <c r="AM142" s="96">
        <v>0</v>
      </c>
      <c r="AN142" s="72"/>
      <c r="AO142" s="73"/>
      <c r="AP142" s="73"/>
      <c r="AQ142" s="74"/>
      <c r="AR142" s="72"/>
      <c r="AS142" s="73"/>
      <c r="AT142" s="73"/>
      <c r="AU142" s="75"/>
      <c r="AV142" s="93">
        <v>0</v>
      </c>
      <c r="AW142" s="94">
        <v>0</v>
      </c>
      <c r="AX142" s="94">
        <v>0</v>
      </c>
      <c r="AY142" s="95">
        <v>0</v>
      </c>
      <c r="AZ142" s="97">
        <v>1</v>
      </c>
      <c r="BA142" s="72"/>
      <c r="BB142" s="73"/>
      <c r="BC142" s="73"/>
      <c r="BD142" s="74"/>
      <c r="BE142" s="72"/>
      <c r="BF142" s="73"/>
      <c r="BG142" s="73"/>
      <c r="BH142" s="75"/>
      <c r="BI142" s="98">
        <v>0</v>
      </c>
      <c r="BJ142" s="99">
        <v>0</v>
      </c>
      <c r="BK142" s="100"/>
      <c r="BL142" s="100"/>
      <c r="BM142" s="62"/>
      <c r="BN142" s="80" t="e">
        <v>#VALUE!</v>
      </c>
      <c r="BO142" s="81" t="e">
        <v>#VALUE!</v>
      </c>
      <c r="BP142" s="82" t="e">
        <v>#VALUE!</v>
      </c>
      <c r="BQ142" s="82" t="e">
        <v>#VALUE!</v>
      </c>
      <c r="BR142" s="82" t="e">
        <v>#VALUE!</v>
      </c>
      <c r="BS142" s="80">
        <v>0</v>
      </c>
      <c r="BT142" s="83" t="s">
        <v>226</v>
      </c>
      <c r="BU142" s="61"/>
      <c r="BV142" s="84">
        <v>0</v>
      </c>
      <c r="BW142" s="84">
        <v>0</v>
      </c>
      <c r="BX142" s="84">
        <v>0</v>
      </c>
      <c r="BY142" s="84">
        <v>0</v>
      </c>
      <c r="BZ142" s="62"/>
      <c r="CA142" s="85"/>
      <c r="CB142" s="85"/>
      <c r="CC142" s="85"/>
      <c r="CD142" s="85"/>
      <c r="CE142" s="62"/>
      <c r="CF142" s="86">
        <v>0</v>
      </c>
      <c r="CG142" s="87">
        <v>0</v>
      </c>
      <c r="CH142" s="87">
        <v>0</v>
      </c>
      <c r="CI142" s="87">
        <v>0</v>
      </c>
      <c r="CJ142" s="87">
        <v>0</v>
      </c>
    </row>
    <row r="143" spans="1:88" x14ac:dyDescent="0.35">
      <c r="A143" s="88" t="s">
        <v>225</v>
      </c>
      <c r="B143" s="89">
        <v>142</v>
      </c>
      <c r="C143" s="102" t="s">
        <v>226</v>
      </c>
      <c r="D143" s="102" t="s">
        <v>226</v>
      </c>
      <c r="E143" s="103" t="s">
        <v>226</v>
      </c>
      <c r="F143" s="103" t="s">
        <v>226</v>
      </c>
      <c r="G143" s="103" t="s">
        <v>226</v>
      </c>
      <c r="H143" s="101"/>
      <c r="I143" s="93">
        <v>0</v>
      </c>
      <c r="J143" s="94">
        <v>0</v>
      </c>
      <c r="K143" s="94">
        <v>0</v>
      </c>
      <c r="L143" s="95">
        <v>0</v>
      </c>
      <c r="M143" s="96">
        <v>0</v>
      </c>
      <c r="N143" s="72"/>
      <c r="O143" s="73"/>
      <c r="P143" s="73"/>
      <c r="Q143" s="74"/>
      <c r="R143" s="72"/>
      <c r="S143" s="73"/>
      <c r="T143" s="73"/>
      <c r="U143" s="75"/>
      <c r="V143" s="93">
        <v>0</v>
      </c>
      <c r="W143" s="94">
        <v>0</v>
      </c>
      <c r="X143" s="94">
        <v>0</v>
      </c>
      <c r="Y143" s="95">
        <v>0</v>
      </c>
      <c r="Z143" s="96">
        <v>0</v>
      </c>
      <c r="AA143" s="72"/>
      <c r="AB143" s="73"/>
      <c r="AC143" s="73"/>
      <c r="AD143" s="74"/>
      <c r="AE143" s="72"/>
      <c r="AF143" s="73"/>
      <c r="AG143" s="73"/>
      <c r="AH143" s="75"/>
      <c r="AI143" s="93">
        <v>0</v>
      </c>
      <c r="AJ143" s="94">
        <v>0</v>
      </c>
      <c r="AK143" s="94">
        <v>0</v>
      </c>
      <c r="AL143" s="95">
        <v>0</v>
      </c>
      <c r="AM143" s="96">
        <v>0</v>
      </c>
      <c r="AN143" s="72"/>
      <c r="AO143" s="73"/>
      <c r="AP143" s="73"/>
      <c r="AQ143" s="74"/>
      <c r="AR143" s="72"/>
      <c r="AS143" s="73"/>
      <c r="AT143" s="73"/>
      <c r="AU143" s="75"/>
      <c r="AV143" s="93">
        <v>0</v>
      </c>
      <c r="AW143" s="94">
        <v>0</v>
      </c>
      <c r="AX143" s="94">
        <v>0</v>
      </c>
      <c r="AY143" s="95">
        <v>0</v>
      </c>
      <c r="AZ143" s="97">
        <v>1</v>
      </c>
      <c r="BA143" s="72"/>
      <c r="BB143" s="73"/>
      <c r="BC143" s="73"/>
      <c r="BD143" s="74"/>
      <c r="BE143" s="72"/>
      <c r="BF143" s="73"/>
      <c r="BG143" s="73"/>
      <c r="BH143" s="75"/>
      <c r="BI143" s="98">
        <v>0</v>
      </c>
      <c r="BJ143" s="99">
        <v>0</v>
      </c>
      <c r="BK143" s="100"/>
      <c r="BL143" s="100"/>
      <c r="BM143" s="62"/>
      <c r="BN143" s="80" t="e">
        <v>#VALUE!</v>
      </c>
      <c r="BO143" s="81" t="e">
        <v>#VALUE!</v>
      </c>
      <c r="BP143" s="82" t="e">
        <v>#VALUE!</v>
      </c>
      <c r="BQ143" s="82" t="e">
        <v>#VALUE!</v>
      </c>
      <c r="BR143" s="82" t="e">
        <v>#VALUE!</v>
      </c>
      <c r="BS143" s="80">
        <v>0</v>
      </c>
      <c r="BT143" s="83" t="s">
        <v>226</v>
      </c>
      <c r="BU143" s="61"/>
      <c r="BV143" s="84">
        <v>0</v>
      </c>
      <c r="BW143" s="84">
        <v>0</v>
      </c>
      <c r="BX143" s="84">
        <v>0</v>
      </c>
      <c r="BY143" s="84">
        <v>0</v>
      </c>
      <c r="BZ143" s="62"/>
      <c r="CA143" s="85"/>
      <c r="CB143" s="85"/>
      <c r="CC143" s="85"/>
      <c r="CD143" s="85"/>
      <c r="CE143" s="62"/>
      <c r="CF143" s="86">
        <v>0</v>
      </c>
      <c r="CG143" s="87">
        <v>0</v>
      </c>
      <c r="CH143" s="87">
        <v>0</v>
      </c>
      <c r="CI143" s="87">
        <v>0</v>
      </c>
      <c r="CJ143" s="87">
        <v>0</v>
      </c>
    </row>
    <row r="144" spans="1:88" x14ac:dyDescent="0.35">
      <c r="A144" s="88" t="s">
        <v>225</v>
      </c>
      <c r="B144" s="89">
        <v>143</v>
      </c>
      <c r="C144" s="102" t="s">
        <v>226</v>
      </c>
      <c r="D144" s="102" t="s">
        <v>226</v>
      </c>
      <c r="E144" s="103" t="s">
        <v>226</v>
      </c>
      <c r="F144" s="103" t="s">
        <v>226</v>
      </c>
      <c r="G144" s="103" t="s">
        <v>226</v>
      </c>
      <c r="H144" s="101"/>
      <c r="I144" s="93">
        <v>0</v>
      </c>
      <c r="J144" s="94">
        <v>0</v>
      </c>
      <c r="K144" s="94">
        <v>0</v>
      </c>
      <c r="L144" s="95">
        <v>0</v>
      </c>
      <c r="M144" s="96">
        <v>0</v>
      </c>
      <c r="N144" s="72"/>
      <c r="O144" s="73"/>
      <c r="P144" s="73"/>
      <c r="Q144" s="74"/>
      <c r="R144" s="72"/>
      <c r="S144" s="73"/>
      <c r="T144" s="73"/>
      <c r="U144" s="75"/>
      <c r="V144" s="93">
        <v>0</v>
      </c>
      <c r="W144" s="94">
        <v>0</v>
      </c>
      <c r="X144" s="94">
        <v>0</v>
      </c>
      <c r="Y144" s="95">
        <v>0</v>
      </c>
      <c r="Z144" s="96">
        <v>0</v>
      </c>
      <c r="AA144" s="72"/>
      <c r="AB144" s="73"/>
      <c r="AC144" s="73"/>
      <c r="AD144" s="74"/>
      <c r="AE144" s="72"/>
      <c r="AF144" s="73"/>
      <c r="AG144" s="73"/>
      <c r="AH144" s="75"/>
      <c r="AI144" s="93">
        <v>0</v>
      </c>
      <c r="AJ144" s="94">
        <v>0</v>
      </c>
      <c r="AK144" s="94">
        <v>0</v>
      </c>
      <c r="AL144" s="95">
        <v>0</v>
      </c>
      <c r="AM144" s="96">
        <v>0</v>
      </c>
      <c r="AN144" s="72"/>
      <c r="AO144" s="73"/>
      <c r="AP144" s="73"/>
      <c r="AQ144" s="74"/>
      <c r="AR144" s="72"/>
      <c r="AS144" s="73"/>
      <c r="AT144" s="73"/>
      <c r="AU144" s="75"/>
      <c r="AV144" s="93">
        <v>0</v>
      </c>
      <c r="AW144" s="94">
        <v>0</v>
      </c>
      <c r="AX144" s="94">
        <v>0</v>
      </c>
      <c r="AY144" s="95">
        <v>0</v>
      </c>
      <c r="AZ144" s="97">
        <v>1</v>
      </c>
      <c r="BA144" s="72"/>
      <c r="BB144" s="73"/>
      <c r="BC144" s="73"/>
      <c r="BD144" s="74"/>
      <c r="BE144" s="72"/>
      <c r="BF144" s="73"/>
      <c r="BG144" s="73"/>
      <c r="BH144" s="75"/>
      <c r="BI144" s="98">
        <v>0</v>
      </c>
      <c r="BJ144" s="99">
        <v>0</v>
      </c>
      <c r="BK144" s="100"/>
      <c r="BL144" s="100"/>
      <c r="BM144" s="62"/>
      <c r="BN144" s="80" t="e">
        <v>#VALUE!</v>
      </c>
      <c r="BO144" s="81" t="e">
        <v>#VALUE!</v>
      </c>
      <c r="BP144" s="82" t="e">
        <v>#VALUE!</v>
      </c>
      <c r="BQ144" s="82" t="e">
        <v>#VALUE!</v>
      </c>
      <c r="BR144" s="82" t="e">
        <v>#VALUE!</v>
      </c>
      <c r="BS144" s="80">
        <v>0</v>
      </c>
      <c r="BT144" s="83" t="s">
        <v>226</v>
      </c>
      <c r="BU144" s="61"/>
      <c r="BV144" s="84">
        <v>0</v>
      </c>
      <c r="BW144" s="84">
        <v>0</v>
      </c>
      <c r="BX144" s="84">
        <v>0</v>
      </c>
      <c r="BY144" s="84">
        <v>0</v>
      </c>
      <c r="BZ144" s="62"/>
      <c r="CA144" s="85"/>
      <c r="CB144" s="85"/>
      <c r="CC144" s="85"/>
      <c r="CD144" s="85"/>
      <c r="CE144" s="62"/>
      <c r="CF144" s="86">
        <v>0</v>
      </c>
      <c r="CG144" s="87">
        <v>0</v>
      </c>
      <c r="CH144" s="87">
        <v>0</v>
      </c>
      <c r="CI144" s="87">
        <v>0</v>
      </c>
      <c r="CJ144" s="87">
        <v>0</v>
      </c>
    </row>
    <row r="145" spans="1:88" x14ac:dyDescent="0.35">
      <c r="A145" s="88" t="s">
        <v>225</v>
      </c>
      <c r="B145" s="89">
        <v>144</v>
      </c>
      <c r="C145" s="102" t="s">
        <v>226</v>
      </c>
      <c r="D145" s="102" t="s">
        <v>226</v>
      </c>
      <c r="E145" s="103" t="s">
        <v>226</v>
      </c>
      <c r="F145" s="103" t="s">
        <v>226</v>
      </c>
      <c r="G145" s="103" t="s">
        <v>226</v>
      </c>
      <c r="H145" s="101"/>
      <c r="I145" s="93">
        <v>0</v>
      </c>
      <c r="J145" s="94">
        <v>0</v>
      </c>
      <c r="K145" s="94">
        <v>0</v>
      </c>
      <c r="L145" s="95">
        <v>0</v>
      </c>
      <c r="M145" s="96">
        <v>0</v>
      </c>
      <c r="N145" s="72"/>
      <c r="O145" s="73"/>
      <c r="P145" s="73"/>
      <c r="Q145" s="74"/>
      <c r="R145" s="72"/>
      <c r="S145" s="73"/>
      <c r="T145" s="73"/>
      <c r="U145" s="75"/>
      <c r="V145" s="93">
        <v>0</v>
      </c>
      <c r="W145" s="94">
        <v>0</v>
      </c>
      <c r="X145" s="94">
        <v>0</v>
      </c>
      <c r="Y145" s="95">
        <v>0</v>
      </c>
      <c r="Z145" s="96">
        <v>0</v>
      </c>
      <c r="AA145" s="72"/>
      <c r="AB145" s="73"/>
      <c r="AC145" s="73"/>
      <c r="AD145" s="74"/>
      <c r="AE145" s="72"/>
      <c r="AF145" s="73"/>
      <c r="AG145" s="73"/>
      <c r="AH145" s="75"/>
      <c r="AI145" s="93">
        <v>0</v>
      </c>
      <c r="AJ145" s="94">
        <v>0</v>
      </c>
      <c r="AK145" s="94">
        <v>0</v>
      </c>
      <c r="AL145" s="95">
        <v>0</v>
      </c>
      <c r="AM145" s="96">
        <v>0</v>
      </c>
      <c r="AN145" s="72"/>
      <c r="AO145" s="73"/>
      <c r="AP145" s="73"/>
      <c r="AQ145" s="74"/>
      <c r="AR145" s="72"/>
      <c r="AS145" s="73"/>
      <c r="AT145" s="73"/>
      <c r="AU145" s="75"/>
      <c r="AV145" s="93">
        <v>0</v>
      </c>
      <c r="AW145" s="94">
        <v>0</v>
      </c>
      <c r="AX145" s="94">
        <v>0</v>
      </c>
      <c r="AY145" s="95">
        <v>0</v>
      </c>
      <c r="AZ145" s="97">
        <v>1</v>
      </c>
      <c r="BA145" s="72"/>
      <c r="BB145" s="73"/>
      <c r="BC145" s="73"/>
      <c r="BD145" s="74"/>
      <c r="BE145" s="72"/>
      <c r="BF145" s="73"/>
      <c r="BG145" s="73"/>
      <c r="BH145" s="75"/>
      <c r="BI145" s="98">
        <v>0</v>
      </c>
      <c r="BJ145" s="99">
        <v>0</v>
      </c>
      <c r="BK145" s="100"/>
      <c r="BL145" s="100"/>
      <c r="BM145" s="62"/>
      <c r="BN145" s="80" t="e">
        <v>#VALUE!</v>
      </c>
      <c r="BO145" s="81" t="e">
        <v>#VALUE!</v>
      </c>
      <c r="BP145" s="82" t="e">
        <v>#VALUE!</v>
      </c>
      <c r="BQ145" s="82" t="e">
        <v>#VALUE!</v>
      </c>
      <c r="BR145" s="82" t="e">
        <v>#VALUE!</v>
      </c>
      <c r="BS145" s="80">
        <v>0</v>
      </c>
      <c r="BT145" s="83" t="s">
        <v>226</v>
      </c>
      <c r="BU145" s="61"/>
      <c r="BV145" s="84">
        <v>0</v>
      </c>
      <c r="BW145" s="84">
        <v>0</v>
      </c>
      <c r="BX145" s="84">
        <v>0</v>
      </c>
      <c r="BY145" s="84">
        <v>0</v>
      </c>
      <c r="BZ145" s="62"/>
      <c r="CA145" s="85"/>
      <c r="CB145" s="85"/>
      <c r="CC145" s="85"/>
      <c r="CD145" s="85"/>
      <c r="CE145" s="62"/>
      <c r="CF145" s="86">
        <v>0</v>
      </c>
      <c r="CG145" s="87">
        <v>0</v>
      </c>
      <c r="CH145" s="87">
        <v>0</v>
      </c>
      <c r="CI145" s="87">
        <v>0</v>
      </c>
      <c r="CJ145" s="87">
        <v>0</v>
      </c>
    </row>
    <row r="146" spans="1:88" x14ac:dyDescent="0.35">
      <c r="A146" s="88" t="s">
        <v>225</v>
      </c>
      <c r="B146" s="89">
        <v>145</v>
      </c>
      <c r="C146" s="102" t="s">
        <v>226</v>
      </c>
      <c r="D146" s="102" t="s">
        <v>226</v>
      </c>
      <c r="E146" s="103" t="s">
        <v>226</v>
      </c>
      <c r="F146" s="103" t="s">
        <v>226</v>
      </c>
      <c r="G146" s="103" t="s">
        <v>226</v>
      </c>
      <c r="H146" s="101"/>
      <c r="I146" s="93">
        <v>0</v>
      </c>
      <c r="J146" s="94">
        <v>0</v>
      </c>
      <c r="K146" s="94">
        <v>0</v>
      </c>
      <c r="L146" s="95">
        <v>0</v>
      </c>
      <c r="M146" s="96">
        <v>0</v>
      </c>
      <c r="N146" s="72"/>
      <c r="O146" s="73"/>
      <c r="P146" s="73"/>
      <c r="Q146" s="74"/>
      <c r="R146" s="72"/>
      <c r="S146" s="73"/>
      <c r="T146" s="73"/>
      <c r="U146" s="75"/>
      <c r="V146" s="93">
        <v>0</v>
      </c>
      <c r="W146" s="94">
        <v>0</v>
      </c>
      <c r="X146" s="94">
        <v>0</v>
      </c>
      <c r="Y146" s="95">
        <v>0</v>
      </c>
      <c r="Z146" s="96">
        <v>0</v>
      </c>
      <c r="AA146" s="72"/>
      <c r="AB146" s="73"/>
      <c r="AC146" s="73"/>
      <c r="AD146" s="74"/>
      <c r="AE146" s="72"/>
      <c r="AF146" s="73"/>
      <c r="AG146" s="73"/>
      <c r="AH146" s="75"/>
      <c r="AI146" s="93">
        <v>0</v>
      </c>
      <c r="AJ146" s="94">
        <v>0</v>
      </c>
      <c r="AK146" s="94">
        <v>0</v>
      </c>
      <c r="AL146" s="95">
        <v>0</v>
      </c>
      <c r="AM146" s="96">
        <v>0</v>
      </c>
      <c r="AN146" s="72"/>
      <c r="AO146" s="73"/>
      <c r="AP146" s="73"/>
      <c r="AQ146" s="74"/>
      <c r="AR146" s="72"/>
      <c r="AS146" s="73"/>
      <c r="AT146" s="73"/>
      <c r="AU146" s="75"/>
      <c r="AV146" s="93">
        <v>0</v>
      </c>
      <c r="AW146" s="94">
        <v>0</v>
      </c>
      <c r="AX146" s="94">
        <v>0</v>
      </c>
      <c r="AY146" s="95">
        <v>0</v>
      </c>
      <c r="AZ146" s="97">
        <v>1</v>
      </c>
      <c r="BA146" s="72"/>
      <c r="BB146" s="73"/>
      <c r="BC146" s="73"/>
      <c r="BD146" s="74"/>
      <c r="BE146" s="72"/>
      <c r="BF146" s="73"/>
      <c r="BG146" s="73"/>
      <c r="BH146" s="75"/>
      <c r="BI146" s="98">
        <v>0</v>
      </c>
      <c r="BJ146" s="99">
        <v>0</v>
      </c>
      <c r="BK146" s="100"/>
      <c r="BL146" s="100"/>
      <c r="BM146" s="62"/>
      <c r="BN146" s="80" t="e">
        <v>#VALUE!</v>
      </c>
      <c r="BO146" s="81" t="e">
        <v>#VALUE!</v>
      </c>
      <c r="BP146" s="82" t="e">
        <v>#VALUE!</v>
      </c>
      <c r="BQ146" s="82" t="e">
        <v>#VALUE!</v>
      </c>
      <c r="BR146" s="82" t="e">
        <v>#VALUE!</v>
      </c>
      <c r="BS146" s="80">
        <v>0</v>
      </c>
      <c r="BT146" s="83" t="s">
        <v>226</v>
      </c>
      <c r="BU146" s="61"/>
      <c r="BV146" s="84">
        <v>0</v>
      </c>
      <c r="BW146" s="84">
        <v>0</v>
      </c>
      <c r="BX146" s="84">
        <v>0</v>
      </c>
      <c r="BY146" s="84">
        <v>0</v>
      </c>
      <c r="BZ146" s="62"/>
      <c r="CA146" s="85"/>
      <c r="CB146" s="85"/>
      <c r="CC146" s="85"/>
      <c r="CD146" s="85"/>
      <c r="CE146" s="62"/>
      <c r="CF146" s="86">
        <v>0</v>
      </c>
      <c r="CG146" s="87">
        <v>0</v>
      </c>
      <c r="CH146" s="87">
        <v>0</v>
      </c>
      <c r="CI146" s="87">
        <v>0</v>
      </c>
      <c r="CJ146" s="87">
        <v>0</v>
      </c>
    </row>
    <row r="147" spans="1:88" x14ac:dyDescent="0.35">
      <c r="A147" s="88" t="s">
        <v>225</v>
      </c>
      <c r="B147" s="89">
        <v>146</v>
      </c>
      <c r="C147" s="102" t="s">
        <v>226</v>
      </c>
      <c r="D147" s="102" t="s">
        <v>226</v>
      </c>
      <c r="E147" s="103" t="s">
        <v>226</v>
      </c>
      <c r="F147" s="103" t="s">
        <v>226</v>
      </c>
      <c r="G147" s="103" t="s">
        <v>226</v>
      </c>
      <c r="H147" s="101"/>
      <c r="I147" s="93">
        <v>0</v>
      </c>
      <c r="J147" s="94">
        <v>0</v>
      </c>
      <c r="K147" s="94">
        <v>0</v>
      </c>
      <c r="L147" s="95">
        <v>0</v>
      </c>
      <c r="M147" s="96">
        <v>0</v>
      </c>
      <c r="N147" s="72"/>
      <c r="O147" s="73"/>
      <c r="P147" s="73"/>
      <c r="Q147" s="74"/>
      <c r="R147" s="72"/>
      <c r="S147" s="73"/>
      <c r="T147" s="73"/>
      <c r="U147" s="75"/>
      <c r="V147" s="93">
        <v>0</v>
      </c>
      <c r="W147" s="94">
        <v>0</v>
      </c>
      <c r="X147" s="94">
        <v>0</v>
      </c>
      <c r="Y147" s="95">
        <v>0</v>
      </c>
      <c r="Z147" s="96">
        <v>0</v>
      </c>
      <c r="AA147" s="72"/>
      <c r="AB147" s="73"/>
      <c r="AC147" s="73"/>
      <c r="AD147" s="74"/>
      <c r="AE147" s="72"/>
      <c r="AF147" s="73"/>
      <c r="AG147" s="73"/>
      <c r="AH147" s="75"/>
      <c r="AI147" s="93">
        <v>0</v>
      </c>
      <c r="AJ147" s="94">
        <v>0</v>
      </c>
      <c r="AK147" s="94">
        <v>0</v>
      </c>
      <c r="AL147" s="95">
        <v>0</v>
      </c>
      <c r="AM147" s="96">
        <v>0</v>
      </c>
      <c r="AN147" s="72"/>
      <c r="AO147" s="73"/>
      <c r="AP147" s="73"/>
      <c r="AQ147" s="74"/>
      <c r="AR147" s="72"/>
      <c r="AS147" s="73"/>
      <c r="AT147" s="73"/>
      <c r="AU147" s="75"/>
      <c r="AV147" s="93">
        <v>0</v>
      </c>
      <c r="AW147" s="94">
        <v>0</v>
      </c>
      <c r="AX147" s="94">
        <v>0</v>
      </c>
      <c r="AY147" s="95">
        <v>0</v>
      </c>
      <c r="AZ147" s="97">
        <v>1</v>
      </c>
      <c r="BA147" s="72"/>
      <c r="BB147" s="73"/>
      <c r="BC147" s="73"/>
      <c r="BD147" s="74"/>
      <c r="BE147" s="72"/>
      <c r="BF147" s="73"/>
      <c r="BG147" s="73"/>
      <c r="BH147" s="75"/>
      <c r="BI147" s="98">
        <v>0</v>
      </c>
      <c r="BJ147" s="99">
        <v>0</v>
      </c>
      <c r="BK147" s="100"/>
      <c r="BL147" s="100"/>
      <c r="BM147" s="62"/>
      <c r="BN147" s="80" t="e">
        <v>#VALUE!</v>
      </c>
      <c r="BO147" s="81" t="e">
        <v>#VALUE!</v>
      </c>
      <c r="BP147" s="82" t="e">
        <v>#VALUE!</v>
      </c>
      <c r="BQ147" s="82" t="e">
        <v>#VALUE!</v>
      </c>
      <c r="BR147" s="82" t="e">
        <v>#VALUE!</v>
      </c>
      <c r="BS147" s="80">
        <v>0</v>
      </c>
      <c r="BT147" s="83" t="s">
        <v>226</v>
      </c>
      <c r="BU147" s="61"/>
      <c r="BV147" s="84">
        <v>0</v>
      </c>
      <c r="BW147" s="84">
        <v>0</v>
      </c>
      <c r="BX147" s="84">
        <v>0</v>
      </c>
      <c r="BY147" s="84">
        <v>0</v>
      </c>
      <c r="BZ147" s="62"/>
      <c r="CA147" s="85"/>
      <c r="CB147" s="85"/>
      <c r="CC147" s="85"/>
      <c r="CD147" s="85"/>
      <c r="CE147" s="62"/>
      <c r="CF147" s="86">
        <v>0</v>
      </c>
      <c r="CG147" s="87">
        <v>0</v>
      </c>
      <c r="CH147" s="87">
        <v>0</v>
      </c>
      <c r="CI147" s="87">
        <v>0</v>
      </c>
      <c r="CJ147" s="87">
        <v>0</v>
      </c>
    </row>
    <row r="148" spans="1:88" x14ac:dyDescent="0.35">
      <c r="A148" s="88" t="s">
        <v>225</v>
      </c>
      <c r="B148" s="89">
        <v>147</v>
      </c>
      <c r="C148" s="102" t="s">
        <v>226</v>
      </c>
      <c r="D148" s="102" t="s">
        <v>226</v>
      </c>
      <c r="E148" s="103" t="s">
        <v>226</v>
      </c>
      <c r="F148" s="103" t="s">
        <v>226</v>
      </c>
      <c r="G148" s="103" t="s">
        <v>226</v>
      </c>
      <c r="H148" s="101"/>
      <c r="I148" s="93">
        <v>0</v>
      </c>
      <c r="J148" s="94">
        <v>0</v>
      </c>
      <c r="K148" s="94">
        <v>0</v>
      </c>
      <c r="L148" s="95">
        <v>0</v>
      </c>
      <c r="M148" s="96">
        <v>0</v>
      </c>
      <c r="N148" s="72"/>
      <c r="O148" s="73"/>
      <c r="P148" s="73"/>
      <c r="Q148" s="74"/>
      <c r="R148" s="72"/>
      <c r="S148" s="73"/>
      <c r="T148" s="73"/>
      <c r="U148" s="75"/>
      <c r="V148" s="93">
        <v>0</v>
      </c>
      <c r="W148" s="94">
        <v>0</v>
      </c>
      <c r="X148" s="94">
        <v>0</v>
      </c>
      <c r="Y148" s="95">
        <v>0</v>
      </c>
      <c r="Z148" s="96">
        <v>0</v>
      </c>
      <c r="AA148" s="72"/>
      <c r="AB148" s="73"/>
      <c r="AC148" s="73"/>
      <c r="AD148" s="74"/>
      <c r="AE148" s="72"/>
      <c r="AF148" s="73"/>
      <c r="AG148" s="73"/>
      <c r="AH148" s="75"/>
      <c r="AI148" s="93">
        <v>0</v>
      </c>
      <c r="AJ148" s="94">
        <v>0</v>
      </c>
      <c r="AK148" s="94">
        <v>0</v>
      </c>
      <c r="AL148" s="95">
        <v>0</v>
      </c>
      <c r="AM148" s="96">
        <v>0</v>
      </c>
      <c r="AN148" s="72"/>
      <c r="AO148" s="73"/>
      <c r="AP148" s="73"/>
      <c r="AQ148" s="74"/>
      <c r="AR148" s="72"/>
      <c r="AS148" s="73"/>
      <c r="AT148" s="73"/>
      <c r="AU148" s="75"/>
      <c r="AV148" s="93">
        <v>0</v>
      </c>
      <c r="AW148" s="94">
        <v>0</v>
      </c>
      <c r="AX148" s="94">
        <v>0</v>
      </c>
      <c r="AY148" s="95">
        <v>0</v>
      </c>
      <c r="AZ148" s="97">
        <v>1</v>
      </c>
      <c r="BA148" s="72"/>
      <c r="BB148" s="73"/>
      <c r="BC148" s="73"/>
      <c r="BD148" s="74"/>
      <c r="BE148" s="72"/>
      <c r="BF148" s="73"/>
      <c r="BG148" s="73"/>
      <c r="BH148" s="75"/>
      <c r="BI148" s="98">
        <v>0</v>
      </c>
      <c r="BJ148" s="99">
        <v>0</v>
      </c>
      <c r="BK148" s="100"/>
      <c r="BL148" s="100"/>
      <c r="BM148" s="62"/>
      <c r="BN148" s="80" t="e">
        <v>#VALUE!</v>
      </c>
      <c r="BO148" s="81" t="e">
        <v>#VALUE!</v>
      </c>
      <c r="BP148" s="82" t="e">
        <v>#VALUE!</v>
      </c>
      <c r="BQ148" s="82" t="e">
        <v>#VALUE!</v>
      </c>
      <c r="BR148" s="82" t="e">
        <v>#VALUE!</v>
      </c>
      <c r="BS148" s="80">
        <v>0</v>
      </c>
      <c r="BT148" s="83" t="s">
        <v>226</v>
      </c>
      <c r="BU148" s="61"/>
      <c r="BV148" s="84">
        <v>0</v>
      </c>
      <c r="BW148" s="84">
        <v>0</v>
      </c>
      <c r="BX148" s="84">
        <v>0</v>
      </c>
      <c r="BY148" s="84">
        <v>0</v>
      </c>
      <c r="BZ148" s="62"/>
      <c r="CA148" s="85"/>
      <c r="CB148" s="85"/>
      <c r="CC148" s="85"/>
      <c r="CD148" s="85"/>
      <c r="CE148" s="62"/>
      <c r="CF148" s="86">
        <v>0</v>
      </c>
      <c r="CG148" s="87">
        <v>0</v>
      </c>
      <c r="CH148" s="87">
        <v>0</v>
      </c>
      <c r="CI148" s="87">
        <v>0</v>
      </c>
      <c r="CJ148" s="87">
        <v>0</v>
      </c>
    </row>
    <row r="149" spans="1:88" x14ac:dyDescent="0.35">
      <c r="A149" s="88" t="s">
        <v>225</v>
      </c>
      <c r="B149" s="89">
        <v>148</v>
      </c>
      <c r="C149" s="102" t="s">
        <v>226</v>
      </c>
      <c r="D149" s="102" t="s">
        <v>226</v>
      </c>
      <c r="E149" s="103" t="s">
        <v>226</v>
      </c>
      <c r="F149" s="103" t="s">
        <v>226</v>
      </c>
      <c r="G149" s="103" t="s">
        <v>226</v>
      </c>
      <c r="H149" s="101"/>
      <c r="I149" s="93">
        <v>0</v>
      </c>
      <c r="J149" s="94">
        <v>0</v>
      </c>
      <c r="K149" s="94">
        <v>0</v>
      </c>
      <c r="L149" s="95">
        <v>0</v>
      </c>
      <c r="M149" s="96">
        <v>0</v>
      </c>
      <c r="N149" s="72"/>
      <c r="O149" s="73"/>
      <c r="P149" s="73"/>
      <c r="Q149" s="74"/>
      <c r="R149" s="72"/>
      <c r="S149" s="73"/>
      <c r="T149" s="73"/>
      <c r="U149" s="75"/>
      <c r="V149" s="93">
        <v>0</v>
      </c>
      <c r="W149" s="94">
        <v>0</v>
      </c>
      <c r="X149" s="94">
        <v>0</v>
      </c>
      <c r="Y149" s="95">
        <v>0</v>
      </c>
      <c r="Z149" s="96">
        <v>0</v>
      </c>
      <c r="AA149" s="72"/>
      <c r="AB149" s="73"/>
      <c r="AC149" s="73"/>
      <c r="AD149" s="74"/>
      <c r="AE149" s="72"/>
      <c r="AF149" s="73"/>
      <c r="AG149" s="73"/>
      <c r="AH149" s="75"/>
      <c r="AI149" s="93">
        <v>0</v>
      </c>
      <c r="AJ149" s="94">
        <v>0</v>
      </c>
      <c r="AK149" s="94">
        <v>0</v>
      </c>
      <c r="AL149" s="95">
        <v>0</v>
      </c>
      <c r="AM149" s="96">
        <v>0</v>
      </c>
      <c r="AN149" s="72"/>
      <c r="AO149" s="73"/>
      <c r="AP149" s="73"/>
      <c r="AQ149" s="74"/>
      <c r="AR149" s="72"/>
      <c r="AS149" s="73"/>
      <c r="AT149" s="73"/>
      <c r="AU149" s="75"/>
      <c r="AV149" s="93">
        <v>0</v>
      </c>
      <c r="AW149" s="94">
        <v>0</v>
      </c>
      <c r="AX149" s="94">
        <v>0</v>
      </c>
      <c r="AY149" s="95">
        <v>0</v>
      </c>
      <c r="AZ149" s="97">
        <v>1</v>
      </c>
      <c r="BA149" s="72"/>
      <c r="BB149" s="73"/>
      <c r="BC149" s="73"/>
      <c r="BD149" s="74"/>
      <c r="BE149" s="72"/>
      <c r="BF149" s="73"/>
      <c r="BG149" s="73"/>
      <c r="BH149" s="75"/>
      <c r="BI149" s="98">
        <v>0</v>
      </c>
      <c r="BJ149" s="99">
        <v>0</v>
      </c>
      <c r="BK149" s="100"/>
      <c r="BL149" s="100"/>
      <c r="BM149" s="62"/>
      <c r="BN149" s="80" t="e">
        <v>#VALUE!</v>
      </c>
      <c r="BO149" s="81" t="e">
        <v>#VALUE!</v>
      </c>
      <c r="BP149" s="82" t="e">
        <v>#VALUE!</v>
      </c>
      <c r="BQ149" s="82" t="e">
        <v>#VALUE!</v>
      </c>
      <c r="BR149" s="82" t="e">
        <v>#VALUE!</v>
      </c>
      <c r="BS149" s="80">
        <v>0</v>
      </c>
      <c r="BT149" s="83" t="s">
        <v>226</v>
      </c>
      <c r="BU149" s="61"/>
      <c r="BV149" s="84">
        <v>0</v>
      </c>
      <c r="BW149" s="84">
        <v>0</v>
      </c>
      <c r="BX149" s="84">
        <v>0</v>
      </c>
      <c r="BY149" s="84">
        <v>0</v>
      </c>
      <c r="BZ149" s="62"/>
      <c r="CA149" s="85"/>
      <c r="CB149" s="85"/>
      <c r="CC149" s="85"/>
      <c r="CD149" s="85"/>
      <c r="CE149" s="62"/>
      <c r="CF149" s="86">
        <v>0</v>
      </c>
      <c r="CG149" s="87">
        <v>0</v>
      </c>
      <c r="CH149" s="87">
        <v>0</v>
      </c>
      <c r="CI149" s="87">
        <v>0</v>
      </c>
      <c r="CJ149" s="87">
        <v>0</v>
      </c>
    </row>
    <row r="150" spans="1:88" x14ac:dyDescent="0.35">
      <c r="A150" s="88" t="s">
        <v>225</v>
      </c>
      <c r="B150" s="89">
        <v>149</v>
      </c>
      <c r="C150" s="102" t="s">
        <v>226</v>
      </c>
      <c r="D150" s="102" t="s">
        <v>226</v>
      </c>
      <c r="E150" s="103" t="s">
        <v>226</v>
      </c>
      <c r="F150" s="103" t="s">
        <v>226</v>
      </c>
      <c r="G150" s="103" t="s">
        <v>226</v>
      </c>
      <c r="H150" s="101"/>
      <c r="I150" s="93">
        <v>0</v>
      </c>
      <c r="J150" s="94">
        <v>0</v>
      </c>
      <c r="K150" s="94">
        <v>0</v>
      </c>
      <c r="L150" s="95">
        <v>0</v>
      </c>
      <c r="M150" s="96">
        <v>0</v>
      </c>
      <c r="N150" s="72"/>
      <c r="O150" s="73"/>
      <c r="P150" s="73"/>
      <c r="Q150" s="74"/>
      <c r="R150" s="72"/>
      <c r="S150" s="73"/>
      <c r="T150" s="73"/>
      <c r="U150" s="75"/>
      <c r="V150" s="93">
        <v>0</v>
      </c>
      <c r="W150" s="94">
        <v>0</v>
      </c>
      <c r="X150" s="94">
        <v>0</v>
      </c>
      <c r="Y150" s="95">
        <v>0</v>
      </c>
      <c r="Z150" s="96">
        <v>0</v>
      </c>
      <c r="AA150" s="72"/>
      <c r="AB150" s="73"/>
      <c r="AC150" s="73"/>
      <c r="AD150" s="74"/>
      <c r="AE150" s="72"/>
      <c r="AF150" s="73"/>
      <c r="AG150" s="73"/>
      <c r="AH150" s="75"/>
      <c r="AI150" s="93">
        <v>0</v>
      </c>
      <c r="AJ150" s="94">
        <v>0</v>
      </c>
      <c r="AK150" s="94">
        <v>0</v>
      </c>
      <c r="AL150" s="95">
        <v>0</v>
      </c>
      <c r="AM150" s="96">
        <v>0</v>
      </c>
      <c r="AN150" s="72"/>
      <c r="AO150" s="73"/>
      <c r="AP150" s="73"/>
      <c r="AQ150" s="74"/>
      <c r="AR150" s="72"/>
      <c r="AS150" s="73"/>
      <c r="AT150" s="73"/>
      <c r="AU150" s="75"/>
      <c r="AV150" s="93">
        <v>0</v>
      </c>
      <c r="AW150" s="94">
        <v>0</v>
      </c>
      <c r="AX150" s="94">
        <v>0</v>
      </c>
      <c r="AY150" s="95">
        <v>0</v>
      </c>
      <c r="AZ150" s="97">
        <v>1</v>
      </c>
      <c r="BA150" s="72"/>
      <c r="BB150" s="73"/>
      <c r="BC150" s="73"/>
      <c r="BD150" s="74"/>
      <c r="BE150" s="72"/>
      <c r="BF150" s="73"/>
      <c r="BG150" s="73"/>
      <c r="BH150" s="75"/>
      <c r="BI150" s="98">
        <v>0</v>
      </c>
      <c r="BJ150" s="99">
        <v>0</v>
      </c>
      <c r="BK150" s="100"/>
      <c r="BL150" s="100"/>
      <c r="BM150" s="62"/>
      <c r="BN150" s="80" t="e">
        <v>#VALUE!</v>
      </c>
      <c r="BO150" s="81" t="e">
        <v>#VALUE!</v>
      </c>
      <c r="BP150" s="82" t="e">
        <v>#VALUE!</v>
      </c>
      <c r="BQ150" s="82" t="e">
        <v>#VALUE!</v>
      </c>
      <c r="BR150" s="82" t="e">
        <v>#VALUE!</v>
      </c>
      <c r="BS150" s="80">
        <v>0</v>
      </c>
      <c r="BT150" s="83" t="s">
        <v>226</v>
      </c>
      <c r="BU150" s="61"/>
      <c r="BV150" s="84">
        <v>0</v>
      </c>
      <c r="BW150" s="84">
        <v>0</v>
      </c>
      <c r="BX150" s="84">
        <v>0</v>
      </c>
      <c r="BY150" s="84">
        <v>0</v>
      </c>
      <c r="BZ150" s="62"/>
      <c r="CA150" s="85"/>
      <c r="CB150" s="85"/>
      <c r="CC150" s="85"/>
      <c r="CD150" s="85"/>
      <c r="CE150" s="62"/>
      <c r="CF150" s="86">
        <v>0</v>
      </c>
      <c r="CG150" s="87">
        <v>0</v>
      </c>
      <c r="CH150" s="87">
        <v>0</v>
      </c>
      <c r="CI150" s="87">
        <v>0</v>
      </c>
      <c r="CJ150" s="87">
        <v>0</v>
      </c>
    </row>
    <row r="151" spans="1:88" x14ac:dyDescent="0.35">
      <c r="A151" s="88" t="s">
        <v>225</v>
      </c>
      <c r="B151" s="89">
        <v>150</v>
      </c>
      <c r="C151" s="102" t="s">
        <v>226</v>
      </c>
      <c r="D151" s="102" t="s">
        <v>226</v>
      </c>
      <c r="E151" s="103" t="s">
        <v>226</v>
      </c>
      <c r="F151" s="103" t="s">
        <v>226</v>
      </c>
      <c r="G151" s="103" t="s">
        <v>226</v>
      </c>
      <c r="H151" s="101"/>
      <c r="I151" s="93">
        <v>0</v>
      </c>
      <c r="J151" s="94">
        <v>0</v>
      </c>
      <c r="K151" s="94">
        <v>0</v>
      </c>
      <c r="L151" s="95">
        <v>0</v>
      </c>
      <c r="M151" s="96">
        <v>0</v>
      </c>
      <c r="N151" s="72"/>
      <c r="O151" s="73"/>
      <c r="P151" s="73"/>
      <c r="Q151" s="74"/>
      <c r="R151" s="72"/>
      <c r="S151" s="73"/>
      <c r="T151" s="73"/>
      <c r="U151" s="75"/>
      <c r="V151" s="93">
        <v>0</v>
      </c>
      <c r="W151" s="94">
        <v>0</v>
      </c>
      <c r="X151" s="94">
        <v>0</v>
      </c>
      <c r="Y151" s="95">
        <v>0</v>
      </c>
      <c r="Z151" s="96">
        <v>0</v>
      </c>
      <c r="AA151" s="72"/>
      <c r="AB151" s="73"/>
      <c r="AC151" s="73"/>
      <c r="AD151" s="74"/>
      <c r="AE151" s="72"/>
      <c r="AF151" s="73"/>
      <c r="AG151" s="73"/>
      <c r="AH151" s="75"/>
      <c r="AI151" s="93">
        <v>0</v>
      </c>
      <c r="AJ151" s="94">
        <v>0</v>
      </c>
      <c r="AK151" s="94">
        <v>0</v>
      </c>
      <c r="AL151" s="95">
        <v>0</v>
      </c>
      <c r="AM151" s="96">
        <v>0</v>
      </c>
      <c r="AN151" s="72"/>
      <c r="AO151" s="73"/>
      <c r="AP151" s="73"/>
      <c r="AQ151" s="74"/>
      <c r="AR151" s="72"/>
      <c r="AS151" s="73"/>
      <c r="AT151" s="73"/>
      <c r="AU151" s="75"/>
      <c r="AV151" s="93">
        <v>0</v>
      </c>
      <c r="AW151" s="94">
        <v>0</v>
      </c>
      <c r="AX151" s="94">
        <v>0</v>
      </c>
      <c r="AY151" s="95">
        <v>0</v>
      </c>
      <c r="AZ151" s="97">
        <v>1</v>
      </c>
      <c r="BA151" s="72"/>
      <c r="BB151" s="73"/>
      <c r="BC151" s="73"/>
      <c r="BD151" s="74"/>
      <c r="BE151" s="72"/>
      <c r="BF151" s="73"/>
      <c r="BG151" s="73"/>
      <c r="BH151" s="75"/>
      <c r="BI151" s="98">
        <v>0</v>
      </c>
      <c r="BJ151" s="99">
        <v>0</v>
      </c>
      <c r="BK151" s="100"/>
      <c r="BL151" s="100"/>
      <c r="BM151" s="62"/>
      <c r="BN151" s="80" t="e">
        <v>#VALUE!</v>
      </c>
      <c r="BO151" s="81" t="e">
        <v>#VALUE!</v>
      </c>
      <c r="BP151" s="82" t="e">
        <v>#VALUE!</v>
      </c>
      <c r="BQ151" s="82" t="e">
        <v>#VALUE!</v>
      </c>
      <c r="BR151" s="82" t="e">
        <v>#VALUE!</v>
      </c>
      <c r="BS151" s="80">
        <v>0</v>
      </c>
      <c r="BT151" s="83" t="s">
        <v>226</v>
      </c>
      <c r="BU151" s="61"/>
      <c r="BV151" s="84">
        <v>0</v>
      </c>
      <c r="BW151" s="84">
        <v>0</v>
      </c>
      <c r="BX151" s="84">
        <v>0</v>
      </c>
      <c r="BY151" s="84">
        <v>0</v>
      </c>
      <c r="BZ151" s="62"/>
      <c r="CA151" s="85"/>
      <c r="CB151" s="85"/>
      <c r="CC151" s="85"/>
      <c r="CD151" s="85"/>
      <c r="CE151" s="62"/>
      <c r="CF151" s="86">
        <v>0</v>
      </c>
      <c r="CG151" s="87">
        <v>0</v>
      </c>
      <c r="CH151" s="87">
        <v>0</v>
      </c>
      <c r="CI151" s="87">
        <v>0</v>
      </c>
      <c r="CJ151" s="87">
        <v>0</v>
      </c>
    </row>
    <row r="152" spans="1:88" x14ac:dyDescent="0.35">
      <c r="A152" s="88" t="s">
        <v>225</v>
      </c>
      <c r="B152" s="89">
        <v>151</v>
      </c>
      <c r="C152" s="102" t="s">
        <v>226</v>
      </c>
      <c r="D152" s="102" t="s">
        <v>226</v>
      </c>
      <c r="E152" s="103" t="s">
        <v>226</v>
      </c>
      <c r="F152" s="103" t="s">
        <v>226</v>
      </c>
      <c r="G152" s="103" t="s">
        <v>226</v>
      </c>
      <c r="H152" s="101"/>
      <c r="I152" s="93">
        <v>0</v>
      </c>
      <c r="J152" s="94">
        <v>0</v>
      </c>
      <c r="K152" s="94">
        <v>0</v>
      </c>
      <c r="L152" s="95">
        <v>0</v>
      </c>
      <c r="M152" s="96">
        <v>0</v>
      </c>
      <c r="N152" s="72"/>
      <c r="O152" s="73"/>
      <c r="P152" s="73"/>
      <c r="Q152" s="74"/>
      <c r="R152" s="72"/>
      <c r="S152" s="73"/>
      <c r="T152" s="73"/>
      <c r="U152" s="75"/>
      <c r="V152" s="93">
        <v>0</v>
      </c>
      <c r="W152" s="94">
        <v>0</v>
      </c>
      <c r="X152" s="94">
        <v>0</v>
      </c>
      <c r="Y152" s="95">
        <v>0</v>
      </c>
      <c r="Z152" s="96">
        <v>0</v>
      </c>
      <c r="AA152" s="72"/>
      <c r="AB152" s="73"/>
      <c r="AC152" s="73"/>
      <c r="AD152" s="74"/>
      <c r="AE152" s="72"/>
      <c r="AF152" s="73"/>
      <c r="AG152" s="73"/>
      <c r="AH152" s="75"/>
      <c r="AI152" s="93">
        <v>0</v>
      </c>
      <c r="AJ152" s="94">
        <v>0</v>
      </c>
      <c r="AK152" s="94">
        <v>0</v>
      </c>
      <c r="AL152" s="95">
        <v>0</v>
      </c>
      <c r="AM152" s="96">
        <v>0</v>
      </c>
      <c r="AN152" s="72"/>
      <c r="AO152" s="73"/>
      <c r="AP152" s="73"/>
      <c r="AQ152" s="74"/>
      <c r="AR152" s="72"/>
      <c r="AS152" s="73"/>
      <c r="AT152" s="73"/>
      <c r="AU152" s="75"/>
      <c r="AV152" s="93">
        <v>0</v>
      </c>
      <c r="AW152" s="94">
        <v>0</v>
      </c>
      <c r="AX152" s="94">
        <v>0</v>
      </c>
      <c r="AY152" s="95">
        <v>0</v>
      </c>
      <c r="AZ152" s="97">
        <v>1</v>
      </c>
      <c r="BA152" s="72"/>
      <c r="BB152" s="73"/>
      <c r="BC152" s="73"/>
      <c r="BD152" s="74"/>
      <c r="BE152" s="72"/>
      <c r="BF152" s="73"/>
      <c r="BG152" s="73"/>
      <c r="BH152" s="75"/>
      <c r="BI152" s="98">
        <v>0</v>
      </c>
      <c r="BJ152" s="99">
        <v>0</v>
      </c>
      <c r="BK152" s="100"/>
      <c r="BL152" s="100"/>
      <c r="BM152" s="62"/>
      <c r="BN152" s="80" t="e">
        <v>#VALUE!</v>
      </c>
      <c r="BO152" s="81" t="e">
        <v>#VALUE!</v>
      </c>
      <c r="BP152" s="82" t="e">
        <v>#VALUE!</v>
      </c>
      <c r="BQ152" s="82" t="e">
        <v>#VALUE!</v>
      </c>
      <c r="BR152" s="82" t="e">
        <v>#VALUE!</v>
      </c>
      <c r="BS152" s="80">
        <v>0</v>
      </c>
      <c r="BT152" s="83" t="s">
        <v>226</v>
      </c>
      <c r="BU152" s="61"/>
      <c r="BV152" s="84">
        <v>0</v>
      </c>
      <c r="BW152" s="84">
        <v>0</v>
      </c>
      <c r="BX152" s="84">
        <v>0</v>
      </c>
      <c r="BY152" s="84">
        <v>0</v>
      </c>
      <c r="BZ152" s="62"/>
      <c r="CA152" s="85"/>
      <c r="CB152" s="85"/>
      <c r="CC152" s="85"/>
      <c r="CD152" s="85"/>
      <c r="CE152" s="62"/>
      <c r="CF152" s="86">
        <v>0</v>
      </c>
      <c r="CG152" s="87">
        <v>0</v>
      </c>
      <c r="CH152" s="87">
        <v>0</v>
      </c>
      <c r="CI152" s="87">
        <v>0</v>
      </c>
      <c r="CJ152" s="87">
        <v>0</v>
      </c>
    </row>
    <row r="153" spans="1:88" x14ac:dyDescent="0.35">
      <c r="A153" s="88" t="s">
        <v>225</v>
      </c>
      <c r="B153" s="89">
        <v>152</v>
      </c>
      <c r="C153" s="102" t="s">
        <v>226</v>
      </c>
      <c r="D153" s="102" t="s">
        <v>226</v>
      </c>
      <c r="E153" s="103" t="s">
        <v>226</v>
      </c>
      <c r="F153" s="103" t="s">
        <v>226</v>
      </c>
      <c r="G153" s="103" t="s">
        <v>226</v>
      </c>
      <c r="H153" s="101"/>
      <c r="I153" s="93">
        <v>0</v>
      </c>
      <c r="J153" s="94">
        <v>0</v>
      </c>
      <c r="K153" s="94">
        <v>0</v>
      </c>
      <c r="L153" s="95">
        <v>0</v>
      </c>
      <c r="M153" s="96">
        <v>0</v>
      </c>
      <c r="N153" s="72"/>
      <c r="O153" s="73"/>
      <c r="P153" s="73"/>
      <c r="Q153" s="74"/>
      <c r="R153" s="72"/>
      <c r="S153" s="73"/>
      <c r="T153" s="73"/>
      <c r="U153" s="75"/>
      <c r="V153" s="93">
        <v>0</v>
      </c>
      <c r="W153" s="94">
        <v>0</v>
      </c>
      <c r="X153" s="94">
        <v>0</v>
      </c>
      <c r="Y153" s="95">
        <v>0</v>
      </c>
      <c r="Z153" s="96">
        <v>0</v>
      </c>
      <c r="AA153" s="72"/>
      <c r="AB153" s="73"/>
      <c r="AC153" s="73"/>
      <c r="AD153" s="74"/>
      <c r="AE153" s="72"/>
      <c r="AF153" s="73"/>
      <c r="AG153" s="73"/>
      <c r="AH153" s="75"/>
      <c r="AI153" s="93">
        <v>0</v>
      </c>
      <c r="AJ153" s="94">
        <v>0</v>
      </c>
      <c r="AK153" s="94">
        <v>0</v>
      </c>
      <c r="AL153" s="95">
        <v>0</v>
      </c>
      <c r="AM153" s="96">
        <v>0</v>
      </c>
      <c r="AN153" s="72"/>
      <c r="AO153" s="73"/>
      <c r="AP153" s="73"/>
      <c r="AQ153" s="74"/>
      <c r="AR153" s="72"/>
      <c r="AS153" s="73"/>
      <c r="AT153" s="73"/>
      <c r="AU153" s="75"/>
      <c r="AV153" s="93">
        <v>0</v>
      </c>
      <c r="AW153" s="94">
        <v>0</v>
      </c>
      <c r="AX153" s="94">
        <v>0</v>
      </c>
      <c r="AY153" s="95">
        <v>0</v>
      </c>
      <c r="AZ153" s="97">
        <v>1</v>
      </c>
      <c r="BA153" s="72"/>
      <c r="BB153" s="73"/>
      <c r="BC153" s="73"/>
      <c r="BD153" s="74"/>
      <c r="BE153" s="72"/>
      <c r="BF153" s="73"/>
      <c r="BG153" s="73"/>
      <c r="BH153" s="75"/>
      <c r="BI153" s="98">
        <v>0</v>
      </c>
      <c r="BJ153" s="99">
        <v>0</v>
      </c>
      <c r="BK153" s="100"/>
      <c r="BL153" s="100"/>
      <c r="BM153" s="62"/>
      <c r="BN153" s="80" t="e">
        <v>#VALUE!</v>
      </c>
      <c r="BO153" s="81" t="e">
        <v>#VALUE!</v>
      </c>
      <c r="BP153" s="82" t="e">
        <v>#VALUE!</v>
      </c>
      <c r="BQ153" s="82" t="e">
        <v>#VALUE!</v>
      </c>
      <c r="BR153" s="82" t="e">
        <v>#VALUE!</v>
      </c>
      <c r="BS153" s="80">
        <v>0</v>
      </c>
      <c r="BT153" s="83" t="s">
        <v>226</v>
      </c>
      <c r="BU153" s="61"/>
      <c r="BV153" s="84">
        <v>0</v>
      </c>
      <c r="BW153" s="84">
        <v>0</v>
      </c>
      <c r="BX153" s="84">
        <v>0</v>
      </c>
      <c r="BY153" s="84">
        <v>0</v>
      </c>
      <c r="BZ153" s="62"/>
      <c r="CA153" s="85"/>
      <c r="CB153" s="85"/>
      <c r="CC153" s="85"/>
      <c r="CD153" s="85"/>
      <c r="CE153" s="62"/>
      <c r="CF153" s="86">
        <v>0</v>
      </c>
      <c r="CG153" s="87">
        <v>0</v>
      </c>
      <c r="CH153" s="87">
        <v>0</v>
      </c>
      <c r="CI153" s="87">
        <v>0</v>
      </c>
      <c r="CJ153" s="87">
        <v>0</v>
      </c>
    </row>
    <row r="154" spans="1:88" x14ac:dyDescent="0.35">
      <c r="A154" s="88" t="s">
        <v>225</v>
      </c>
      <c r="B154" s="89">
        <v>153</v>
      </c>
      <c r="C154" s="102" t="s">
        <v>226</v>
      </c>
      <c r="D154" s="102" t="s">
        <v>226</v>
      </c>
      <c r="E154" s="103" t="s">
        <v>226</v>
      </c>
      <c r="F154" s="103" t="s">
        <v>226</v>
      </c>
      <c r="G154" s="103" t="s">
        <v>226</v>
      </c>
      <c r="H154" s="101"/>
      <c r="I154" s="93">
        <v>0</v>
      </c>
      <c r="J154" s="94">
        <v>0</v>
      </c>
      <c r="K154" s="94">
        <v>0</v>
      </c>
      <c r="L154" s="95">
        <v>0</v>
      </c>
      <c r="M154" s="96">
        <v>0</v>
      </c>
      <c r="N154" s="72"/>
      <c r="O154" s="73"/>
      <c r="P154" s="73"/>
      <c r="Q154" s="74"/>
      <c r="R154" s="72"/>
      <c r="S154" s="73"/>
      <c r="T154" s="73"/>
      <c r="U154" s="75"/>
      <c r="V154" s="93">
        <v>0</v>
      </c>
      <c r="W154" s="94">
        <v>0</v>
      </c>
      <c r="X154" s="94">
        <v>0</v>
      </c>
      <c r="Y154" s="95">
        <v>0</v>
      </c>
      <c r="Z154" s="96">
        <v>0</v>
      </c>
      <c r="AA154" s="72"/>
      <c r="AB154" s="73"/>
      <c r="AC154" s="73"/>
      <c r="AD154" s="74"/>
      <c r="AE154" s="72"/>
      <c r="AF154" s="73"/>
      <c r="AG154" s="73"/>
      <c r="AH154" s="75"/>
      <c r="AI154" s="93">
        <v>0</v>
      </c>
      <c r="AJ154" s="94">
        <v>0</v>
      </c>
      <c r="AK154" s="94">
        <v>0</v>
      </c>
      <c r="AL154" s="95">
        <v>0</v>
      </c>
      <c r="AM154" s="96">
        <v>0</v>
      </c>
      <c r="AN154" s="72"/>
      <c r="AO154" s="73"/>
      <c r="AP154" s="73"/>
      <c r="AQ154" s="74"/>
      <c r="AR154" s="72"/>
      <c r="AS154" s="73"/>
      <c r="AT154" s="73"/>
      <c r="AU154" s="75"/>
      <c r="AV154" s="93">
        <v>0</v>
      </c>
      <c r="AW154" s="94">
        <v>0</v>
      </c>
      <c r="AX154" s="94">
        <v>0</v>
      </c>
      <c r="AY154" s="95">
        <v>0</v>
      </c>
      <c r="AZ154" s="97">
        <v>1</v>
      </c>
      <c r="BA154" s="72"/>
      <c r="BB154" s="73"/>
      <c r="BC154" s="73"/>
      <c r="BD154" s="74"/>
      <c r="BE154" s="72"/>
      <c r="BF154" s="73"/>
      <c r="BG154" s="73"/>
      <c r="BH154" s="75"/>
      <c r="BI154" s="98">
        <v>0</v>
      </c>
      <c r="BJ154" s="99">
        <v>0</v>
      </c>
      <c r="BK154" s="100"/>
      <c r="BL154" s="100"/>
      <c r="BM154" s="62"/>
      <c r="BN154" s="80" t="e">
        <v>#VALUE!</v>
      </c>
      <c r="BO154" s="81" t="e">
        <v>#VALUE!</v>
      </c>
      <c r="BP154" s="82" t="e">
        <v>#VALUE!</v>
      </c>
      <c r="BQ154" s="82" t="e">
        <v>#VALUE!</v>
      </c>
      <c r="BR154" s="82" t="e">
        <v>#VALUE!</v>
      </c>
      <c r="BS154" s="80">
        <v>0</v>
      </c>
      <c r="BT154" s="83" t="s">
        <v>226</v>
      </c>
      <c r="BU154" s="61"/>
      <c r="BV154" s="84">
        <v>0</v>
      </c>
      <c r="BW154" s="84">
        <v>0</v>
      </c>
      <c r="BX154" s="84">
        <v>0</v>
      </c>
      <c r="BY154" s="84">
        <v>0</v>
      </c>
      <c r="BZ154" s="62"/>
      <c r="CA154" s="85"/>
      <c r="CB154" s="85"/>
      <c r="CC154" s="85"/>
      <c r="CD154" s="85"/>
      <c r="CE154" s="62"/>
      <c r="CF154" s="86">
        <v>0</v>
      </c>
      <c r="CG154" s="87">
        <v>0</v>
      </c>
      <c r="CH154" s="87">
        <v>0</v>
      </c>
      <c r="CI154" s="87">
        <v>0</v>
      </c>
      <c r="CJ154" s="87">
        <v>0</v>
      </c>
    </row>
    <row r="155" spans="1:88" x14ac:dyDescent="0.35">
      <c r="A155" s="88" t="s">
        <v>225</v>
      </c>
      <c r="B155" s="89">
        <v>154</v>
      </c>
      <c r="C155" s="102" t="s">
        <v>226</v>
      </c>
      <c r="D155" s="102" t="s">
        <v>226</v>
      </c>
      <c r="E155" s="103" t="s">
        <v>226</v>
      </c>
      <c r="F155" s="103" t="s">
        <v>226</v>
      </c>
      <c r="G155" s="103" t="s">
        <v>226</v>
      </c>
      <c r="H155" s="101"/>
      <c r="I155" s="93">
        <v>0</v>
      </c>
      <c r="J155" s="94">
        <v>0</v>
      </c>
      <c r="K155" s="94">
        <v>0</v>
      </c>
      <c r="L155" s="95">
        <v>0</v>
      </c>
      <c r="M155" s="96">
        <v>0</v>
      </c>
      <c r="N155" s="72"/>
      <c r="O155" s="73"/>
      <c r="P155" s="73"/>
      <c r="Q155" s="74"/>
      <c r="R155" s="72"/>
      <c r="S155" s="73"/>
      <c r="T155" s="73"/>
      <c r="U155" s="75"/>
      <c r="V155" s="93">
        <v>0</v>
      </c>
      <c r="W155" s="94">
        <v>0</v>
      </c>
      <c r="X155" s="94">
        <v>0</v>
      </c>
      <c r="Y155" s="95">
        <v>0</v>
      </c>
      <c r="Z155" s="96">
        <v>0</v>
      </c>
      <c r="AA155" s="72"/>
      <c r="AB155" s="73"/>
      <c r="AC155" s="73"/>
      <c r="AD155" s="74"/>
      <c r="AE155" s="72"/>
      <c r="AF155" s="73"/>
      <c r="AG155" s="73"/>
      <c r="AH155" s="75"/>
      <c r="AI155" s="93">
        <v>0</v>
      </c>
      <c r="AJ155" s="94">
        <v>0</v>
      </c>
      <c r="AK155" s="94">
        <v>0</v>
      </c>
      <c r="AL155" s="95">
        <v>0</v>
      </c>
      <c r="AM155" s="96">
        <v>0</v>
      </c>
      <c r="AN155" s="72"/>
      <c r="AO155" s="73"/>
      <c r="AP155" s="73"/>
      <c r="AQ155" s="74"/>
      <c r="AR155" s="72"/>
      <c r="AS155" s="73"/>
      <c r="AT155" s="73"/>
      <c r="AU155" s="75"/>
      <c r="AV155" s="93">
        <v>0</v>
      </c>
      <c r="AW155" s="94">
        <v>0</v>
      </c>
      <c r="AX155" s="94">
        <v>0</v>
      </c>
      <c r="AY155" s="95">
        <v>0</v>
      </c>
      <c r="AZ155" s="97">
        <v>1</v>
      </c>
      <c r="BA155" s="72"/>
      <c r="BB155" s="73"/>
      <c r="BC155" s="73"/>
      <c r="BD155" s="74"/>
      <c r="BE155" s="72"/>
      <c r="BF155" s="73"/>
      <c r="BG155" s="73"/>
      <c r="BH155" s="75"/>
      <c r="BI155" s="98">
        <v>0</v>
      </c>
      <c r="BJ155" s="99">
        <v>0</v>
      </c>
      <c r="BK155" s="100"/>
      <c r="BL155" s="100"/>
      <c r="BM155" s="62"/>
      <c r="BN155" s="80" t="e">
        <v>#VALUE!</v>
      </c>
      <c r="BO155" s="81" t="e">
        <v>#VALUE!</v>
      </c>
      <c r="BP155" s="82" t="e">
        <v>#VALUE!</v>
      </c>
      <c r="BQ155" s="82" t="e">
        <v>#VALUE!</v>
      </c>
      <c r="BR155" s="82" t="e">
        <v>#VALUE!</v>
      </c>
      <c r="BS155" s="80">
        <v>0</v>
      </c>
      <c r="BT155" s="83" t="s">
        <v>226</v>
      </c>
      <c r="BU155" s="61"/>
      <c r="BV155" s="84">
        <v>0</v>
      </c>
      <c r="BW155" s="84">
        <v>0</v>
      </c>
      <c r="BX155" s="84">
        <v>0</v>
      </c>
      <c r="BY155" s="84">
        <v>0</v>
      </c>
      <c r="BZ155" s="62"/>
      <c r="CA155" s="85"/>
      <c r="CB155" s="85"/>
      <c r="CC155" s="85"/>
      <c r="CD155" s="85"/>
      <c r="CE155" s="62"/>
      <c r="CF155" s="86">
        <v>0</v>
      </c>
      <c r="CG155" s="87">
        <v>0</v>
      </c>
      <c r="CH155" s="87">
        <v>0</v>
      </c>
      <c r="CI155" s="87">
        <v>0</v>
      </c>
      <c r="CJ155" s="87">
        <v>0</v>
      </c>
    </row>
    <row r="156" spans="1:88" x14ac:dyDescent="0.35">
      <c r="A156" s="88" t="s">
        <v>225</v>
      </c>
      <c r="B156" s="89">
        <v>155</v>
      </c>
      <c r="C156" s="102" t="s">
        <v>226</v>
      </c>
      <c r="D156" s="102" t="s">
        <v>226</v>
      </c>
      <c r="E156" s="103" t="s">
        <v>226</v>
      </c>
      <c r="F156" s="103" t="s">
        <v>226</v>
      </c>
      <c r="G156" s="103" t="s">
        <v>226</v>
      </c>
      <c r="H156" s="101"/>
      <c r="I156" s="93">
        <v>0</v>
      </c>
      <c r="J156" s="94">
        <v>0</v>
      </c>
      <c r="K156" s="94">
        <v>0</v>
      </c>
      <c r="L156" s="95">
        <v>0</v>
      </c>
      <c r="M156" s="96">
        <v>0</v>
      </c>
      <c r="N156" s="72"/>
      <c r="O156" s="73"/>
      <c r="P156" s="73"/>
      <c r="Q156" s="74"/>
      <c r="R156" s="72"/>
      <c r="S156" s="73"/>
      <c r="T156" s="73"/>
      <c r="U156" s="75"/>
      <c r="V156" s="93">
        <v>0</v>
      </c>
      <c r="W156" s="94">
        <v>0</v>
      </c>
      <c r="X156" s="94">
        <v>0</v>
      </c>
      <c r="Y156" s="95">
        <v>0</v>
      </c>
      <c r="Z156" s="96">
        <v>0</v>
      </c>
      <c r="AA156" s="72"/>
      <c r="AB156" s="73"/>
      <c r="AC156" s="73"/>
      <c r="AD156" s="74"/>
      <c r="AE156" s="72"/>
      <c r="AF156" s="73"/>
      <c r="AG156" s="73"/>
      <c r="AH156" s="75"/>
      <c r="AI156" s="93">
        <v>0</v>
      </c>
      <c r="AJ156" s="94">
        <v>0</v>
      </c>
      <c r="AK156" s="94">
        <v>0</v>
      </c>
      <c r="AL156" s="95">
        <v>0</v>
      </c>
      <c r="AM156" s="96">
        <v>0</v>
      </c>
      <c r="AN156" s="72"/>
      <c r="AO156" s="73"/>
      <c r="AP156" s="73"/>
      <c r="AQ156" s="74"/>
      <c r="AR156" s="72"/>
      <c r="AS156" s="73"/>
      <c r="AT156" s="73"/>
      <c r="AU156" s="75"/>
      <c r="AV156" s="93">
        <v>0</v>
      </c>
      <c r="AW156" s="94">
        <v>0</v>
      </c>
      <c r="AX156" s="94">
        <v>0</v>
      </c>
      <c r="AY156" s="95">
        <v>0</v>
      </c>
      <c r="AZ156" s="97">
        <v>1</v>
      </c>
      <c r="BA156" s="72"/>
      <c r="BB156" s="73"/>
      <c r="BC156" s="73"/>
      <c r="BD156" s="74"/>
      <c r="BE156" s="72"/>
      <c r="BF156" s="73"/>
      <c r="BG156" s="73"/>
      <c r="BH156" s="75"/>
      <c r="BI156" s="98">
        <v>0</v>
      </c>
      <c r="BJ156" s="99">
        <v>0</v>
      </c>
      <c r="BK156" s="100"/>
      <c r="BL156" s="100"/>
      <c r="BM156" s="62"/>
      <c r="BN156" s="80" t="e">
        <v>#VALUE!</v>
      </c>
      <c r="BO156" s="81" t="e">
        <v>#VALUE!</v>
      </c>
      <c r="BP156" s="82" t="e">
        <v>#VALUE!</v>
      </c>
      <c r="BQ156" s="82" t="e">
        <v>#VALUE!</v>
      </c>
      <c r="BR156" s="82" t="e">
        <v>#VALUE!</v>
      </c>
      <c r="BS156" s="80">
        <v>0</v>
      </c>
      <c r="BT156" s="83" t="s">
        <v>226</v>
      </c>
      <c r="BU156" s="61"/>
      <c r="BV156" s="84">
        <v>0</v>
      </c>
      <c r="BW156" s="84">
        <v>0</v>
      </c>
      <c r="BX156" s="84">
        <v>0</v>
      </c>
      <c r="BY156" s="84">
        <v>0</v>
      </c>
      <c r="BZ156" s="62"/>
      <c r="CA156" s="85"/>
      <c r="CB156" s="85"/>
      <c r="CC156" s="85"/>
      <c r="CD156" s="85"/>
      <c r="CE156" s="62"/>
      <c r="CF156" s="86">
        <v>0</v>
      </c>
      <c r="CG156" s="87">
        <v>0</v>
      </c>
      <c r="CH156" s="87">
        <v>0</v>
      </c>
      <c r="CI156" s="87">
        <v>0</v>
      </c>
      <c r="CJ156" s="87">
        <v>0</v>
      </c>
    </row>
    <row r="157" spans="1:88" x14ac:dyDescent="0.35">
      <c r="A157" s="88" t="s">
        <v>225</v>
      </c>
      <c r="B157" s="89">
        <v>156</v>
      </c>
      <c r="C157" s="102" t="s">
        <v>226</v>
      </c>
      <c r="D157" s="102" t="s">
        <v>226</v>
      </c>
      <c r="E157" s="103" t="s">
        <v>226</v>
      </c>
      <c r="F157" s="103" t="s">
        <v>226</v>
      </c>
      <c r="G157" s="103" t="s">
        <v>226</v>
      </c>
      <c r="H157" s="101"/>
      <c r="I157" s="93">
        <v>0</v>
      </c>
      <c r="J157" s="94">
        <v>0</v>
      </c>
      <c r="K157" s="94">
        <v>0</v>
      </c>
      <c r="L157" s="95">
        <v>0</v>
      </c>
      <c r="M157" s="96">
        <v>0</v>
      </c>
      <c r="N157" s="72"/>
      <c r="O157" s="73"/>
      <c r="P157" s="73"/>
      <c r="Q157" s="74"/>
      <c r="R157" s="72"/>
      <c r="S157" s="73"/>
      <c r="T157" s="73"/>
      <c r="U157" s="75"/>
      <c r="V157" s="93">
        <v>0</v>
      </c>
      <c r="W157" s="94">
        <v>0</v>
      </c>
      <c r="X157" s="94">
        <v>0</v>
      </c>
      <c r="Y157" s="95">
        <v>0</v>
      </c>
      <c r="Z157" s="96">
        <v>0</v>
      </c>
      <c r="AA157" s="72"/>
      <c r="AB157" s="73"/>
      <c r="AC157" s="73"/>
      <c r="AD157" s="74"/>
      <c r="AE157" s="72"/>
      <c r="AF157" s="73"/>
      <c r="AG157" s="73"/>
      <c r="AH157" s="75"/>
      <c r="AI157" s="93">
        <v>0</v>
      </c>
      <c r="AJ157" s="94">
        <v>0</v>
      </c>
      <c r="AK157" s="94">
        <v>0</v>
      </c>
      <c r="AL157" s="95">
        <v>0</v>
      </c>
      <c r="AM157" s="96">
        <v>0</v>
      </c>
      <c r="AN157" s="72"/>
      <c r="AO157" s="73"/>
      <c r="AP157" s="73"/>
      <c r="AQ157" s="74"/>
      <c r="AR157" s="72"/>
      <c r="AS157" s="73"/>
      <c r="AT157" s="73"/>
      <c r="AU157" s="75"/>
      <c r="AV157" s="93">
        <v>0</v>
      </c>
      <c r="AW157" s="94">
        <v>0</v>
      </c>
      <c r="AX157" s="94">
        <v>0</v>
      </c>
      <c r="AY157" s="95">
        <v>0</v>
      </c>
      <c r="AZ157" s="97">
        <v>1</v>
      </c>
      <c r="BA157" s="72"/>
      <c r="BB157" s="73"/>
      <c r="BC157" s="73"/>
      <c r="BD157" s="74"/>
      <c r="BE157" s="72"/>
      <c r="BF157" s="73"/>
      <c r="BG157" s="73"/>
      <c r="BH157" s="75"/>
      <c r="BI157" s="98">
        <v>0</v>
      </c>
      <c r="BJ157" s="99">
        <v>0</v>
      </c>
      <c r="BK157" s="100"/>
      <c r="BL157" s="100"/>
      <c r="BM157" s="62"/>
      <c r="BN157" s="80" t="e">
        <v>#VALUE!</v>
      </c>
      <c r="BO157" s="81" t="e">
        <v>#VALUE!</v>
      </c>
      <c r="BP157" s="82" t="e">
        <v>#VALUE!</v>
      </c>
      <c r="BQ157" s="82" t="e">
        <v>#VALUE!</v>
      </c>
      <c r="BR157" s="82" t="e">
        <v>#VALUE!</v>
      </c>
      <c r="BS157" s="80">
        <v>0</v>
      </c>
      <c r="BT157" s="83" t="s">
        <v>226</v>
      </c>
      <c r="BU157" s="61"/>
      <c r="BV157" s="84">
        <v>0</v>
      </c>
      <c r="BW157" s="84">
        <v>0</v>
      </c>
      <c r="BX157" s="84">
        <v>0</v>
      </c>
      <c r="BY157" s="84">
        <v>0</v>
      </c>
      <c r="BZ157" s="62"/>
      <c r="CA157" s="85"/>
      <c r="CB157" s="85"/>
      <c r="CC157" s="85"/>
      <c r="CD157" s="85"/>
      <c r="CE157" s="62"/>
      <c r="CF157" s="86">
        <v>0</v>
      </c>
      <c r="CG157" s="87">
        <v>0</v>
      </c>
      <c r="CH157" s="87">
        <v>0</v>
      </c>
      <c r="CI157" s="87">
        <v>0</v>
      </c>
      <c r="CJ157" s="87">
        <v>0</v>
      </c>
    </row>
    <row r="158" spans="1:88" x14ac:dyDescent="0.35">
      <c r="A158" s="88" t="s">
        <v>225</v>
      </c>
      <c r="B158" s="89">
        <v>157</v>
      </c>
      <c r="C158" s="102" t="s">
        <v>226</v>
      </c>
      <c r="D158" s="102" t="s">
        <v>226</v>
      </c>
      <c r="E158" s="103" t="s">
        <v>226</v>
      </c>
      <c r="F158" s="103" t="s">
        <v>226</v>
      </c>
      <c r="G158" s="103" t="s">
        <v>226</v>
      </c>
      <c r="H158" s="101"/>
      <c r="I158" s="93">
        <v>0</v>
      </c>
      <c r="J158" s="94">
        <v>0</v>
      </c>
      <c r="K158" s="94">
        <v>0</v>
      </c>
      <c r="L158" s="95">
        <v>0</v>
      </c>
      <c r="M158" s="96">
        <v>0</v>
      </c>
      <c r="N158" s="72"/>
      <c r="O158" s="73"/>
      <c r="P158" s="73"/>
      <c r="Q158" s="74"/>
      <c r="R158" s="72"/>
      <c r="S158" s="73"/>
      <c r="T158" s="73"/>
      <c r="U158" s="75"/>
      <c r="V158" s="93">
        <v>0</v>
      </c>
      <c r="W158" s="94">
        <v>0</v>
      </c>
      <c r="X158" s="94">
        <v>0</v>
      </c>
      <c r="Y158" s="95">
        <v>0</v>
      </c>
      <c r="Z158" s="96">
        <v>0</v>
      </c>
      <c r="AA158" s="72"/>
      <c r="AB158" s="73"/>
      <c r="AC158" s="73"/>
      <c r="AD158" s="74"/>
      <c r="AE158" s="72"/>
      <c r="AF158" s="73"/>
      <c r="AG158" s="73"/>
      <c r="AH158" s="75"/>
      <c r="AI158" s="93">
        <v>0</v>
      </c>
      <c r="AJ158" s="94">
        <v>0</v>
      </c>
      <c r="AK158" s="94">
        <v>0</v>
      </c>
      <c r="AL158" s="95">
        <v>0</v>
      </c>
      <c r="AM158" s="96">
        <v>0</v>
      </c>
      <c r="AN158" s="72"/>
      <c r="AO158" s="73"/>
      <c r="AP158" s="73"/>
      <c r="AQ158" s="74"/>
      <c r="AR158" s="72"/>
      <c r="AS158" s="73"/>
      <c r="AT158" s="73"/>
      <c r="AU158" s="75"/>
      <c r="AV158" s="93">
        <v>0</v>
      </c>
      <c r="AW158" s="94">
        <v>0</v>
      </c>
      <c r="AX158" s="94">
        <v>0</v>
      </c>
      <c r="AY158" s="95">
        <v>0</v>
      </c>
      <c r="AZ158" s="97">
        <v>1</v>
      </c>
      <c r="BA158" s="72"/>
      <c r="BB158" s="73"/>
      <c r="BC158" s="73"/>
      <c r="BD158" s="74"/>
      <c r="BE158" s="72"/>
      <c r="BF158" s="73"/>
      <c r="BG158" s="73"/>
      <c r="BH158" s="75"/>
      <c r="BI158" s="98">
        <v>0</v>
      </c>
      <c r="BJ158" s="99">
        <v>0</v>
      </c>
      <c r="BK158" s="100"/>
      <c r="BL158" s="100"/>
      <c r="BM158" s="62"/>
      <c r="BN158" s="80" t="e">
        <v>#VALUE!</v>
      </c>
      <c r="BO158" s="81" t="e">
        <v>#VALUE!</v>
      </c>
      <c r="BP158" s="82" t="e">
        <v>#VALUE!</v>
      </c>
      <c r="BQ158" s="82" t="e">
        <v>#VALUE!</v>
      </c>
      <c r="BR158" s="82" t="e">
        <v>#VALUE!</v>
      </c>
      <c r="BS158" s="80">
        <v>0</v>
      </c>
      <c r="BT158" s="83" t="s">
        <v>226</v>
      </c>
      <c r="BU158" s="61"/>
      <c r="BV158" s="84">
        <v>0</v>
      </c>
      <c r="BW158" s="84">
        <v>0</v>
      </c>
      <c r="BX158" s="84">
        <v>0</v>
      </c>
      <c r="BY158" s="84">
        <v>0</v>
      </c>
      <c r="BZ158" s="62"/>
      <c r="CA158" s="85"/>
      <c r="CB158" s="85"/>
      <c r="CC158" s="85"/>
      <c r="CD158" s="85"/>
      <c r="CE158" s="62"/>
      <c r="CF158" s="86">
        <v>0</v>
      </c>
      <c r="CG158" s="87">
        <v>0</v>
      </c>
      <c r="CH158" s="87">
        <v>0</v>
      </c>
      <c r="CI158" s="87">
        <v>0</v>
      </c>
      <c r="CJ158" s="87">
        <v>0</v>
      </c>
    </row>
    <row r="159" spans="1:88" x14ac:dyDescent="0.35">
      <c r="A159" s="88" t="s">
        <v>225</v>
      </c>
      <c r="B159" s="89">
        <v>158</v>
      </c>
      <c r="C159" s="102" t="s">
        <v>226</v>
      </c>
      <c r="D159" s="102" t="s">
        <v>226</v>
      </c>
      <c r="E159" s="103" t="s">
        <v>226</v>
      </c>
      <c r="F159" s="103" t="s">
        <v>226</v>
      </c>
      <c r="G159" s="103" t="s">
        <v>226</v>
      </c>
      <c r="H159" s="101"/>
      <c r="I159" s="93">
        <v>0</v>
      </c>
      <c r="J159" s="94">
        <v>0</v>
      </c>
      <c r="K159" s="94">
        <v>0</v>
      </c>
      <c r="L159" s="95">
        <v>0</v>
      </c>
      <c r="M159" s="96">
        <v>0</v>
      </c>
      <c r="N159" s="72"/>
      <c r="O159" s="73"/>
      <c r="P159" s="73"/>
      <c r="Q159" s="74"/>
      <c r="R159" s="72"/>
      <c r="S159" s="73"/>
      <c r="T159" s="73"/>
      <c r="U159" s="75"/>
      <c r="V159" s="93">
        <v>0</v>
      </c>
      <c r="W159" s="94">
        <v>0</v>
      </c>
      <c r="X159" s="94">
        <v>0</v>
      </c>
      <c r="Y159" s="95">
        <v>0</v>
      </c>
      <c r="Z159" s="96">
        <v>0</v>
      </c>
      <c r="AA159" s="72"/>
      <c r="AB159" s="73"/>
      <c r="AC159" s="73"/>
      <c r="AD159" s="74"/>
      <c r="AE159" s="72"/>
      <c r="AF159" s="73"/>
      <c r="AG159" s="73"/>
      <c r="AH159" s="75"/>
      <c r="AI159" s="93">
        <v>0</v>
      </c>
      <c r="AJ159" s="94">
        <v>0</v>
      </c>
      <c r="AK159" s="94">
        <v>0</v>
      </c>
      <c r="AL159" s="95">
        <v>0</v>
      </c>
      <c r="AM159" s="96">
        <v>0</v>
      </c>
      <c r="AN159" s="72"/>
      <c r="AO159" s="73"/>
      <c r="AP159" s="73"/>
      <c r="AQ159" s="74"/>
      <c r="AR159" s="72"/>
      <c r="AS159" s="73"/>
      <c r="AT159" s="73"/>
      <c r="AU159" s="75"/>
      <c r="AV159" s="93">
        <v>0</v>
      </c>
      <c r="AW159" s="94">
        <v>0</v>
      </c>
      <c r="AX159" s="94">
        <v>0</v>
      </c>
      <c r="AY159" s="95">
        <v>0</v>
      </c>
      <c r="AZ159" s="97">
        <v>1</v>
      </c>
      <c r="BA159" s="72"/>
      <c r="BB159" s="73"/>
      <c r="BC159" s="73"/>
      <c r="BD159" s="74"/>
      <c r="BE159" s="72"/>
      <c r="BF159" s="73"/>
      <c r="BG159" s="73"/>
      <c r="BH159" s="75"/>
      <c r="BI159" s="98">
        <v>0</v>
      </c>
      <c r="BJ159" s="99">
        <v>0</v>
      </c>
      <c r="BK159" s="100"/>
      <c r="BL159" s="100"/>
      <c r="BM159" s="62"/>
      <c r="BN159" s="80" t="e">
        <v>#VALUE!</v>
      </c>
      <c r="BO159" s="81" t="e">
        <v>#VALUE!</v>
      </c>
      <c r="BP159" s="82" t="e">
        <v>#VALUE!</v>
      </c>
      <c r="BQ159" s="82" t="e">
        <v>#VALUE!</v>
      </c>
      <c r="BR159" s="82" t="e">
        <v>#VALUE!</v>
      </c>
      <c r="BS159" s="80">
        <v>0</v>
      </c>
      <c r="BT159" s="83" t="s">
        <v>226</v>
      </c>
      <c r="BU159" s="61"/>
      <c r="BV159" s="84">
        <v>0</v>
      </c>
      <c r="BW159" s="84">
        <v>0</v>
      </c>
      <c r="BX159" s="84">
        <v>0</v>
      </c>
      <c r="BY159" s="84">
        <v>0</v>
      </c>
      <c r="BZ159" s="62"/>
      <c r="CA159" s="85"/>
      <c r="CB159" s="85"/>
      <c r="CC159" s="85"/>
      <c r="CD159" s="85"/>
      <c r="CE159" s="62"/>
      <c r="CF159" s="86">
        <v>0</v>
      </c>
      <c r="CG159" s="87">
        <v>0</v>
      </c>
      <c r="CH159" s="87">
        <v>0</v>
      </c>
      <c r="CI159" s="87">
        <v>0</v>
      </c>
      <c r="CJ159" s="87">
        <v>0</v>
      </c>
    </row>
    <row r="160" spans="1:88" x14ac:dyDescent="0.35">
      <c r="A160" s="88" t="s">
        <v>225</v>
      </c>
      <c r="B160" s="89">
        <v>159</v>
      </c>
      <c r="C160" s="102" t="s">
        <v>226</v>
      </c>
      <c r="D160" s="102" t="s">
        <v>226</v>
      </c>
      <c r="E160" s="103" t="s">
        <v>226</v>
      </c>
      <c r="F160" s="103" t="s">
        <v>226</v>
      </c>
      <c r="G160" s="103" t="s">
        <v>226</v>
      </c>
      <c r="H160" s="101"/>
      <c r="I160" s="93">
        <v>0</v>
      </c>
      <c r="J160" s="94">
        <v>0</v>
      </c>
      <c r="K160" s="94">
        <v>0</v>
      </c>
      <c r="L160" s="95">
        <v>0</v>
      </c>
      <c r="M160" s="96">
        <v>0</v>
      </c>
      <c r="N160" s="72"/>
      <c r="O160" s="73"/>
      <c r="P160" s="73"/>
      <c r="Q160" s="74"/>
      <c r="R160" s="72"/>
      <c r="S160" s="73"/>
      <c r="T160" s="73"/>
      <c r="U160" s="75"/>
      <c r="V160" s="93">
        <v>0</v>
      </c>
      <c r="W160" s="94">
        <v>0</v>
      </c>
      <c r="X160" s="94">
        <v>0</v>
      </c>
      <c r="Y160" s="95">
        <v>0</v>
      </c>
      <c r="Z160" s="96">
        <v>0</v>
      </c>
      <c r="AA160" s="72"/>
      <c r="AB160" s="73"/>
      <c r="AC160" s="73"/>
      <c r="AD160" s="74"/>
      <c r="AE160" s="72"/>
      <c r="AF160" s="73"/>
      <c r="AG160" s="73"/>
      <c r="AH160" s="75"/>
      <c r="AI160" s="93">
        <v>0</v>
      </c>
      <c r="AJ160" s="94">
        <v>0</v>
      </c>
      <c r="AK160" s="94">
        <v>0</v>
      </c>
      <c r="AL160" s="95">
        <v>0</v>
      </c>
      <c r="AM160" s="96">
        <v>0</v>
      </c>
      <c r="AN160" s="72"/>
      <c r="AO160" s="73"/>
      <c r="AP160" s="73"/>
      <c r="AQ160" s="74"/>
      <c r="AR160" s="72"/>
      <c r="AS160" s="73"/>
      <c r="AT160" s="73"/>
      <c r="AU160" s="75"/>
      <c r="AV160" s="93">
        <v>0</v>
      </c>
      <c r="AW160" s="94">
        <v>0</v>
      </c>
      <c r="AX160" s="94">
        <v>0</v>
      </c>
      <c r="AY160" s="95">
        <v>0</v>
      </c>
      <c r="AZ160" s="97">
        <v>1</v>
      </c>
      <c r="BA160" s="72"/>
      <c r="BB160" s="73"/>
      <c r="BC160" s="73"/>
      <c r="BD160" s="74"/>
      <c r="BE160" s="72"/>
      <c r="BF160" s="73"/>
      <c r="BG160" s="73"/>
      <c r="BH160" s="75"/>
      <c r="BI160" s="98">
        <v>0</v>
      </c>
      <c r="BJ160" s="99">
        <v>0</v>
      </c>
      <c r="BK160" s="100"/>
      <c r="BL160" s="100"/>
      <c r="BM160" s="62"/>
      <c r="BN160" s="80" t="e">
        <v>#VALUE!</v>
      </c>
      <c r="BO160" s="81" t="e">
        <v>#VALUE!</v>
      </c>
      <c r="BP160" s="82" t="e">
        <v>#VALUE!</v>
      </c>
      <c r="BQ160" s="82" t="e">
        <v>#VALUE!</v>
      </c>
      <c r="BR160" s="82" t="e">
        <v>#VALUE!</v>
      </c>
      <c r="BS160" s="80">
        <v>0</v>
      </c>
      <c r="BT160" s="83" t="s">
        <v>226</v>
      </c>
      <c r="BU160" s="61"/>
      <c r="BV160" s="84">
        <v>0</v>
      </c>
      <c r="BW160" s="84">
        <v>0</v>
      </c>
      <c r="BX160" s="84">
        <v>0</v>
      </c>
      <c r="BY160" s="84">
        <v>0</v>
      </c>
      <c r="BZ160" s="62"/>
      <c r="CA160" s="85"/>
      <c r="CB160" s="85"/>
      <c r="CC160" s="85"/>
      <c r="CD160" s="85"/>
      <c r="CE160" s="62"/>
      <c r="CF160" s="86">
        <v>0</v>
      </c>
      <c r="CG160" s="87">
        <v>0</v>
      </c>
      <c r="CH160" s="87">
        <v>0</v>
      </c>
      <c r="CI160" s="87">
        <v>0</v>
      </c>
      <c r="CJ160" s="87">
        <v>0</v>
      </c>
    </row>
    <row r="161" spans="1:88" x14ac:dyDescent="0.35">
      <c r="A161" s="88" t="s">
        <v>225</v>
      </c>
      <c r="B161" s="89">
        <v>160</v>
      </c>
      <c r="C161" s="102" t="s">
        <v>226</v>
      </c>
      <c r="D161" s="102" t="s">
        <v>226</v>
      </c>
      <c r="E161" s="103" t="s">
        <v>226</v>
      </c>
      <c r="F161" s="103" t="s">
        <v>226</v>
      </c>
      <c r="G161" s="103" t="s">
        <v>226</v>
      </c>
      <c r="H161" s="101"/>
      <c r="I161" s="93">
        <v>0</v>
      </c>
      <c r="J161" s="94">
        <v>0</v>
      </c>
      <c r="K161" s="94">
        <v>0</v>
      </c>
      <c r="L161" s="95">
        <v>0</v>
      </c>
      <c r="M161" s="96">
        <v>0</v>
      </c>
      <c r="N161" s="72"/>
      <c r="O161" s="73"/>
      <c r="P161" s="73"/>
      <c r="Q161" s="74"/>
      <c r="R161" s="72"/>
      <c r="S161" s="73"/>
      <c r="T161" s="73"/>
      <c r="U161" s="75"/>
      <c r="V161" s="93">
        <v>0</v>
      </c>
      <c r="W161" s="94">
        <v>0</v>
      </c>
      <c r="X161" s="94">
        <v>0</v>
      </c>
      <c r="Y161" s="95">
        <v>0</v>
      </c>
      <c r="Z161" s="96">
        <v>0</v>
      </c>
      <c r="AA161" s="72"/>
      <c r="AB161" s="73"/>
      <c r="AC161" s="73"/>
      <c r="AD161" s="74"/>
      <c r="AE161" s="72"/>
      <c r="AF161" s="73"/>
      <c r="AG161" s="73"/>
      <c r="AH161" s="75"/>
      <c r="AI161" s="93">
        <v>0</v>
      </c>
      <c r="AJ161" s="94">
        <v>0</v>
      </c>
      <c r="AK161" s="94">
        <v>0</v>
      </c>
      <c r="AL161" s="95">
        <v>0</v>
      </c>
      <c r="AM161" s="96">
        <v>0</v>
      </c>
      <c r="AN161" s="72"/>
      <c r="AO161" s="73"/>
      <c r="AP161" s="73"/>
      <c r="AQ161" s="74"/>
      <c r="AR161" s="72"/>
      <c r="AS161" s="73"/>
      <c r="AT161" s="73"/>
      <c r="AU161" s="75"/>
      <c r="AV161" s="93">
        <v>0</v>
      </c>
      <c r="AW161" s="94">
        <v>0</v>
      </c>
      <c r="AX161" s="94">
        <v>0</v>
      </c>
      <c r="AY161" s="95">
        <v>0</v>
      </c>
      <c r="AZ161" s="97">
        <v>1</v>
      </c>
      <c r="BA161" s="72"/>
      <c r="BB161" s="73"/>
      <c r="BC161" s="73"/>
      <c r="BD161" s="74"/>
      <c r="BE161" s="72"/>
      <c r="BF161" s="73"/>
      <c r="BG161" s="73"/>
      <c r="BH161" s="75"/>
      <c r="BI161" s="98">
        <v>0</v>
      </c>
      <c r="BJ161" s="99">
        <v>0</v>
      </c>
      <c r="BK161" s="100"/>
      <c r="BL161" s="100"/>
      <c r="BM161" s="62"/>
      <c r="BN161" s="80" t="e">
        <v>#VALUE!</v>
      </c>
      <c r="BO161" s="81" t="e">
        <v>#VALUE!</v>
      </c>
      <c r="BP161" s="82" t="e">
        <v>#VALUE!</v>
      </c>
      <c r="BQ161" s="82" t="e">
        <v>#VALUE!</v>
      </c>
      <c r="BR161" s="82" t="e">
        <v>#VALUE!</v>
      </c>
      <c r="BS161" s="80">
        <v>0</v>
      </c>
      <c r="BT161" s="83" t="s">
        <v>226</v>
      </c>
      <c r="BU161" s="61"/>
      <c r="BV161" s="84">
        <v>0</v>
      </c>
      <c r="BW161" s="84">
        <v>0</v>
      </c>
      <c r="BX161" s="84">
        <v>0</v>
      </c>
      <c r="BY161" s="84">
        <v>0</v>
      </c>
      <c r="BZ161" s="62"/>
      <c r="CA161" s="85"/>
      <c r="CB161" s="85"/>
      <c r="CC161" s="85"/>
      <c r="CD161" s="85"/>
      <c r="CE161" s="62"/>
      <c r="CF161" s="86">
        <v>0</v>
      </c>
      <c r="CG161" s="87">
        <v>0</v>
      </c>
      <c r="CH161" s="87">
        <v>0</v>
      </c>
      <c r="CI161" s="87">
        <v>0</v>
      </c>
      <c r="CJ161" s="87">
        <v>0</v>
      </c>
    </row>
    <row r="162" spans="1:88" x14ac:dyDescent="0.35">
      <c r="A162" s="88" t="s">
        <v>225</v>
      </c>
      <c r="B162" s="89">
        <v>161</v>
      </c>
      <c r="C162" s="102" t="s">
        <v>226</v>
      </c>
      <c r="D162" s="102" t="s">
        <v>226</v>
      </c>
      <c r="E162" s="103" t="s">
        <v>226</v>
      </c>
      <c r="F162" s="103" t="s">
        <v>226</v>
      </c>
      <c r="G162" s="103" t="s">
        <v>226</v>
      </c>
      <c r="H162" s="101"/>
      <c r="I162" s="93">
        <v>0</v>
      </c>
      <c r="J162" s="94">
        <v>0</v>
      </c>
      <c r="K162" s="94">
        <v>0</v>
      </c>
      <c r="L162" s="95">
        <v>0</v>
      </c>
      <c r="M162" s="96">
        <v>0</v>
      </c>
      <c r="N162" s="72"/>
      <c r="O162" s="73"/>
      <c r="P162" s="73"/>
      <c r="Q162" s="74"/>
      <c r="R162" s="72"/>
      <c r="S162" s="73"/>
      <c r="T162" s="73"/>
      <c r="U162" s="75"/>
      <c r="V162" s="93">
        <v>0</v>
      </c>
      <c r="W162" s="94">
        <v>0</v>
      </c>
      <c r="X162" s="94">
        <v>0</v>
      </c>
      <c r="Y162" s="95">
        <v>0</v>
      </c>
      <c r="Z162" s="96">
        <v>0</v>
      </c>
      <c r="AA162" s="72"/>
      <c r="AB162" s="73"/>
      <c r="AC162" s="73"/>
      <c r="AD162" s="74"/>
      <c r="AE162" s="72"/>
      <c r="AF162" s="73"/>
      <c r="AG162" s="73"/>
      <c r="AH162" s="75"/>
      <c r="AI162" s="93">
        <v>0</v>
      </c>
      <c r="AJ162" s="94">
        <v>0</v>
      </c>
      <c r="AK162" s="94">
        <v>0</v>
      </c>
      <c r="AL162" s="95">
        <v>0</v>
      </c>
      <c r="AM162" s="96">
        <v>0</v>
      </c>
      <c r="AN162" s="72"/>
      <c r="AO162" s="73"/>
      <c r="AP162" s="73"/>
      <c r="AQ162" s="74"/>
      <c r="AR162" s="72"/>
      <c r="AS162" s="73"/>
      <c r="AT162" s="73"/>
      <c r="AU162" s="75"/>
      <c r="AV162" s="93">
        <v>0</v>
      </c>
      <c r="AW162" s="94">
        <v>0</v>
      </c>
      <c r="AX162" s="94">
        <v>0</v>
      </c>
      <c r="AY162" s="95">
        <v>0</v>
      </c>
      <c r="AZ162" s="97">
        <v>1</v>
      </c>
      <c r="BA162" s="72"/>
      <c r="BB162" s="73"/>
      <c r="BC162" s="73"/>
      <c r="BD162" s="74"/>
      <c r="BE162" s="72"/>
      <c r="BF162" s="73"/>
      <c r="BG162" s="73"/>
      <c r="BH162" s="75"/>
      <c r="BI162" s="98">
        <v>0</v>
      </c>
      <c r="BJ162" s="99">
        <v>0</v>
      </c>
      <c r="BK162" s="100"/>
      <c r="BL162" s="100"/>
      <c r="BM162" s="62"/>
      <c r="BN162" s="80" t="e">
        <v>#VALUE!</v>
      </c>
      <c r="BO162" s="81" t="e">
        <v>#VALUE!</v>
      </c>
      <c r="BP162" s="82" t="e">
        <v>#VALUE!</v>
      </c>
      <c r="BQ162" s="82" t="e">
        <v>#VALUE!</v>
      </c>
      <c r="BR162" s="82" t="e">
        <v>#VALUE!</v>
      </c>
      <c r="BS162" s="80">
        <v>0</v>
      </c>
      <c r="BT162" s="83" t="s">
        <v>226</v>
      </c>
      <c r="BU162" s="61"/>
      <c r="BV162" s="84">
        <v>0</v>
      </c>
      <c r="BW162" s="84">
        <v>0</v>
      </c>
      <c r="BX162" s="84">
        <v>0</v>
      </c>
      <c r="BY162" s="84">
        <v>0</v>
      </c>
      <c r="BZ162" s="62"/>
      <c r="CA162" s="85"/>
      <c r="CB162" s="85"/>
      <c r="CC162" s="85"/>
      <c r="CD162" s="85"/>
      <c r="CE162" s="62"/>
      <c r="CF162" s="86">
        <v>0</v>
      </c>
      <c r="CG162" s="87">
        <v>0</v>
      </c>
      <c r="CH162" s="87">
        <v>0</v>
      </c>
      <c r="CI162" s="87">
        <v>0</v>
      </c>
      <c r="CJ162" s="87">
        <v>0</v>
      </c>
    </row>
    <row r="163" spans="1:88" x14ac:dyDescent="0.35">
      <c r="A163" s="88" t="s">
        <v>225</v>
      </c>
      <c r="B163" s="89">
        <v>162</v>
      </c>
      <c r="C163" s="102" t="s">
        <v>226</v>
      </c>
      <c r="D163" s="102" t="s">
        <v>226</v>
      </c>
      <c r="E163" s="103" t="s">
        <v>226</v>
      </c>
      <c r="F163" s="103" t="s">
        <v>226</v>
      </c>
      <c r="G163" s="103" t="s">
        <v>226</v>
      </c>
      <c r="H163" s="101"/>
      <c r="I163" s="93">
        <v>0</v>
      </c>
      <c r="J163" s="94">
        <v>0</v>
      </c>
      <c r="K163" s="94">
        <v>0</v>
      </c>
      <c r="L163" s="95">
        <v>0</v>
      </c>
      <c r="M163" s="96">
        <v>0</v>
      </c>
      <c r="N163" s="72"/>
      <c r="O163" s="73"/>
      <c r="P163" s="73"/>
      <c r="Q163" s="74"/>
      <c r="R163" s="72"/>
      <c r="S163" s="73"/>
      <c r="T163" s="73"/>
      <c r="U163" s="75"/>
      <c r="V163" s="93">
        <v>0</v>
      </c>
      <c r="W163" s="94">
        <v>0</v>
      </c>
      <c r="X163" s="94">
        <v>0</v>
      </c>
      <c r="Y163" s="95">
        <v>0</v>
      </c>
      <c r="Z163" s="96">
        <v>0</v>
      </c>
      <c r="AA163" s="72"/>
      <c r="AB163" s="73"/>
      <c r="AC163" s="73"/>
      <c r="AD163" s="74"/>
      <c r="AE163" s="72"/>
      <c r="AF163" s="73"/>
      <c r="AG163" s="73"/>
      <c r="AH163" s="75"/>
      <c r="AI163" s="93">
        <v>0</v>
      </c>
      <c r="AJ163" s="94">
        <v>0</v>
      </c>
      <c r="AK163" s="94">
        <v>0</v>
      </c>
      <c r="AL163" s="95">
        <v>0</v>
      </c>
      <c r="AM163" s="96">
        <v>0</v>
      </c>
      <c r="AN163" s="72"/>
      <c r="AO163" s="73"/>
      <c r="AP163" s="73"/>
      <c r="AQ163" s="74"/>
      <c r="AR163" s="72"/>
      <c r="AS163" s="73"/>
      <c r="AT163" s="73"/>
      <c r="AU163" s="75"/>
      <c r="AV163" s="93">
        <v>0</v>
      </c>
      <c r="AW163" s="94">
        <v>0</v>
      </c>
      <c r="AX163" s="94">
        <v>0</v>
      </c>
      <c r="AY163" s="95">
        <v>0</v>
      </c>
      <c r="AZ163" s="97">
        <v>1</v>
      </c>
      <c r="BA163" s="72"/>
      <c r="BB163" s="73"/>
      <c r="BC163" s="73"/>
      <c r="BD163" s="74"/>
      <c r="BE163" s="72"/>
      <c r="BF163" s="73"/>
      <c r="BG163" s="73"/>
      <c r="BH163" s="75"/>
      <c r="BI163" s="98">
        <v>0</v>
      </c>
      <c r="BJ163" s="99">
        <v>0</v>
      </c>
      <c r="BK163" s="100"/>
      <c r="BL163" s="100"/>
      <c r="BM163" s="62"/>
      <c r="BN163" s="80" t="e">
        <v>#VALUE!</v>
      </c>
      <c r="BO163" s="81" t="e">
        <v>#VALUE!</v>
      </c>
      <c r="BP163" s="82" t="e">
        <v>#VALUE!</v>
      </c>
      <c r="BQ163" s="82" t="e">
        <v>#VALUE!</v>
      </c>
      <c r="BR163" s="82" t="e">
        <v>#VALUE!</v>
      </c>
      <c r="BS163" s="80">
        <v>0</v>
      </c>
      <c r="BT163" s="83" t="s">
        <v>226</v>
      </c>
      <c r="BU163" s="61"/>
      <c r="BV163" s="84">
        <v>0</v>
      </c>
      <c r="BW163" s="84">
        <v>0</v>
      </c>
      <c r="BX163" s="84">
        <v>0</v>
      </c>
      <c r="BY163" s="84">
        <v>0</v>
      </c>
      <c r="BZ163" s="62"/>
      <c r="CA163" s="85"/>
      <c r="CB163" s="85"/>
      <c r="CC163" s="85"/>
      <c r="CD163" s="85"/>
      <c r="CE163" s="62"/>
      <c r="CF163" s="86">
        <v>0</v>
      </c>
      <c r="CG163" s="87">
        <v>0</v>
      </c>
      <c r="CH163" s="87">
        <v>0</v>
      </c>
      <c r="CI163" s="87">
        <v>0</v>
      </c>
      <c r="CJ163" s="87">
        <v>0</v>
      </c>
    </row>
    <row r="164" spans="1:88" x14ac:dyDescent="0.35">
      <c r="A164" s="88" t="s">
        <v>225</v>
      </c>
      <c r="B164" s="89">
        <v>163</v>
      </c>
      <c r="C164" s="102" t="s">
        <v>226</v>
      </c>
      <c r="D164" s="102" t="s">
        <v>226</v>
      </c>
      <c r="E164" s="103" t="s">
        <v>226</v>
      </c>
      <c r="F164" s="103" t="s">
        <v>226</v>
      </c>
      <c r="G164" s="103" t="s">
        <v>226</v>
      </c>
      <c r="H164" s="101"/>
      <c r="I164" s="93">
        <v>0</v>
      </c>
      <c r="J164" s="94">
        <v>0</v>
      </c>
      <c r="K164" s="94">
        <v>0</v>
      </c>
      <c r="L164" s="95">
        <v>0</v>
      </c>
      <c r="M164" s="96">
        <v>0</v>
      </c>
      <c r="N164" s="72"/>
      <c r="O164" s="73"/>
      <c r="P164" s="73"/>
      <c r="Q164" s="74"/>
      <c r="R164" s="72"/>
      <c r="S164" s="73"/>
      <c r="T164" s="73"/>
      <c r="U164" s="75"/>
      <c r="V164" s="93">
        <v>0</v>
      </c>
      <c r="W164" s="94">
        <v>0</v>
      </c>
      <c r="X164" s="94">
        <v>0</v>
      </c>
      <c r="Y164" s="95">
        <v>0</v>
      </c>
      <c r="Z164" s="96">
        <v>0</v>
      </c>
      <c r="AA164" s="72"/>
      <c r="AB164" s="73"/>
      <c r="AC164" s="73"/>
      <c r="AD164" s="74"/>
      <c r="AE164" s="72"/>
      <c r="AF164" s="73"/>
      <c r="AG164" s="73"/>
      <c r="AH164" s="75"/>
      <c r="AI164" s="93">
        <v>0</v>
      </c>
      <c r="AJ164" s="94">
        <v>0</v>
      </c>
      <c r="AK164" s="94">
        <v>0</v>
      </c>
      <c r="AL164" s="95">
        <v>0</v>
      </c>
      <c r="AM164" s="96">
        <v>0</v>
      </c>
      <c r="AN164" s="72"/>
      <c r="AO164" s="73"/>
      <c r="AP164" s="73"/>
      <c r="AQ164" s="74"/>
      <c r="AR164" s="72"/>
      <c r="AS164" s="73"/>
      <c r="AT164" s="73"/>
      <c r="AU164" s="75"/>
      <c r="AV164" s="93">
        <v>0</v>
      </c>
      <c r="AW164" s="94">
        <v>0</v>
      </c>
      <c r="AX164" s="94">
        <v>0</v>
      </c>
      <c r="AY164" s="95">
        <v>0</v>
      </c>
      <c r="AZ164" s="97">
        <v>1</v>
      </c>
      <c r="BA164" s="72"/>
      <c r="BB164" s="73"/>
      <c r="BC164" s="73"/>
      <c r="BD164" s="74"/>
      <c r="BE164" s="72"/>
      <c r="BF164" s="73"/>
      <c r="BG164" s="73"/>
      <c r="BH164" s="75"/>
      <c r="BI164" s="98">
        <v>0</v>
      </c>
      <c r="BJ164" s="99">
        <v>0</v>
      </c>
      <c r="BK164" s="100"/>
      <c r="BL164" s="100"/>
      <c r="BM164" s="62"/>
      <c r="BN164" s="80" t="e">
        <v>#VALUE!</v>
      </c>
      <c r="BO164" s="81" t="e">
        <v>#VALUE!</v>
      </c>
      <c r="BP164" s="82" t="e">
        <v>#VALUE!</v>
      </c>
      <c r="BQ164" s="82" t="e">
        <v>#VALUE!</v>
      </c>
      <c r="BR164" s="82" t="e">
        <v>#VALUE!</v>
      </c>
      <c r="BS164" s="80">
        <v>0</v>
      </c>
      <c r="BT164" s="83" t="s">
        <v>226</v>
      </c>
      <c r="BU164" s="61"/>
      <c r="BV164" s="84">
        <v>0</v>
      </c>
      <c r="BW164" s="84">
        <v>0</v>
      </c>
      <c r="BX164" s="84">
        <v>0</v>
      </c>
      <c r="BY164" s="84">
        <v>0</v>
      </c>
      <c r="BZ164" s="62"/>
      <c r="CA164" s="85"/>
      <c r="CB164" s="85"/>
      <c r="CC164" s="85"/>
      <c r="CD164" s="85"/>
      <c r="CE164" s="62"/>
      <c r="CF164" s="86">
        <v>0</v>
      </c>
      <c r="CG164" s="87">
        <v>0</v>
      </c>
      <c r="CH164" s="87">
        <v>0</v>
      </c>
      <c r="CI164" s="87">
        <v>0</v>
      </c>
      <c r="CJ164" s="87">
        <v>0</v>
      </c>
    </row>
    <row r="165" spans="1:88" x14ac:dyDescent="0.35">
      <c r="A165" s="88" t="s">
        <v>225</v>
      </c>
      <c r="B165" s="89">
        <v>164</v>
      </c>
      <c r="C165" s="102" t="s">
        <v>226</v>
      </c>
      <c r="D165" s="102" t="s">
        <v>226</v>
      </c>
      <c r="E165" s="103" t="s">
        <v>226</v>
      </c>
      <c r="F165" s="103" t="s">
        <v>226</v>
      </c>
      <c r="G165" s="103" t="s">
        <v>226</v>
      </c>
      <c r="H165" s="101"/>
      <c r="I165" s="93">
        <v>0</v>
      </c>
      <c r="J165" s="94">
        <v>0</v>
      </c>
      <c r="K165" s="94">
        <v>0</v>
      </c>
      <c r="L165" s="95">
        <v>0</v>
      </c>
      <c r="M165" s="96">
        <v>0</v>
      </c>
      <c r="N165" s="72"/>
      <c r="O165" s="73"/>
      <c r="P165" s="73"/>
      <c r="Q165" s="74"/>
      <c r="R165" s="72"/>
      <c r="S165" s="73"/>
      <c r="T165" s="73"/>
      <c r="U165" s="75"/>
      <c r="V165" s="93">
        <v>0</v>
      </c>
      <c r="W165" s="94">
        <v>0</v>
      </c>
      <c r="X165" s="94">
        <v>0</v>
      </c>
      <c r="Y165" s="95">
        <v>0</v>
      </c>
      <c r="Z165" s="96">
        <v>0</v>
      </c>
      <c r="AA165" s="72"/>
      <c r="AB165" s="73"/>
      <c r="AC165" s="73"/>
      <c r="AD165" s="74"/>
      <c r="AE165" s="72"/>
      <c r="AF165" s="73"/>
      <c r="AG165" s="73"/>
      <c r="AH165" s="75"/>
      <c r="AI165" s="93">
        <v>0</v>
      </c>
      <c r="AJ165" s="94">
        <v>0</v>
      </c>
      <c r="AK165" s="94">
        <v>0</v>
      </c>
      <c r="AL165" s="95">
        <v>0</v>
      </c>
      <c r="AM165" s="96">
        <v>0</v>
      </c>
      <c r="AN165" s="72"/>
      <c r="AO165" s="73"/>
      <c r="AP165" s="73"/>
      <c r="AQ165" s="74"/>
      <c r="AR165" s="72"/>
      <c r="AS165" s="73"/>
      <c r="AT165" s="73"/>
      <c r="AU165" s="75"/>
      <c r="AV165" s="93">
        <v>0</v>
      </c>
      <c r="AW165" s="94">
        <v>0</v>
      </c>
      <c r="AX165" s="94">
        <v>0</v>
      </c>
      <c r="AY165" s="95">
        <v>0</v>
      </c>
      <c r="AZ165" s="97">
        <v>1</v>
      </c>
      <c r="BA165" s="72"/>
      <c r="BB165" s="73"/>
      <c r="BC165" s="73"/>
      <c r="BD165" s="74"/>
      <c r="BE165" s="72"/>
      <c r="BF165" s="73"/>
      <c r="BG165" s="73"/>
      <c r="BH165" s="75"/>
      <c r="BI165" s="98">
        <v>0</v>
      </c>
      <c r="BJ165" s="99">
        <v>0</v>
      </c>
      <c r="BK165" s="100"/>
      <c r="BL165" s="100"/>
      <c r="BM165" s="62"/>
      <c r="BN165" s="80" t="e">
        <v>#VALUE!</v>
      </c>
      <c r="BO165" s="81" t="e">
        <v>#VALUE!</v>
      </c>
      <c r="BP165" s="82" t="e">
        <v>#VALUE!</v>
      </c>
      <c r="BQ165" s="82" t="e">
        <v>#VALUE!</v>
      </c>
      <c r="BR165" s="82" t="e">
        <v>#VALUE!</v>
      </c>
      <c r="BS165" s="80">
        <v>0</v>
      </c>
      <c r="BT165" s="83" t="s">
        <v>226</v>
      </c>
      <c r="BU165" s="61"/>
      <c r="BV165" s="84">
        <v>0</v>
      </c>
      <c r="BW165" s="84">
        <v>0</v>
      </c>
      <c r="BX165" s="84">
        <v>0</v>
      </c>
      <c r="BY165" s="84">
        <v>0</v>
      </c>
      <c r="BZ165" s="62"/>
      <c r="CA165" s="85"/>
      <c r="CB165" s="85"/>
      <c r="CC165" s="85"/>
      <c r="CD165" s="85"/>
      <c r="CE165" s="62"/>
      <c r="CF165" s="86">
        <v>0</v>
      </c>
      <c r="CG165" s="87">
        <v>0</v>
      </c>
      <c r="CH165" s="87">
        <v>0</v>
      </c>
      <c r="CI165" s="87">
        <v>0</v>
      </c>
      <c r="CJ165" s="87">
        <v>0</v>
      </c>
    </row>
    <row r="166" spans="1:88" x14ac:dyDescent="0.35">
      <c r="A166" s="88" t="s">
        <v>225</v>
      </c>
      <c r="B166" s="89">
        <v>165</v>
      </c>
      <c r="C166" s="102" t="s">
        <v>226</v>
      </c>
      <c r="D166" s="102" t="s">
        <v>226</v>
      </c>
      <c r="E166" s="103" t="s">
        <v>226</v>
      </c>
      <c r="F166" s="103" t="s">
        <v>226</v>
      </c>
      <c r="G166" s="103" t="s">
        <v>226</v>
      </c>
      <c r="H166" s="101"/>
      <c r="I166" s="93">
        <v>0</v>
      </c>
      <c r="J166" s="94">
        <v>0</v>
      </c>
      <c r="K166" s="94">
        <v>0</v>
      </c>
      <c r="L166" s="95">
        <v>0</v>
      </c>
      <c r="M166" s="96">
        <v>0</v>
      </c>
      <c r="N166" s="72"/>
      <c r="O166" s="73"/>
      <c r="P166" s="73"/>
      <c r="Q166" s="74"/>
      <c r="R166" s="72"/>
      <c r="S166" s="73"/>
      <c r="T166" s="73"/>
      <c r="U166" s="75"/>
      <c r="V166" s="93">
        <v>0</v>
      </c>
      <c r="W166" s="94">
        <v>0</v>
      </c>
      <c r="X166" s="94">
        <v>0</v>
      </c>
      <c r="Y166" s="95">
        <v>0</v>
      </c>
      <c r="Z166" s="96">
        <v>0</v>
      </c>
      <c r="AA166" s="72"/>
      <c r="AB166" s="73"/>
      <c r="AC166" s="73"/>
      <c r="AD166" s="74"/>
      <c r="AE166" s="72"/>
      <c r="AF166" s="73"/>
      <c r="AG166" s="73"/>
      <c r="AH166" s="75"/>
      <c r="AI166" s="93">
        <v>0</v>
      </c>
      <c r="AJ166" s="94">
        <v>0</v>
      </c>
      <c r="AK166" s="94">
        <v>0</v>
      </c>
      <c r="AL166" s="95">
        <v>0</v>
      </c>
      <c r="AM166" s="96">
        <v>0</v>
      </c>
      <c r="AN166" s="72"/>
      <c r="AO166" s="73"/>
      <c r="AP166" s="73"/>
      <c r="AQ166" s="74"/>
      <c r="AR166" s="72"/>
      <c r="AS166" s="73"/>
      <c r="AT166" s="73"/>
      <c r="AU166" s="75"/>
      <c r="AV166" s="93">
        <v>0</v>
      </c>
      <c r="AW166" s="94">
        <v>0</v>
      </c>
      <c r="AX166" s="94">
        <v>0</v>
      </c>
      <c r="AY166" s="95">
        <v>0</v>
      </c>
      <c r="AZ166" s="97">
        <v>1</v>
      </c>
      <c r="BA166" s="72"/>
      <c r="BB166" s="73"/>
      <c r="BC166" s="73"/>
      <c r="BD166" s="74"/>
      <c r="BE166" s="72"/>
      <c r="BF166" s="73"/>
      <c r="BG166" s="73"/>
      <c r="BH166" s="75"/>
      <c r="BI166" s="98">
        <v>0</v>
      </c>
      <c r="BJ166" s="99">
        <v>0</v>
      </c>
      <c r="BK166" s="100"/>
      <c r="BL166" s="100"/>
      <c r="BM166" s="62"/>
      <c r="BN166" s="80" t="e">
        <v>#VALUE!</v>
      </c>
      <c r="BO166" s="81" t="e">
        <v>#VALUE!</v>
      </c>
      <c r="BP166" s="82" t="e">
        <v>#VALUE!</v>
      </c>
      <c r="BQ166" s="82" t="e">
        <v>#VALUE!</v>
      </c>
      <c r="BR166" s="82" t="e">
        <v>#VALUE!</v>
      </c>
      <c r="BS166" s="80">
        <v>0</v>
      </c>
      <c r="BT166" s="83" t="s">
        <v>226</v>
      </c>
      <c r="BU166" s="61"/>
      <c r="BV166" s="84">
        <v>0</v>
      </c>
      <c r="BW166" s="84">
        <v>0</v>
      </c>
      <c r="BX166" s="84">
        <v>0</v>
      </c>
      <c r="BY166" s="84">
        <v>0</v>
      </c>
      <c r="BZ166" s="62"/>
      <c r="CA166" s="85"/>
      <c r="CB166" s="85"/>
      <c r="CC166" s="85"/>
      <c r="CD166" s="85"/>
      <c r="CE166" s="62"/>
      <c r="CF166" s="86">
        <v>0</v>
      </c>
      <c r="CG166" s="87">
        <v>0</v>
      </c>
      <c r="CH166" s="87">
        <v>0</v>
      </c>
      <c r="CI166" s="87">
        <v>0</v>
      </c>
      <c r="CJ166" s="87">
        <v>0</v>
      </c>
    </row>
    <row r="167" spans="1:88" x14ac:dyDescent="0.35">
      <c r="A167" s="88" t="s">
        <v>225</v>
      </c>
      <c r="B167" s="89">
        <v>166</v>
      </c>
      <c r="C167" s="102" t="s">
        <v>226</v>
      </c>
      <c r="D167" s="102" t="s">
        <v>226</v>
      </c>
      <c r="E167" s="103" t="s">
        <v>226</v>
      </c>
      <c r="F167" s="103" t="s">
        <v>226</v>
      </c>
      <c r="G167" s="103" t="s">
        <v>226</v>
      </c>
      <c r="H167" s="101"/>
      <c r="I167" s="93">
        <v>0</v>
      </c>
      <c r="J167" s="94">
        <v>0</v>
      </c>
      <c r="K167" s="94">
        <v>0</v>
      </c>
      <c r="L167" s="95">
        <v>0</v>
      </c>
      <c r="M167" s="96">
        <v>0</v>
      </c>
      <c r="N167" s="72"/>
      <c r="O167" s="73"/>
      <c r="P167" s="73"/>
      <c r="Q167" s="74"/>
      <c r="R167" s="72"/>
      <c r="S167" s="73"/>
      <c r="T167" s="73"/>
      <c r="U167" s="75"/>
      <c r="V167" s="93">
        <v>0</v>
      </c>
      <c r="W167" s="94">
        <v>0</v>
      </c>
      <c r="X167" s="94">
        <v>0</v>
      </c>
      <c r="Y167" s="95">
        <v>0</v>
      </c>
      <c r="Z167" s="96">
        <v>0</v>
      </c>
      <c r="AA167" s="72"/>
      <c r="AB167" s="73"/>
      <c r="AC167" s="73"/>
      <c r="AD167" s="74"/>
      <c r="AE167" s="72"/>
      <c r="AF167" s="73"/>
      <c r="AG167" s="73"/>
      <c r="AH167" s="75"/>
      <c r="AI167" s="93">
        <v>0</v>
      </c>
      <c r="AJ167" s="94">
        <v>0</v>
      </c>
      <c r="AK167" s="94">
        <v>0</v>
      </c>
      <c r="AL167" s="95">
        <v>0</v>
      </c>
      <c r="AM167" s="96">
        <v>0</v>
      </c>
      <c r="AN167" s="72"/>
      <c r="AO167" s="73"/>
      <c r="AP167" s="73"/>
      <c r="AQ167" s="74"/>
      <c r="AR167" s="72"/>
      <c r="AS167" s="73"/>
      <c r="AT167" s="73"/>
      <c r="AU167" s="75"/>
      <c r="AV167" s="93">
        <v>0</v>
      </c>
      <c r="AW167" s="94">
        <v>0</v>
      </c>
      <c r="AX167" s="94">
        <v>0</v>
      </c>
      <c r="AY167" s="95">
        <v>0</v>
      </c>
      <c r="AZ167" s="97">
        <v>1</v>
      </c>
      <c r="BA167" s="72"/>
      <c r="BB167" s="73"/>
      <c r="BC167" s="73"/>
      <c r="BD167" s="74"/>
      <c r="BE167" s="72"/>
      <c r="BF167" s="73"/>
      <c r="BG167" s="73"/>
      <c r="BH167" s="75"/>
      <c r="BI167" s="98">
        <v>0</v>
      </c>
      <c r="BJ167" s="99">
        <v>0</v>
      </c>
      <c r="BK167" s="100"/>
      <c r="BL167" s="100"/>
      <c r="BM167" s="62"/>
      <c r="BN167" s="80" t="e">
        <v>#VALUE!</v>
      </c>
      <c r="BO167" s="81" t="e">
        <v>#VALUE!</v>
      </c>
      <c r="BP167" s="82" t="e">
        <v>#VALUE!</v>
      </c>
      <c r="BQ167" s="82" t="e">
        <v>#VALUE!</v>
      </c>
      <c r="BR167" s="82" t="e">
        <v>#VALUE!</v>
      </c>
      <c r="BS167" s="80">
        <v>0</v>
      </c>
      <c r="BT167" s="83" t="s">
        <v>226</v>
      </c>
      <c r="BU167" s="61"/>
      <c r="BV167" s="84">
        <v>0</v>
      </c>
      <c r="BW167" s="84">
        <v>0</v>
      </c>
      <c r="BX167" s="84">
        <v>0</v>
      </c>
      <c r="BY167" s="84">
        <v>0</v>
      </c>
      <c r="BZ167" s="62"/>
      <c r="CA167" s="85"/>
      <c r="CB167" s="85"/>
      <c r="CC167" s="85"/>
      <c r="CD167" s="85"/>
      <c r="CE167" s="62"/>
      <c r="CF167" s="86">
        <v>0</v>
      </c>
      <c r="CG167" s="87">
        <v>0</v>
      </c>
      <c r="CH167" s="87">
        <v>0</v>
      </c>
      <c r="CI167" s="87">
        <v>0</v>
      </c>
      <c r="CJ167" s="87">
        <v>0</v>
      </c>
    </row>
    <row r="168" spans="1:88" x14ac:dyDescent="0.35">
      <c r="A168" s="88" t="s">
        <v>225</v>
      </c>
      <c r="B168" s="89">
        <v>167</v>
      </c>
      <c r="C168" s="102" t="s">
        <v>226</v>
      </c>
      <c r="D168" s="102" t="s">
        <v>226</v>
      </c>
      <c r="E168" s="103" t="s">
        <v>226</v>
      </c>
      <c r="F168" s="103" t="s">
        <v>226</v>
      </c>
      <c r="G168" s="103" t="s">
        <v>226</v>
      </c>
      <c r="H168" s="101"/>
      <c r="I168" s="93">
        <v>0</v>
      </c>
      <c r="J168" s="94">
        <v>0</v>
      </c>
      <c r="K168" s="94">
        <v>0</v>
      </c>
      <c r="L168" s="95">
        <v>0</v>
      </c>
      <c r="M168" s="96">
        <v>0</v>
      </c>
      <c r="N168" s="72"/>
      <c r="O168" s="73"/>
      <c r="P168" s="73"/>
      <c r="Q168" s="74"/>
      <c r="R168" s="72"/>
      <c r="S168" s="73"/>
      <c r="T168" s="73"/>
      <c r="U168" s="75"/>
      <c r="V168" s="93">
        <v>0</v>
      </c>
      <c r="W168" s="94">
        <v>0</v>
      </c>
      <c r="X168" s="94">
        <v>0</v>
      </c>
      <c r="Y168" s="95">
        <v>0</v>
      </c>
      <c r="Z168" s="96">
        <v>0</v>
      </c>
      <c r="AA168" s="72"/>
      <c r="AB168" s="73"/>
      <c r="AC168" s="73"/>
      <c r="AD168" s="74"/>
      <c r="AE168" s="72"/>
      <c r="AF168" s="73"/>
      <c r="AG168" s="73"/>
      <c r="AH168" s="75"/>
      <c r="AI168" s="93">
        <v>0</v>
      </c>
      <c r="AJ168" s="94">
        <v>0</v>
      </c>
      <c r="AK168" s="94">
        <v>0</v>
      </c>
      <c r="AL168" s="95">
        <v>0</v>
      </c>
      <c r="AM168" s="96">
        <v>0</v>
      </c>
      <c r="AN168" s="72"/>
      <c r="AO168" s="73"/>
      <c r="AP168" s="73"/>
      <c r="AQ168" s="74"/>
      <c r="AR168" s="72"/>
      <c r="AS168" s="73"/>
      <c r="AT168" s="73"/>
      <c r="AU168" s="75"/>
      <c r="AV168" s="93">
        <v>0</v>
      </c>
      <c r="AW168" s="94">
        <v>0</v>
      </c>
      <c r="AX168" s="94">
        <v>0</v>
      </c>
      <c r="AY168" s="95">
        <v>0</v>
      </c>
      <c r="AZ168" s="97">
        <v>1</v>
      </c>
      <c r="BA168" s="72"/>
      <c r="BB168" s="73"/>
      <c r="BC168" s="73"/>
      <c r="BD168" s="74"/>
      <c r="BE168" s="72"/>
      <c r="BF168" s="73"/>
      <c r="BG168" s="73"/>
      <c r="BH168" s="75"/>
      <c r="BI168" s="98">
        <v>0</v>
      </c>
      <c r="BJ168" s="99">
        <v>0</v>
      </c>
      <c r="BK168" s="100"/>
      <c r="BL168" s="100"/>
      <c r="BM168" s="62"/>
      <c r="BN168" s="80" t="e">
        <v>#VALUE!</v>
      </c>
      <c r="BO168" s="81" t="e">
        <v>#VALUE!</v>
      </c>
      <c r="BP168" s="82" t="e">
        <v>#VALUE!</v>
      </c>
      <c r="BQ168" s="82" t="e">
        <v>#VALUE!</v>
      </c>
      <c r="BR168" s="82" t="e">
        <v>#VALUE!</v>
      </c>
      <c r="BS168" s="80">
        <v>0</v>
      </c>
      <c r="BT168" s="83" t="s">
        <v>226</v>
      </c>
      <c r="BU168" s="61"/>
      <c r="BV168" s="84">
        <v>0</v>
      </c>
      <c r="BW168" s="84">
        <v>0</v>
      </c>
      <c r="BX168" s="84">
        <v>0</v>
      </c>
      <c r="BY168" s="84">
        <v>0</v>
      </c>
      <c r="BZ168" s="62"/>
      <c r="CA168" s="85"/>
      <c r="CB168" s="85"/>
      <c r="CC168" s="85"/>
      <c r="CD168" s="85"/>
      <c r="CE168" s="62"/>
      <c r="CF168" s="86">
        <v>0</v>
      </c>
      <c r="CG168" s="87">
        <v>0</v>
      </c>
      <c r="CH168" s="87">
        <v>0</v>
      </c>
      <c r="CI168" s="87">
        <v>0</v>
      </c>
      <c r="CJ168" s="87">
        <v>0</v>
      </c>
    </row>
    <row r="169" spans="1:88" x14ac:dyDescent="0.35">
      <c r="A169" s="88" t="s">
        <v>225</v>
      </c>
      <c r="B169" s="89">
        <v>168</v>
      </c>
      <c r="C169" s="102" t="s">
        <v>226</v>
      </c>
      <c r="D169" s="102" t="s">
        <v>226</v>
      </c>
      <c r="E169" s="103" t="s">
        <v>226</v>
      </c>
      <c r="F169" s="103" t="s">
        <v>226</v>
      </c>
      <c r="G169" s="103" t="s">
        <v>226</v>
      </c>
      <c r="H169" s="101"/>
      <c r="I169" s="93">
        <v>0</v>
      </c>
      <c r="J169" s="94">
        <v>0</v>
      </c>
      <c r="K169" s="94">
        <v>0</v>
      </c>
      <c r="L169" s="95">
        <v>0</v>
      </c>
      <c r="M169" s="96">
        <v>0</v>
      </c>
      <c r="N169" s="72"/>
      <c r="O169" s="73"/>
      <c r="P169" s="73"/>
      <c r="Q169" s="74"/>
      <c r="R169" s="72"/>
      <c r="S169" s="73"/>
      <c r="T169" s="73"/>
      <c r="U169" s="75"/>
      <c r="V169" s="93">
        <v>0</v>
      </c>
      <c r="W169" s="94">
        <v>0</v>
      </c>
      <c r="X169" s="94">
        <v>0</v>
      </c>
      <c r="Y169" s="95">
        <v>0</v>
      </c>
      <c r="Z169" s="96">
        <v>0</v>
      </c>
      <c r="AA169" s="72"/>
      <c r="AB169" s="73"/>
      <c r="AC169" s="73"/>
      <c r="AD169" s="74"/>
      <c r="AE169" s="72"/>
      <c r="AF169" s="73"/>
      <c r="AG169" s="73"/>
      <c r="AH169" s="75"/>
      <c r="AI169" s="93">
        <v>0</v>
      </c>
      <c r="AJ169" s="94">
        <v>0</v>
      </c>
      <c r="AK169" s="94">
        <v>0</v>
      </c>
      <c r="AL169" s="95">
        <v>0</v>
      </c>
      <c r="AM169" s="96">
        <v>0</v>
      </c>
      <c r="AN169" s="72"/>
      <c r="AO169" s="73"/>
      <c r="AP169" s="73"/>
      <c r="AQ169" s="74"/>
      <c r="AR169" s="72"/>
      <c r="AS169" s="73"/>
      <c r="AT169" s="73"/>
      <c r="AU169" s="75"/>
      <c r="AV169" s="93">
        <v>0</v>
      </c>
      <c r="AW169" s="94">
        <v>0</v>
      </c>
      <c r="AX169" s="94">
        <v>0</v>
      </c>
      <c r="AY169" s="95">
        <v>0</v>
      </c>
      <c r="AZ169" s="97">
        <v>1</v>
      </c>
      <c r="BA169" s="72"/>
      <c r="BB169" s="73"/>
      <c r="BC169" s="73"/>
      <c r="BD169" s="74"/>
      <c r="BE169" s="72"/>
      <c r="BF169" s="73"/>
      <c r="BG169" s="73"/>
      <c r="BH169" s="75"/>
      <c r="BI169" s="98">
        <v>0</v>
      </c>
      <c r="BJ169" s="99">
        <v>0</v>
      </c>
      <c r="BK169" s="100"/>
      <c r="BL169" s="100"/>
      <c r="BM169" s="62"/>
      <c r="BN169" s="80" t="e">
        <v>#VALUE!</v>
      </c>
      <c r="BO169" s="81" t="e">
        <v>#VALUE!</v>
      </c>
      <c r="BP169" s="82" t="e">
        <v>#VALUE!</v>
      </c>
      <c r="BQ169" s="82" t="e">
        <v>#VALUE!</v>
      </c>
      <c r="BR169" s="82" t="e">
        <v>#VALUE!</v>
      </c>
      <c r="BS169" s="80">
        <v>0</v>
      </c>
      <c r="BT169" s="83" t="s">
        <v>226</v>
      </c>
      <c r="BU169" s="61"/>
      <c r="BV169" s="84">
        <v>0</v>
      </c>
      <c r="BW169" s="84">
        <v>0</v>
      </c>
      <c r="BX169" s="84">
        <v>0</v>
      </c>
      <c r="BY169" s="84">
        <v>0</v>
      </c>
      <c r="BZ169" s="62"/>
      <c r="CA169" s="85"/>
      <c r="CB169" s="85"/>
      <c r="CC169" s="85"/>
      <c r="CD169" s="85"/>
      <c r="CE169" s="62"/>
      <c r="CF169" s="86">
        <v>0</v>
      </c>
      <c r="CG169" s="87">
        <v>0</v>
      </c>
      <c r="CH169" s="87">
        <v>0</v>
      </c>
      <c r="CI169" s="87">
        <v>0</v>
      </c>
      <c r="CJ169" s="87">
        <v>0</v>
      </c>
    </row>
    <row r="170" spans="1:88" x14ac:dyDescent="0.35">
      <c r="A170" s="88" t="s">
        <v>225</v>
      </c>
      <c r="B170" s="89">
        <v>169</v>
      </c>
      <c r="C170" s="102" t="s">
        <v>226</v>
      </c>
      <c r="D170" s="102" t="s">
        <v>226</v>
      </c>
      <c r="E170" s="103" t="s">
        <v>226</v>
      </c>
      <c r="F170" s="103" t="s">
        <v>226</v>
      </c>
      <c r="G170" s="103" t="s">
        <v>226</v>
      </c>
      <c r="H170" s="101"/>
      <c r="I170" s="93">
        <v>0</v>
      </c>
      <c r="J170" s="94">
        <v>0</v>
      </c>
      <c r="K170" s="94">
        <v>0</v>
      </c>
      <c r="L170" s="95">
        <v>0</v>
      </c>
      <c r="M170" s="96">
        <v>0</v>
      </c>
      <c r="N170" s="72"/>
      <c r="O170" s="73"/>
      <c r="P170" s="73"/>
      <c r="Q170" s="74"/>
      <c r="R170" s="72"/>
      <c r="S170" s="73"/>
      <c r="T170" s="73"/>
      <c r="U170" s="75"/>
      <c r="V170" s="93">
        <v>0</v>
      </c>
      <c r="W170" s="94">
        <v>0</v>
      </c>
      <c r="X170" s="94">
        <v>0</v>
      </c>
      <c r="Y170" s="95">
        <v>0</v>
      </c>
      <c r="Z170" s="96">
        <v>0</v>
      </c>
      <c r="AA170" s="72"/>
      <c r="AB170" s="73"/>
      <c r="AC170" s="73"/>
      <c r="AD170" s="74"/>
      <c r="AE170" s="72"/>
      <c r="AF170" s="73"/>
      <c r="AG170" s="73"/>
      <c r="AH170" s="75"/>
      <c r="AI170" s="93">
        <v>0</v>
      </c>
      <c r="AJ170" s="94">
        <v>0</v>
      </c>
      <c r="AK170" s="94">
        <v>0</v>
      </c>
      <c r="AL170" s="95">
        <v>0</v>
      </c>
      <c r="AM170" s="96">
        <v>0</v>
      </c>
      <c r="AN170" s="72"/>
      <c r="AO170" s="73"/>
      <c r="AP170" s="73"/>
      <c r="AQ170" s="74"/>
      <c r="AR170" s="72"/>
      <c r="AS170" s="73"/>
      <c r="AT170" s="73"/>
      <c r="AU170" s="75"/>
      <c r="AV170" s="93">
        <v>0</v>
      </c>
      <c r="AW170" s="94">
        <v>0</v>
      </c>
      <c r="AX170" s="94">
        <v>0</v>
      </c>
      <c r="AY170" s="95">
        <v>0</v>
      </c>
      <c r="AZ170" s="97">
        <v>1</v>
      </c>
      <c r="BA170" s="72"/>
      <c r="BB170" s="73"/>
      <c r="BC170" s="73"/>
      <c r="BD170" s="74"/>
      <c r="BE170" s="72"/>
      <c r="BF170" s="73"/>
      <c r="BG170" s="73"/>
      <c r="BH170" s="75"/>
      <c r="BI170" s="98">
        <v>0</v>
      </c>
      <c r="BJ170" s="99">
        <v>0</v>
      </c>
      <c r="BK170" s="100"/>
      <c r="BL170" s="100"/>
      <c r="BM170" s="62"/>
      <c r="BN170" s="80" t="e">
        <v>#VALUE!</v>
      </c>
      <c r="BO170" s="81" t="e">
        <v>#VALUE!</v>
      </c>
      <c r="BP170" s="82" t="e">
        <v>#VALUE!</v>
      </c>
      <c r="BQ170" s="82" t="e">
        <v>#VALUE!</v>
      </c>
      <c r="BR170" s="82" t="e">
        <v>#VALUE!</v>
      </c>
      <c r="BS170" s="80">
        <v>0</v>
      </c>
      <c r="BT170" s="83" t="s">
        <v>226</v>
      </c>
      <c r="BU170" s="61"/>
      <c r="BV170" s="84">
        <v>0</v>
      </c>
      <c r="BW170" s="84">
        <v>0</v>
      </c>
      <c r="BX170" s="84">
        <v>0</v>
      </c>
      <c r="BY170" s="84">
        <v>0</v>
      </c>
      <c r="BZ170" s="62"/>
      <c r="CA170" s="85"/>
      <c r="CB170" s="85"/>
      <c r="CC170" s="85"/>
      <c r="CD170" s="85"/>
      <c r="CE170" s="62"/>
      <c r="CF170" s="86">
        <v>0</v>
      </c>
      <c r="CG170" s="87">
        <v>0</v>
      </c>
      <c r="CH170" s="87">
        <v>0</v>
      </c>
      <c r="CI170" s="87">
        <v>0</v>
      </c>
      <c r="CJ170" s="87">
        <v>0</v>
      </c>
    </row>
    <row r="171" spans="1:88" x14ac:dyDescent="0.35">
      <c r="A171" s="88" t="s">
        <v>225</v>
      </c>
      <c r="B171" s="89">
        <v>170</v>
      </c>
      <c r="C171" s="102" t="s">
        <v>226</v>
      </c>
      <c r="D171" s="102" t="s">
        <v>226</v>
      </c>
      <c r="E171" s="103" t="s">
        <v>226</v>
      </c>
      <c r="F171" s="103" t="s">
        <v>226</v>
      </c>
      <c r="G171" s="103" t="s">
        <v>226</v>
      </c>
      <c r="H171" s="101"/>
      <c r="I171" s="93">
        <v>0</v>
      </c>
      <c r="J171" s="94">
        <v>0</v>
      </c>
      <c r="K171" s="94">
        <v>0</v>
      </c>
      <c r="L171" s="95">
        <v>0</v>
      </c>
      <c r="M171" s="96">
        <v>0</v>
      </c>
      <c r="N171" s="72"/>
      <c r="O171" s="73"/>
      <c r="P171" s="73"/>
      <c r="Q171" s="74"/>
      <c r="R171" s="72"/>
      <c r="S171" s="73"/>
      <c r="T171" s="73"/>
      <c r="U171" s="75"/>
      <c r="V171" s="93">
        <v>0</v>
      </c>
      <c r="W171" s="94">
        <v>0</v>
      </c>
      <c r="X171" s="94">
        <v>0</v>
      </c>
      <c r="Y171" s="95">
        <v>0</v>
      </c>
      <c r="Z171" s="96">
        <v>0</v>
      </c>
      <c r="AA171" s="72"/>
      <c r="AB171" s="73"/>
      <c r="AC171" s="73"/>
      <c r="AD171" s="74"/>
      <c r="AE171" s="72"/>
      <c r="AF171" s="73"/>
      <c r="AG171" s="73"/>
      <c r="AH171" s="75"/>
      <c r="AI171" s="93">
        <v>0</v>
      </c>
      <c r="AJ171" s="94">
        <v>0</v>
      </c>
      <c r="AK171" s="94">
        <v>0</v>
      </c>
      <c r="AL171" s="95">
        <v>0</v>
      </c>
      <c r="AM171" s="96">
        <v>0</v>
      </c>
      <c r="AN171" s="72"/>
      <c r="AO171" s="73"/>
      <c r="AP171" s="73"/>
      <c r="AQ171" s="74"/>
      <c r="AR171" s="72"/>
      <c r="AS171" s="73"/>
      <c r="AT171" s="73"/>
      <c r="AU171" s="75"/>
      <c r="AV171" s="93">
        <v>0</v>
      </c>
      <c r="AW171" s="94">
        <v>0</v>
      </c>
      <c r="AX171" s="94">
        <v>0</v>
      </c>
      <c r="AY171" s="95">
        <v>0</v>
      </c>
      <c r="AZ171" s="97">
        <v>1</v>
      </c>
      <c r="BA171" s="72"/>
      <c r="BB171" s="73"/>
      <c r="BC171" s="73"/>
      <c r="BD171" s="74"/>
      <c r="BE171" s="72"/>
      <c r="BF171" s="73"/>
      <c r="BG171" s="73"/>
      <c r="BH171" s="75"/>
      <c r="BI171" s="98">
        <v>0</v>
      </c>
      <c r="BJ171" s="99">
        <v>0</v>
      </c>
      <c r="BK171" s="100"/>
      <c r="BL171" s="100"/>
      <c r="BM171" s="62"/>
      <c r="BN171" s="80" t="e">
        <v>#VALUE!</v>
      </c>
      <c r="BO171" s="81" t="e">
        <v>#VALUE!</v>
      </c>
      <c r="BP171" s="82" t="e">
        <v>#VALUE!</v>
      </c>
      <c r="BQ171" s="82" t="e">
        <v>#VALUE!</v>
      </c>
      <c r="BR171" s="82" t="e">
        <v>#VALUE!</v>
      </c>
      <c r="BS171" s="80">
        <v>0</v>
      </c>
      <c r="BT171" s="83" t="s">
        <v>226</v>
      </c>
      <c r="BU171" s="61"/>
      <c r="BV171" s="84">
        <v>0</v>
      </c>
      <c r="BW171" s="84">
        <v>0</v>
      </c>
      <c r="BX171" s="84">
        <v>0</v>
      </c>
      <c r="BY171" s="84">
        <v>0</v>
      </c>
      <c r="BZ171" s="62"/>
      <c r="CA171" s="85"/>
      <c r="CB171" s="85"/>
      <c r="CC171" s="85"/>
      <c r="CD171" s="85"/>
      <c r="CE171" s="62"/>
      <c r="CF171" s="86">
        <v>0</v>
      </c>
      <c r="CG171" s="87">
        <v>0</v>
      </c>
      <c r="CH171" s="87">
        <v>0</v>
      </c>
      <c r="CI171" s="87">
        <v>0</v>
      </c>
      <c r="CJ171" s="87">
        <v>0</v>
      </c>
    </row>
    <row r="172" spans="1:88" x14ac:dyDescent="0.35">
      <c r="A172" s="88" t="s">
        <v>225</v>
      </c>
      <c r="B172" s="89">
        <v>171</v>
      </c>
      <c r="C172" s="102" t="s">
        <v>226</v>
      </c>
      <c r="D172" s="102" t="s">
        <v>226</v>
      </c>
      <c r="E172" s="103" t="s">
        <v>226</v>
      </c>
      <c r="F172" s="103" t="s">
        <v>226</v>
      </c>
      <c r="G172" s="103" t="s">
        <v>226</v>
      </c>
      <c r="H172" s="101"/>
      <c r="I172" s="93">
        <v>0</v>
      </c>
      <c r="J172" s="94">
        <v>0</v>
      </c>
      <c r="K172" s="94">
        <v>0</v>
      </c>
      <c r="L172" s="95">
        <v>0</v>
      </c>
      <c r="M172" s="96">
        <v>0</v>
      </c>
      <c r="N172" s="72"/>
      <c r="O172" s="73"/>
      <c r="P172" s="73"/>
      <c r="Q172" s="74"/>
      <c r="R172" s="72"/>
      <c r="S172" s="73"/>
      <c r="T172" s="73"/>
      <c r="U172" s="75"/>
      <c r="V172" s="93">
        <v>0</v>
      </c>
      <c r="W172" s="94">
        <v>0</v>
      </c>
      <c r="X172" s="94">
        <v>0</v>
      </c>
      <c r="Y172" s="95">
        <v>0</v>
      </c>
      <c r="Z172" s="96">
        <v>0</v>
      </c>
      <c r="AA172" s="72"/>
      <c r="AB172" s="73"/>
      <c r="AC172" s="73"/>
      <c r="AD172" s="74"/>
      <c r="AE172" s="72"/>
      <c r="AF172" s="73"/>
      <c r="AG172" s="73"/>
      <c r="AH172" s="75"/>
      <c r="AI172" s="93">
        <v>0</v>
      </c>
      <c r="AJ172" s="94">
        <v>0</v>
      </c>
      <c r="AK172" s="94">
        <v>0</v>
      </c>
      <c r="AL172" s="95">
        <v>0</v>
      </c>
      <c r="AM172" s="96">
        <v>0</v>
      </c>
      <c r="AN172" s="72"/>
      <c r="AO172" s="73"/>
      <c r="AP172" s="73"/>
      <c r="AQ172" s="74"/>
      <c r="AR172" s="72"/>
      <c r="AS172" s="73"/>
      <c r="AT172" s="73"/>
      <c r="AU172" s="75"/>
      <c r="AV172" s="93">
        <v>0</v>
      </c>
      <c r="AW172" s="94">
        <v>0</v>
      </c>
      <c r="AX172" s="94">
        <v>0</v>
      </c>
      <c r="AY172" s="95">
        <v>0</v>
      </c>
      <c r="AZ172" s="97">
        <v>1</v>
      </c>
      <c r="BA172" s="72"/>
      <c r="BB172" s="73"/>
      <c r="BC172" s="73"/>
      <c r="BD172" s="74"/>
      <c r="BE172" s="72"/>
      <c r="BF172" s="73"/>
      <c r="BG172" s="73"/>
      <c r="BH172" s="75"/>
      <c r="BI172" s="98">
        <v>0</v>
      </c>
      <c r="BJ172" s="99">
        <v>0</v>
      </c>
      <c r="BK172" s="100"/>
      <c r="BL172" s="100"/>
      <c r="BM172" s="62"/>
      <c r="BN172" s="80" t="e">
        <v>#VALUE!</v>
      </c>
      <c r="BO172" s="81" t="e">
        <v>#VALUE!</v>
      </c>
      <c r="BP172" s="82" t="e">
        <v>#VALUE!</v>
      </c>
      <c r="BQ172" s="82" t="e">
        <v>#VALUE!</v>
      </c>
      <c r="BR172" s="82" t="e">
        <v>#VALUE!</v>
      </c>
      <c r="BS172" s="80">
        <v>0</v>
      </c>
      <c r="BT172" s="83" t="s">
        <v>226</v>
      </c>
      <c r="BU172" s="61"/>
      <c r="BV172" s="84">
        <v>0</v>
      </c>
      <c r="BW172" s="84">
        <v>0</v>
      </c>
      <c r="BX172" s="84">
        <v>0</v>
      </c>
      <c r="BY172" s="84">
        <v>0</v>
      </c>
      <c r="BZ172" s="62"/>
      <c r="CA172" s="85"/>
      <c r="CB172" s="85"/>
      <c r="CC172" s="85"/>
      <c r="CD172" s="85"/>
      <c r="CE172" s="62"/>
      <c r="CF172" s="86">
        <v>0</v>
      </c>
      <c r="CG172" s="87">
        <v>0</v>
      </c>
      <c r="CH172" s="87">
        <v>0</v>
      </c>
      <c r="CI172" s="87">
        <v>0</v>
      </c>
      <c r="CJ172" s="87">
        <v>0</v>
      </c>
    </row>
    <row r="173" spans="1:88" x14ac:dyDescent="0.35">
      <c r="A173" s="88" t="s">
        <v>225</v>
      </c>
      <c r="B173" s="89">
        <v>172</v>
      </c>
      <c r="C173" s="102" t="s">
        <v>226</v>
      </c>
      <c r="D173" s="102" t="s">
        <v>226</v>
      </c>
      <c r="E173" s="103" t="s">
        <v>226</v>
      </c>
      <c r="F173" s="103" t="s">
        <v>226</v>
      </c>
      <c r="G173" s="103" t="s">
        <v>226</v>
      </c>
      <c r="H173" s="101"/>
      <c r="I173" s="93">
        <v>0</v>
      </c>
      <c r="J173" s="94">
        <v>0</v>
      </c>
      <c r="K173" s="94">
        <v>0</v>
      </c>
      <c r="L173" s="95">
        <v>0</v>
      </c>
      <c r="M173" s="96">
        <v>0</v>
      </c>
      <c r="N173" s="72"/>
      <c r="O173" s="73"/>
      <c r="P173" s="73"/>
      <c r="Q173" s="74"/>
      <c r="R173" s="72"/>
      <c r="S173" s="73"/>
      <c r="T173" s="73"/>
      <c r="U173" s="75"/>
      <c r="V173" s="93">
        <v>0</v>
      </c>
      <c r="W173" s="94">
        <v>0</v>
      </c>
      <c r="X173" s="94">
        <v>0</v>
      </c>
      <c r="Y173" s="95">
        <v>0</v>
      </c>
      <c r="Z173" s="96">
        <v>0</v>
      </c>
      <c r="AA173" s="72"/>
      <c r="AB173" s="73"/>
      <c r="AC173" s="73"/>
      <c r="AD173" s="74"/>
      <c r="AE173" s="72"/>
      <c r="AF173" s="73"/>
      <c r="AG173" s="73"/>
      <c r="AH173" s="75"/>
      <c r="AI173" s="93">
        <v>0</v>
      </c>
      <c r="AJ173" s="94">
        <v>0</v>
      </c>
      <c r="AK173" s="94">
        <v>0</v>
      </c>
      <c r="AL173" s="95">
        <v>0</v>
      </c>
      <c r="AM173" s="96">
        <v>0</v>
      </c>
      <c r="AN173" s="72"/>
      <c r="AO173" s="73"/>
      <c r="AP173" s="73"/>
      <c r="AQ173" s="74"/>
      <c r="AR173" s="72"/>
      <c r="AS173" s="73"/>
      <c r="AT173" s="73"/>
      <c r="AU173" s="75"/>
      <c r="AV173" s="93">
        <v>0</v>
      </c>
      <c r="AW173" s="94">
        <v>0</v>
      </c>
      <c r="AX173" s="94">
        <v>0</v>
      </c>
      <c r="AY173" s="95">
        <v>0</v>
      </c>
      <c r="AZ173" s="97">
        <v>1</v>
      </c>
      <c r="BA173" s="72"/>
      <c r="BB173" s="73"/>
      <c r="BC173" s="73"/>
      <c r="BD173" s="74"/>
      <c r="BE173" s="72"/>
      <c r="BF173" s="73"/>
      <c r="BG173" s="73"/>
      <c r="BH173" s="75"/>
      <c r="BI173" s="98">
        <v>0</v>
      </c>
      <c r="BJ173" s="99">
        <v>0</v>
      </c>
      <c r="BK173" s="100"/>
      <c r="BL173" s="100"/>
      <c r="BM173" s="62"/>
      <c r="BN173" s="80" t="e">
        <v>#VALUE!</v>
      </c>
      <c r="BO173" s="81" t="e">
        <v>#VALUE!</v>
      </c>
      <c r="BP173" s="82" t="e">
        <v>#VALUE!</v>
      </c>
      <c r="BQ173" s="82" t="e">
        <v>#VALUE!</v>
      </c>
      <c r="BR173" s="82" t="e">
        <v>#VALUE!</v>
      </c>
      <c r="BS173" s="80">
        <v>0</v>
      </c>
      <c r="BT173" s="83" t="s">
        <v>226</v>
      </c>
      <c r="BU173" s="61"/>
      <c r="BV173" s="84">
        <v>0</v>
      </c>
      <c r="BW173" s="84">
        <v>0</v>
      </c>
      <c r="BX173" s="84">
        <v>0</v>
      </c>
      <c r="BY173" s="84">
        <v>0</v>
      </c>
      <c r="BZ173" s="62"/>
      <c r="CA173" s="85"/>
      <c r="CB173" s="85"/>
      <c r="CC173" s="85"/>
      <c r="CD173" s="85"/>
      <c r="CE173" s="62"/>
      <c r="CF173" s="86">
        <v>0</v>
      </c>
      <c r="CG173" s="87">
        <v>0</v>
      </c>
      <c r="CH173" s="87">
        <v>0</v>
      </c>
      <c r="CI173" s="87">
        <v>0</v>
      </c>
      <c r="CJ173" s="87">
        <v>0</v>
      </c>
    </row>
    <row r="174" spans="1:88" x14ac:dyDescent="0.35">
      <c r="A174" s="88" t="s">
        <v>225</v>
      </c>
      <c r="B174" s="89">
        <v>173</v>
      </c>
      <c r="C174" s="102" t="s">
        <v>226</v>
      </c>
      <c r="D174" s="102" t="s">
        <v>226</v>
      </c>
      <c r="E174" s="103" t="s">
        <v>226</v>
      </c>
      <c r="F174" s="103" t="s">
        <v>226</v>
      </c>
      <c r="G174" s="103" t="s">
        <v>226</v>
      </c>
      <c r="H174" s="101"/>
      <c r="I174" s="93">
        <v>0</v>
      </c>
      <c r="J174" s="94">
        <v>0</v>
      </c>
      <c r="K174" s="94">
        <v>0</v>
      </c>
      <c r="L174" s="95">
        <v>0</v>
      </c>
      <c r="M174" s="96">
        <v>0</v>
      </c>
      <c r="N174" s="72"/>
      <c r="O174" s="73"/>
      <c r="P174" s="73"/>
      <c r="Q174" s="74"/>
      <c r="R174" s="72"/>
      <c r="S174" s="73"/>
      <c r="T174" s="73"/>
      <c r="U174" s="75"/>
      <c r="V174" s="93">
        <v>0</v>
      </c>
      <c r="W174" s="94">
        <v>0</v>
      </c>
      <c r="X174" s="94">
        <v>0</v>
      </c>
      <c r="Y174" s="95">
        <v>0</v>
      </c>
      <c r="Z174" s="96">
        <v>0</v>
      </c>
      <c r="AA174" s="72"/>
      <c r="AB174" s="73"/>
      <c r="AC174" s="73"/>
      <c r="AD174" s="74"/>
      <c r="AE174" s="72"/>
      <c r="AF174" s="73"/>
      <c r="AG174" s="73"/>
      <c r="AH174" s="75"/>
      <c r="AI174" s="93">
        <v>0</v>
      </c>
      <c r="AJ174" s="94">
        <v>0</v>
      </c>
      <c r="AK174" s="94">
        <v>0</v>
      </c>
      <c r="AL174" s="95">
        <v>0</v>
      </c>
      <c r="AM174" s="96">
        <v>0</v>
      </c>
      <c r="AN174" s="72"/>
      <c r="AO174" s="73"/>
      <c r="AP174" s="73"/>
      <c r="AQ174" s="74"/>
      <c r="AR174" s="72"/>
      <c r="AS174" s="73"/>
      <c r="AT174" s="73"/>
      <c r="AU174" s="75"/>
      <c r="AV174" s="93">
        <v>0</v>
      </c>
      <c r="AW174" s="94">
        <v>0</v>
      </c>
      <c r="AX174" s="94">
        <v>0</v>
      </c>
      <c r="AY174" s="95">
        <v>0</v>
      </c>
      <c r="AZ174" s="97">
        <v>1</v>
      </c>
      <c r="BA174" s="72"/>
      <c r="BB174" s="73"/>
      <c r="BC174" s="73"/>
      <c r="BD174" s="74"/>
      <c r="BE174" s="72"/>
      <c r="BF174" s="73"/>
      <c r="BG174" s="73"/>
      <c r="BH174" s="75"/>
      <c r="BI174" s="98">
        <v>0</v>
      </c>
      <c r="BJ174" s="99">
        <v>0</v>
      </c>
      <c r="BK174" s="100"/>
      <c r="BL174" s="100"/>
      <c r="BM174" s="62"/>
      <c r="BN174" s="80" t="e">
        <v>#VALUE!</v>
      </c>
      <c r="BO174" s="81" t="e">
        <v>#VALUE!</v>
      </c>
      <c r="BP174" s="82" t="e">
        <v>#VALUE!</v>
      </c>
      <c r="BQ174" s="82" t="e">
        <v>#VALUE!</v>
      </c>
      <c r="BR174" s="82" t="e">
        <v>#VALUE!</v>
      </c>
      <c r="BS174" s="80">
        <v>0</v>
      </c>
      <c r="BT174" s="83" t="s">
        <v>226</v>
      </c>
      <c r="BU174" s="61"/>
      <c r="BV174" s="84">
        <v>0</v>
      </c>
      <c r="BW174" s="84">
        <v>0</v>
      </c>
      <c r="BX174" s="84">
        <v>0</v>
      </c>
      <c r="BY174" s="84">
        <v>0</v>
      </c>
      <c r="BZ174" s="62"/>
      <c r="CA174" s="85"/>
      <c r="CB174" s="85"/>
      <c r="CC174" s="85"/>
      <c r="CD174" s="85"/>
      <c r="CE174" s="62"/>
      <c r="CF174" s="86">
        <v>0</v>
      </c>
      <c r="CG174" s="87">
        <v>0</v>
      </c>
      <c r="CH174" s="87">
        <v>0</v>
      </c>
      <c r="CI174" s="87">
        <v>0</v>
      </c>
      <c r="CJ174" s="87">
        <v>0</v>
      </c>
    </row>
    <row r="175" spans="1:88" x14ac:dyDescent="0.35">
      <c r="A175" s="88" t="s">
        <v>225</v>
      </c>
      <c r="B175" s="89">
        <v>174</v>
      </c>
      <c r="C175" s="102" t="s">
        <v>226</v>
      </c>
      <c r="D175" s="102" t="s">
        <v>226</v>
      </c>
      <c r="E175" s="103" t="s">
        <v>226</v>
      </c>
      <c r="F175" s="103" t="s">
        <v>226</v>
      </c>
      <c r="G175" s="103" t="s">
        <v>226</v>
      </c>
      <c r="H175" s="101"/>
      <c r="I175" s="93">
        <v>0</v>
      </c>
      <c r="J175" s="94">
        <v>0</v>
      </c>
      <c r="K175" s="94">
        <v>0</v>
      </c>
      <c r="L175" s="95">
        <v>0</v>
      </c>
      <c r="M175" s="96">
        <v>0</v>
      </c>
      <c r="N175" s="72"/>
      <c r="O175" s="73"/>
      <c r="P175" s="73"/>
      <c r="Q175" s="74"/>
      <c r="R175" s="72"/>
      <c r="S175" s="73"/>
      <c r="T175" s="73"/>
      <c r="U175" s="75"/>
      <c r="V175" s="93">
        <v>0</v>
      </c>
      <c r="W175" s="94">
        <v>0</v>
      </c>
      <c r="X175" s="94">
        <v>0</v>
      </c>
      <c r="Y175" s="95">
        <v>0</v>
      </c>
      <c r="Z175" s="96">
        <v>0</v>
      </c>
      <c r="AA175" s="72"/>
      <c r="AB175" s="73"/>
      <c r="AC175" s="73"/>
      <c r="AD175" s="74"/>
      <c r="AE175" s="72"/>
      <c r="AF175" s="73"/>
      <c r="AG175" s="73"/>
      <c r="AH175" s="75"/>
      <c r="AI175" s="93">
        <v>0</v>
      </c>
      <c r="AJ175" s="94">
        <v>0</v>
      </c>
      <c r="AK175" s="94">
        <v>0</v>
      </c>
      <c r="AL175" s="95">
        <v>0</v>
      </c>
      <c r="AM175" s="96">
        <v>0</v>
      </c>
      <c r="AN175" s="72"/>
      <c r="AO175" s="73"/>
      <c r="AP175" s="73"/>
      <c r="AQ175" s="74"/>
      <c r="AR175" s="72"/>
      <c r="AS175" s="73"/>
      <c r="AT175" s="73"/>
      <c r="AU175" s="75"/>
      <c r="AV175" s="93">
        <v>0</v>
      </c>
      <c r="AW175" s="94">
        <v>0</v>
      </c>
      <c r="AX175" s="94">
        <v>0</v>
      </c>
      <c r="AY175" s="95">
        <v>0</v>
      </c>
      <c r="AZ175" s="97">
        <v>1</v>
      </c>
      <c r="BA175" s="72"/>
      <c r="BB175" s="73"/>
      <c r="BC175" s="73"/>
      <c r="BD175" s="74"/>
      <c r="BE175" s="72"/>
      <c r="BF175" s="73"/>
      <c r="BG175" s="73"/>
      <c r="BH175" s="75"/>
      <c r="BI175" s="98">
        <v>0</v>
      </c>
      <c r="BJ175" s="99">
        <v>0</v>
      </c>
      <c r="BK175" s="100"/>
      <c r="BL175" s="100"/>
      <c r="BM175" s="62"/>
      <c r="BN175" s="80" t="e">
        <v>#VALUE!</v>
      </c>
      <c r="BO175" s="81" t="e">
        <v>#VALUE!</v>
      </c>
      <c r="BP175" s="82" t="e">
        <v>#VALUE!</v>
      </c>
      <c r="BQ175" s="82" t="e">
        <v>#VALUE!</v>
      </c>
      <c r="BR175" s="82" t="e">
        <v>#VALUE!</v>
      </c>
      <c r="BS175" s="80">
        <v>0</v>
      </c>
      <c r="BT175" s="83" t="s">
        <v>226</v>
      </c>
      <c r="BU175" s="61"/>
      <c r="BV175" s="84">
        <v>0</v>
      </c>
      <c r="BW175" s="84">
        <v>0</v>
      </c>
      <c r="BX175" s="84">
        <v>0</v>
      </c>
      <c r="BY175" s="84">
        <v>0</v>
      </c>
      <c r="BZ175" s="62"/>
      <c r="CA175" s="85"/>
      <c r="CB175" s="85"/>
      <c r="CC175" s="85"/>
      <c r="CD175" s="85"/>
      <c r="CE175" s="62"/>
      <c r="CF175" s="86">
        <v>0</v>
      </c>
      <c r="CG175" s="87">
        <v>0</v>
      </c>
      <c r="CH175" s="87">
        <v>0</v>
      </c>
      <c r="CI175" s="87">
        <v>0</v>
      </c>
      <c r="CJ175" s="87">
        <v>0</v>
      </c>
    </row>
    <row r="176" spans="1:88" x14ac:dyDescent="0.35">
      <c r="A176" s="88" t="s">
        <v>225</v>
      </c>
      <c r="B176" s="89">
        <v>175</v>
      </c>
      <c r="C176" s="102" t="s">
        <v>226</v>
      </c>
      <c r="D176" s="102" t="s">
        <v>226</v>
      </c>
      <c r="E176" s="103" t="s">
        <v>226</v>
      </c>
      <c r="F176" s="103" t="s">
        <v>226</v>
      </c>
      <c r="G176" s="103" t="s">
        <v>226</v>
      </c>
      <c r="H176" s="101"/>
      <c r="I176" s="93">
        <v>0</v>
      </c>
      <c r="J176" s="94">
        <v>0</v>
      </c>
      <c r="K176" s="94">
        <v>0</v>
      </c>
      <c r="L176" s="95">
        <v>0</v>
      </c>
      <c r="M176" s="96">
        <v>0</v>
      </c>
      <c r="N176" s="72"/>
      <c r="O176" s="73"/>
      <c r="P176" s="73"/>
      <c r="Q176" s="74"/>
      <c r="R176" s="72"/>
      <c r="S176" s="73"/>
      <c r="T176" s="73"/>
      <c r="U176" s="75"/>
      <c r="V176" s="93">
        <v>0</v>
      </c>
      <c r="W176" s="94">
        <v>0</v>
      </c>
      <c r="X176" s="94">
        <v>0</v>
      </c>
      <c r="Y176" s="95">
        <v>0</v>
      </c>
      <c r="Z176" s="96">
        <v>0</v>
      </c>
      <c r="AA176" s="72"/>
      <c r="AB176" s="73"/>
      <c r="AC176" s="73"/>
      <c r="AD176" s="74"/>
      <c r="AE176" s="72"/>
      <c r="AF176" s="73"/>
      <c r="AG176" s="73"/>
      <c r="AH176" s="75"/>
      <c r="AI176" s="93">
        <v>0</v>
      </c>
      <c r="AJ176" s="94">
        <v>0</v>
      </c>
      <c r="AK176" s="94">
        <v>0</v>
      </c>
      <c r="AL176" s="95">
        <v>0</v>
      </c>
      <c r="AM176" s="96">
        <v>0</v>
      </c>
      <c r="AN176" s="72"/>
      <c r="AO176" s="73"/>
      <c r="AP176" s="73"/>
      <c r="AQ176" s="74"/>
      <c r="AR176" s="72"/>
      <c r="AS176" s="73"/>
      <c r="AT176" s="73"/>
      <c r="AU176" s="75"/>
      <c r="AV176" s="93">
        <v>0</v>
      </c>
      <c r="AW176" s="94">
        <v>0</v>
      </c>
      <c r="AX176" s="94">
        <v>0</v>
      </c>
      <c r="AY176" s="95">
        <v>0</v>
      </c>
      <c r="AZ176" s="97">
        <v>1</v>
      </c>
      <c r="BA176" s="72"/>
      <c r="BB176" s="73"/>
      <c r="BC176" s="73"/>
      <c r="BD176" s="74"/>
      <c r="BE176" s="72"/>
      <c r="BF176" s="73"/>
      <c r="BG176" s="73"/>
      <c r="BH176" s="75"/>
      <c r="BI176" s="98">
        <v>0</v>
      </c>
      <c r="BJ176" s="99">
        <v>0</v>
      </c>
      <c r="BK176" s="100"/>
      <c r="BL176" s="100"/>
      <c r="BM176" s="62"/>
      <c r="BN176" s="80" t="e">
        <v>#VALUE!</v>
      </c>
      <c r="BO176" s="81" t="e">
        <v>#VALUE!</v>
      </c>
      <c r="BP176" s="82" t="e">
        <v>#VALUE!</v>
      </c>
      <c r="BQ176" s="82" t="e">
        <v>#VALUE!</v>
      </c>
      <c r="BR176" s="82" t="e">
        <v>#VALUE!</v>
      </c>
      <c r="BS176" s="80">
        <v>0</v>
      </c>
      <c r="BT176" s="83" t="s">
        <v>226</v>
      </c>
      <c r="BU176" s="61"/>
      <c r="BV176" s="84">
        <v>0</v>
      </c>
      <c r="BW176" s="84">
        <v>0</v>
      </c>
      <c r="BX176" s="84">
        <v>0</v>
      </c>
      <c r="BY176" s="84">
        <v>0</v>
      </c>
      <c r="BZ176" s="62"/>
      <c r="CA176" s="85"/>
      <c r="CB176" s="85"/>
      <c r="CC176" s="85"/>
      <c r="CD176" s="85"/>
      <c r="CE176" s="62"/>
      <c r="CF176" s="86">
        <v>0</v>
      </c>
      <c r="CG176" s="87">
        <v>0</v>
      </c>
      <c r="CH176" s="87">
        <v>0</v>
      </c>
      <c r="CI176" s="87">
        <v>0</v>
      </c>
      <c r="CJ176" s="87">
        <v>0</v>
      </c>
    </row>
    <row r="177" spans="1:88" x14ac:dyDescent="0.35">
      <c r="A177" s="88" t="s">
        <v>225</v>
      </c>
      <c r="B177" s="89">
        <v>176</v>
      </c>
      <c r="C177" s="102" t="s">
        <v>226</v>
      </c>
      <c r="D177" s="102" t="s">
        <v>226</v>
      </c>
      <c r="E177" s="103" t="s">
        <v>226</v>
      </c>
      <c r="F177" s="103" t="s">
        <v>226</v>
      </c>
      <c r="G177" s="103" t="s">
        <v>226</v>
      </c>
      <c r="H177" s="101"/>
      <c r="I177" s="93">
        <v>0</v>
      </c>
      <c r="J177" s="94">
        <v>0</v>
      </c>
      <c r="K177" s="94">
        <v>0</v>
      </c>
      <c r="L177" s="95">
        <v>0</v>
      </c>
      <c r="M177" s="96">
        <v>0</v>
      </c>
      <c r="N177" s="72"/>
      <c r="O177" s="73"/>
      <c r="P177" s="73"/>
      <c r="Q177" s="74"/>
      <c r="R177" s="72"/>
      <c r="S177" s="73"/>
      <c r="T177" s="73"/>
      <c r="U177" s="75"/>
      <c r="V177" s="93">
        <v>0</v>
      </c>
      <c r="W177" s="94">
        <v>0</v>
      </c>
      <c r="X177" s="94">
        <v>0</v>
      </c>
      <c r="Y177" s="95">
        <v>0</v>
      </c>
      <c r="Z177" s="96">
        <v>0</v>
      </c>
      <c r="AA177" s="72"/>
      <c r="AB177" s="73"/>
      <c r="AC177" s="73"/>
      <c r="AD177" s="74"/>
      <c r="AE177" s="72"/>
      <c r="AF177" s="73"/>
      <c r="AG177" s="73"/>
      <c r="AH177" s="75"/>
      <c r="AI177" s="93">
        <v>0</v>
      </c>
      <c r="AJ177" s="94">
        <v>0</v>
      </c>
      <c r="AK177" s="94">
        <v>0</v>
      </c>
      <c r="AL177" s="95">
        <v>0</v>
      </c>
      <c r="AM177" s="96">
        <v>0</v>
      </c>
      <c r="AN177" s="72"/>
      <c r="AO177" s="73"/>
      <c r="AP177" s="73"/>
      <c r="AQ177" s="74"/>
      <c r="AR177" s="72"/>
      <c r="AS177" s="73"/>
      <c r="AT177" s="73"/>
      <c r="AU177" s="75"/>
      <c r="AV177" s="93">
        <v>0</v>
      </c>
      <c r="AW177" s="94">
        <v>0</v>
      </c>
      <c r="AX177" s="94">
        <v>0</v>
      </c>
      <c r="AY177" s="95">
        <v>0</v>
      </c>
      <c r="AZ177" s="97">
        <v>1</v>
      </c>
      <c r="BA177" s="72"/>
      <c r="BB177" s="73"/>
      <c r="BC177" s="73"/>
      <c r="BD177" s="74"/>
      <c r="BE177" s="72"/>
      <c r="BF177" s="73"/>
      <c r="BG177" s="73"/>
      <c r="BH177" s="75"/>
      <c r="BI177" s="98">
        <v>0</v>
      </c>
      <c r="BJ177" s="99">
        <v>0</v>
      </c>
      <c r="BK177" s="100"/>
      <c r="BL177" s="100"/>
      <c r="BM177" s="62"/>
      <c r="BN177" s="80" t="e">
        <v>#VALUE!</v>
      </c>
      <c r="BO177" s="81" t="e">
        <v>#VALUE!</v>
      </c>
      <c r="BP177" s="82" t="e">
        <v>#VALUE!</v>
      </c>
      <c r="BQ177" s="82" t="e">
        <v>#VALUE!</v>
      </c>
      <c r="BR177" s="82" t="e">
        <v>#VALUE!</v>
      </c>
      <c r="BS177" s="80">
        <v>0</v>
      </c>
      <c r="BT177" s="83" t="s">
        <v>226</v>
      </c>
      <c r="BU177" s="61"/>
      <c r="BV177" s="84">
        <v>0</v>
      </c>
      <c r="BW177" s="84">
        <v>0</v>
      </c>
      <c r="BX177" s="84">
        <v>0</v>
      </c>
      <c r="BY177" s="84">
        <v>0</v>
      </c>
      <c r="BZ177" s="62"/>
      <c r="CA177" s="85"/>
      <c r="CB177" s="85"/>
      <c r="CC177" s="85"/>
      <c r="CD177" s="85"/>
      <c r="CE177" s="62"/>
      <c r="CF177" s="86">
        <v>0</v>
      </c>
      <c r="CG177" s="87">
        <v>0</v>
      </c>
      <c r="CH177" s="87">
        <v>0</v>
      </c>
      <c r="CI177" s="87">
        <v>0</v>
      </c>
      <c r="CJ177" s="87">
        <v>0</v>
      </c>
    </row>
    <row r="178" spans="1:88" x14ac:dyDescent="0.35">
      <c r="A178" s="88" t="s">
        <v>225</v>
      </c>
      <c r="B178" s="89">
        <v>177</v>
      </c>
      <c r="C178" s="102" t="s">
        <v>226</v>
      </c>
      <c r="D178" s="102" t="s">
        <v>226</v>
      </c>
      <c r="E178" s="103" t="s">
        <v>226</v>
      </c>
      <c r="F178" s="103" t="s">
        <v>226</v>
      </c>
      <c r="G178" s="103" t="s">
        <v>226</v>
      </c>
      <c r="H178" s="101"/>
      <c r="I178" s="93">
        <v>0</v>
      </c>
      <c r="J178" s="94">
        <v>0</v>
      </c>
      <c r="K178" s="94">
        <v>0</v>
      </c>
      <c r="L178" s="95">
        <v>0</v>
      </c>
      <c r="M178" s="96">
        <v>0</v>
      </c>
      <c r="N178" s="72"/>
      <c r="O178" s="73"/>
      <c r="P178" s="73"/>
      <c r="Q178" s="74"/>
      <c r="R178" s="72"/>
      <c r="S178" s="73"/>
      <c r="T178" s="73"/>
      <c r="U178" s="75"/>
      <c r="V178" s="93">
        <v>0</v>
      </c>
      <c r="W178" s="94">
        <v>0</v>
      </c>
      <c r="X178" s="94">
        <v>0</v>
      </c>
      <c r="Y178" s="95">
        <v>0</v>
      </c>
      <c r="Z178" s="96">
        <v>0</v>
      </c>
      <c r="AA178" s="72"/>
      <c r="AB178" s="73"/>
      <c r="AC178" s="73"/>
      <c r="AD178" s="74"/>
      <c r="AE178" s="72"/>
      <c r="AF178" s="73"/>
      <c r="AG178" s="73"/>
      <c r="AH178" s="75"/>
      <c r="AI178" s="93">
        <v>0</v>
      </c>
      <c r="AJ178" s="94">
        <v>0</v>
      </c>
      <c r="AK178" s="94">
        <v>0</v>
      </c>
      <c r="AL178" s="95">
        <v>0</v>
      </c>
      <c r="AM178" s="96">
        <v>0</v>
      </c>
      <c r="AN178" s="72"/>
      <c r="AO178" s="73"/>
      <c r="AP178" s="73"/>
      <c r="AQ178" s="74"/>
      <c r="AR178" s="72"/>
      <c r="AS178" s="73"/>
      <c r="AT178" s="73"/>
      <c r="AU178" s="75"/>
      <c r="AV178" s="93">
        <v>0</v>
      </c>
      <c r="AW178" s="94">
        <v>0</v>
      </c>
      <c r="AX178" s="94">
        <v>0</v>
      </c>
      <c r="AY178" s="95">
        <v>0</v>
      </c>
      <c r="AZ178" s="97">
        <v>1</v>
      </c>
      <c r="BA178" s="72"/>
      <c r="BB178" s="73"/>
      <c r="BC178" s="73"/>
      <c r="BD178" s="74"/>
      <c r="BE178" s="72"/>
      <c r="BF178" s="73"/>
      <c r="BG178" s="73"/>
      <c r="BH178" s="75"/>
      <c r="BI178" s="98">
        <v>0</v>
      </c>
      <c r="BJ178" s="99">
        <v>0</v>
      </c>
      <c r="BK178" s="100"/>
      <c r="BL178" s="100"/>
      <c r="BM178" s="62"/>
      <c r="BN178" s="80" t="e">
        <v>#VALUE!</v>
      </c>
      <c r="BO178" s="81" t="e">
        <v>#VALUE!</v>
      </c>
      <c r="BP178" s="82" t="e">
        <v>#VALUE!</v>
      </c>
      <c r="BQ178" s="82" t="e">
        <v>#VALUE!</v>
      </c>
      <c r="BR178" s="82" t="e">
        <v>#VALUE!</v>
      </c>
      <c r="BS178" s="80">
        <v>0</v>
      </c>
      <c r="BT178" s="83" t="s">
        <v>226</v>
      </c>
      <c r="BU178" s="61"/>
      <c r="BV178" s="84">
        <v>0</v>
      </c>
      <c r="BW178" s="84">
        <v>0</v>
      </c>
      <c r="BX178" s="84">
        <v>0</v>
      </c>
      <c r="BY178" s="84">
        <v>0</v>
      </c>
      <c r="BZ178" s="62"/>
      <c r="CA178" s="85"/>
      <c r="CB178" s="85"/>
      <c r="CC178" s="85"/>
      <c r="CD178" s="85"/>
      <c r="CE178" s="62"/>
      <c r="CF178" s="86">
        <v>0</v>
      </c>
      <c r="CG178" s="87">
        <v>0</v>
      </c>
      <c r="CH178" s="87">
        <v>0</v>
      </c>
      <c r="CI178" s="87">
        <v>0</v>
      </c>
      <c r="CJ178" s="87">
        <v>0</v>
      </c>
    </row>
    <row r="179" spans="1:88" x14ac:dyDescent="0.35">
      <c r="A179" s="88" t="s">
        <v>225</v>
      </c>
      <c r="B179" s="89">
        <v>178</v>
      </c>
      <c r="C179" s="102" t="s">
        <v>226</v>
      </c>
      <c r="D179" s="102" t="s">
        <v>226</v>
      </c>
      <c r="E179" s="103" t="s">
        <v>226</v>
      </c>
      <c r="F179" s="103" t="s">
        <v>226</v>
      </c>
      <c r="G179" s="103" t="s">
        <v>226</v>
      </c>
      <c r="H179" s="101"/>
      <c r="I179" s="93">
        <v>0</v>
      </c>
      <c r="J179" s="94">
        <v>0</v>
      </c>
      <c r="K179" s="94">
        <v>0</v>
      </c>
      <c r="L179" s="95">
        <v>0</v>
      </c>
      <c r="M179" s="96">
        <v>0</v>
      </c>
      <c r="N179" s="72"/>
      <c r="O179" s="73"/>
      <c r="P179" s="73"/>
      <c r="Q179" s="74"/>
      <c r="R179" s="72"/>
      <c r="S179" s="73"/>
      <c r="T179" s="73"/>
      <c r="U179" s="75"/>
      <c r="V179" s="93">
        <v>0</v>
      </c>
      <c r="W179" s="94">
        <v>0</v>
      </c>
      <c r="X179" s="94">
        <v>0</v>
      </c>
      <c r="Y179" s="95">
        <v>0</v>
      </c>
      <c r="Z179" s="96">
        <v>0</v>
      </c>
      <c r="AA179" s="72"/>
      <c r="AB179" s="73"/>
      <c r="AC179" s="73"/>
      <c r="AD179" s="74"/>
      <c r="AE179" s="72"/>
      <c r="AF179" s="73"/>
      <c r="AG179" s="73"/>
      <c r="AH179" s="75"/>
      <c r="AI179" s="93">
        <v>0</v>
      </c>
      <c r="AJ179" s="94">
        <v>0</v>
      </c>
      <c r="AK179" s="94">
        <v>0</v>
      </c>
      <c r="AL179" s="95">
        <v>0</v>
      </c>
      <c r="AM179" s="96">
        <v>0</v>
      </c>
      <c r="AN179" s="72"/>
      <c r="AO179" s="73"/>
      <c r="AP179" s="73"/>
      <c r="AQ179" s="74"/>
      <c r="AR179" s="72"/>
      <c r="AS179" s="73"/>
      <c r="AT179" s="73"/>
      <c r="AU179" s="75"/>
      <c r="AV179" s="93">
        <v>0</v>
      </c>
      <c r="AW179" s="94">
        <v>0</v>
      </c>
      <c r="AX179" s="94">
        <v>0</v>
      </c>
      <c r="AY179" s="95">
        <v>0</v>
      </c>
      <c r="AZ179" s="97">
        <v>1</v>
      </c>
      <c r="BA179" s="72"/>
      <c r="BB179" s="73"/>
      <c r="BC179" s="73"/>
      <c r="BD179" s="74"/>
      <c r="BE179" s="72"/>
      <c r="BF179" s="73"/>
      <c r="BG179" s="73"/>
      <c r="BH179" s="75"/>
      <c r="BI179" s="98">
        <v>0</v>
      </c>
      <c r="BJ179" s="99">
        <v>0</v>
      </c>
      <c r="BK179" s="100"/>
      <c r="BL179" s="100"/>
      <c r="BM179" s="62"/>
      <c r="BN179" s="80" t="e">
        <v>#VALUE!</v>
      </c>
      <c r="BO179" s="81" t="e">
        <v>#VALUE!</v>
      </c>
      <c r="BP179" s="82" t="e">
        <v>#VALUE!</v>
      </c>
      <c r="BQ179" s="82" t="e">
        <v>#VALUE!</v>
      </c>
      <c r="BR179" s="82" t="e">
        <v>#VALUE!</v>
      </c>
      <c r="BS179" s="80">
        <v>0</v>
      </c>
      <c r="BT179" s="83" t="s">
        <v>226</v>
      </c>
      <c r="BU179" s="61"/>
      <c r="BV179" s="84">
        <v>0</v>
      </c>
      <c r="BW179" s="84">
        <v>0</v>
      </c>
      <c r="BX179" s="84">
        <v>0</v>
      </c>
      <c r="BY179" s="84">
        <v>0</v>
      </c>
      <c r="BZ179" s="62"/>
      <c r="CA179" s="85"/>
      <c r="CB179" s="85"/>
      <c r="CC179" s="85"/>
      <c r="CD179" s="85"/>
      <c r="CE179" s="62"/>
      <c r="CF179" s="86">
        <v>0</v>
      </c>
      <c r="CG179" s="87">
        <v>0</v>
      </c>
      <c r="CH179" s="87">
        <v>0</v>
      </c>
      <c r="CI179" s="87">
        <v>0</v>
      </c>
      <c r="CJ179" s="87">
        <v>0</v>
      </c>
    </row>
    <row r="180" spans="1:88" x14ac:dyDescent="0.35">
      <c r="A180" s="88" t="s">
        <v>225</v>
      </c>
      <c r="B180" s="89">
        <v>179</v>
      </c>
      <c r="C180" s="102" t="s">
        <v>226</v>
      </c>
      <c r="D180" s="102" t="s">
        <v>226</v>
      </c>
      <c r="E180" s="103" t="s">
        <v>226</v>
      </c>
      <c r="F180" s="103" t="s">
        <v>226</v>
      </c>
      <c r="G180" s="103" t="s">
        <v>226</v>
      </c>
      <c r="H180" s="101"/>
      <c r="I180" s="93">
        <v>0</v>
      </c>
      <c r="J180" s="94">
        <v>0</v>
      </c>
      <c r="K180" s="94">
        <v>0</v>
      </c>
      <c r="L180" s="95">
        <v>0</v>
      </c>
      <c r="M180" s="96">
        <v>0</v>
      </c>
      <c r="N180" s="72"/>
      <c r="O180" s="73"/>
      <c r="P180" s="73"/>
      <c r="Q180" s="74"/>
      <c r="R180" s="72"/>
      <c r="S180" s="73"/>
      <c r="T180" s="73"/>
      <c r="U180" s="75"/>
      <c r="V180" s="93">
        <v>0</v>
      </c>
      <c r="W180" s="94">
        <v>0</v>
      </c>
      <c r="X180" s="94">
        <v>0</v>
      </c>
      <c r="Y180" s="95">
        <v>0</v>
      </c>
      <c r="Z180" s="96">
        <v>0</v>
      </c>
      <c r="AA180" s="72"/>
      <c r="AB180" s="73"/>
      <c r="AC180" s="73"/>
      <c r="AD180" s="74"/>
      <c r="AE180" s="72"/>
      <c r="AF180" s="73"/>
      <c r="AG180" s="73"/>
      <c r="AH180" s="75"/>
      <c r="AI180" s="93">
        <v>0</v>
      </c>
      <c r="AJ180" s="94">
        <v>0</v>
      </c>
      <c r="AK180" s="94">
        <v>0</v>
      </c>
      <c r="AL180" s="95">
        <v>0</v>
      </c>
      <c r="AM180" s="96">
        <v>0</v>
      </c>
      <c r="AN180" s="72"/>
      <c r="AO180" s="73"/>
      <c r="AP180" s="73"/>
      <c r="AQ180" s="74"/>
      <c r="AR180" s="72"/>
      <c r="AS180" s="73"/>
      <c r="AT180" s="73"/>
      <c r="AU180" s="75"/>
      <c r="AV180" s="93">
        <v>0</v>
      </c>
      <c r="AW180" s="94">
        <v>0</v>
      </c>
      <c r="AX180" s="94">
        <v>0</v>
      </c>
      <c r="AY180" s="95">
        <v>0</v>
      </c>
      <c r="AZ180" s="97">
        <v>1</v>
      </c>
      <c r="BA180" s="72"/>
      <c r="BB180" s="73"/>
      <c r="BC180" s="73"/>
      <c r="BD180" s="74"/>
      <c r="BE180" s="72"/>
      <c r="BF180" s="73"/>
      <c r="BG180" s="73"/>
      <c r="BH180" s="75"/>
      <c r="BI180" s="98">
        <v>0</v>
      </c>
      <c r="BJ180" s="99">
        <v>0</v>
      </c>
      <c r="BK180" s="100"/>
      <c r="BL180" s="100"/>
      <c r="BM180" s="62"/>
      <c r="BN180" s="80" t="e">
        <v>#VALUE!</v>
      </c>
      <c r="BO180" s="81" t="e">
        <v>#VALUE!</v>
      </c>
      <c r="BP180" s="82" t="e">
        <v>#VALUE!</v>
      </c>
      <c r="BQ180" s="82" t="e">
        <v>#VALUE!</v>
      </c>
      <c r="BR180" s="82" t="e">
        <v>#VALUE!</v>
      </c>
      <c r="BS180" s="80">
        <v>0</v>
      </c>
      <c r="BT180" s="83" t="s">
        <v>226</v>
      </c>
      <c r="BU180" s="61"/>
      <c r="BV180" s="84">
        <v>0</v>
      </c>
      <c r="BW180" s="84">
        <v>0</v>
      </c>
      <c r="BX180" s="84">
        <v>0</v>
      </c>
      <c r="BY180" s="84">
        <v>0</v>
      </c>
      <c r="BZ180" s="62"/>
      <c r="CA180" s="85"/>
      <c r="CB180" s="85"/>
      <c r="CC180" s="85"/>
      <c r="CD180" s="85"/>
      <c r="CE180" s="62"/>
      <c r="CF180" s="86">
        <v>0</v>
      </c>
      <c r="CG180" s="87">
        <v>0</v>
      </c>
      <c r="CH180" s="87">
        <v>0</v>
      </c>
      <c r="CI180" s="87">
        <v>0</v>
      </c>
      <c r="CJ180" s="87">
        <v>0</v>
      </c>
    </row>
    <row r="181" spans="1:88" x14ac:dyDescent="0.35">
      <c r="A181" s="88" t="s">
        <v>225</v>
      </c>
      <c r="B181" s="89">
        <v>180</v>
      </c>
      <c r="C181" s="102" t="s">
        <v>226</v>
      </c>
      <c r="D181" s="102" t="s">
        <v>226</v>
      </c>
      <c r="E181" s="103" t="s">
        <v>226</v>
      </c>
      <c r="F181" s="103" t="s">
        <v>226</v>
      </c>
      <c r="G181" s="103" t="s">
        <v>226</v>
      </c>
      <c r="H181" s="101"/>
      <c r="I181" s="93">
        <v>0</v>
      </c>
      <c r="J181" s="94">
        <v>0</v>
      </c>
      <c r="K181" s="94">
        <v>0</v>
      </c>
      <c r="L181" s="95">
        <v>0</v>
      </c>
      <c r="M181" s="96">
        <v>0</v>
      </c>
      <c r="N181" s="72"/>
      <c r="O181" s="73"/>
      <c r="P181" s="73"/>
      <c r="Q181" s="74"/>
      <c r="R181" s="72"/>
      <c r="S181" s="73"/>
      <c r="T181" s="73"/>
      <c r="U181" s="75"/>
      <c r="V181" s="93">
        <v>0</v>
      </c>
      <c r="W181" s="94">
        <v>0</v>
      </c>
      <c r="X181" s="94">
        <v>0</v>
      </c>
      <c r="Y181" s="95">
        <v>0</v>
      </c>
      <c r="Z181" s="96">
        <v>0</v>
      </c>
      <c r="AA181" s="72"/>
      <c r="AB181" s="73"/>
      <c r="AC181" s="73"/>
      <c r="AD181" s="74"/>
      <c r="AE181" s="72"/>
      <c r="AF181" s="73"/>
      <c r="AG181" s="73"/>
      <c r="AH181" s="75"/>
      <c r="AI181" s="93">
        <v>0</v>
      </c>
      <c r="AJ181" s="94">
        <v>0</v>
      </c>
      <c r="AK181" s="94">
        <v>0</v>
      </c>
      <c r="AL181" s="95">
        <v>0</v>
      </c>
      <c r="AM181" s="96">
        <v>0</v>
      </c>
      <c r="AN181" s="72"/>
      <c r="AO181" s="73"/>
      <c r="AP181" s="73"/>
      <c r="AQ181" s="74"/>
      <c r="AR181" s="72"/>
      <c r="AS181" s="73"/>
      <c r="AT181" s="73"/>
      <c r="AU181" s="75"/>
      <c r="AV181" s="93">
        <v>0</v>
      </c>
      <c r="AW181" s="94">
        <v>0</v>
      </c>
      <c r="AX181" s="94">
        <v>0</v>
      </c>
      <c r="AY181" s="95">
        <v>0</v>
      </c>
      <c r="AZ181" s="97">
        <v>1</v>
      </c>
      <c r="BA181" s="72"/>
      <c r="BB181" s="73"/>
      <c r="BC181" s="73"/>
      <c r="BD181" s="74"/>
      <c r="BE181" s="72"/>
      <c r="BF181" s="73"/>
      <c r="BG181" s="73"/>
      <c r="BH181" s="75"/>
      <c r="BI181" s="98">
        <v>0</v>
      </c>
      <c r="BJ181" s="99">
        <v>0</v>
      </c>
      <c r="BK181" s="100"/>
      <c r="BL181" s="100"/>
      <c r="BM181" s="62"/>
      <c r="BN181" s="80" t="e">
        <v>#VALUE!</v>
      </c>
      <c r="BO181" s="81" t="e">
        <v>#VALUE!</v>
      </c>
      <c r="BP181" s="82" t="e">
        <v>#VALUE!</v>
      </c>
      <c r="BQ181" s="82" t="e">
        <v>#VALUE!</v>
      </c>
      <c r="BR181" s="82" t="e">
        <v>#VALUE!</v>
      </c>
      <c r="BS181" s="80">
        <v>0</v>
      </c>
      <c r="BT181" s="83" t="s">
        <v>226</v>
      </c>
      <c r="BU181" s="61"/>
      <c r="BV181" s="84">
        <v>0</v>
      </c>
      <c r="BW181" s="84">
        <v>0</v>
      </c>
      <c r="BX181" s="84">
        <v>0</v>
      </c>
      <c r="BY181" s="84">
        <v>0</v>
      </c>
      <c r="BZ181" s="62"/>
      <c r="CA181" s="85"/>
      <c r="CB181" s="85"/>
      <c r="CC181" s="85"/>
      <c r="CD181" s="85"/>
      <c r="CE181" s="62"/>
      <c r="CF181" s="86">
        <v>0</v>
      </c>
      <c r="CG181" s="87">
        <v>0</v>
      </c>
      <c r="CH181" s="87">
        <v>0</v>
      </c>
      <c r="CI181" s="87">
        <v>0</v>
      </c>
      <c r="CJ181" s="87">
        <v>0</v>
      </c>
    </row>
    <row r="182" spans="1:88" x14ac:dyDescent="0.35">
      <c r="A182" s="88" t="s">
        <v>225</v>
      </c>
      <c r="B182" s="89">
        <v>181</v>
      </c>
      <c r="C182" s="102" t="s">
        <v>226</v>
      </c>
      <c r="D182" s="102" t="s">
        <v>226</v>
      </c>
      <c r="E182" s="103" t="s">
        <v>226</v>
      </c>
      <c r="F182" s="103" t="s">
        <v>226</v>
      </c>
      <c r="G182" s="103" t="s">
        <v>226</v>
      </c>
      <c r="H182" s="101"/>
      <c r="I182" s="93">
        <v>0</v>
      </c>
      <c r="J182" s="94">
        <v>0</v>
      </c>
      <c r="K182" s="94">
        <v>0</v>
      </c>
      <c r="L182" s="95">
        <v>0</v>
      </c>
      <c r="M182" s="96">
        <v>0</v>
      </c>
      <c r="N182" s="72"/>
      <c r="O182" s="73"/>
      <c r="P182" s="73"/>
      <c r="Q182" s="74"/>
      <c r="R182" s="72"/>
      <c r="S182" s="73"/>
      <c r="T182" s="73"/>
      <c r="U182" s="75"/>
      <c r="V182" s="93">
        <v>0</v>
      </c>
      <c r="W182" s="94">
        <v>0</v>
      </c>
      <c r="X182" s="94">
        <v>0</v>
      </c>
      <c r="Y182" s="95">
        <v>0</v>
      </c>
      <c r="Z182" s="96">
        <v>0</v>
      </c>
      <c r="AA182" s="72"/>
      <c r="AB182" s="73"/>
      <c r="AC182" s="73"/>
      <c r="AD182" s="74"/>
      <c r="AE182" s="72"/>
      <c r="AF182" s="73"/>
      <c r="AG182" s="73"/>
      <c r="AH182" s="75"/>
      <c r="AI182" s="93">
        <v>0</v>
      </c>
      <c r="AJ182" s="94">
        <v>0</v>
      </c>
      <c r="AK182" s="94">
        <v>0</v>
      </c>
      <c r="AL182" s="95">
        <v>0</v>
      </c>
      <c r="AM182" s="96">
        <v>0</v>
      </c>
      <c r="AN182" s="72"/>
      <c r="AO182" s="73"/>
      <c r="AP182" s="73"/>
      <c r="AQ182" s="74"/>
      <c r="AR182" s="72"/>
      <c r="AS182" s="73"/>
      <c r="AT182" s="73"/>
      <c r="AU182" s="75"/>
      <c r="AV182" s="93">
        <v>0</v>
      </c>
      <c r="AW182" s="94">
        <v>0</v>
      </c>
      <c r="AX182" s="94">
        <v>0</v>
      </c>
      <c r="AY182" s="95">
        <v>0</v>
      </c>
      <c r="AZ182" s="97">
        <v>1</v>
      </c>
      <c r="BA182" s="72"/>
      <c r="BB182" s="73"/>
      <c r="BC182" s="73"/>
      <c r="BD182" s="74"/>
      <c r="BE182" s="72"/>
      <c r="BF182" s="73"/>
      <c r="BG182" s="73"/>
      <c r="BH182" s="75"/>
      <c r="BI182" s="98">
        <v>0</v>
      </c>
      <c r="BJ182" s="99">
        <v>0</v>
      </c>
      <c r="BK182" s="100"/>
      <c r="BL182" s="100"/>
      <c r="BM182" s="62"/>
      <c r="BN182" s="80" t="e">
        <v>#VALUE!</v>
      </c>
      <c r="BO182" s="81" t="e">
        <v>#VALUE!</v>
      </c>
      <c r="BP182" s="82" t="e">
        <v>#VALUE!</v>
      </c>
      <c r="BQ182" s="82" t="e">
        <v>#VALUE!</v>
      </c>
      <c r="BR182" s="82" t="e">
        <v>#VALUE!</v>
      </c>
      <c r="BS182" s="80">
        <v>0</v>
      </c>
      <c r="BT182" s="83" t="s">
        <v>226</v>
      </c>
      <c r="BU182" s="61"/>
      <c r="BV182" s="84">
        <v>0</v>
      </c>
      <c r="BW182" s="84">
        <v>0</v>
      </c>
      <c r="BX182" s="84">
        <v>0</v>
      </c>
      <c r="BY182" s="84">
        <v>0</v>
      </c>
      <c r="BZ182" s="62"/>
      <c r="CA182" s="85"/>
      <c r="CB182" s="85"/>
      <c r="CC182" s="85"/>
      <c r="CD182" s="85"/>
      <c r="CE182" s="62"/>
      <c r="CF182" s="86">
        <v>0</v>
      </c>
      <c r="CG182" s="87">
        <v>0</v>
      </c>
      <c r="CH182" s="87">
        <v>0</v>
      </c>
      <c r="CI182" s="87">
        <v>0</v>
      </c>
      <c r="CJ182" s="87">
        <v>0</v>
      </c>
    </row>
    <row r="183" spans="1:88" x14ac:dyDescent="0.35">
      <c r="A183" s="88" t="s">
        <v>225</v>
      </c>
      <c r="B183" s="89">
        <v>182</v>
      </c>
      <c r="C183" s="102" t="s">
        <v>226</v>
      </c>
      <c r="D183" s="102" t="s">
        <v>226</v>
      </c>
      <c r="E183" s="103" t="s">
        <v>226</v>
      </c>
      <c r="F183" s="103" t="s">
        <v>226</v>
      </c>
      <c r="G183" s="103" t="s">
        <v>226</v>
      </c>
      <c r="H183" s="101"/>
      <c r="I183" s="93">
        <v>0</v>
      </c>
      <c r="J183" s="94">
        <v>0</v>
      </c>
      <c r="K183" s="94">
        <v>0</v>
      </c>
      <c r="L183" s="95">
        <v>0</v>
      </c>
      <c r="M183" s="96">
        <v>0</v>
      </c>
      <c r="N183" s="72"/>
      <c r="O183" s="73"/>
      <c r="P183" s="73"/>
      <c r="Q183" s="74"/>
      <c r="R183" s="72"/>
      <c r="S183" s="73"/>
      <c r="T183" s="73"/>
      <c r="U183" s="75"/>
      <c r="V183" s="93">
        <v>0</v>
      </c>
      <c r="W183" s="94">
        <v>0</v>
      </c>
      <c r="X183" s="94">
        <v>0</v>
      </c>
      <c r="Y183" s="95">
        <v>0</v>
      </c>
      <c r="Z183" s="96">
        <v>0</v>
      </c>
      <c r="AA183" s="72"/>
      <c r="AB183" s="73"/>
      <c r="AC183" s="73"/>
      <c r="AD183" s="74"/>
      <c r="AE183" s="72"/>
      <c r="AF183" s="73"/>
      <c r="AG183" s="73"/>
      <c r="AH183" s="75"/>
      <c r="AI183" s="93">
        <v>0</v>
      </c>
      <c r="AJ183" s="94">
        <v>0</v>
      </c>
      <c r="AK183" s="94">
        <v>0</v>
      </c>
      <c r="AL183" s="95">
        <v>0</v>
      </c>
      <c r="AM183" s="96">
        <v>0</v>
      </c>
      <c r="AN183" s="72"/>
      <c r="AO183" s="73"/>
      <c r="AP183" s="73"/>
      <c r="AQ183" s="74"/>
      <c r="AR183" s="72"/>
      <c r="AS183" s="73"/>
      <c r="AT183" s="73"/>
      <c r="AU183" s="75"/>
      <c r="AV183" s="93">
        <v>0</v>
      </c>
      <c r="AW183" s="94">
        <v>0</v>
      </c>
      <c r="AX183" s="94">
        <v>0</v>
      </c>
      <c r="AY183" s="95">
        <v>0</v>
      </c>
      <c r="AZ183" s="97">
        <v>1</v>
      </c>
      <c r="BA183" s="72"/>
      <c r="BB183" s="73"/>
      <c r="BC183" s="73"/>
      <c r="BD183" s="74"/>
      <c r="BE183" s="72"/>
      <c r="BF183" s="73"/>
      <c r="BG183" s="73"/>
      <c r="BH183" s="75"/>
      <c r="BI183" s="98">
        <v>0</v>
      </c>
      <c r="BJ183" s="99">
        <v>0</v>
      </c>
      <c r="BK183" s="100"/>
      <c r="BL183" s="100"/>
      <c r="BM183" s="62"/>
      <c r="BN183" s="80" t="e">
        <v>#VALUE!</v>
      </c>
      <c r="BO183" s="81" t="e">
        <v>#VALUE!</v>
      </c>
      <c r="BP183" s="82" t="e">
        <v>#VALUE!</v>
      </c>
      <c r="BQ183" s="82" t="e">
        <v>#VALUE!</v>
      </c>
      <c r="BR183" s="82" t="e">
        <v>#VALUE!</v>
      </c>
      <c r="BS183" s="80">
        <v>0</v>
      </c>
      <c r="BT183" s="83" t="s">
        <v>226</v>
      </c>
      <c r="BU183" s="61"/>
      <c r="BV183" s="84">
        <v>0</v>
      </c>
      <c r="BW183" s="84">
        <v>0</v>
      </c>
      <c r="BX183" s="84">
        <v>0</v>
      </c>
      <c r="BY183" s="84">
        <v>0</v>
      </c>
      <c r="BZ183" s="62"/>
      <c r="CA183" s="85"/>
      <c r="CB183" s="85"/>
      <c r="CC183" s="85"/>
      <c r="CD183" s="85"/>
      <c r="CE183" s="62"/>
      <c r="CF183" s="86">
        <v>0</v>
      </c>
      <c r="CG183" s="87">
        <v>0</v>
      </c>
      <c r="CH183" s="87">
        <v>0</v>
      </c>
      <c r="CI183" s="87">
        <v>0</v>
      </c>
      <c r="CJ183" s="87">
        <v>0</v>
      </c>
    </row>
    <row r="184" spans="1:88" x14ac:dyDescent="0.35">
      <c r="A184" s="88" t="s">
        <v>225</v>
      </c>
      <c r="B184" s="89">
        <v>183</v>
      </c>
      <c r="C184" s="102" t="s">
        <v>226</v>
      </c>
      <c r="D184" s="102" t="s">
        <v>226</v>
      </c>
      <c r="E184" s="103" t="s">
        <v>226</v>
      </c>
      <c r="F184" s="103" t="s">
        <v>226</v>
      </c>
      <c r="G184" s="103" t="s">
        <v>226</v>
      </c>
      <c r="H184" s="101"/>
      <c r="I184" s="93">
        <v>0</v>
      </c>
      <c r="J184" s="94">
        <v>0</v>
      </c>
      <c r="K184" s="94">
        <v>0</v>
      </c>
      <c r="L184" s="95">
        <v>0</v>
      </c>
      <c r="M184" s="96">
        <v>0</v>
      </c>
      <c r="N184" s="72"/>
      <c r="O184" s="73"/>
      <c r="P184" s="73"/>
      <c r="Q184" s="74"/>
      <c r="R184" s="72"/>
      <c r="S184" s="73"/>
      <c r="T184" s="73"/>
      <c r="U184" s="75"/>
      <c r="V184" s="93">
        <v>0</v>
      </c>
      <c r="W184" s="94">
        <v>0</v>
      </c>
      <c r="X184" s="94">
        <v>0</v>
      </c>
      <c r="Y184" s="95">
        <v>0</v>
      </c>
      <c r="Z184" s="96">
        <v>0</v>
      </c>
      <c r="AA184" s="72"/>
      <c r="AB184" s="73"/>
      <c r="AC184" s="73"/>
      <c r="AD184" s="74"/>
      <c r="AE184" s="72"/>
      <c r="AF184" s="73"/>
      <c r="AG184" s="73"/>
      <c r="AH184" s="75"/>
      <c r="AI184" s="93">
        <v>0</v>
      </c>
      <c r="AJ184" s="94">
        <v>0</v>
      </c>
      <c r="AK184" s="94">
        <v>0</v>
      </c>
      <c r="AL184" s="95">
        <v>0</v>
      </c>
      <c r="AM184" s="96">
        <v>0</v>
      </c>
      <c r="AN184" s="72"/>
      <c r="AO184" s="73"/>
      <c r="AP184" s="73"/>
      <c r="AQ184" s="74"/>
      <c r="AR184" s="72"/>
      <c r="AS184" s="73"/>
      <c r="AT184" s="73"/>
      <c r="AU184" s="75"/>
      <c r="AV184" s="93">
        <v>0</v>
      </c>
      <c r="AW184" s="94">
        <v>0</v>
      </c>
      <c r="AX184" s="94">
        <v>0</v>
      </c>
      <c r="AY184" s="95">
        <v>0</v>
      </c>
      <c r="AZ184" s="97">
        <v>1</v>
      </c>
      <c r="BA184" s="72"/>
      <c r="BB184" s="73"/>
      <c r="BC184" s="73"/>
      <c r="BD184" s="74"/>
      <c r="BE184" s="72"/>
      <c r="BF184" s="73"/>
      <c r="BG184" s="73"/>
      <c r="BH184" s="75"/>
      <c r="BI184" s="98">
        <v>0</v>
      </c>
      <c r="BJ184" s="99">
        <v>0</v>
      </c>
      <c r="BK184" s="100"/>
      <c r="BL184" s="100"/>
      <c r="BM184" s="62"/>
      <c r="BN184" s="80" t="e">
        <v>#VALUE!</v>
      </c>
      <c r="BO184" s="81" t="e">
        <v>#VALUE!</v>
      </c>
      <c r="BP184" s="82" t="e">
        <v>#VALUE!</v>
      </c>
      <c r="BQ184" s="82" t="e">
        <v>#VALUE!</v>
      </c>
      <c r="BR184" s="82" t="e">
        <v>#VALUE!</v>
      </c>
      <c r="BS184" s="80">
        <v>0</v>
      </c>
      <c r="BT184" s="83" t="s">
        <v>226</v>
      </c>
      <c r="BU184" s="61"/>
      <c r="BV184" s="84">
        <v>0</v>
      </c>
      <c r="BW184" s="84">
        <v>0</v>
      </c>
      <c r="BX184" s="84">
        <v>0</v>
      </c>
      <c r="BY184" s="84">
        <v>0</v>
      </c>
      <c r="BZ184" s="62"/>
      <c r="CA184" s="85"/>
      <c r="CB184" s="85"/>
      <c r="CC184" s="85"/>
      <c r="CD184" s="85"/>
      <c r="CE184" s="62"/>
      <c r="CF184" s="86">
        <v>0</v>
      </c>
      <c r="CG184" s="87">
        <v>0</v>
      </c>
      <c r="CH184" s="87">
        <v>0</v>
      </c>
      <c r="CI184" s="87">
        <v>0</v>
      </c>
      <c r="CJ184" s="87">
        <v>0</v>
      </c>
    </row>
    <row r="185" spans="1:88" x14ac:dyDescent="0.35">
      <c r="A185" s="88" t="s">
        <v>225</v>
      </c>
      <c r="B185" s="89">
        <v>184</v>
      </c>
      <c r="C185" s="102" t="s">
        <v>226</v>
      </c>
      <c r="D185" s="102" t="s">
        <v>226</v>
      </c>
      <c r="E185" s="103" t="s">
        <v>226</v>
      </c>
      <c r="F185" s="103" t="s">
        <v>226</v>
      </c>
      <c r="G185" s="103" t="s">
        <v>226</v>
      </c>
      <c r="H185" s="101"/>
      <c r="I185" s="93">
        <v>0</v>
      </c>
      <c r="J185" s="94">
        <v>0</v>
      </c>
      <c r="K185" s="94">
        <v>0</v>
      </c>
      <c r="L185" s="95">
        <v>0</v>
      </c>
      <c r="M185" s="96">
        <v>0</v>
      </c>
      <c r="N185" s="72"/>
      <c r="O185" s="73"/>
      <c r="P185" s="73"/>
      <c r="Q185" s="74"/>
      <c r="R185" s="72"/>
      <c r="S185" s="73"/>
      <c r="T185" s="73"/>
      <c r="U185" s="75"/>
      <c r="V185" s="93">
        <v>0</v>
      </c>
      <c r="W185" s="94">
        <v>0</v>
      </c>
      <c r="X185" s="94">
        <v>0</v>
      </c>
      <c r="Y185" s="95">
        <v>0</v>
      </c>
      <c r="Z185" s="96">
        <v>0</v>
      </c>
      <c r="AA185" s="72"/>
      <c r="AB185" s="73"/>
      <c r="AC185" s="73"/>
      <c r="AD185" s="74"/>
      <c r="AE185" s="72"/>
      <c r="AF185" s="73"/>
      <c r="AG185" s="73"/>
      <c r="AH185" s="75"/>
      <c r="AI185" s="93">
        <v>0</v>
      </c>
      <c r="AJ185" s="94">
        <v>0</v>
      </c>
      <c r="AK185" s="94">
        <v>0</v>
      </c>
      <c r="AL185" s="95">
        <v>0</v>
      </c>
      <c r="AM185" s="96">
        <v>0</v>
      </c>
      <c r="AN185" s="72"/>
      <c r="AO185" s="73"/>
      <c r="AP185" s="73"/>
      <c r="AQ185" s="74"/>
      <c r="AR185" s="72"/>
      <c r="AS185" s="73"/>
      <c r="AT185" s="73"/>
      <c r="AU185" s="75"/>
      <c r="AV185" s="93">
        <v>0</v>
      </c>
      <c r="AW185" s="94">
        <v>0</v>
      </c>
      <c r="AX185" s="94">
        <v>0</v>
      </c>
      <c r="AY185" s="95">
        <v>0</v>
      </c>
      <c r="AZ185" s="97">
        <v>1</v>
      </c>
      <c r="BA185" s="72"/>
      <c r="BB185" s="73"/>
      <c r="BC185" s="73"/>
      <c r="BD185" s="74"/>
      <c r="BE185" s="72"/>
      <c r="BF185" s="73"/>
      <c r="BG185" s="73"/>
      <c r="BH185" s="75"/>
      <c r="BI185" s="98">
        <v>0</v>
      </c>
      <c r="BJ185" s="99">
        <v>0</v>
      </c>
      <c r="BK185" s="100"/>
      <c r="BL185" s="100"/>
      <c r="BM185" s="62"/>
      <c r="BN185" s="80" t="e">
        <v>#VALUE!</v>
      </c>
      <c r="BO185" s="81" t="e">
        <v>#VALUE!</v>
      </c>
      <c r="BP185" s="82" t="e">
        <v>#VALUE!</v>
      </c>
      <c r="BQ185" s="82" t="e">
        <v>#VALUE!</v>
      </c>
      <c r="BR185" s="82" t="e">
        <v>#VALUE!</v>
      </c>
      <c r="BS185" s="80">
        <v>0</v>
      </c>
      <c r="BT185" s="83" t="s">
        <v>226</v>
      </c>
      <c r="BU185" s="61"/>
      <c r="BV185" s="84">
        <v>0</v>
      </c>
      <c r="BW185" s="84">
        <v>0</v>
      </c>
      <c r="BX185" s="84">
        <v>0</v>
      </c>
      <c r="BY185" s="84">
        <v>0</v>
      </c>
      <c r="BZ185" s="62"/>
      <c r="CA185" s="85"/>
      <c r="CB185" s="85"/>
      <c r="CC185" s="85"/>
      <c r="CD185" s="85"/>
      <c r="CE185" s="62"/>
      <c r="CF185" s="86">
        <v>0</v>
      </c>
      <c r="CG185" s="87">
        <v>0</v>
      </c>
      <c r="CH185" s="87">
        <v>0</v>
      </c>
      <c r="CI185" s="87">
        <v>0</v>
      </c>
      <c r="CJ185" s="87">
        <v>0</v>
      </c>
    </row>
    <row r="186" spans="1:88" x14ac:dyDescent="0.35">
      <c r="A186" s="88" t="s">
        <v>225</v>
      </c>
      <c r="B186" s="89">
        <v>185</v>
      </c>
      <c r="C186" s="102" t="s">
        <v>226</v>
      </c>
      <c r="D186" s="102" t="s">
        <v>226</v>
      </c>
      <c r="E186" s="103" t="s">
        <v>226</v>
      </c>
      <c r="F186" s="103" t="s">
        <v>226</v>
      </c>
      <c r="G186" s="103" t="s">
        <v>226</v>
      </c>
      <c r="H186" s="101"/>
      <c r="I186" s="93">
        <v>0</v>
      </c>
      <c r="J186" s="94">
        <v>0</v>
      </c>
      <c r="K186" s="94">
        <v>0</v>
      </c>
      <c r="L186" s="95">
        <v>0</v>
      </c>
      <c r="M186" s="96">
        <v>0</v>
      </c>
      <c r="N186" s="72"/>
      <c r="O186" s="73"/>
      <c r="P186" s="73"/>
      <c r="Q186" s="74"/>
      <c r="R186" s="72"/>
      <c r="S186" s="73"/>
      <c r="T186" s="73"/>
      <c r="U186" s="75"/>
      <c r="V186" s="93">
        <v>0</v>
      </c>
      <c r="W186" s="94">
        <v>0</v>
      </c>
      <c r="X186" s="94">
        <v>0</v>
      </c>
      <c r="Y186" s="95">
        <v>0</v>
      </c>
      <c r="Z186" s="96">
        <v>0</v>
      </c>
      <c r="AA186" s="72"/>
      <c r="AB186" s="73"/>
      <c r="AC186" s="73"/>
      <c r="AD186" s="74"/>
      <c r="AE186" s="72"/>
      <c r="AF186" s="73"/>
      <c r="AG186" s="73"/>
      <c r="AH186" s="75"/>
      <c r="AI186" s="93">
        <v>0</v>
      </c>
      <c r="AJ186" s="94">
        <v>0</v>
      </c>
      <c r="AK186" s="94">
        <v>0</v>
      </c>
      <c r="AL186" s="95">
        <v>0</v>
      </c>
      <c r="AM186" s="96">
        <v>0</v>
      </c>
      <c r="AN186" s="72"/>
      <c r="AO186" s="73"/>
      <c r="AP186" s="73"/>
      <c r="AQ186" s="74"/>
      <c r="AR186" s="72"/>
      <c r="AS186" s="73"/>
      <c r="AT186" s="73"/>
      <c r="AU186" s="75"/>
      <c r="AV186" s="93">
        <v>0</v>
      </c>
      <c r="AW186" s="94">
        <v>0</v>
      </c>
      <c r="AX186" s="94">
        <v>0</v>
      </c>
      <c r="AY186" s="95">
        <v>0</v>
      </c>
      <c r="AZ186" s="97">
        <v>1</v>
      </c>
      <c r="BA186" s="72"/>
      <c r="BB186" s="73"/>
      <c r="BC186" s="73"/>
      <c r="BD186" s="74"/>
      <c r="BE186" s="72"/>
      <c r="BF186" s="73"/>
      <c r="BG186" s="73"/>
      <c r="BH186" s="75"/>
      <c r="BI186" s="98">
        <v>0</v>
      </c>
      <c r="BJ186" s="99">
        <v>0</v>
      </c>
      <c r="BK186" s="100"/>
      <c r="BL186" s="100"/>
      <c r="BM186" s="62"/>
      <c r="BN186" s="80" t="e">
        <v>#VALUE!</v>
      </c>
      <c r="BO186" s="81" t="e">
        <v>#VALUE!</v>
      </c>
      <c r="BP186" s="82" t="e">
        <v>#VALUE!</v>
      </c>
      <c r="BQ186" s="82" t="e">
        <v>#VALUE!</v>
      </c>
      <c r="BR186" s="82" t="e">
        <v>#VALUE!</v>
      </c>
      <c r="BS186" s="80">
        <v>0</v>
      </c>
      <c r="BT186" s="83" t="s">
        <v>226</v>
      </c>
      <c r="BU186" s="61"/>
      <c r="BV186" s="84">
        <v>0</v>
      </c>
      <c r="BW186" s="84">
        <v>0</v>
      </c>
      <c r="BX186" s="84">
        <v>0</v>
      </c>
      <c r="BY186" s="84">
        <v>0</v>
      </c>
      <c r="BZ186" s="62"/>
      <c r="CA186" s="85"/>
      <c r="CB186" s="85"/>
      <c r="CC186" s="85"/>
      <c r="CD186" s="85"/>
      <c r="CE186" s="62"/>
      <c r="CF186" s="86">
        <v>0</v>
      </c>
      <c r="CG186" s="87">
        <v>0</v>
      </c>
      <c r="CH186" s="87">
        <v>0</v>
      </c>
      <c r="CI186" s="87">
        <v>0</v>
      </c>
      <c r="CJ186" s="87">
        <v>0</v>
      </c>
    </row>
    <row r="187" spans="1:88" x14ac:dyDescent="0.35">
      <c r="A187" s="88" t="s">
        <v>225</v>
      </c>
      <c r="B187" s="89">
        <v>186</v>
      </c>
      <c r="C187" s="102" t="s">
        <v>226</v>
      </c>
      <c r="D187" s="102" t="s">
        <v>226</v>
      </c>
      <c r="E187" s="103" t="s">
        <v>226</v>
      </c>
      <c r="F187" s="103" t="s">
        <v>226</v>
      </c>
      <c r="G187" s="103" t="s">
        <v>226</v>
      </c>
      <c r="H187" s="101"/>
      <c r="I187" s="93">
        <v>0</v>
      </c>
      <c r="J187" s="94">
        <v>0</v>
      </c>
      <c r="K187" s="94">
        <v>0</v>
      </c>
      <c r="L187" s="95">
        <v>0</v>
      </c>
      <c r="M187" s="96">
        <v>0</v>
      </c>
      <c r="N187" s="72"/>
      <c r="O187" s="73"/>
      <c r="P187" s="73"/>
      <c r="Q187" s="74"/>
      <c r="R187" s="72"/>
      <c r="S187" s="73"/>
      <c r="T187" s="73"/>
      <c r="U187" s="75"/>
      <c r="V187" s="93">
        <v>0</v>
      </c>
      <c r="W187" s="94">
        <v>0</v>
      </c>
      <c r="X187" s="94">
        <v>0</v>
      </c>
      <c r="Y187" s="95">
        <v>0</v>
      </c>
      <c r="Z187" s="96">
        <v>0</v>
      </c>
      <c r="AA187" s="72"/>
      <c r="AB187" s="73"/>
      <c r="AC187" s="73"/>
      <c r="AD187" s="74"/>
      <c r="AE187" s="72"/>
      <c r="AF187" s="73"/>
      <c r="AG187" s="73"/>
      <c r="AH187" s="75"/>
      <c r="AI187" s="93">
        <v>0</v>
      </c>
      <c r="AJ187" s="94">
        <v>0</v>
      </c>
      <c r="AK187" s="94">
        <v>0</v>
      </c>
      <c r="AL187" s="95">
        <v>0</v>
      </c>
      <c r="AM187" s="96">
        <v>0</v>
      </c>
      <c r="AN187" s="72"/>
      <c r="AO187" s="73"/>
      <c r="AP187" s="73"/>
      <c r="AQ187" s="74"/>
      <c r="AR187" s="72"/>
      <c r="AS187" s="73"/>
      <c r="AT187" s="73"/>
      <c r="AU187" s="75"/>
      <c r="AV187" s="93">
        <v>0</v>
      </c>
      <c r="AW187" s="94">
        <v>0</v>
      </c>
      <c r="AX187" s="94">
        <v>0</v>
      </c>
      <c r="AY187" s="95">
        <v>0</v>
      </c>
      <c r="AZ187" s="97">
        <v>1</v>
      </c>
      <c r="BA187" s="72"/>
      <c r="BB187" s="73"/>
      <c r="BC187" s="73"/>
      <c r="BD187" s="74"/>
      <c r="BE187" s="72"/>
      <c r="BF187" s="73"/>
      <c r="BG187" s="73"/>
      <c r="BH187" s="75"/>
      <c r="BI187" s="98">
        <v>0</v>
      </c>
      <c r="BJ187" s="99">
        <v>0</v>
      </c>
      <c r="BK187" s="100"/>
      <c r="BL187" s="100"/>
      <c r="BM187" s="62"/>
      <c r="BN187" s="80" t="e">
        <v>#VALUE!</v>
      </c>
      <c r="BO187" s="81" t="e">
        <v>#VALUE!</v>
      </c>
      <c r="BP187" s="82" t="e">
        <v>#VALUE!</v>
      </c>
      <c r="BQ187" s="82" t="e">
        <v>#VALUE!</v>
      </c>
      <c r="BR187" s="82" t="e">
        <v>#VALUE!</v>
      </c>
      <c r="BS187" s="80">
        <v>0</v>
      </c>
      <c r="BT187" s="83" t="s">
        <v>226</v>
      </c>
      <c r="BU187" s="61"/>
      <c r="BV187" s="84">
        <v>0</v>
      </c>
      <c r="BW187" s="84">
        <v>0</v>
      </c>
      <c r="BX187" s="84">
        <v>0</v>
      </c>
      <c r="BY187" s="84">
        <v>0</v>
      </c>
      <c r="BZ187" s="62"/>
      <c r="CA187" s="85"/>
      <c r="CB187" s="85"/>
      <c r="CC187" s="85"/>
      <c r="CD187" s="85"/>
      <c r="CE187" s="62"/>
      <c r="CF187" s="86">
        <v>0</v>
      </c>
      <c r="CG187" s="87">
        <v>0</v>
      </c>
      <c r="CH187" s="87">
        <v>0</v>
      </c>
      <c r="CI187" s="87">
        <v>0</v>
      </c>
      <c r="CJ187" s="87">
        <v>0</v>
      </c>
    </row>
    <row r="188" spans="1:88" x14ac:dyDescent="0.35">
      <c r="A188" s="88" t="s">
        <v>225</v>
      </c>
      <c r="B188" s="89">
        <v>187</v>
      </c>
      <c r="C188" s="102" t="s">
        <v>226</v>
      </c>
      <c r="D188" s="102" t="s">
        <v>226</v>
      </c>
      <c r="E188" s="103" t="s">
        <v>226</v>
      </c>
      <c r="F188" s="103" t="s">
        <v>226</v>
      </c>
      <c r="G188" s="103" t="s">
        <v>226</v>
      </c>
      <c r="H188" s="101"/>
      <c r="I188" s="93">
        <v>0</v>
      </c>
      <c r="J188" s="94">
        <v>0</v>
      </c>
      <c r="K188" s="94">
        <v>0</v>
      </c>
      <c r="L188" s="95">
        <v>0</v>
      </c>
      <c r="M188" s="96">
        <v>0</v>
      </c>
      <c r="N188" s="72"/>
      <c r="O188" s="73"/>
      <c r="P188" s="73"/>
      <c r="Q188" s="74"/>
      <c r="R188" s="72"/>
      <c r="S188" s="73"/>
      <c r="T188" s="73"/>
      <c r="U188" s="75"/>
      <c r="V188" s="93">
        <v>0</v>
      </c>
      <c r="W188" s="94">
        <v>0</v>
      </c>
      <c r="X188" s="94">
        <v>0</v>
      </c>
      <c r="Y188" s="95">
        <v>0</v>
      </c>
      <c r="Z188" s="96">
        <v>0</v>
      </c>
      <c r="AA188" s="72"/>
      <c r="AB188" s="73"/>
      <c r="AC188" s="73"/>
      <c r="AD188" s="74"/>
      <c r="AE188" s="72"/>
      <c r="AF188" s="73"/>
      <c r="AG188" s="73"/>
      <c r="AH188" s="75"/>
      <c r="AI188" s="93">
        <v>0</v>
      </c>
      <c r="AJ188" s="94">
        <v>0</v>
      </c>
      <c r="AK188" s="94">
        <v>0</v>
      </c>
      <c r="AL188" s="95">
        <v>0</v>
      </c>
      <c r="AM188" s="96">
        <v>0</v>
      </c>
      <c r="AN188" s="72"/>
      <c r="AO188" s="73"/>
      <c r="AP188" s="73"/>
      <c r="AQ188" s="74"/>
      <c r="AR188" s="72"/>
      <c r="AS188" s="73"/>
      <c r="AT188" s="73"/>
      <c r="AU188" s="75"/>
      <c r="AV188" s="93">
        <v>0</v>
      </c>
      <c r="AW188" s="94">
        <v>0</v>
      </c>
      <c r="AX188" s="94">
        <v>0</v>
      </c>
      <c r="AY188" s="95">
        <v>0</v>
      </c>
      <c r="AZ188" s="97">
        <v>1</v>
      </c>
      <c r="BA188" s="72"/>
      <c r="BB188" s="73"/>
      <c r="BC188" s="73"/>
      <c r="BD188" s="74"/>
      <c r="BE188" s="72"/>
      <c r="BF188" s="73"/>
      <c r="BG188" s="73"/>
      <c r="BH188" s="75"/>
      <c r="BI188" s="98">
        <v>0</v>
      </c>
      <c r="BJ188" s="99">
        <v>0</v>
      </c>
      <c r="BK188" s="100"/>
      <c r="BL188" s="100"/>
      <c r="BM188" s="62"/>
      <c r="BN188" s="80" t="e">
        <v>#VALUE!</v>
      </c>
      <c r="BO188" s="81" t="e">
        <v>#VALUE!</v>
      </c>
      <c r="BP188" s="82" t="e">
        <v>#VALUE!</v>
      </c>
      <c r="BQ188" s="82" t="e">
        <v>#VALUE!</v>
      </c>
      <c r="BR188" s="82" t="e">
        <v>#VALUE!</v>
      </c>
      <c r="BS188" s="80">
        <v>0</v>
      </c>
      <c r="BT188" s="83" t="s">
        <v>226</v>
      </c>
      <c r="BU188" s="61"/>
      <c r="BV188" s="84">
        <v>0</v>
      </c>
      <c r="BW188" s="84">
        <v>0</v>
      </c>
      <c r="BX188" s="84">
        <v>0</v>
      </c>
      <c r="BY188" s="84">
        <v>0</v>
      </c>
      <c r="BZ188" s="62"/>
      <c r="CA188" s="85"/>
      <c r="CB188" s="85"/>
      <c r="CC188" s="85"/>
      <c r="CD188" s="85"/>
      <c r="CE188" s="62"/>
      <c r="CF188" s="86">
        <v>0</v>
      </c>
      <c r="CG188" s="87">
        <v>0</v>
      </c>
      <c r="CH188" s="87">
        <v>0</v>
      </c>
      <c r="CI188" s="87">
        <v>0</v>
      </c>
      <c r="CJ188" s="87">
        <v>0</v>
      </c>
    </row>
    <row r="189" spans="1:88" x14ac:dyDescent="0.35">
      <c r="A189" s="88" t="s">
        <v>225</v>
      </c>
      <c r="B189" s="89">
        <v>188</v>
      </c>
      <c r="C189" s="102" t="s">
        <v>226</v>
      </c>
      <c r="D189" s="102" t="s">
        <v>226</v>
      </c>
      <c r="E189" s="103" t="s">
        <v>226</v>
      </c>
      <c r="F189" s="103" t="s">
        <v>226</v>
      </c>
      <c r="G189" s="103" t="s">
        <v>226</v>
      </c>
      <c r="H189" s="101"/>
      <c r="I189" s="93">
        <v>0</v>
      </c>
      <c r="J189" s="94">
        <v>0</v>
      </c>
      <c r="K189" s="94">
        <v>0</v>
      </c>
      <c r="L189" s="95">
        <v>0</v>
      </c>
      <c r="M189" s="96">
        <v>0</v>
      </c>
      <c r="N189" s="72"/>
      <c r="O189" s="73"/>
      <c r="P189" s="73"/>
      <c r="Q189" s="74"/>
      <c r="R189" s="72"/>
      <c r="S189" s="73"/>
      <c r="T189" s="73"/>
      <c r="U189" s="75"/>
      <c r="V189" s="93">
        <v>0</v>
      </c>
      <c r="W189" s="94">
        <v>0</v>
      </c>
      <c r="X189" s="94">
        <v>0</v>
      </c>
      <c r="Y189" s="95">
        <v>0</v>
      </c>
      <c r="Z189" s="96">
        <v>0</v>
      </c>
      <c r="AA189" s="72"/>
      <c r="AB189" s="73"/>
      <c r="AC189" s="73"/>
      <c r="AD189" s="74"/>
      <c r="AE189" s="72"/>
      <c r="AF189" s="73"/>
      <c r="AG189" s="73"/>
      <c r="AH189" s="75"/>
      <c r="AI189" s="93">
        <v>0</v>
      </c>
      <c r="AJ189" s="94">
        <v>0</v>
      </c>
      <c r="AK189" s="94">
        <v>0</v>
      </c>
      <c r="AL189" s="95">
        <v>0</v>
      </c>
      <c r="AM189" s="96">
        <v>0</v>
      </c>
      <c r="AN189" s="72"/>
      <c r="AO189" s="73"/>
      <c r="AP189" s="73"/>
      <c r="AQ189" s="74"/>
      <c r="AR189" s="72"/>
      <c r="AS189" s="73"/>
      <c r="AT189" s="73"/>
      <c r="AU189" s="75"/>
      <c r="AV189" s="93">
        <v>0</v>
      </c>
      <c r="AW189" s="94">
        <v>0</v>
      </c>
      <c r="AX189" s="94">
        <v>0</v>
      </c>
      <c r="AY189" s="95">
        <v>0</v>
      </c>
      <c r="AZ189" s="97">
        <v>1</v>
      </c>
      <c r="BA189" s="72"/>
      <c r="BB189" s="73"/>
      <c r="BC189" s="73"/>
      <c r="BD189" s="74"/>
      <c r="BE189" s="72"/>
      <c r="BF189" s="73"/>
      <c r="BG189" s="73"/>
      <c r="BH189" s="75"/>
      <c r="BI189" s="98">
        <v>0</v>
      </c>
      <c r="BJ189" s="99">
        <v>0</v>
      </c>
      <c r="BK189" s="100"/>
      <c r="BL189" s="100"/>
      <c r="BM189" s="62"/>
      <c r="BN189" s="80" t="e">
        <v>#VALUE!</v>
      </c>
      <c r="BO189" s="81" t="e">
        <v>#VALUE!</v>
      </c>
      <c r="BP189" s="82" t="e">
        <v>#VALUE!</v>
      </c>
      <c r="BQ189" s="82" t="e">
        <v>#VALUE!</v>
      </c>
      <c r="BR189" s="82" t="e">
        <v>#VALUE!</v>
      </c>
      <c r="BS189" s="80">
        <v>0</v>
      </c>
      <c r="BT189" s="83" t="s">
        <v>226</v>
      </c>
      <c r="BU189" s="61"/>
      <c r="BV189" s="84">
        <v>0</v>
      </c>
      <c r="BW189" s="84">
        <v>0</v>
      </c>
      <c r="BX189" s="84">
        <v>0</v>
      </c>
      <c r="BY189" s="84">
        <v>0</v>
      </c>
      <c r="BZ189" s="62"/>
      <c r="CA189" s="85"/>
      <c r="CB189" s="85"/>
      <c r="CC189" s="85"/>
      <c r="CD189" s="85"/>
      <c r="CE189" s="62"/>
      <c r="CF189" s="86">
        <v>0</v>
      </c>
      <c r="CG189" s="87">
        <v>0</v>
      </c>
      <c r="CH189" s="87">
        <v>0</v>
      </c>
      <c r="CI189" s="87">
        <v>0</v>
      </c>
      <c r="CJ189" s="87">
        <v>0</v>
      </c>
    </row>
    <row r="190" spans="1:88" x14ac:dyDescent="0.35">
      <c r="A190" s="88" t="s">
        <v>225</v>
      </c>
      <c r="B190" s="89">
        <v>189</v>
      </c>
      <c r="C190" s="102" t="s">
        <v>226</v>
      </c>
      <c r="D190" s="102" t="s">
        <v>226</v>
      </c>
      <c r="E190" s="103" t="s">
        <v>226</v>
      </c>
      <c r="F190" s="103" t="s">
        <v>226</v>
      </c>
      <c r="G190" s="103" t="s">
        <v>226</v>
      </c>
      <c r="H190" s="101"/>
      <c r="I190" s="93">
        <v>0</v>
      </c>
      <c r="J190" s="94">
        <v>0</v>
      </c>
      <c r="K190" s="94">
        <v>0</v>
      </c>
      <c r="L190" s="95">
        <v>0</v>
      </c>
      <c r="M190" s="96">
        <v>0</v>
      </c>
      <c r="N190" s="72"/>
      <c r="O190" s="73"/>
      <c r="P190" s="73"/>
      <c r="Q190" s="74"/>
      <c r="R190" s="72"/>
      <c r="S190" s="73"/>
      <c r="T190" s="73"/>
      <c r="U190" s="75"/>
      <c r="V190" s="93">
        <v>0</v>
      </c>
      <c r="W190" s="94">
        <v>0</v>
      </c>
      <c r="X190" s="94">
        <v>0</v>
      </c>
      <c r="Y190" s="95">
        <v>0</v>
      </c>
      <c r="Z190" s="96">
        <v>0</v>
      </c>
      <c r="AA190" s="72"/>
      <c r="AB190" s="73"/>
      <c r="AC190" s="73"/>
      <c r="AD190" s="74"/>
      <c r="AE190" s="72"/>
      <c r="AF190" s="73"/>
      <c r="AG190" s="73"/>
      <c r="AH190" s="75"/>
      <c r="AI190" s="93">
        <v>0</v>
      </c>
      <c r="AJ190" s="94">
        <v>0</v>
      </c>
      <c r="AK190" s="94">
        <v>0</v>
      </c>
      <c r="AL190" s="95">
        <v>0</v>
      </c>
      <c r="AM190" s="96">
        <v>0</v>
      </c>
      <c r="AN190" s="72"/>
      <c r="AO190" s="73"/>
      <c r="AP190" s="73"/>
      <c r="AQ190" s="74"/>
      <c r="AR190" s="72"/>
      <c r="AS190" s="73"/>
      <c r="AT190" s="73"/>
      <c r="AU190" s="75"/>
      <c r="AV190" s="93">
        <v>0</v>
      </c>
      <c r="AW190" s="94">
        <v>0</v>
      </c>
      <c r="AX190" s="94">
        <v>0</v>
      </c>
      <c r="AY190" s="95">
        <v>0</v>
      </c>
      <c r="AZ190" s="97">
        <v>1</v>
      </c>
      <c r="BA190" s="72"/>
      <c r="BB190" s="73"/>
      <c r="BC190" s="73"/>
      <c r="BD190" s="74"/>
      <c r="BE190" s="72"/>
      <c r="BF190" s="73"/>
      <c r="BG190" s="73"/>
      <c r="BH190" s="75"/>
      <c r="BI190" s="98">
        <v>0</v>
      </c>
      <c r="BJ190" s="99">
        <v>0</v>
      </c>
      <c r="BK190" s="100"/>
      <c r="BL190" s="100"/>
      <c r="BM190" s="62"/>
      <c r="BN190" s="80" t="e">
        <v>#VALUE!</v>
      </c>
      <c r="BO190" s="81" t="e">
        <v>#VALUE!</v>
      </c>
      <c r="BP190" s="82" t="e">
        <v>#VALUE!</v>
      </c>
      <c r="BQ190" s="82" t="e">
        <v>#VALUE!</v>
      </c>
      <c r="BR190" s="82" t="e">
        <v>#VALUE!</v>
      </c>
      <c r="BS190" s="80">
        <v>0</v>
      </c>
      <c r="BT190" s="83" t="s">
        <v>226</v>
      </c>
      <c r="BU190" s="61"/>
      <c r="BV190" s="84">
        <v>0</v>
      </c>
      <c r="BW190" s="84">
        <v>0</v>
      </c>
      <c r="BX190" s="84">
        <v>0</v>
      </c>
      <c r="BY190" s="84">
        <v>0</v>
      </c>
      <c r="BZ190" s="62"/>
      <c r="CA190" s="85"/>
      <c r="CB190" s="85"/>
      <c r="CC190" s="85"/>
      <c r="CD190" s="85"/>
      <c r="CE190" s="62"/>
      <c r="CF190" s="86">
        <v>0</v>
      </c>
      <c r="CG190" s="87">
        <v>0</v>
      </c>
      <c r="CH190" s="87">
        <v>0</v>
      </c>
      <c r="CI190" s="87">
        <v>0</v>
      </c>
      <c r="CJ190" s="87">
        <v>0</v>
      </c>
    </row>
    <row r="191" spans="1:88" x14ac:dyDescent="0.35">
      <c r="A191" s="88" t="s">
        <v>225</v>
      </c>
      <c r="B191" s="89">
        <v>190</v>
      </c>
      <c r="C191" s="102" t="s">
        <v>226</v>
      </c>
      <c r="D191" s="102" t="s">
        <v>226</v>
      </c>
      <c r="E191" s="103" t="s">
        <v>226</v>
      </c>
      <c r="F191" s="103" t="s">
        <v>226</v>
      </c>
      <c r="G191" s="103" t="s">
        <v>226</v>
      </c>
      <c r="H191" s="101"/>
      <c r="I191" s="93">
        <v>0</v>
      </c>
      <c r="J191" s="94">
        <v>0</v>
      </c>
      <c r="K191" s="94">
        <v>0</v>
      </c>
      <c r="L191" s="95">
        <v>0</v>
      </c>
      <c r="M191" s="96">
        <v>0</v>
      </c>
      <c r="N191" s="72"/>
      <c r="O191" s="73"/>
      <c r="P191" s="73"/>
      <c r="Q191" s="74"/>
      <c r="R191" s="72"/>
      <c r="S191" s="73"/>
      <c r="T191" s="73"/>
      <c r="U191" s="75"/>
      <c r="V191" s="93">
        <v>0</v>
      </c>
      <c r="W191" s="94">
        <v>0</v>
      </c>
      <c r="X191" s="94">
        <v>0</v>
      </c>
      <c r="Y191" s="95">
        <v>0</v>
      </c>
      <c r="Z191" s="96">
        <v>0</v>
      </c>
      <c r="AA191" s="72"/>
      <c r="AB191" s="73"/>
      <c r="AC191" s="73"/>
      <c r="AD191" s="74"/>
      <c r="AE191" s="72"/>
      <c r="AF191" s="73"/>
      <c r="AG191" s="73"/>
      <c r="AH191" s="75"/>
      <c r="AI191" s="93">
        <v>0</v>
      </c>
      <c r="AJ191" s="94">
        <v>0</v>
      </c>
      <c r="AK191" s="94">
        <v>0</v>
      </c>
      <c r="AL191" s="95">
        <v>0</v>
      </c>
      <c r="AM191" s="96">
        <v>0</v>
      </c>
      <c r="AN191" s="72"/>
      <c r="AO191" s="73"/>
      <c r="AP191" s="73"/>
      <c r="AQ191" s="74"/>
      <c r="AR191" s="72"/>
      <c r="AS191" s="73"/>
      <c r="AT191" s="73"/>
      <c r="AU191" s="75"/>
      <c r="AV191" s="93">
        <v>0</v>
      </c>
      <c r="AW191" s="94">
        <v>0</v>
      </c>
      <c r="AX191" s="94">
        <v>0</v>
      </c>
      <c r="AY191" s="95">
        <v>0</v>
      </c>
      <c r="AZ191" s="97">
        <v>1</v>
      </c>
      <c r="BA191" s="72"/>
      <c r="BB191" s="73"/>
      <c r="BC191" s="73"/>
      <c r="BD191" s="74"/>
      <c r="BE191" s="72"/>
      <c r="BF191" s="73"/>
      <c r="BG191" s="73"/>
      <c r="BH191" s="75"/>
      <c r="BI191" s="98">
        <v>0</v>
      </c>
      <c r="BJ191" s="99">
        <v>0</v>
      </c>
      <c r="BK191" s="100"/>
      <c r="BL191" s="100"/>
      <c r="BM191" s="62"/>
      <c r="BN191" s="80" t="e">
        <v>#VALUE!</v>
      </c>
      <c r="BO191" s="81" t="e">
        <v>#VALUE!</v>
      </c>
      <c r="BP191" s="82" t="e">
        <v>#VALUE!</v>
      </c>
      <c r="BQ191" s="82" t="e">
        <v>#VALUE!</v>
      </c>
      <c r="BR191" s="82" t="e">
        <v>#VALUE!</v>
      </c>
      <c r="BS191" s="80">
        <v>0</v>
      </c>
      <c r="BT191" s="83" t="s">
        <v>226</v>
      </c>
      <c r="BU191" s="61"/>
      <c r="BV191" s="84">
        <v>0</v>
      </c>
      <c r="BW191" s="84">
        <v>0</v>
      </c>
      <c r="BX191" s="84">
        <v>0</v>
      </c>
      <c r="BY191" s="84">
        <v>0</v>
      </c>
      <c r="BZ191" s="62"/>
      <c r="CA191" s="85"/>
      <c r="CB191" s="85"/>
      <c r="CC191" s="85"/>
      <c r="CD191" s="85"/>
      <c r="CE191" s="62"/>
      <c r="CF191" s="86">
        <v>0</v>
      </c>
      <c r="CG191" s="87">
        <v>0</v>
      </c>
      <c r="CH191" s="87">
        <v>0</v>
      </c>
      <c r="CI191" s="87">
        <v>0</v>
      </c>
      <c r="CJ191" s="87">
        <v>0</v>
      </c>
    </row>
    <row r="192" spans="1:88" x14ac:dyDescent="0.35">
      <c r="A192" s="88" t="s">
        <v>225</v>
      </c>
      <c r="B192" s="89">
        <v>191</v>
      </c>
      <c r="C192" s="102" t="s">
        <v>226</v>
      </c>
      <c r="D192" s="102" t="s">
        <v>226</v>
      </c>
      <c r="E192" s="103" t="s">
        <v>226</v>
      </c>
      <c r="F192" s="103" t="s">
        <v>226</v>
      </c>
      <c r="G192" s="103" t="s">
        <v>226</v>
      </c>
      <c r="H192" s="101"/>
      <c r="I192" s="93">
        <v>0</v>
      </c>
      <c r="J192" s="94">
        <v>0</v>
      </c>
      <c r="K192" s="94">
        <v>0</v>
      </c>
      <c r="L192" s="95">
        <v>0</v>
      </c>
      <c r="M192" s="96">
        <v>0</v>
      </c>
      <c r="N192" s="72"/>
      <c r="O192" s="73"/>
      <c r="P192" s="73"/>
      <c r="Q192" s="74"/>
      <c r="R192" s="72"/>
      <c r="S192" s="73"/>
      <c r="T192" s="73"/>
      <c r="U192" s="75"/>
      <c r="V192" s="93">
        <v>0</v>
      </c>
      <c r="W192" s="94">
        <v>0</v>
      </c>
      <c r="X192" s="94">
        <v>0</v>
      </c>
      <c r="Y192" s="95">
        <v>0</v>
      </c>
      <c r="Z192" s="96">
        <v>0</v>
      </c>
      <c r="AA192" s="72"/>
      <c r="AB192" s="73"/>
      <c r="AC192" s="73"/>
      <c r="AD192" s="74"/>
      <c r="AE192" s="72"/>
      <c r="AF192" s="73"/>
      <c r="AG192" s="73"/>
      <c r="AH192" s="75"/>
      <c r="AI192" s="93">
        <v>0</v>
      </c>
      <c r="AJ192" s="94">
        <v>0</v>
      </c>
      <c r="AK192" s="94">
        <v>0</v>
      </c>
      <c r="AL192" s="95">
        <v>0</v>
      </c>
      <c r="AM192" s="96">
        <v>0</v>
      </c>
      <c r="AN192" s="72"/>
      <c r="AO192" s="73"/>
      <c r="AP192" s="73"/>
      <c r="AQ192" s="74"/>
      <c r="AR192" s="72"/>
      <c r="AS192" s="73"/>
      <c r="AT192" s="73"/>
      <c r="AU192" s="75"/>
      <c r="AV192" s="93">
        <v>0</v>
      </c>
      <c r="AW192" s="94">
        <v>0</v>
      </c>
      <c r="AX192" s="94">
        <v>0</v>
      </c>
      <c r="AY192" s="95">
        <v>0</v>
      </c>
      <c r="AZ192" s="97">
        <v>1</v>
      </c>
      <c r="BA192" s="72"/>
      <c r="BB192" s="73"/>
      <c r="BC192" s="73"/>
      <c r="BD192" s="74"/>
      <c r="BE192" s="72"/>
      <c r="BF192" s="73"/>
      <c r="BG192" s="73"/>
      <c r="BH192" s="75"/>
      <c r="BI192" s="98">
        <v>0</v>
      </c>
      <c r="BJ192" s="99">
        <v>0</v>
      </c>
      <c r="BK192" s="100"/>
      <c r="BL192" s="100"/>
      <c r="BM192" s="62"/>
      <c r="BN192" s="80" t="e">
        <v>#VALUE!</v>
      </c>
      <c r="BO192" s="81" t="e">
        <v>#VALUE!</v>
      </c>
      <c r="BP192" s="82" t="e">
        <v>#VALUE!</v>
      </c>
      <c r="BQ192" s="82" t="e">
        <v>#VALUE!</v>
      </c>
      <c r="BR192" s="82" t="e">
        <v>#VALUE!</v>
      </c>
      <c r="BS192" s="80">
        <v>0</v>
      </c>
      <c r="BT192" s="83" t="s">
        <v>226</v>
      </c>
      <c r="BU192" s="61"/>
      <c r="BV192" s="84">
        <v>0</v>
      </c>
      <c r="BW192" s="84">
        <v>0</v>
      </c>
      <c r="BX192" s="84">
        <v>0</v>
      </c>
      <c r="BY192" s="84">
        <v>0</v>
      </c>
      <c r="BZ192" s="62"/>
      <c r="CA192" s="85"/>
      <c r="CB192" s="85"/>
      <c r="CC192" s="85"/>
      <c r="CD192" s="85"/>
      <c r="CE192" s="62"/>
      <c r="CF192" s="86">
        <v>0</v>
      </c>
      <c r="CG192" s="87">
        <v>0</v>
      </c>
      <c r="CH192" s="87">
        <v>0</v>
      </c>
      <c r="CI192" s="87">
        <v>0</v>
      </c>
      <c r="CJ192" s="87">
        <v>0</v>
      </c>
    </row>
    <row r="193" spans="1:88" x14ac:dyDescent="0.35">
      <c r="A193" s="88" t="s">
        <v>225</v>
      </c>
      <c r="B193" s="89">
        <v>192</v>
      </c>
      <c r="C193" s="102" t="s">
        <v>226</v>
      </c>
      <c r="D193" s="102" t="s">
        <v>226</v>
      </c>
      <c r="E193" s="103" t="s">
        <v>226</v>
      </c>
      <c r="F193" s="103" t="s">
        <v>226</v>
      </c>
      <c r="G193" s="103" t="s">
        <v>226</v>
      </c>
      <c r="H193" s="101"/>
      <c r="I193" s="93">
        <v>0</v>
      </c>
      <c r="J193" s="94">
        <v>0</v>
      </c>
      <c r="K193" s="94">
        <v>0</v>
      </c>
      <c r="L193" s="95">
        <v>0</v>
      </c>
      <c r="M193" s="96">
        <v>0</v>
      </c>
      <c r="N193" s="72"/>
      <c r="O193" s="73"/>
      <c r="P193" s="73"/>
      <c r="Q193" s="74"/>
      <c r="R193" s="72"/>
      <c r="S193" s="73"/>
      <c r="T193" s="73"/>
      <c r="U193" s="75"/>
      <c r="V193" s="93">
        <v>0</v>
      </c>
      <c r="W193" s="94">
        <v>0</v>
      </c>
      <c r="X193" s="94">
        <v>0</v>
      </c>
      <c r="Y193" s="95">
        <v>0</v>
      </c>
      <c r="Z193" s="96">
        <v>0</v>
      </c>
      <c r="AA193" s="72"/>
      <c r="AB193" s="73"/>
      <c r="AC193" s="73"/>
      <c r="AD193" s="74"/>
      <c r="AE193" s="72"/>
      <c r="AF193" s="73"/>
      <c r="AG193" s="73"/>
      <c r="AH193" s="75"/>
      <c r="AI193" s="93">
        <v>0</v>
      </c>
      <c r="AJ193" s="94">
        <v>0</v>
      </c>
      <c r="AK193" s="94">
        <v>0</v>
      </c>
      <c r="AL193" s="95">
        <v>0</v>
      </c>
      <c r="AM193" s="96">
        <v>0</v>
      </c>
      <c r="AN193" s="72"/>
      <c r="AO193" s="73"/>
      <c r="AP193" s="73"/>
      <c r="AQ193" s="74"/>
      <c r="AR193" s="72"/>
      <c r="AS193" s="73"/>
      <c r="AT193" s="73"/>
      <c r="AU193" s="75"/>
      <c r="AV193" s="93">
        <v>0</v>
      </c>
      <c r="AW193" s="94">
        <v>0</v>
      </c>
      <c r="AX193" s="94">
        <v>0</v>
      </c>
      <c r="AY193" s="95">
        <v>0</v>
      </c>
      <c r="AZ193" s="97">
        <v>1</v>
      </c>
      <c r="BA193" s="72"/>
      <c r="BB193" s="73"/>
      <c r="BC193" s="73"/>
      <c r="BD193" s="74"/>
      <c r="BE193" s="72"/>
      <c r="BF193" s="73"/>
      <c r="BG193" s="73"/>
      <c r="BH193" s="75"/>
      <c r="BI193" s="98">
        <v>0</v>
      </c>
      <c r="BJ193" s="99">
        <v>0</v>
      </c>
      <c r="BK193" s="100"/>
      <c r="BL193" s="100"/>
      <c r="BM193" s="62"/>
      <c r="BN193" s="80" t="e">
        <v>#VALUE!</v>
      </c>
      <c r="BO193" s="81" t="e">
        <v>#VALUE!</v>
      </c>
      <c r="BP193" s="82" t="e">
        <v>#VALUE!</v>
      </c>
      <c r="BQ193" s="82" t="e">
        <v>#VALUE!</v>
      </c>
      <c r="BR193" s="82" t="e">
        <v>#VALUE!</v>
      </c>
      <c r="BS193" s="80">
        <v>0</v>
      </c>
      <c r="BT193" s="83" t="s">
        <v>226</v>
      </c>
      <c r="BU193" s="61"/>
      <c r="BV193" s="84">
        <v>0</v>
      </c>
      <c r="BW193" s="84">
        <v>0</v>
      </c>
      <c r="BX193" s="84">
        <v>0</v>
      </c>
      <c r="BY193" s="84">
        <v>0</v>
      </c>
      <c r="BZ193" s="62"/>
      <c r="CA193" s="85"/>
      <c r="CB193" s="85"/>
      <c r="CC193" s="85"/>
      <c r="CD193" s="85"/>
      <c r="CE193" s="62"/>
      <c r="CF193" s="86">
        <v>0</v>
      </c>
      <c r="CG193" s="87">
        <v>0</v>
      </c>
      <c r="CH193" s="87">
        <v>0</v>
      </c>
      <c r="CI193" s="87">
        <v>0</v>
      </c>
      <c r="CJ193" s="87">
        <v>0</v>
      </c>
    </row>
    <row r="194" spans="1:88" x14ac:dyDescent="0.35">
      <c r="A194" s="88" t="s">
        <v>225</v>
      </c>
      <c r="B194" s="89">
        <v>193</v>
      </c>
      <c r="C194" s="102" t="s">
        <v>226</v>
      </c>
      <c r="D194" s="102" t="s">
        <v>226</v>
      </c>
      <c r="E194" s="103" t="s">
        <v>226</v>
      </c>
      <c r="F194" s="103" t="s">
        <v>226</v>
      </c>
      <c r="G194" s="103" t="s">
        <v>226</v>
      </c>
      <c r="H194" s="101"/>
      <c r="I194" s="93">
        <v>0</v>
      </c>
      <c r="J194" s="94">
        <v>0</v>
      </c>
      <c r="K194" s="94">
        <v>0</v>
      </c>
      <c r="L194" s="95">
        <v>0</v>
      </c>
      <c r="M194" s="96">
        <v>0</v>
      </c>
      <c r="N194" s="72"/>
      <c r="O194" s="73"/>
      <c r="P194" s="73"/>
      <c r="Q194" s="74"/>
      <c r="R194" s="72"/>
      <c r="S194" s="73"/>
      <c r="T194" s="73"/>
      <c r="U194" s="75"/>
      <c r="V194" s="93">
        <v>0</v>
      </c>
      <c r="W194" s="94">
        <v>0</v>
      </c>
      <c r="X194" s="94">
        <v>0</v>
      </c>
      <c r="Y194" s="95">
        <v>0</v>
      </c>
      <c r="Z194" s="96">
        <v>0</v>
      </c>
      <c r="AA194" s="72"/>
      <c r="AB194" s="73"/>
      <c r="AC194" s="73"/>
      <c r="AD194" s="74"/>
      <c r="AE194" s="72"/>
      <c r="AF194" s="73"/>
      <c r="AG194" s="73"/>
      <c r="AH194" s="75"/>
      <c r="AI194" s="93">
        <v>0</v>
      </c>
      <c r="AJ194" s="94">
        <v>0</v>
      </c>
      <c r="AK194" s="94">
        <v>0</v>
      </c>
      <c r="AL194" s="95">
        <v>0</v>
      </c>
      <c r="AM194" s="96">
        <v>0</v>
      </c>
      <c r="AN194" s="72"/>
      <c r="AO194" s="73"/>
      <c r="AP194" s="73"/>
      <c r="AQ194" s="74"/>
      <c r="AR194" s="72"/>
      <c r="AS194" s="73"/>
      <c r="AT194" s="73"/>
      <c r="AU194" s="75"/>
      <c r="AV194" s="93">
        <v>0</v>
      </c>
      <c r="AW194" s="94">
        <v>0</v>
      </c>
      <c r="AX194" s="94">
        <v>0</v>
      </c>
      <c r="AY194" s="95">
        <v>0</v>
      </c>
      <c r="AZ194" s="97">
        <v>1</v>
      </c>
      <c r="BA194" s="72"/>
      <c r="BB194" s="73"/>
      <c r="BC194" s="73"/>
      <c r="BD194" s="74"/>
      <c r="BE194" s="72"/>
      <c r="BF194" s="73"/>
      <c r="BG194" s="73"/>
      <c r="BH194" s="75"/>
      <c r="BI194" s="98">
        <v>0</v>
      </c>
      <c r="BJ194" s="99">
        <v>0</v>
      </c>
      <c r="BK194" s="100"/>
      <c r="BL194" s="100"/>
      <c r="BM194" s="62"/>
      <c r="BN194" s="80" t="e">
        <v>#VALUE!</v>
      </c>
      <c r="BO194" s="81" t="e">
        <v>#VALUE!</v>
      </c>
      <c r="BP194" s="82" t="e">
        <v>#VALUE!</v>
      </c>
      <c r="BQ194" s="82" t="e">
        <v>#VALUE!</v>
      </c>
      <c r="BR194" s="82" t="e">
        <v>#VALUE!</v>
      </c>
      <c r="BS194" s="80">
        <v>0</v>
      </c>
      <c r="BT194" s="83" t="s">
        <v>226</v>
      </c>
      <c r="BU194" s="61"/>
      <c r="BV194" s="84">
        <v>0</v>
      </c>
      <c r="BW194" s="84">
        <v>0</v>
      </c>
      <c r="BX194" s="84">
        <v>0</v>
      </c>
      <c r="BY194" s="84">
        <v>0</v>
      </c>
      <c r="BZ194" s="62"/>
      <c r="CA194" s="85"/>
      <c r="CB194" s="85"/>
      <c r="CC194" s="85"/>
      <c r="CD194" s="85"/>
      <c r="CE194" s="62"/>
      <c r="CF194" s="86">
        <v>0</v>
      </c>
      <c r="CG194" s="87">
        <v>0</v>
      </c>
      <c r="CH194" s="87">
        <v>0</v>
      </c>
      <c r="CI194" s="87">
        <v>0</v>
      </c>
      <c r="CJ194" s="87">
        <v>0</v>
      </c>
    </row>
    <row r="195" spans="1:88" x14ac:dyDescent="0.35">
      <c r="A195" s="88" t="s">
        <v>225</v>
      </c>
      <c r="B195" s="89">
        <v>194</v>
      </c>
      <c r="C195" s="102" t="s">
        <v>226</v>
      </c>
      <c r="D195" s="102" t="s">
        <v>226</v>
      </c>
      <c r="E195" s="103" t="s">
        <v>226</v>
      </c>
      <c r="F195" s="103" t="s">
        <v>226</v>
      </c>
      <c r="G195" s="103" t="s">
        <v>226</v>
      </c>
      <c r="H195" s="101"/>
      <c r="I195" s="93">
        <v>0</v>
      </c>
      <c r="J195" s="94">
        <v>0</v>
      </c>
      <c r="K195" s="94">
        <v>0</v>
      </c>
      <c r="L195" s="95">
        <v>0</v>
      </c>
      <c r="M195" s="96">
        <v>0</v>
      </c>
      <c r="N195" s="72"/>
      <c r="O195" s="73"/>
      <c r="P195" s="73"/>
      <c r="Q195" s="74"/>
      <c r="R195" s="72"/>
      <c r="S195" s="73"/>
      <c r="T195" s="73"/>
      <c r="U195" s="75"/>
      <c r="V195" s="93">
        <v>0</v>
      </c>
      <c r="W195" s="94">
        <v>0</v>
      </c>
      <c r="X195" s="94">
        <v>0</v>
      </c>
      <c r="Y195" s="95">
        <v>0</v>
      </c>
      <c r="Z195" s="96">
        <v>0</v>
      </c>
      <c r="AA195" s="72"/>
      <c r="AB195" s="73"/>
      <c r="AC195" s="73"/>
      <c r="AD195" s="74"/>
      <c r="AE195" s="72"/>
      <c r="AF195" s="73"/>
      <c r="AG195" s="73"/>
      <c r="AH195" s="75"/>
      <c r="AI195" s="93">
        <v>0</v>
      </c>
      <c r="AJ195" s="94">
        <v>0</v>
      </c>
      <c r="AK195" s="94">
        <v>0</v>
      </c>
      <c r="AL195" s="95">
        <v>0</v>
      </c>
      <c r="AM195" s="96">
        <v>0</v>
      </c>
      <c r="AN195" s="72"/>
      <c r="AO195" s="73"/>
      <c r="AP195" s="73"/>
      <c r="AQ195" s="74"/>
      <c r="AR195" s="72"/>
      <c r="AS195" s="73"/>
      <c r="AT195" s="73"/>
      <c r="AU195" s="75"/>
      <c r="AV195" s="93">
        <v>0</v>
      </c>
      <c r="AW195" s="94">
        <v>0</v>
      </c>
      <c r="AX195" s="94">
        <v>0</v>
      </c>
      <c r="AY195" s="95">
        <v>0</v>
      </c>
      <c r="AZ195" s="97">
        <v>1</v>
      </c>
      <c r="BA195" s="72"/>
      <c r="BB195" s="73"/>
      <c r="BC195" s="73"/>
      <c r="BD195" s="74"/>
      <c r="BE195" s="72"/>
      <c r="BF195" s="73"/>
      <c r="BG195" s="73"/>
      <c r="BH195" s="75"/>
      <c r="BI195" s="98">
        <v>0</v>
      </c>
      <c r="BJ195" s="99">
        <v>0</v>
      </c>
      <c r="BK195" s="100"/>
      <c r="BL195" s="100"/>
      <c r="BM195" s="62"/>
      <c r="BN195" s="80" t="e">
        <v>#VALUE!</v>
      </c>
      <c r="BO195" s="81" t="e">
        <v>#VALUE!</v>
      </c>
      <c r="BP195" s="82" t="e">
        <v>#VALUE!</v>
      </c>
      <c r="BQ195" s="82" t="e">
        <v>#VALUE!</v>
      </c>
      <c r="BR195" s="82" t="e">
        <v>#VALUE!</v>
      </c>
      <c r="BS195" s="80">
        <v>0</v>
      </c>
      <c r="BT195" s="83" t="s">
        <v>226</v>
      </c>
      <c r="BU195" s="61"/>
      <c r="BV195" s="84">
        <v>0</v>
      </c>
      <c r="BW195" s="84">
        <v>0</v>
      </c>
      <c r="BX195" s="84">
        <v>0</v>
      </c>
      <c r="BY195" s="84">
        <v>0</v>
      </c>
      <c r="BZ195" s="62"/>
      <c r="CA195" s="85"/>
      <c r="CB195" s="85"/>
      <c r="CC195" s="85"/>
      <c r="CD195" s="85"/>
      <c r="CE195" s="62"/>
      <c r="CF195" s="86">
        <v>0</v>
      </c>
      <c r="CG195" s="87">
        <v>0</v>
      </c>
      <c r="CH195" s="87">
        <v>0</v>
      </c>
      <c r="CI195" s="87">
        <v>0</v>
      </c>
      <c r="CJ195" s="87">
        <v>0</v>
      </c>
    </row>
    <row r="196" spans="1:88" x14ac:dyDescent="0.35">
      <c r="A196" s="88" t="s">
        <v>225</v>
      </c>
      <c r="B196" s="89">
        <v>195</v>
      </c>
      <c r="C196" s="102" t="s">
        <v>226</v>
      </c>
      <c r="D196" s="102" t="s">
        <v>226</v>
      </c>
      <c r="E196" s="103" t="s">
        <v>226</v>
      </c>
      <c r="F196" s="103" t="s">
        <v>226</v>
      </c>
      <c r="G196" s="103" t="s">
        <v>226</v>
      </c>
      <c r="H196" s="101"/>
      <c r="I196" s="93">
        <v>0</v>
      </c>
      <c r="J196" s="94">
        <v>0</v>
      </c>
      <c r="K196" s="94">
        <v>0</v>
      </c>
      <c r="L196" s="95">
        <v>0</v>
      </c>
      <c r="M196" s="96">
        <v>0</v>
      </c>
      <c r="N196" s="72"/>
      <c r="O196" s="73"/>
      <c r="P196" s="73"/>
      <c r="Q196" s="74"/>
      <c r="R196" s="72"/>
      <c r="S196" s="73"/>
      <c r="T196" s="73"/>
      <c r="U196" s="75"/>
      <c r="V196" s="93">
        <v>0</v>
      </c>
      <c r="W196" s="94">
        <v>0</v>
      </c>
      <c r="X196" s="94">
        <v>0</v>
      </c>
      <c r="Y196" s="95">
        <v>0</v>
      </c>
      <c r="Z196" s="96">
        <v>0</v>
      </c>
      <c r="AA196" s="72"/>
      <c r="AB196" s="73"/>
      <c r="AC196" s="73"/>
      <c r="AD196" s="74"/>
      <c r="AE196" s="72"/>
      <c r="AF196" s="73"/>
      <c r="AG196" s="73"/>
      <c r="AH196" s="75"/>
      <c r="AI196" s="93">
        <v>0</v>
      </c>
      <c r="AJ196" s="94">
        <v>0</v>
      </c>
      <c r="AK196" s="94">
        <v>0</v>
      </c>
      <c r="AL196" s="95">
        <v>0</v>
      </c>
      <c r="AM196" s="96">
        <v>0</v>
      </c>
      <c r="AN196" s="72"/>
      <c r="AO196" s="73"/>
      <c r="AP196" s="73"/>
      <c r="AQ196" s="74"/>
      <c r="AR196" s="72"/>
      <c r="AS196" s="73"/>
      <c r="AT196" s="73"/>
      <c r="AU196" s="75"/>
      <c r="AV196" s="93">
        <v>0</v>
      </c>
      <c r="AW196" s="94">
        <v>0</v>
      </c>
      <c r="AX196" s="94">
        <v>0</v>
      </c>
      <c r="AY196" s="95">
        <v>0</v>
      </c>
      <c r="AZ196" s="97">
        <v>1</v>
      </c>
      <c r="BA196" s="72"/>
      <c r="BB196" s="73"/>
      <c r="BC196" s="73"/>
      <c r="BD196" s="74"/>
      <c r="BE196" s="72"/>
      <c r="BF196" s="73"/>
      <c r="BG196" s="73"/>
      <c r="BH196" s="75"/>
      <c r="BI196" s="98">
        <v>0</v>
      </c>
      <c r="BJ196" s="99">
        <v>0</v>
      </c>
      <c r="BK196" s="100"/>
      <c r="BL196" s="100"/>
      <c r="BM196" s="62"/>
      <c r="BN196" s="80" t="e">
        <v>#VALUE!</v>
      </c>
      <c r="BO196" s="81" t="e">
        <v>#VALUE!</v>
      </c>
      <c r="BP196" s="82" t="e">
        <v>#VALUE!</v>
      </c>
      <c r="BQ196" s="82" t="e">
        <v>#VALUE!</v>
      </c>
      <c r="BR196" s="82" t="e">
        <v>#VALUE!</v>
      </c>
      <c r="BS196" s="80">
        <v>0</v>
      </c>
      <c r="BT196" s="83" t="s">
        <v>226</v>
      </c>
      <c r="BU196" s="61"/>
      <c r="BV196" s="84">
        <v>0</v>
      </c>
      <c r="BW196" s="84">
        <v>0</v>
      </c>
      <c r="BX196" s="84">
        <v>0</v>
      </c>
      <c r="BY196" s="84">
        <v>0</v>
      </c>
      <c r="BZ196" s="62"/>
      <c r="CA196" s="85"/>
      <c r="CB196" s="85"/>
      <c r="CC196" s="85"/>
      <c r="CD196" s="85"/>
      <c r="CE196" s="62"/>
      <c r="CF196" s="86">
        <v>0</v>
      </c>
      <c r="CG196" s="87">
        <v>0</v>
      </c>
      <c r="CH196" s="87">
        <v>0</v>
      </c>
      <c r="CI196" s="87">
        <v>0</v>
      </c>
      <c r="CJ196" s="87">
        <v>0</v>
      </c>
    </row>
    <row r="197" spans="1:88" x14ac:dyDescent="0.35">
      <c r="A197" s="88" t="s">
        <v>225</v>
      </c>
      <c r="B197" s="89">
        <v>196</v>
      </c>
      <c r="C197" s="102" t="s">
        <v>226</v>
      </c>
      <c r="D197" s="102" t="s">
        <v>226</v>
      </c>
      <c r="E197" s="103" t="s">
        <v>226</v>
      </c>
      <c r="F197" s="103" t="s">
        <v>226</v>
      </c>
      <c r="G197" s="103" t="s">
        <v>226</v>
      </c>
      <c r="H197" s="101"/>
      <c r="I197" s="93">
        <v>0</v>
      </c>
      <c r="J197" s="94">
        <v>0</v>
      </c>
      <c r="K197" s="94">
        <v>0</v>
      </c>
      <c r="L197" s="95">
        <v>0</v>
      </c>
      <c r="M197" s="96">
        <v>0</v>
      </c>
      <c r="N197" s="72"/>
      <c r="O197" s="73"/>
      <c r="P197" s="73"/>
      <c r="Q197" s="74"/>
      <c r="R197" s="72"/>
      <c r="S197" s="73"/>
      <c r="T197" s="73"/>
      <c r="U197" s="75"/>
      <c r="V197" s="93">
        <v>0</v>
      </c>
      <c r="W197" s="94">
        <v>0</v>
      </c>
      <c r="X197" s="94">
        <v>0</v>
      </c>
      <c r="Y197" s="95">
        <v>0</v>
      </c>
      <c r="Z197" s="96">
        <v>0</v>
      </c>
      <c r="AA197" s="72"/>
      <c r="AB197" s="73"/>
      <c r="AC197" s="73"/>
      <c r="AD197" s="74"/>
      <c r="AE197" s="72"/>
      <c r="AF197" s="73"/>
      <c r="AG197" s="73"/>
      <c r="AH197" s="75"/>
      <c r="AI197" s="93">
        <v>0</v>
      </c>
      <c r="AJ197" s="94">
        <v>0</v>
      </c>
      <c r="AK197" s="94">
        <v>0</v>
      </c>
      <c r="AL197" s="95">
        <v>0</v>
      </c>
      <c r="AM197" s="96">
        <v>0</v>
      </c>
      <c r="AN197" s="72"/>
      <c r="AO197" s="73"/>
      <c r="AP197" s="73"/>
      <c r="AQ197" s="74"/>
      <c r="AR197" s="72"/>
      <c r="AS197" s="73"/>
      <c r="AT197" s="73"/>
      <c r="AU197" s="75"/>
      <c r="AV197" s="93">
        <v>0</v>
      </c>
      <c r="AW197" s="94">
        <v>0</v>
      </c>
      <c r="AX197" s="94">
        <v>0</v>
      </c>
      <c r="AY197" s="95">
        <v>0</v>
      </c>
      <c r="AZ197" s="97">
        <v>1</v>
      </c>
      <c r="BA197" s="72"/>
      <c r="BB197" s="73"/>
      <c r="BC197" s="73"/>
      <c r="BD197" s="74"/>
      <c r="BE197" s="72"/>
      <c r="BF197" s="73"/>
      <c r="BG197" s="73"/>
      <c r="BH197" s="75"/>
      <c r="BI197" s="98">
        <v>0</v>
      </c>
      <c r="BJ197" s="99">
        <v>0</v>
      </c>
      <c r="BK197" s="100"/>
      <c r="BL197" s="100"/>
      <c r="BM197" s="62"/>
      <c r="BN197" s="80" t="e">
        <v>#VALUE!</v>
      </c>
      <c r="BO197" s="81" t="e">
        <v>#VALUE!</v>
      </c>
      <c r="BP197" s="82" t="e">
        <v>#VALUE!</v>
      </c>
      <c r="BQ197" s="82" t="e">
        <v>#VALUE!</v>
      </c>
      <c r="BR197" s="82" t="e">
        <v>#VALUE!</v>
      </c>
      <c r="BS197" s="80">
        <v>0</v>
      </c>
      <c r="BT197" s="83" t="s">
        <v>226</v>
      </c>
      <c r="BU197" s="61"/>
      <c r="BV197" s="84">
        <v>0</v>
      </c>
      <c r="BW197" s="84">
        <v>0</v>
      </c>
      <c r="BX197" s="84">
        <v>0</v>
      </c>
      <c r="BY197" s="84">
        <v>0</v>
      </c>
      <c r="BZ197" s="62"/>
      <c r="CA197" s="85"/>
      <c r="CB197" s="85"/>
      <c r="CC197" s="85"/>
      <c r="CD197" s="85"/>
      <c r="CE197" s="62"/>
      <c r="CF197" s="86">
        <v>0</v>
      </c>
      <c r="CG197" s="87">
        <v>0</v>
      </c>
      <c r="CH197" s="87">
        <v>0</v>
      </c>
      <c r="CI197" s="87">
        <v>0</v>
      </c>
      <c r="CJ197" s="87">
        <v>0</v>
      </c>
    </row>
    <row r="198" spans="1:88" x14ac:dyDescent="0.35">
      <c r="A198" s="88" t="s">
        <v>225</v>
      </c>
      <c r="B198" s="89">
        <v>197</v>
      </c>
      <c r="C198" s="102" t="s">
        <v>226</v>
      </c>
      <c r="D198" s="102" t="s">
        <v>226</v>
      </c>
      <c r="E198" s="103" t="s">
        <v>226</v>
      </c>
      <c r="F198" s="103" t="s">
        <v>226</v>
      </c>
      <c r="G198" s="103" t="s">
        <v>226</v>
      </c>
      <c r="H198" s="101"/>
      <c r="I198" s="93">
        <v>0</v>
      </c>
      <c r="J198" s="94">
        <v>0</v>
      </c>
      <c r="K198" s="94">
        <v>0</v>
      </c>
      <c r="L198" s="95">
        <v>0</v>
      </c>
      <c r="M198" s="96">
        <v>0</v>
      </c>
      <c r="N198" s="72"/>
      <c r="O198" s="73"/>
      <c r="P198" s="73"/>
      <c r="Q198" s="74"/>
      <c r="R198" s="72"/>
      <c r="S198" s="73"/>
      <c r="T198" s="73"/>
      <c r="U198" s="75"/>
      <c r="V198" s="93">
        <v>0</v>
      </c>
      <c r="W198" s="94">
        <v>0</v>
      </c>
      <c r="X198" s="94">
        <v>0</v>
      </c>
      <c r="Y198" s="95">
        <v>0</v>
      </c>
      <c r="Z198" s="96">
        <v>0</v>
      </c>
      <c r="AA198" s="72"/>
      <c r="AB198" s="73"/>
      <c r="AC198" s="73"/>
      <c r="AD198" s="74"/>
      <c r="AE198" s="72"/>
      <c r="AF198" s="73"/>
      <c r="AG198" s="73"/>
      <c r="AH198" s="75"/>
      <c r="AI198" s="93">
        <v>0</v>
      </c>
      <c r="AJ198" s="94">
        <v>0</v>
      </c>
      <c r="AK198" s="94">
        <v>0</v>
      </c>
      <c r="AL198" s="95">
        <v>0</v>
      </c>
      <c r="AM198" s="96">
        <v>0</v>
      </c>
      <c r="AN198" s="72"/>
      <c r="AO198" s="73"/>
      <c r="AP198" s="73"/>
      <c r="AQ198" s="74"/>
      <c r="AR198" s="72"/>
      <c r="AS198" s="73"/>
      <c r="AT198" s="73"/>
      <c r="AU198" s="75"/>
      <c r="AV198" s="93">
        <v>0</v>
      </c>
      <c r="AW198" s="94">
        <v>0</v>
      </c>
      <c r="AX198" s="94">
        <v>0</v>
      </c>
      <c r="AY198" s="95">
        <v>0</v>
      </c>
      <c r="AZ198" s="97">
        <v>1</v>
      </c>
      <c r="BA198" s="72"/>
      <c r="BB198" s="73"/>
      <c r="BC198" s="73"/>
      <c r="BD198" s="74"/>
      <c r="BE198" s="72"/>
      <c r="BF198" s="73"/>
      <c r="BG198" s="73"/>
      <c r="BH198" s="75"/>
      <c r="BI198" s="98">
        <v>0</v>
      </c>
      <c r="BJ198" s="99">
        <v>0</v>
      </c>
      <c r="BK198" s="100"/>
      <c r="BL198" s="100"/>
      <c r="BM198" s="62"/>
      <c r="BN198" s="80" t="e">
        <v>#VALUE!</v>
      </c>
      <c r="BO198" s="81" t="e">
        <v>#VALUE!</v>
      </c>
      <c r="BP198" s="82" t="e">
        <v>#VALUE!</v>
      </c>
      <c r="BQ198" s="82" t="e">
        <v>#VALUE!</v>
      </c>
      <c r="BR198" s="82" t="e">
        <v>#VALUE!</v>
      </c>
      <c r="BS198" s="80">
        <v>0</v>
      </c>
      <c r="BT198" s="83" t="s">
        <v>226</v>
      </c>
      <c r="BU198" s="61"/>
      <c r="BV198" s="84">
        <v>0</v>
      </c>
      <c r="BW198" s="84">
        <v>0</v>
      </c>
      <c r="BX198" s="84">
        <v>0</v>
      </c>
      <c r="BY198" s="84">
        <v>0</v>
      </c>
      <c r="BZ198" s="62"/>
      <c r="CA198" s="85"/>
      <c r="CB198" s="85"/>
      <c r="CC198" s="85"/>
      <c r="CD198" s="85"/>
      <c r="CE198" s="62"/>
      <c r="CF198" s="86">
        <v>0</v>
      </c>
      <c r="CG198" s="87">
        <v>0</v>
      </c>
      <c r="CH198" s="87">
        <v>0</v>
      </c>
      <c r="CI198" s="87">
        <v>0</v>
      </c>
      <c r="CJ198" s="87">
        <v>0</v>
      </c>
    </row>
    <row r="199" spans="1:88" x14ac:dyDescent="0.35">
      <c r="A199" s="88" t="s">
        <v>225</v>
      </c>
      <c r="B199" s="89">
        <v>198</v>
      </c>
      <c r="C199" s="102" t="s">
        <v>226</v>
      </c>
      <c r="D199" s="102" t="s">
        <v>226</v>
      </c>
      <c r="E199" s="103" t="s">
        <v>226</v>
      </c>
      <c r="F199" s="103" t="s">
        <v>226</v>
      </c>
      <c r="G199" s="103" t="s">
        <v>226</v>
      </c>
      <c r="H199" s="101"/>
      <c r="I199" s="93">
        <v>0</v>
      </c>
      <c r="J199" s="94">
        <v>0</v>
      </c>
      <c r="K199" s="94">
        <v>0</v>
      </c>
      <c r="L199" s="95">
        <v>0</v>
      </c>
      <c r="M199" s="96">
        <v>0</v>
      </c>
      <c r="N199" s="72"/>
      <c r="O199" s="73"/>
      <c r="P199" s="73"/>
      <c r="Q199" s="74"/>
      <c r="R199" s="72"/>
      <c r="S199" s="73"/>
      <c r="T199" s="73"/>
      <c r="U199" s="75"/>
      <c r="V199" s="93">
        <v>0</v>
      </c>
      <c r="W199" s="94">
        <v>0</v>
      </c>
      <c r="X199" s="94">
        <v>0</v>
      </c>
      <c r="Y199" s="95">
        <v>0</v>
      </c>
      <c r="Z199" s="96">
        <v>0</v>
      </c>
      <c r="AA199" s="72"/>
      <c r="AB199" s="73"/>
      <c r="AC199" s="73"/>
      <c r="AD199" s="74"/>
      <c r="AE199" s="72"/>
      <c r="AF199" s="73"/>
      <c r="AG199" s="73"/>
      <c r="AH199" s="75"/>
      <c r="AI199" s="93">
        <v>0</v>
      </c>
      <c r="AJ199" s="94">
        <v>0</v>
      </c>
      <c r="AK199" s="94">
        <v>0</v>
      </c>
      <c r="AL199" s="95">
        <v>0</v>
      </c>
      <c r="AM199" s="96">
        <v>0</v>
      </c>
      <c r="AN199" s="72"/>
      <c r="AO199" s="73"/>
      <c r="AP199" s="73"/>
      <c r="AQ199" s="74"/>
      <c r="AR199" s="72"/>
      <c r="AS199" s="73"/>
      <c r="AT199" s="73"/>
      <c r="AU199" s="75"/>
      <c r="AV199" s="93">
        <v>0</v>
      </c>
      <c r="AW199" s="94">
        <v>0</v>
      </c>
      <c r="AX199" s="94">
        <v>0</v>
      </c>
      <c r="AY199" s="95">
        <v>0</v>
      </c>
      <c r="AZ199" s="97">
        <v>1</v>
      </c>
      <c r="BA199" s="72"/>
      <c r="BB199" s="73"/>
      <c r="BC199" s="73"/>
      <c r="BD199" s="74"/>
      <c r="BE199" s="72"/>
      <c r="BF199" s="73"/>
      <c r="BG199" s="73"/>
      <c r="BH199" s="75"/>
      <c r="BI199" s="98">
        <v>0</v>
      </c>
      <c r="BJ199" s="99">
        <v>0</v>
      </c>
      <c r="BK199" s="100"/>
      <c r="BL199" s="100"/>
      <c r="BM199" s="62"/>
      <c r="BN199" s="80" t="e">
        <v>#VALUE!</v>
      </c>
      <c r="BO199" s="81" t="e">
        <v>#VALUE!</v>
      </c>
      <c r="BP199" s="82" t="e">
        <v>#VALUE!</v>
      </c>
      <c r="BQ199" s="82" t="e">
        <v>#VALUE!</v>
      </c>
      <c r="BR199" s="82" t="e">
        <v>#VALUE!</v>
      </c>
      <c r="BS199" s="80">
        <v>0</v>
      </c>
      <c r="BT199" s="83" t="s">
        <v>226</v>
      </c>
      <c r="BU199" s="61"/>
      <c r="BV199" s="84">
        <v>0</v>
      </c>
      <c r="BW199" s="84">
        <v>0</v>
      </c>
      <c r="BX199" s="84">
        <v>0</v>
      </c>
      <c r="BY199" s="84">
        <v>0</v>
      </c>
      <c r="BZ199" s="62"/>
      <c r="CA199" s="85"/>
      <c r="CB199" s="85"/>
      <c r="CC199" s="85"/>
      <c r="CD199" s="85"/>
      <c r="CE199" s="62"/>
      <c r="CF199" s="86">
        <v>0</v>
      </c>
      <c r="CG199" s="87">
        <v>0</v>
      </c>
      <c r="CH199" s="87">
        <v>0</v>
      </c>
      <c r="CI199" s="87">
        <v>0</v>
      </c>
      <c r="CJ199" s="87">
        <v>0</v>
      </c>
    </row>
    <row r="200" spans="1:88" x14ac:dyDescent="0.35">
      <c r="A200" s="88" t="s">
        <v>225</v>
      </c>
      <c r="B200" s="89">
        <v>199</v>
      </c>
      <c r="C200" s="102" t="s">
        <v>226</v>
      </c>
      <c r="D200" s="102" t="s">
        <v>226</v>
      </c>
      <c r="E200" s="103" t="s">
        <v>226</v>
      </c>
      <c r="F200" s="103" t="s">
        <v>226</v>
      </c>
      <c r="G200" s="103" t="s">
        <v>226</v>
      </c>
      <c r="H200" s="101"/>
      <c r="I200" s="93">
        <v>0</v>
      </c>
      <c r="J200" s="94">
        <v>0</v>
      </c>
      <c r="K200" s="94">
        <v>0</v>
      </c>
      <c r="L200" s="95">
        <v>0</v>
      </c>
      <c r="M200" s="96">
        <v>0</v>
      </c>
      <c r="N200" s="72"/>
      <c r="O200" s="73"/>
      <c r="P200" s="73"/>
      <c r="Q200" s="74"/>
      <c r="R200" s="72"/>
      <c r="S200" s="73"/>
      <c r="T200" s="73"/>
      <c r="U200" s="75"/>
      <c r="V200" s="93">
        <v>0</v>
      </c>
      <c r="W200" s="94">
        <v>0</v>
      </c>
      <c r="X200" s="94">
        <v>0</v>
      </c>
      <c r="Y200" s="95">
        <v>0</v>
      </c>
      <c r="Z200" s="96">
        <v>0</v>
      </c>
      <c r="AA200" s="72"/>
      <c r="AB200" s="73"/>
      <c r="AC200" s="73"/>
      <c r="AD200" s="74"/>
      <c r="AE200" s="72"/>
      <c r="AF200" s="73"/>
      <c r="AG200" s="73"/>
      <c r="AH200" s="75"/>
      <c r="AI200" s="93">
        <v>0</v>
      </c>
      <c r="AJ200" s="94">
        <v>0</v>
      </c>
      <c r="AK200" s="94">
        <v>0</v>
      </c>
      <c r="AL200" s="95">
        <v>0</v>
      </c>
      <c r="AM200" s="96">
        <v>0</v>
      </c>
      <c r="AN200" s="72"/>
      <c r="AO200" s="73"/>
      <c r="AP200" s="73"/>
      <c r="AQ200" s="74"/>
      <c r="AR200" s="72"/>
      <c r="AS200" s="73"/>
      <c r="AT200" s="73"/>
      <c r="AU200" s="75"/>
      <c r="AV200" s="93">
        <v>0</v>
      </c>
      <c r="AW200" s="94">
        <v>0</v>
      </c>
      <c r="AX200" s="94">
        <v>0</v>
      </c>
      <c r="AY200" s="95">
        <v>0</v>
      </c>
      <c r="AZ200" s="97">
        <v>1</v>
      </c>
      <c r="BA200" s="72"/>
      <c r="BB200" s="73"/>
      <c r="BC200" s="73"/>
      <c r="BD200" s="74"/>
      <c r="BE200" s="72"/>
      <c r="BF200" s="73"/>
      <c r="BG200" s="73"/>
      <c r="BH200" s="75"/>
      <c r="BI200" s="98">
        <v>0</v>
      </c>
      <c r="BJ200" s="99">
        <v>0</v>
      </c>
      <c r="BK200" s="100"/>
      <c r="BL200" s="100"/>
      <c r="BM200" s="62"/>
      <c r="BN200" s="80" t="e">
        <v>#VALUE!</v>
      </c>
      <c r="BO200" s="81" t="e">
        <v>#VALUE!</v>
      </c>
      <c r="BP200" s="82" t="e">
        <v>#VALUE!</v>
      </c>
      <c r="BQ200" s="82" t="e">
        <v>#VALUE!</v>
      </c>
      <c r="BR200" s="82" t="e">
        <v>#VALUE!</v>
      </c>
      <c r="BS200" s="80">
        <v>0</v>
      </c>
      <c r="BT200" s="83" t="s">
        <v>226</v>
      </c>
      <c r="BU200" s="61"/>
      <c r="BV200" s="84">
        <v>0</v>
      </c>
      <c r="BW200" s="84">
        <v>0</v>
      </c>
      <c r="BX200" s="84">
        <v>0</v>
      </c>
      <c r="BY200" s="84">
        <v>0</v>
      </c>
      <c r="BZ200" s="62"/>
      <c r="CA200" s="85"/>
      <c r="CB200" s="85"/>
      <c r="CC200" s="85"/>
      <c r="CD200" s="85"/>
      <c r="CE200" s="62"/>
      <c r="CF200" s="86">
        <v>0</v>
      </c>
      <c r="CG200" s="87">
        <v>0</v>
      </c>
      <c r="CH200" s="87">
        <v>0</v>
      </c>
      <c r="CI200" s="87">
        <v>0</v>
      </c>
      <c r="CJ200" s="87">
        <v>0</v>
      </c>
    </row>
    <row r="201" spans="1:88" x14ac:dyDescent="0.35">
      <c r="A201" s="104" t="s">
        <v>225</v>
      </c>
      <c r="B201" s="105">
        <v>200</v>
      </c>
      <c r="C201" s="106" t="s">
        <v>226</v>
      </c>
      <c r="D201" s="106" t="s">
        <v>226</v>
      </c>
      <c r="E201" s="107" t="s">
        <v>226</v>
      </c>
      <c r="F201" s="107" t="s">
        <v>226</v>
      </c>
      <c r="G201" s="107" t="s">
        <v>226</v>
      </c>
      <c r="H201" s="108"/>
      <c r="I201" s="109">
        <v>0</v>
      </c>
      <c r="J201" s="110">
        <v>0</v>
      </c>
      <c r="K201" s="110">
        <v>0</v>
      </c>
      <c r="L201" s="111">
        <v>0</v>
      </c>
      <c r="M201" s="112">
        <v>0</v>
      </c>
      <c r="N201" s="113"/>
      <c r="O201" s="114"/>
      <c r="P201" s="114"/>
      <c r="Q201" s="115"/>
      <c r="R201" s="113"/>
      <c r="S201" s="114"/>
      <c r="T201" s="114"/>
      <c r="U201" s="116"/>
      <c r="V201" s="109">
        <v>0</v>
      </c>
      <c r="W201" s="110">
        <v>0</v>
      </c>
      <c r="X201" s="110">
        <v>0</v>
      </c>
      <c r="Y201" s="111">
        <v>0</v>
      </c>
      <c r="Z201" s="112">
        <v>0</v>
      </c>
      <c r="AA201" s="113"/>
      <c r="AB201" s="114"/>
      <c r="AC201" s="114"/>
      <c r="AD201" s="115"/>
      <c r="AE201" s="113"/>
      <c r="AF201" s="114"/>
      <c r="AG201" s="114"/>
      <c r="AH201" s="116"/>
      <c r="AI201" s="109">
        <v>0</v>
      </c>
      <c r="AJ201" s="110">
        <v>0</v>
      </c>
      <c r="AK201" s="110">
        <v>0</v>
      </c>
      <c r="AL201" s="111">
        <v>0</v>
      </c>
      <c r="AM201" s="112">
        <v>0</v>
      </c>
      <c r="AN201" s="113"/>
      <c r="AO201" s="114"/>
      <c r="AP201" s="114"/>
      <c r="AQ201" s="115"/>
      <c r="AR201" s="113"/>
      <c r="AS201" s="114"/>
      <c r="AT201" s="114"/>
      <c r="AU201" s="116"/>
      <c r="AV201" s="109">
        <v>0</v>
      </c>
      <c r="AW201" s="110">
        <v>0</v>
      </c>
      <c r="AX201" s="110">
        <v>0</v>
      </c>
      <c r="AY201" s="111">
        <v>0</v>
      </c>
      <c r="AZ201" s="117">
        <v>1</v>
      </c>
      <c r="BA201" s="113"/>
      <c r="BB201" s="114"/>
      <c r="BC201" s="114"/>
      <c r="BD201" s="115"/>
      <c r="BE201" s="113"/>
      <c r="BF201" s="114"/>
      <c r="BG201" s="114"/>
      <c r="BH201" s="116"/>
      <c r="BI201" s="118">
        <v>0</v>
      </c>
      <c r="BJ201" s="119">
        <v>0</v>
      </c>
      <c r="BK201" s="120"/>
      <c r="BL201" s="120"/>
      <c r="BM201" s="62"/>
      <c r="BN201" s="80" t="e">
        <v>#VALUE!</v>
      </c>
      <c r="BO201" s="81" t="e">
        <v>#VALUE!</v>
      </c>
      <c r="BP201" s="82" t="e">
        <v>#VALUE!</v>
      </c>
      <c r="BQ201" s="82" t="e">
        <v>#VALUE!</v>
      </c>
      <c r="BR201" s="82" t="e">
        <v>#VALUE!</v>
      </c>
      <c r="BS201" s="80">
        <v>0</v>
      </c>
      <c r="BT201" s="83" t="s">
        <v>226</v>
      </c>
      <c r="BU201" s="61"/>
      <c r="BV201" s="84">
        <v>0</v>
      </c>
      <c r="BW201" s="84">
        <v>0</v>
      </c>
      <c r="BX201" s="84">
        <v>0</v>
      </c>
      <c r="BY201" s="84">
        <v>0</v>
      </c>
      <c r="BZ201" s="62"/>
      <c r="CA201" s="85"/>
      <c r="CB201" s="85"/>
      <c r="CC201" s="85"/>
      <c r="CD201" s="85"/>
      <c r="CE201" s="62"/>
      <c r="CF201" s="86">
        <v>0</v>
      </c>
      <c r="CG201" s="87">
        <v>0</v>
      </c>
      <c r="CH201" s="87">
        <v>0</v>
      </c>
      <c r="CI201" s="87">
        <v>0</v>
      </c>
      <c r="CJ201" s="87">
        <v>0</v>
      </c>
    </row>
  </sheetData>
  <conditionalFormatting sqref="BL2:BL62 BL75:BL78 BL85:BL201 BL80:BL83 BL64:BL73">
    <cfRule type="iconSet" priority="8">
      <iconSet iconSet="3Flags">
        <cfvo type="percent" val="0"/>
        <cfvo type="num" val="0.8"/>
        <cfvo type="num" val="0.95"/>
      </iconSet>
    </cfRule>
  </conditionalFormatting>
  <conditionalFormatting sqref="AZ2:AZ201">
    <cfRule type="cellIs" dxfId="6" priority="6" operator="lessThan">
      <formula>0</formula>
    </cfRule>
  </conditionalFormatting>
  <conditionalFormatting sqref="BL74">
    <cfRule type="iconSet" priority="5">
      <iconSet iconSet="3Flags">
        <cfvo type="percent" val="0"/>
        <cfvo type="num" val="0.8"/>
        <cfvo type="num" val="0.95"/>
      </iconSet>
    </cfRule>
  </conditionalFormatting>
  <conditionalFormatting sqref="BL84">
    <cfRule type="iconSet" priority="4">
      <iconSet iconSet="3Flags">
        <cfvo type="percent" val="0"/>
        <cfvo type="num" val="0.8"/>
        <cfvo type="num" val="0.95"/>
      </iconSet>
    </cfRule>
  </conditionalFormatting>
  <conditionalFormatting sqref="BL79">
    <cfRule type="iconSet" priority="3">
      <iconSet iconSet="3Flags">
        <cfvo type="percent" val="0"/>
        <cfvo type="num" val="0.8"/>
        <cfvo type="num" val="0.95"/>
      </iconSet>
    </cfRule>
  </conditionalFormatting>
  <conditionalFormatting sqref="BL63">
    <cfRule type="iconSet" priority="1">
      <iconSet iconSet="3Flags">
        <cfvo type="percent" val="0"/>
        <cfvo type="num" val="0.8"/>
        <cfvo type="num" val="0.95"/>
      </iconSet>
    </cfRule>
  </conditionalFormatting>
  <dataValidations count="2">
    <dataValidation type="list" allowBlank="1" showInputMessage="1" showErrorMessage="1" sqref="H2:H201" xr:uid="{0BC54DDA-EE0E-47F6-84B5-DCE673A1AD72}">
      <formula1>$DB$14:$DB$23</formula1>
    </dataValidation>
    <dataValidation type="list" allowBlank="1" showInputMessage="1" showErrorMessage="1" sqref="AV2:AY201 AI2:AL201 I2:L201 V2:Y201" xr:uid="{04E2A4B8-48DC-497B-B91D-9D92EFD128EC}">
      <formula1>$DA$14:$DA$52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9820264C-983C-4A9E-9032-BAF71C647C2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0.7</xm:f>
              </x14:cfvo>
              <x14:cfIcon iconSet="NoIcons" iconId="0"/>
              <x14:cfIcon iconSet="3Flags" iconId="0"/>
              <x14:cfIcon iconSet="3Flags" iconId="2"/>
            </x14:iconSet>
          </x14:cfRule>
          <xm:sqref>BK2:BK78 BK80:BK201</xm:sqref>
        </x14:conditionalFormatting>
        <x14:conditionalFormatting xmlns:xm="http://schemas.microsoft.com/office/excel/2006/main">
          <x14:cfRule type="iconSet" priority="2" id="{F8F124AD-3CF9-43FD-9FAE-CBC9BEC557A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0.7</xm:f>
              </x14:cfvo>
              <x14:cfIcon iconSet="NoIcons" iconId="0"/>
              <x14:cfIcon iconSet="3Flags" iconId="0"/>
              <x14:cfIcon iconSet="3Flags" iconId="2"/>
            </x14:iconSet>
          </x14:cfRule>
          <xm:sqref>BK79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34B7-5960-4A8B-837D-8D8B48FB1909}">
  <dimension ref="A1:U221"/>
  <sheetViews>
    <sheetView workbookViewId="0">
      <selection sqref="A1:U221"/>
    </sheetView>
  </sheetViews>
  <sheetFormatPr defaultRowHeight="14.5" x14ac:dyDescent="0.35"/>
  <sheetData>
    <row r="1" spans="1:21" ht="18.5" thickBot="1" x14ac:dyDescent="0.45">
      <c r="A1" s="121" t="s">
        <v>230</v>
      </c>
      <c r="B1" s="61"/>
      <c r="C1" s="61"/>
      <c r="D1" s="61"/>
      <c r="E1" s="61"/>
      <c r="F1" s="61"/>
      <c r="G1" s="122" t="s">
        <v>231</v>
      </c>
      <c r="H1" s="123" t="s">
        <v>225</v>
      </c>
      <c r="I1" s="124">
        <v>314.79000000000002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 spans="1:21" ht="18.5" thickBot="1" x14ac:dyDescent="0.45">
      <c r="A2" s="121"/>
      <c r="B2" s="61"/>
      <c r="C2" s="61"/>
      <c r="D2" s="61"/>
      <c r="E2" s="61"/>
      <c r="F2" s="61"/>
      <c r="G2" s="61"/>
      <c r="H2" s="123" t="s">
        <v>232</v>
      </c>
      <c r="I2" s="124">
        <v>332.7</v>
      </c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125" t="s">
        <v>225</v>
      </c>
    </row>
    <row r="3" spans="1:21" ht="15" thickBot="1" x14ac:dyDescent="0.4">
      <c r="A3" s="125"/>
      <c r="B3" s="61"/>
      <c r="C3" s="126" t="s">
        <v>233</v>
      </c>
      <c r="D3" s="126"/>
      <c r="E3" s="126"/>
      <c r="F3" s="123" t="s">
        <v>234</v>
      </c>
      <c r="G3" s="61"/>
      <c r="H3" s="123" t="s">
        <v>235</v>
      </c>
      <c r="I3" s="124"/>
      <c r="J3" s="61"/>
      <c r="K3" s="61"/>
      <c r="L3" s="61"/>
      <c r="M3" s="61"/>
      <c r="N3" s="61"/>
      <c r="O3" s="61"/>
      <c r="P3" s="61"/>
      <c r="Q3" s="61"/>
      <c r="R3" s="61"/>
      <c r="S3" s="61"/>
      <c r="T3" s="125" t="s">
        <v>225</v>
      </c>
      <c r="U3" s="125" t="s">
        <v>232</v>
      </c>
    </row>
    <row r="4" spans="1:21" ht="15" thickBot="1" x14ac:dyDescent="0.4">
      <c r="A4" s="125"/>
      <c r="B4" s="61"/>
      <c r="C4" s="61"/>
      <c r="D4" s="61"/>
      <c r="E4" s="61"/>
      <c r="F4" s="61"/>
      <c r="G4" s="61"/>
      <c r="H4" s="123" t="s">
        <v>236</v>
      </c>
      <c r="I4" s="124"/>
      <c r="J4" s="61"/>
      <c r="K4" s="61"/>
      <c r="L4" s="61"/>
      <c r="M4" s="61"/>
      <c r="N4" s="61"/>
      <c r="O4" s="61"/>
      <c r="P4" s="61"/>
      <c r="Q4" s="61"/>
      <c r="R4" s="61"/>
      <c r="S4" s="61"/>
      <c r="T4" s="125" t="s">
        <v>232</v>
      </c>
      <c r="U4" s="125" t="s">
        <v>235</v>
      </c>
    </row>
    <row r="5" spans="1:21" ht="15" thickBot="1" x14ac:dyDescent="0.4">
      <c r="A5" s="125"/>
      <c r="B5" s="61"/>
      <c r="C5" s="127" t="s">
        <v>237</v>
      </c>
      <c r="D5" s="127"/>
      <c r="E5" s="127"/>
      <c r="F5" s="128" t="s">
        <v>232</v>
      </c>
      <c r="G5" s="129">
        <f>VLOOKUP($F$5,$H$1:$I$5,2,FALSE)</f>
        <v>332.7</v>
      </c>
      <c r="H5" s="123" t="s">
        <v>238</v>
      </c>
      <c r="I5" s="124"/>
      <c r="J5" s="61"/>
      <c r="K5" s="61"/>
      <c r="L5" s="61"/>
      <c r="M5" s="61"/>
      <c r="N5" s="61"/>
      <c r="O5" s="61"/>
      <c r="P5" s="61"/>
      <c r="Q5" s="61"/>
      <c r="R5" s="61"/>
      <c r="S5" s="61"/>
      <c r="T5" s="125" t="s">
        <v>235</v>
      </c>
      <c r="U5" s="125" t="s">
        <v>236</v>
      </c>
    </row>
    <row r="6" spans="1:21" x14ac:dyDescent="0.35">
      <c r="A6" s="130"/>
      <c r="B6" s="130"/>
      <c r="C6" s="130"/>
      <c r="D6" s="130"/>
      <c r="E6" s="130"/>
      <c r="F6" s="130"/>
      <c r="G6" s="130"/>
      <c r="H6" s="130">
        <f>'[1]INPUT_ASSUMPTIONS CALC'!CH11</f>
        <v>86</v>
      </c>
      <c r="I6" s="130">
        <f>'[1]INPUT_ASSUMPTIONS CALC'!CI11</f>
        <v>87</v>
      </c>
      <c r="J6" s="130">
        <f>'[1]INPUT_ASSUMPTIONS CALC'!N11</f>
        <v>14</v>
      </c>
      <c r="K6" s="130">
        <f>'[1]INPUT_ASSUMPTIONS CALC'!AA11</f>
        <v>27</v>
      </c>
      <c r="L6" s="130">
        <f>'[1]INPUT_ASSUMPTIONS CALC'!AN11</f>
        <v>40</v>
      </c>
      <c r="M6" s="130">
        <f>'[1]INPUT_ASSUMPTIONS CALC'!BA11</f>
        <v>53</v>
      </c>
      <c r="N6" s="130"/>
      <c r="O6" s="130"/>
      <c r="P6" s="130"/>
      <c r="Q6" s="130"/>
      <c r="R6" s="130"/>
      <c r="S6" s="130"/>
      <c r="T6" s="130" t="s">
        <v>236</v>
      </c>
      <c r="U6" s="130" t="s">
        <v>238</v>
      </c>
    </row>
    <row r="7" spans="1:21" ht="15" thickBot="1" x14ac:dyDescent="0.4">
      <c r="A7" s="130"/>
      <c r="B7" s="130"/>
      <c r="C7" s="130"/>
      <c r="D7" s="130"/>
      <c r="E7" s="130"/>
      <c r="F7" s="130">
        <f>'[1]INPUT_ASSUMPTIONS CALC'!BT11</f>
        <v>72</v>
      </c>
      <c r="G7" s="130"/>
      <c r="H7" s="130"/>
      <c r="I7" s="130"/>
      <c r="J7" s="130">
        <f>'[1]INPUT_ASSUMPTIONS CALC'!N11</f>
        <v>14</v>
      </c>
      <c r="K7" s="130">
        <f>'[1]INPUT_ASSUMPTIONS CALC'!AA11</f>
        <v>27</v>
      </c>
      <c r="L7" s="130">
        <f>'[1]INPUT_ASSUMPTIONS CALC'!AN11</f>
        <v>40</v>
      </c>
      <c r="M7" s="130">
        <f>'[1]INPUT_ASSUMPTIONS CALC'!BA11</f>
        <v>53</v>
      </c>
      <c r="N7" s="130"/>
      <c r="O7" s="130"/>
      <c r="P7" s="130"/>
      <c r="Q7" s="130">
        <f>'[1]INPUT_ASSUMPTIONS CALC'!CK11</f>
        <v>89</v>
      </c>
      <c r="R7" s="130">
        <f>'[1]INPUT_ASSUMPTIONS CALC'!CJ11</f>
        <v>88</v>
      </c>
      <c r="S7" s="130"/>
      <c r="T7" s="130" t="s">
        <v>238</v>
      </c>
      <c r="U7" s="130"/>
    </row>
    <row r="8" spans="1:21" ht="54" thickBot="1" x14ac:dyDescent="0.4">
      <c r="A8" s="125"/>
      <c r="B8" s="131" t="s">
        <v>178</v>
      </c>
      <c r="C8" s="132" t="s">
        <v>1</v>
      </c>
      <c r="D8" s="132"/>
      <c r="E8" s="132" t="str">
        <f>'[1]INPUT_ASSUMPTIONS CALC'!E13</f>
        <v>Position</v>
      </c>
      <c r="F8" s="132" t="s">
        <v>239</v>
      </c>
      <c r="G8" s="132" t="s">
        <v>221</v>
      </c>
      <c r="H8" s="132" t="s">
        <v>240</v>
      </c>
      <c r="I8" s="132" t="s">
        <v>241</v>
      </c>
      <c r="J8" s="132" t="s">
        <v>242</v>
      </c>
      <c r="K8" s="132" t="s">
        <v>243</v>
      </c>
      <c r="L8" s="132" t="s">
        <v>244</v>
      </c>
      <c r="M8" s="132" t="s">
        <v>245</v>
      </c>
      <c r="N8" s="133" t="s">
        <v>246</v>
      </c>
      <c r="O8" s="132" t="s">
        <v>247</v>
      </c>
      <c r="P8" s="132" t="s">
        <v>248</v>
      </c>
      <c r="Q8" s="132" t="s">
        <v>249</v>
      </c>
      <c r="R8" s="132" t="s">
        <v>250</v>
      </c>
      <c r="S8" s="133" t="s">
        <v>251</v>
      </c>
      <c r="T8" s="134" t="s">
        <v>252</v>
      </c>
      <c r="U8" s="61"/>
    </row>
    <row r="9" spans="1:21" x14ac:dyDescent="0.35">
      <c r="A9" s="125" t="str">
        <f t="shared" ref="A9:A72" si="0">CONCATENATE(B9,$F$5)</f>
        <v>1Q2</v>
      </c>
      <c r="B9" s="135">
        <v>1</v>
      </c>
      <c r="C9" s="61" t="str">
        <f>INDEX('[1]INPUT_ASSUMPTIONS CALC'!D:D,MATCH(A9,'[1]INPUT_ASSUMPTIONS CALC'!A:A,0))</f>
        <v>Abasheva Anna</v>
      </c>
      <c r="D9" s="61" t="str">
        <f>INDEX('[1]INPUT_ASSUMPTIONS CALC'!I:I,MATCH(A9,'[1]INPUT_ASSUMPTIONS CALC'!A:A,0))</f>
        <v>Line 2</v>
      </c>
      <c r="E9" s="61" t="str">
        <f>INDEX('[1]INPUT_ASSUMPTIONS CALC'!E:E,MATCH(A9,'[1]INPUT_ASSUMPTIONS CALC'!A:A,0))</f>
        <v>Medical Representative</v>
      </c>
      <c r="F9" s="136">
        <f>IF($F$5="Q1",VLOOKUP($A9,'[1]INPUT_ASSUMPTIONS CALC'!$A$13:$CK$1019,F$7,FALSE),IF($F$5="Q2",VLOOKUP($A9,'[1]INPUT_ASSUMPTIONS CALC'!$A$13:$CK$1019,F$7,FALSE),IF($F$5="Q3",VLOOKUP($A9,'[1]INPUT_ASSUMPTIONS CALC'!$A$13:$CK$1019,F$7,FALSE),IF($F$5="Q4",VLOOKUP($A9,'[1]INPUT_ASSUMPTIONS CALC'!$A$13:$CK$1019,F$7,FALSE),IF($F$5="Year",VLOOKUP($A9,'[1]INPUT_ASSUMPTIONS CALC'!$A$13:$CK$1019,F$7,FALSE),0)))))</f>
        <v>395525</v>
      </c>
      <c r="G9" s="137">
        <f>SUMIF('[1]INPUT_ASSUMPTIONS CALC'!A:A,'[1]Summary calculation'!A9,'[1]INPUT_ASSUMPTIONS CALC'!BU:BU)</f>
        <v>1</v>
      </c>
      <c r="H9" s="138">
        <f>IF($F$5="Year",F9*G9*'[1]INPUT_ASSUMPTIONS CALC'!$S$7,F9*G9)</f>
        <v>395525</v>
      </c>
      <c r="I9" s="138">
        <f>H9*VLOOKUP($A9,'[1]INPUT_ASSUMPTIONS CALC'!$A$13:$CK$1019,H$6,FALSE)*SUMIF('[1]INPUT_ASSUMPTIONS CALC'!$CL$15:$CL$17,'[1]Summary calculation'!E9,'[1]INPUT_ASSUMPTIONS CALC'!$CM$15:$CM$17)</f>
        <v>316420</v>
      </c>
      <c r="J9" s="139">
        <f>$I9*VLOOKUP($A9,'[1]INPUT_ASSUMPTIONS CALC'!$A$13:$CK$1019,I$6,FALSE)*VLOOKUP($A9,'[1]INPUT_ASSUMPTIONS CALC'!$A$13:$CK$1019,J$7,FALSE)</f>
        <v>199344.6</v>
      </c>
      <c r="K9" s="139">
        <f>$I9*VLOOKUP($A9,'[1]INPUT_ASSUMPTIONS CALC'!$A$13:$CK$1019,I$6,FALSE)*VLOOKUP($A9,'[1]INPUT_ASSUMPTIONS CALC'!$A$13:$CK$1019,K$7,FALSE)</f>
        <v>166120.5</v>
      </c>
      <c r="L9" s="139">
        <f>$I9*VLOOKUP($A9,'[1]INPUT_ASSUMPTIONS CALC'!$A$13:$CK$1019,I$6,FALSE)*VLOOKUP($A9,'[1]INPUT_ASSUMPTIONS CALC'!$A$13:$CK$1019,L$7,FALSE)</f>
        <v>166120.5</v>
      </c>
      <c r="M9" s="139">
        <f>$I9*VLOOKUP($A9,'[1]INPUT_ASSUMPTIONS CALC'!$A$13:$CK$1019,I$6,FALSE)*VLOOKUP($A9,'[1]INPUT_ASSUMPTIONS CALC'!$A$13:$CK$1019,M$7,FALSE)</f>
        <v>132896.39999999997</v>
      </c>
      <c r="N9" s="140">
        <f>SUM(J9:M9)</f>
        <v>664482</v>
      </c>
      <c r="O9" s="141">
        <f>H9*VLOOKUP($A9,'[1]INPUT_ASSUMPTIONS CALC'!$A$13:$CK$1019,H$6,FALSE)*SUMIF('[1]INPUT_ASSUMPTIONS CALC'!$CQ$15:$CQ$17,'[1]Summary calculation'!E9,'[1]INPUT_ASSUMPTIONS CALC'!$CR$15:$CR$17)</f>
        <v>79105</v>
      </c>
      <c r="P9" s="141">
        <f>H9*VLOOKUP($A9,'[1]INPUT_ASSUMPTIONS CALC'!$A$13:$CK$1019,H$6,FALSE)*SUMIF('[1]INPUT_ASSUMPTIONS CALC'!$CV$15:$CV$31,'[1]Summary calculation'!E9,'[1]INPUT_ASSUMPTIONS CALC'!$CW$15:$CW$31)</f>
        <v>0</v>
      </c>
      <c r="Q9" s="141">
        <f>O9*VLOOKUP($A9,'[1]INPUT_ASSUMPTIONS CALC'!$A$13:$CK$1019,Q$7,FALSE)</f>
        <v>39552.5</v>
      </c>
      <c r="R9" s="141">
        <f>P9*VLOOKUP($A9,'[1]INPUT_ASSUMPTIONS CALC'!$A$13:$CK$1019,R$7,FALSE)</f>
        <v>0</v>
      </c>
      <c r="S9" s="140">
        <f t="shared" ref="S9:S72" si="1">SUM(Q9:R9)</f>
        <v>39552.5</v>
      </c>
      <c r="T9" s="142">
        <f t="shared" ref="T9:T72" si="2">ROUND(N9+S9,0)</f>
        <v>704035</v>
      </c>
      <c r="U9" s="61"/>
    </row>
    <row r="10" spans="1:21" x14ac:dyDescent="0.35">
      <c r="A10" s="125" t="str">
        <f t="shared" si="0"/>
        <v>2Q2</v>
      </c>
      <c r="B10" s="135">
        <v>2</v>
      </c>
      <c r="C10" s="61" t="str">
        <f>INDEX('[1]INPUT_ASSUMPTIONS CALC'!D:D,MATCH(A10,'[1]INPUT_ASSUMPTIONS CALC'!A:A,0))</f>
        <v>Aitbenbetova Dinara</v>
      </c>
      <c r="D10" s="61" t="str">
        <f>INDEX('[1]INPUT_ASSUMPTIONS CALC'!I:I,MATCH(A10,'[1]INPUT_ASSUMPTIONS CALC'!A:A,0))</f>
        <v>Line 1</v>
      </c>
      <c r="E10" s="61" t="str">
        <f>INDEX('[1]INPUT_ASSUMPTIONS CALC'!E:E,MATCH(A10,'[1]INPUT_ASSUMPTIONS CALC'!A:A,0))</f>
        <v>Medical Representative</v>
      </c>
      <c r="F10" s="136">
        <f>IF($F$5="Q1",VLOOKUP($A10,'[1]INPUT_ASSUMPTIONS CALC'!$A$13:$CK$1019,F$7,FALSE),IF($F$5="Q2",VLOOKUP($A10,'[1]INPUT_ASSUMPTIONS CALC'!$A$13:$CK$1019,F$7,FALSE),IF($F$5="Q3",VLOOKUP($A10,'[1]INPUT_ASSUMPTIONS CALC'!$A$13:$CK$1019,F$7,FALSE),IF($F$5="Q4",VLOOKUP($A10,'[1]INPUT_ASSUMPTIONS CALC'!$A$13:$CK$1019,F$7,FALSE),IF($F$5="Year",VLOOKUP($A10,'[1]INPUT_ASSUMPTIONS CALC'!$A$13:$CK$1019,F$7,FALSE),0)))))</f>
        <v>395525</v>
      </c>
      <c r="G10" s="137">
        <f>SUMIF('[1]INPUT_ASSUMPTIONS CALC'!A:A,'[1]Summary calculation'!A10,'[1]INPUT_ASSUMPTIONS CALC'!BU:BU)</f>
        <v>1</v>
      </c>
      <c r="H10" s="138">
        <f>IF($F$5="Year",F10*G10*'[1]INPUT_ASSUMPTIONS CALC'!$S$7,F10*G10)</f>
        <v>395525</v>
      </c>
      <c r="I10" s="138">
        <f>H10*VLOOKUP($A10,'[1]INPUT_ASSUMPTIONS CALC'!$A$13:$CK$1019,H$6,FALSE)*SUMIF('[1]INPUT_ASSUMPTIONS CALC'!$CL$15:$CL$17,'[1]Summary calculation'!E10,'[1]INPUT_ASSUMPTIONS CALC'!$CM$15:$CM$17)</f>
        <v>316420</v>
      </c>
      <c r="J10" s="139">
        <f>$I10*VLOOKUP($A10,'[1]INPUT_ASSUMPTIONS CALC'!$A$13:$CK$1019,I$6,FALSE)*VLOOKUP($A10,'[1]INPUT_ASSUMPTIONS CALC'!$A$13:$CK$1019,J$7,FALSE)</f>
        <v>158210</v>
      </c>
      <c r="K10" s="139">
        <f>$I10*VLOOKUP($A10,'[1]INPUT_ASSUMPTIONS CALC'!$A$13:$CK$1019,I$6,FALSE)*VLOOKUP($A10,'[1]INPUT_ASSUMPTIONS CALC'!$A$13:$CK$1019,K$7,FALSE)</f>
        <v>110747</v>
      </c>
      <c r="L10" s="139">
        <f>$I10*VLOOKUP($A10,'[1]INPUT_ASSUMPTIONS CALC'!$A$13:$CK$1019,I$6,FALSE)*VLOOKUP($A10,'[1]INPUT_ASSUMPTIONS CALC'!$A$13:$CK$1019,L$7,FALSE)</f>
        <v>31642</v>
      </c>
      <c r="M10" s="139">
        <f>$I10*VLOOKUP($A10,'[1]INPUT_ASSUMPTIONS CALC'!$A$13:$CK$1019,I$6,FALSE)*VLOOKUP($A10,'[1]INPUT_ASSUMPTIONS CALC'!$A$13:$CK$1019,M$7,FALSE)</f>
        <v>15821.000000000005</v>
      </c>
      <c r="N10" s="140">
        <f t="shared" ref="N10:N73" si="3">SUM(J10:M10)</f>
        <v>316420</v>
      </c>
      <c r="O10" s="141">
        <f>H10*VLOOKUP($A10,'[1]INPUT_ASSUMPTIONS CALC'!$A$13:$CK$1019,H$6,FALSE)*SUMIF('[1]INPUT_ASSUMPTIONS CALC'!$CQ$15:$CQ$17,'[1]Summary calculation'!E10,'[1]INPUT_ASSUMPTIONS CALC'!$CR$15:$CR$17)</f>
        <v>79105</v>
      </c>
      <c r="P10" s="141">
        <f>H10*VLOOKUP($A10,'[1]INPUT_ASSUMPTIONS CALC'!$A$13:$CK$1019,H$6,FALSE)*SUMIF('[1]INPUT_ASSUMPTIONS CALC'!$CV$15:$CV$31,'[1]Summary calculation'!E10,'[1]INPUT_ASSUMPTIONS CALC'!$CW$15:$CW$31)</f>
        <v>0</v>
      </c>
      <c r="Q10" s="141">
        <f>O10*VLOOKUP($A10,'[1]INPUT_ASSUMPTIONS CALC'!$A$13:$CK$1019,Q$7,FALSE)</f>
        <v>79105</v>
      </c>
      <c r="R10" s="141">
        <f>P10*VLOOKUP($A10,'[1]INPUT_ASSUMPTIONS CALC'!$A$13:$CK$1019,R$7,FALSE)</f>
        <v>0</v>
      </c>
      <c r="S10" s="140">
        <f t="shared" si="1"/>
        <v>79105</v>
      </c>
      <c r="T10" s="142">
        <f t="shared" si="2"/>
        <v>395525</v>
      </c>
      <c r="U10" s="61"/>
    </row>
    <row r="11" spans="1:21" x14ac:dyDescent="0.35">
      <c r="A11" s="125" t="str">
        <f t="shared" si="0"/>
        <v>3Q2</v>
      </c>
      <c r="B11" s="135">
        <v>3</v>
      </c>
      <c r="C11" s="61" t="str">
        <f>INDEX('[1]INPUT_ASSUMPTIONS CALC'!D:D,MATCH(A11,'[1]INPUT_ASSUMPTIONS CALC'!A:A,0))</f>
        <v>Akhmadiyeva Gulzhan</v>
      </c>
      <c r="D11" s="61" t="str">
        <f>INDEX('[1]INPUT_ASSUMPTIONS CALC'!I:I,MATCH(A11,'[1]INPUT_ASSUMPTIONS CALC'!A:A,0))</f>
        <v>Line 1</v>
      </c>
      <c r="E11" s="61" t="str">
        <f>INDEX('[1]INPUT_ASSUMPTIONS CALC'!E:E,MATCH(A11,'[1]INPUT_ASSUMPTIONS CALC'!A:A,0))</f>
        <v>Medical Representative</v>
      </c>
      <c r="F11" s="136">
        <f>IF($F$5="Q1",VLOOKUP($A11,'[1]INPUT_ASSUMPTIONS CALC'!$A$13:$CK$1019,F$7,FALSE),IF($F$5="Q2",VLOOKUP($A11,'[1]INPUT_ASSUMPTIONS CALC'!$A$13:$CK$1019,F$7,FALSE),IF($F$5="Q3",VLOOKUP($A11,'[1]INPUT_ASSUMPTIONS CALC'!$A$13:$CK$1019,F$7,FALSE),IF($F$5="Q4",VLOOKUP($A11,'[1]INPUT_ASSUMPTIONS CALC'!$A$13:$CK$1019,F$7,FALSE),IF($F$5="Year",VLOOKUP($A11,'[1]INPUT_ASSUMPTIONS CALC'!$A$13:$CK$1019,F$7,FALSE),0)))))</f>
        <v>395525</v>
      </c>
      <c r="G11" s="137">
        <f>SUMIF('[1]INPUT_ASSUMPTIONS CALC'!A:A,'[1]Summary calculation'!A11,'[1]INPUT_ASSUMPTIONS CALC'!BU:BU)</f>
        <v>1</v>
      </c>
      <c r="H11" s="138">
        <f>IF($F$5="Year",F11*G11*'[1]INPUT_ASSUMPTIONS CALC'!$S$7,F11*G11)</f>
        <v>395525</v>
      </c>
      <c r="I11" s="138">
        <f>H11*VLOOKUP($A11,'[1]INPUT_ASSUMPTIONS CALC'!$A$13:$CK$1019,H$6,FALSE)*SUMIF('[1]INPUT_ASSUMPTIONS CALC'!$CL$15:$CL$17,'[1]Summary calculation'!E11,'[1]INPUT_ASSUMPTIONS CALC'!$CM$15:$CM$17)</f>
        <v>316420</v>
      </c>
      <c r="J11" s="139">
        <f>$I11*VLOOKUP($A11,'[1]INPUT_ASSUMPTIONS CALC'!$A$13:$CK$1019,I$6,FALSE)*VLOOKUP($A11,'[1]INPUT_ASSUMPTIONS CALC'!$A$13:$CK$1019,J$7,FALSE)</f>
        <v>142389</v>
      </c>
      <c r="K11" s="139">
        <f>$I11*VLOOKUP($A11,'[1]INPUT_ASSUMPTIONS CALC'!$A$13:$CK$1019,I$6,FALSE)*VLOOKUP($A11,'[1]INPUT_ASSUMPTIONS CALC'!$A$13:$CK$1019,K$7,FALSE)</f>
        <v>99672.299999999988</v>
      </c>
      <c r="L11" s="139">
        <f>$I11*VLOOKUP($A11,'[1]INPUT_ASSUMPTIONS CALC'!$A$13:$CK$1019,I$6,FALSE)*VLOOKUP($A11,'[1]INPUT_ASSUMPTIONS CALC'!$A$13:$CK$1019,L$7,FALSE)</f>
        <v>28477.800000000003</v>
      </c>
      <c r="M11" s="139">
        <f>$I11*VLOOKUP($A11,'[1]INPUT_ASSUMPTIONS CALC'!$A$13:$CK$1019,I$6,FALSE)*VLOOKUP($A11,'[1]INPUT_ASSUMPTIONS CALC'!$A$13:$CK$1019,M$7,FALSE)</f>
        <v>14238.900000000005</v>
      </c>
      <c r="N11" s="140">
        <f t="shared" si="3"/>
        <v>284778</v>
      </c>
      <c r="O11" s="141">
        <f>H11*VLOOKUP($A11,'[1]INPUT_ASSUMPTIONS CALC'!$A$13:$CK$1019,H$6,FALSE)*SUMIF('[1]INPUT_ASSUMPTIONS CALC'!$CQ$15:$CQ$17,'[1]Summary calculation'!E11,'[1]INPUT_ASSUMPTIONS CALC'!$CR$15:$CR$17)</f>
        <v>79105</v>
      </c>
      <c r="P11" s="141">
        <f>H11*VLOOKUP($A11,'[1]INPUT_ASSUMPTIONS CALC'!$A$13:$CK$1019,H$6,FALSE)*SUMIF('[1]INPUT_ASSUMPTIONS CALC'!$CV$15:$CV$31,'[1]Summary calculation'!E11,'[1]INPUT_ASSUMPTIONS CALC'!$CW$15:$CW$31)</f>
        <v>0</v>
      </c>
      <c r="Q11" s="141">
        <f>O11*VLOOKUP($A11,'[1]INPUT_ASSUMPTIONS CALC'!$A$13:$CK$1019,Q$7,FALSE)</f>
        <v>79105</v>
      </c>
      <c r="R11" s="141">
        <f>P11*VLOOKUP($A11,'[1]INPUT_ASSUMPTIONS CALC'!$A$13:$CK$1019,R$7,FALSE)</f>
        <v>0</v>
      </c>
      <c r="S11" s="140">
        <f t="shared" si="1"/>
        <v>79105</v>
      </c>
      <c r="T11" s="142">
        <f t="shared" si="2"/>
        <v>363883</v>
      </c>
      <c r="U11" s="61"/>
    </row>
    <row r="12" spans="1:21" x14ac:dyDescent="0.35">
      <c r="A12" s="125" t="str">
        <f t="shared" si="0"/>
        <v>4Q2</v>
      </c>
      <c r="B12" s="135">
        <v>4</v>
      </c>
      <c r="C12" s="61" t="str">
        <f>INDEX('[1]INPUT_ASSUMPTIONS CALC'!D:D,MATCH(A12,'[1]INPUT_ASSUMPTIONS CALC'!A:A,0))</f>
        <v>Akhmetova (Imanzhanova) Sholpan</v>
      </c>
      <c r="D12" s="61" t="str">
        <f>INDEX('[1]INPUT_ASSUMPTIONS CALC'!I:I,MATCH(A12,'[1]INPUT_ASSUMPTIONS CALC'!A:A,0))</f>
        <v>Line 3 (big cities)</v>
      </c>
      <c r="E12" s="61" t="str">
        <f>INDEX('[1]INPUT_ASSUMPTIONS CALC'!E:E,MATCH(A12,'[1]INPUT_ASSUMPTIONS CALC'!A:A,0))</f>
        <v>Medical Representative</v>
      </c>
      <c r="F12" s="136">
        <f>IF($F$5="Q1",VLOOKUP($A12,'[1]INPUT_ASSUMPTIONS CALC'!$A$13:$CK$1019,F$7,FALSE),IF($F$5="Q2",VLOOKUP($A12,'[1]INPUT_ASSUMPTIONS CALC'!$A$13:$CK$1019,F$7,FALSE),IF($F$5="Q3",VLOOKUP($A12,'[1]INPUT_ASSUMPTIONS CALC'!$A$13:$CK$1019,F$7,FALSE),IF($F$5="Q4",VLOOKUP($A12,'[1]INPUT_ASSUMPTIONS CALC'!$A$13:$CK$1019,F$7,FALSE),IF($F$5="Year",VLOOKUP($A12,'[1]INPUT_ASSUMPTIONS CALC'!$A$13:$CK$1019,F$7,FALSE),0)))))</f>
        <v>395525</v>
      </c>
      <c r="G12" s="137">
        <f>SUMIF('[1]INPUT_ASSUMPTIONS CALC'!A:A,'[1]Summary calculation'!A12,'[1]INPUT_ASSUMPTIONS CALC'!BU:BU)</f>
        <v>1</v>
      </c>
      <c r="H12" s="138">
        <f>IF($F$5="Year",F12*G12*'[1]INPUT_ASSUMPTIONS CALC'!$S$7,F12*G12)</f>
        <v>395525</v>
      </c>
      <c r="I12" s="138">
        <f>H12*VLOOKUP($A12,'[1]INPUT_ASSUMPTIONS CALC'!$A$13:$CK$1019,H$6,FALSE)*SUMIF('[1]INPUT_ASSUMPTIONS CALC'!$CL$15:$CL$17,'[1]Summary calculation'!E12,'[1]INPUT_ASSUMPTIONS CALC'!$CM$15:$CM$17)</f>
        <v>316420</v>
      </c>
      <c r="J12" s="139">
        <f>$I12*VLOOKUP($A12,'[1]INPUT_ASSUMPTIONS CALC'!$A$13:$CK$1019,I$6,FALSE)*VLOOKUP($A12,'[1]INPUT_ASSUMPTIONS CALC'!$A$13:$CK$1019,J$7,FALSE)</f>
        <v>116758.98</v>
      </c>
      <c r="K12" s="139">
        <f>$I12*VLOOKUP($A12,'[1]INPUT_ASSUMPTIONS CALC'!$A$13:$CK$1019,I$6,FALSE)*VLOOKUP($A12,'[1]INPUT_ASSUMPTIONS CALC'!$A$13:$CK$1019,K$7,FALSE)</f>
        <v>64866.1</v>
      </c>
      <c r="L12" s="139">
        <f>$I12*VLOOKUP($A12,'[1]INPUT_ASSUMPTIONS CALC'!$A$13:$CK$1019,I$6,FALSE)*VLOOKUP($A12,'[1]INPUT_ASSUMPTIONS CALC'!$A$13:$CK$1019,L$7,FALSE)</f>
        <v>64866.1</v>
      </c>
      <c r="M12" s="139">
        <f>$I12*VLOOKUP($A12,'[1]INPUT_ASSUMPTIONS CALC'!$A$13:$CK$1019,I$6,FALSE)*VLOOKUP($A12,'[1]INPUT_ASSUMPTIONS CALC'!$A$13:$CK$1019,M$7,FALSE)</f>
        <v>12973.220000000012</v>
      </c>
      <c r="N12" s="140">
        <f t="shared" si="3"/>
        <v>259464.4</v>
      </c>
      <c r="O12" s="141">
        <f>H12*VLOOKUP($A12,'[1]INPUT_ASSUMPTIONS CALC'!$A$13:$CK$1019,H$6,FALSE)*SUMIF('[1]INPUT_ASSUMPTIONS CALC'!$CQ$15:$CQ$17,'[1]Summary calculation'!E12,'[1]INPUT_ASSUMPTIONS CALC'!$CR$15:$CR$17)</f>
        <v>79105</v>
      </c>
      <c r="P12" s="141">
        <f>H12*VLOOKUP($A12,'[1]INPUT_ASSUMPTIONS CALC'!$A$13:$CK$1019,H$6,FALSE)*SUMIF('[1]INPUT_ASSUMPTIONS CALC'!$CV$15:$CV$31,'[1]Summary calculation'!E12,'[1]INPUT_ASSUMPTIONS CALC'!$CW$15:$CW$31)</f>
        <v>0</v>
      </c>
      <c r="Q12" s="141">
        <f>O12*VLOOKUP($A12,'[1]INPUT_ASSUMPTIONS CALC'!$A$13:$CK$1019,Q$7,FALSE)</f>
        <v>79105</v>
      </c>
      <c r="R12" s="141">
        <f>P12*VLOOKUP($A12,'[1]INPUT_ASSUMPTIONS CALC'!$A$13:$CK$1019,R$7,FALSE)</f>
        <v>0</v>
      </c>
      <c r="S12" s="140">
        <f t="shared" si="1"/>
        <v>79105</v>
      </c>
      <c r="T12" s="142">
        <f t="shared" si="2"/>
        <v>338569</v>
      </c>
      <c r="U12" s="61"/>
    </row>
    <row r="13" spans="1:21" x14ac:dyDescent="0.35">
      <c r="A13" s="125" t="str">
        <f t="shared" si="0"/>
        <v>5Q2</v>
      </c>
      <c r="B13" s="135">
        <v>5</v>
      </c>
      <c r="C13" s="61" t="str">
        <f>INDEX('[1]INPUT_ASSUMPTIONS CALC'!D:D,MATCH(A13,'[1]INPUT_ASSUMPTIONS CALC'!A:A,0))</f>
        <v>Aliyev Askar</v>
      </c>
      <c r="D13" s="61" t="str">
        <f>INDEX('[1]INPUT_ASSUMPTIONS CALC'!I:I,MATCH(A13,'[1]INPUT_ASSUMPTIONS CALC'!A:A,0))</f>
        <v>Line 1</v>
      </c>
      <c r="E13" s="61" t="str">
        <f>INDEX('[1]INPUT_ASSUMPTIONS CALC'!E:E,MATCH(A13,'[1]INPUT_ASSUMPTIONS CALC'!A:A,0))</f>
        <v>Medical Representative</v>
      </c>
      <c r="F13" s="136">
        <f>IF($F$5="Q1",VLOOKUP($A13,'[1]INPUT_ASSUMPTIONS CALC'!$A$13:$CK$1019,F$7,FALSE),IF($F$5="Q2",VLOOKUP($A13,'[1]INPUT_ASSUMPTIONS CALC'!$A$13:$CK$1019,F$7,FALSE),IF($F$5="Q3",VLOOKUP($A13,'[1]INPUT_ASSUMPTIONS CALC'!$A$13:$CK$1019,F$7,FALSE),IF($F$5="Q4",VLOOKUP($A13,'[1]INPUT_ASSUMPTIONS CALC'!$A$13:$CK$1019,F$7,FALSE),IF($F$5="Year",VLOOKUP($A13,'[1]INPUT_ASSUMPTIONS CALC'!$A$13:$CK$1019,F$7,FALSE),0)))))</f>
        <v>395525</v>
      </c>
      <c r="G13" s="137">
        <f>SUMIF('[1]INPUT_ASSUMPTIONS CALC'!A:A,'[1]Summary calculation'!A13,'[1]INPUT_ASSUMPTIONS CALC'!BU:BU)</f>
        <v>1</v>
      </c>
      <c r="H13" s="138">
        <f>IF($F$5="Year",F13*G13*'[1]INPUT_ASSUMPTIONS CALC'!$S$7,F13*G13)</f>
        <v>395525</v>
      </c>
      <c r="I13" s="138">
        <f>H13*VLOOKUP($A13,'[1]INPUT_ASSUMPTIONS CALC'!$A$13:$CK$1019,H$6,FALSE)*SUMIF('[1]INPUT_ASSUMPTIONS CALC'!$CL$15:$CL$17,'[1]Summary calculation'!E13,'[1]INPUT_ASSUMPTIONS CALC'!$CM$15:$CM$17)</f>
        <v>316420</v>
      </c>
      <c r="J13" s="139">
        <f>$I13*VLOOKUP($A13,'[1]INPUT_ASSUMPTIONS CALC'!$A$13:$CK$1019,I$6,FALSE)*VLOOKUP($A13,'[1]INPUT_ASSUMPTIONS CALC'!$A$13:$CK$1019,J$7,FALSE)</f>
        <v>395525</v>
      </c>
      <c r="K13" s="139">
        <f>$I13*VLOOKUP($A13,'[1]INPUT_ASSUMPTIONS CALC'!$A$13:$CK$1019,I$6,FALSE)*VLOOKUP($A13,'[1]INPUT_ASSUMPTIONS CALC'!$A$13:$CK$1019,K$7,FALSE)</f>
        <v>276867.5</v>
      </c>
      <c r="L13" s="139">
        <f>$I13*VLOOKUP($A13,'[1]INPUT_ASSUMPTIONS CALC'!$A$13:$CK$1019,I$6,FALSE)*VLOOKUP($A13,'[1]INPUT_ASSUMPTIONS CALC'!$A$13:$CK$1019,L$7,FALSE)</f>
        <v>79105</v>
      </c>
      <c r="M13" s="139">
        <f>$I13*VLOOKUP($A13,'[1]INPUT_ASSUMPTIONS CALC'!$A$13:$CK$1019,I$6,FALSE)*VLOOKUP($A13,'[1]INPUT_ASSUMPTIONS CALC'!$A$13:$CK$1019,M$7,FALSE)</f>
        <v>39552.500000000015</v>
      </c>
      <c r="N13" s="140">
        <f t="shared" si="3"/>
        <v>791050</v>
      </c>
      <c r="O13" s="141">
        <f>H13*VLOOKUP($A13,'[1]INPUT_ASSUMPTIONS CALC'!$A$13:$CK$1019,H$6,FALSE)*SUMIF('[1]INPUT_ASSUMPTIONS CALC'!$CQ$15:$CQ$17,'[1]Summary calculation'!E13,'[1]INPUT_ASSUMPTIONS CALC'!$CR$15:$CR$17)</f>
        <v>79105</v>
      </c>
      <c r="P13" s="141">
        <f>H13*VLOOKUP($A13,'[1]INPUT_ASSUMPTIONS CALC'!$A$13:$CK$1019,H$6,FALSE)*SUMIF('[1]INPUT_ASSUMPTIONS CALC'!$CV$15:$CV$31,'[1]Summary calculation'!E13,'[1]INPUT_ASSUMPTIONS CALC'!$CW$15:$CW$31)</f>
        <v>0</v>
      </c>
      <c r="Q13" s="141">
        <f>O13*VLOOKUP($A13,'[1]INPUT_ASSUMPTIONS CALC'!$A$13:$CK$1019,Q$7,FALSE)</f>
        <v>79105</v>
      </c>
      <c r="R13" s="141">
        <f>P13*VLOOKUP($A13,'[1]INPUT_ASSUMPTIONS CALC'!$A$13:$CK$1019,R$7,FALSE)</f>
        <v>0</v>
      </c>
      <c r="S13" s="140">
        <f t="shared" si="1"/>
        <v>79105</v>
      </c>
      <c r="T13" s="142">
        <f t="shared" si="2"/>
        <v>870155</v>
      </c>
      <c r="U13" s="61"/>
    </row>
    <row r="14" spans="1:21" x14ac:dyDescent="0.35">
      <c r="A14" s="125" t="str">
        <f t="shared" si="0"/>
        <v>6Q2</v>
      </c>
      <c r="B14" s="135">
        <v>6</v>
      </c>
      <c r="C14" s="61" t="str">
        <f>INDEX('[1]INPUT_ASSUMPTIONS CALC'!D:D,MATCH(A14,'[1]INPUT_ASSUMPTIONS CALC'!A:A,0))</f>
        <v>Altynbassova Shynar</v>
      </c>
      <c r="D14" s="61" t="str">
        <f>INDEX('[1]INPUT_ASSUMPTIONS CALC'!I:I,MATCH(A14,'[1]INPUT_ASSUMPTIONS CALC'!A:A,0))</f>
        <v>Line 2</v>
      </c>
      <c r="E14" s="61" t="str">
        <f>INDEX('[1]INPUT_ASSUMPTIONS CALC'!E:E,MATCH(A14,'[1]INPUT_ASSUMPTIONS CALC'!A:A,0))</f>
        <v>Medical Representative</v>
      </c>
      <c r="F14" s="136">
        <f>IF($F$5="Q1",VLOOKUP($A14,'[1]INPUT_ASSUMPTIONS CALC'!$A$13:$CK$1019,F$7,FALSE),IF($F$5="Q2",VLOOKUP($A14,'[1]INPUT_ASSUMPTIONS CALC'!$A$13:$CK$1019,F$7,FALSE),IF($F$5="Q3",VLOOKUP($A14,'[1]INPUT_ASSUMPTIONS CALC'!$A$13:$CK$1019,F$7,FALSE),IF($F$5="Q4",VLOOKUP($A14,'[1]INPUT_ASSUMPTIONS CALC'!$A$13:$CK$1019,F$7,FALSE),IF($F$5="Year",VLOOKUP($A14,'[1]INPUT_ASSUMPTIONS CALC'!$A$13:$CK$1019,F$7,FALSE),0)))))</f>
        <v>395525</v>
      </c>
      <c r="G14" s="137">
        <f>SUMIF('[1]INPUT_ASSUMPTIONS CALC'!A:A,'[1]Summary calculation'!A14,'[1]INPUT_ASSUMPTIONS CALC'!BU:BU)</f>
        <v>1</v>
      </c>
      <c r="H14" s="138">
        <f>IF($F$5="Year",F14*G14*'[1]INPUT_ASSUMPTIONS CALC'!$S$7,F14*G14)</f>
        <v>395525</v>
      </c>
      <c r="I14" s="138">
        <f>H14*VLOOKUP($A14,'[1]INPUT_ASSUMPTIONS CALC'!$A$13:$CK$1019,H$6,FALSE)*SUMIF('[1]INPUT_ASSUMPTIONS CALC'!$CL$15:$CL$17,'[1]Summary calculation'!E14,'[1]INPUT_ASSUMPTIONS CALC'!$CM$15:$CM$17)</f>
        <v>316420</v>
      </c>
      <c r="J14" s="139">
        <f>$I14*VLOOKUP($A14,'[1]INPUT_ASSUMPTIONS CALC'!$A$13:$CK$1019,I$6,FALSE)*VLOOKUP($A14,'[1]INPUT_ASSUMPTIONS CALC'!$A$13:$CK$1019,J$7,FALSE)</f>
        <v>237315</v>
      </c>
      <c r="K14" s="139">
        <f>$I14*VLOOKUP($A14,'[1]INPUT_ASSUMPTIONS CALC'!$A$13:$CK$1019,I$6,FALSE)*VLOOKUP($A14,'[1]INPUT_ASSUMPTIONS CALC'!$A$13:$CK$1019,K$7,FALSE)</f>
        <v>197762.5</v>
      </c>
      <c r="L14" s="139">
        <f>$I14*VLOOKUP($A14,'[1]INPUT_ASSUMPTIONS CALC'!$A$13:$CK$1019,I$6,FALSE)*VLOOKUP($A14,'[1]INPUT_ASSUMPTIONS CALC'!$A$13:$CK$1019,L$7,FALSE)</f>
        <v>197762.5</v>
      </c>
      <c r="M14" s="139">
        <f>$I14*VLOOKUP($A14,'[1]INPUT_ASSUMPTIONS CALC'!$A$13:$CK$1019,I$6,FALSE)*VLOOKUP($A14,'[1]INPUT_ASSUMPTIONS CALC'!$A$13:$CK$1019,M$7,FALSE)</f>
        <v>158209.99999999997</v>
      </c>
      <c r="N14" s="140">
        <f t="shared" si="3"/>
        <v>791050</v>
      </c>
      <c r="O14" s="141">
        <f>H14*VLOOKUP($A14,'[1]INPUT_ASSUMPTIONS CALC'!$A$13:$CK$1019,H$6,FALSE)*SUMIF('[1]INPUT_ASSUMPTIONS CALC'!$CQ$15:$CQ$17,'[1]Summary calculation'!E14,'[1]INPUT_ASSUMPTIONS CALC'!$CR$15:$CR$17)</f>
        <v>79105</v>
      </c>
      <c r="P14" s="141">
        <f>H14*VLOOKUP($A14,'[1]INPUT_ASSUMPTIONS CALC'!$A$13:$CK$1019,H$6,FALSE)*SUMIF('[1]INPUT_ASSUMPTIONS CALC'!$CV$15:$CV$31,'[1]Summary calculation'!E14,'[1]INPUT_ASSUMPTIONS CALC'!$CW$15:$CW$31)</f>
        <v>0</v>
      </c>
      <c r="Q14" s="141">
        <f>O14*VLOOKUP($A14,'[1]INPUT_ASSUMPTIONS CALC'!$A$13:$CK$1019,Q$7,FALSE)</f>
        <v>79105</v>
      </c>
      <c r="R14" s="141">
        <f>P14*VLOOKUP($A14,'[1]INPUT_ASSUMPTIONS CALC'!$A$13:$CK$1019,R$7,FALSE)</f>
        <v>0</v>
      </c>
      <c r="S14" s="140">
        <f t="shared" si="1"/>
        <v>79105</v>
      </c>
      <c r="T14" s="142">
        <f t="shared" si="2"/>
        <v>870155</v>
      </c>
      <c r="U14" s="61"/>
    </row>
    <row r="15" spans="1:21" x14ac:dyDescent="0.35">
      <c r="A15" s="125" t="str">
        <f t="shared" si="0"/>
        <v>7Q2</v>
      </c>
      <c r="B15" s="135">
        <v>7</v>
      </c>
      <c r="C15" s="61" t="str">
        <f>INDEX('[1]INPUT_ASSUMPTIONS CALC'!D:D,MATCH(A15,'[1]INPUT_ASSUMPTIONS CALC'!A:A,0))</f>
        <v>Alzhanova Zhuldyz</v>
      </c>
      <c r="D15" s="61" t="str">
        <f>INDEX('[1]INPUT_ASSUMPTIONS CALC'!I:I,MATCH(A15,'[1]INPUT_ASSUMPTIONS CALC'!A:A,0))</f>
        <v>Pharma line</v>
      </c>
      <c r="E15" s="61" t="str">
        <f>INDEX('[1]INPUT_ASSUMPTIONS CALC'!E:E,MATCH(A15,'[1]INPUT_ASSUMPTIONS CALC'!A:A,0))</f>
        <v>Pharm Representative</v>
      </c>
      <c r="F15" s="136">
        <f>IF($F$5="Q1",VLOOKUP($A15,'[1]INPUT_ASSUMPTIONS CALC'!$A$13:$CK$1019,F$7,FALSE),IF($F$5="Q2",VLOOKUP($A15,'[1]INPUT_ASSUMPTIONS CALC'!$A$13:$CK$1019,F$7,FALSE),IF($F$5="Q3",VLOOKUP($A15,'[1]INPUT_ASSUMPTIONS CALC'!$A$13:$CK$1019,F$7,FALSE),IF($F$5="Q4",VLOOKUP($A15,'[1]INPUT_ASSUMPTIONS CALC'!$A$13:$CK$1019,F$7,FALSE),IF($F$5="Year",VLOOKUP($A15,'[1]INPUT_ASSUMPTIONS CALC'!$A$13:$CK$1019,F$7,FALSE),0)))))</f>
        <v>395525</v>
      </c>
      <c r="G15" s="137">
        <f>SUMIF('[1]INPUT_ASSUMPTIONS CALC'!A:A,'[1]Summary calculation'!A15,'[1]INPUT_ASSUMPTIONS CALC'!BU:BU)</f>
        <v>1</v>
      </c>
      <c r="H15" s="138">
        <f>IF($F$5="Year",F15*G15*'[1]INPUT_ASSUMPTIONS CALC'!$S$7,F15*G15)</f>
        <v>395525</v>
      </c>
      <c r="I15" s="138">
        <f>H15*VLOOKUP($A15,'[1]INPUT_ASSUMPTIONS CALC'!$A$13:$CK$1019,H$6,FALSE)*SUMIF('[1]INPUT_ASSUMPTIONS CALC'!$CL$15:$CL$17,'[1]Summary calculation'!E15,'[1]INPUT_ASSUMPTIONS CALC'!$CM$15:$CM$17)</f>
        <v>316420</v>
      </c>
      <c r="J15" s="139">
        <f>$I15*VLOOKUP($A15,'[1]INPUT_ASSUMPTIONS CALC'!$A$13:$CK$1019,I$6,FALSE)*VLOOKUP($A15,'[1]INPUT_ASSUMPTIONS CALC'!$A$13:$CK$1019,J$7,FALSE)</f>
        <v>227822.4</v>
      </c>
      <c r="K15" s="139">
        <f>$I15*VLOOKUP($A15,'[1]INPUT_ASSUMPTIONS CALC'!$A$13:$CK$1019,I$6,FALSE)*VLOOKUP($A15,'[1]INPUT_ASSUMPTIONS CALC'!$A$13:$CK$1019,K$7,FALSE)</f>
        <v>151881.60000000001</v>
      </c>
      <c r="L15" s="139">
        <f>$I15*VLOOKUP($A15,'[1]INPUT_ASSUMPTIONS CALC'!$A$13:$CK$1019,I$6,FALSE)*VLOOKUP($A15,'[1]INPUT_ASSUMPTIONS CALC'!$A$13:$CK$1019,L$7,FALSE)</f>
        <v>75940.800000000003</v>
      </c>
      <c r="M15" s="139">
        <f>$I15*VLOOKUP($A15,'[1]INPUT_ASSUMPTIONS CALC'!$A$13:$CK$1019,I$6,FALSE)*VLOOKUP($A15,'[1]INPUT_ASSUMPTIONS CALC'!$A$13:$CK$1019,M$7,FALSE)</f>
        <v>50627.200000000033</v>
      </c>
      <c r="N15" s="140">
        <f t="shared" si="3"/>
        <v>506272</v>
      </c>
      <c r="O15" s="141">
        <f>H15*VLOOKUP($A15,'[1]INPUT_ASSUMPTIONS CALC'!$A$13:$CK$1019,H$6,FALSE)*SUMIF('[1]INPUT_ASSUMPTIONS CALC'!$CQ$15:$CQ$17,'[1]Summary calculation'!E15,'[1]INPUT_ASSUMPTIONS CALC'!$CR$15:$CR$17)</f>
        <v>79105</v>
      </c>
      <c r="P15" s="141">
        <f>H15*VLOOKUP($A15,'[1]INPUT_ASSUMPTIONS CALC'!$A$13:$CK$1019,H$6,FALSE)*SUMIF('[1]INPUT_ASSUMPTIONS CALC'!$CV$15:$CV$31,'[1]Summary calculation'!E15,'[1]INPUT_ASSUMPTIONS CALC'!$CW$15:$CW$31)</f>
        <v>0</v>
      </c>
      <c r="Q15" s="141">
        <f>O15*VLOOKUP($A15,'[1]INPUT_ASSUMPTIONS CALC'!$A$13:$CK$1019,Q$7,FALSE)</f>
        <v>79105</v>
      </c>
      <c r="R15" s="141">
        <f>P15*VLOOKUP($A15,'[1]INPUT_ASSUMPTIONS CALC'!$A$13:$CK$1019,R$7,FALSE)</f>
        <v>0</v>
      </c>
      <c r="S15" s="140">
        <f t="shared" si="1"/>
        <v>79105</v>
      </c>
      <c r="T15" s="142">
        <f t="shared" si="2"/>
        <v>585377</v>
      </c>
      <c r="U15" s="61"/>
    </row>
    <row r="16" spans="1:21" x14ac:dyDescent="0.35">
      <c r="A16" s="125" t="str">
        <f t="shared" si="0"/>
        <v>8Q2</v>
      </c>
      <c r="B16" s="135">
        <v>8</v>
      </c>
      <c r="C16" s="61" t="str">
        <f>INDEX('[1]INPUT_ASSUMPTIONS CALC'!D:D,MATCH(A16,'[1]INPUT_ASSUMPTIONS CALC'!A:A,0))</f>
        <v>Arestova Yelena</v>
      </c>
      <c r="D16" s="61" t="str">
        <f>INDEX('[1]INPUT_ASSUMPTIONS CALC'!I:I,MATCH(A16,'[1]INPUT_ASSUMPTIONS CALC'!A:A,0))</f>
        <v>Line 2 (big cities)</v>
      </c>
      <c r="E16" s="61" t="str">
        <f>INDEX('[1]INPUT_ASSUMPTIONS CALC'!E:E,MATCH(A16,'[1]INPUT_ASSUMPTIONS CALC'!A:A,0))</f>
        <v>Medical Representative</v>
      </c>
      <c r="F16" s="136">
        <f>IF($F$5="Q1",VLOOKUP($A16,'[1]INPUT_ASSUMPTIONS CALC'!$A$13:$CK$1019,F$7,FALSE),IF($F$5="Q2",VLOOKUP($A16,'[1]INPUT_ASSUMPTIONS CALC'!$A$13:$CK$1019,F$7,FALSE),IF($F$5="Q3",VLOOKUP($A16,'[1]INPUT_ASSUMPTIONS CALC'!$A$13:$CK$1019,F$7,FALSE),IF($F$5="Q4",VLOOKUP($A16,'[1]INPUT_ASSUMPTIONS CALC'!$A$13:$CK$1019,F$7,FALSE),IF($F$5="Year",VLOOKUP($A16,'[1]INPUT_ASSUMPTIONS CALC'!$A$13:$CK$1019,F$7,FALSE),0)))))</f>
        <v>395525</v>
      </c>
      <c r="G16" s="137">
        <f>SUMIF('[1]INPUT_ASSUMPTIONS CALC'!A:A,'[1]Summary calculation'!A16,'[1]INPUT_ASSUMPTIONS CALC'!BU:BU)</f>
        <v>1</v>
      </c>
      <c r="H16" s="138">
        <f>IF($F$5="Year",F16*G16*'[1]INPUT_ASSUMPTIONS CALC'!$S$7,F16*G16)</f>
        <v>395525</v>
      </c>
      <c r="I16" s="138">
        <f>H16*VLOOKUP($A16,'[1]INPUT_ASSUMPTIONS CALC'!$A$13:$CK$1019,H$6,FALSE)*SUMIF('[1]INPUT_ASSUMPTIONS CALC'!$CL$15:$CL$17,'[1]Summary calculation'!E16,'[1]INPUT_ASSUMPTIONS CALC'!$CM$15:$CM$17)</f>
        <v>316420</v>
      </c>
      <c r="J16" s="139">
        <f>$I16*VLOOKUP($A16,'[1]INPUT_ASSUMPTIONS CALC'!$A$13:$CK$1019,I$6,FALSE)*VLOOKUP($A16,'[1]INPUT_ASSUMPTIONS CALC'!$A$13:$CK$1019,J$7,FALSE)</f>
        <v>31642</v>
      </c>
      <c r="K16" s="139">
        <f>$I16*VLOOKUP($A16,'[1]INPUT_ASSUMPTIONS CALC'!$A$13:$CK$1019,I$6,FALSE)*VLOOKUP($A16,'[1]INPUT_ASSUMPTIONS CALC'!$A$13:$CK$1019,K$7,FALSE)</f>
        <v>94926</v>
      </c>
      <c r="L16" s="139">
        <f>$I16*VLOOKUP($A16,'[1]INPUT_ASSUMPTIONS CALC'!$A$13:$CK$1019,I$6,FALSE)*VLOOKUP($A16,'[1]INPUT_ASSUMPTIONS CALC'!$A$13:$CK$1019,L$7,FALSE)</f>
        <v>94926</v>
      </c>
      <c r="M16" s="139">
        <f>$I16*VLOOKUP($A16,'[1]INPUT_ASSUMPTIONS CALC'!$A$13:$CK$1019,I$6,FALSE)*VLOOKUP($A16,'[1]INPUT_ASSUMPTIONS CALC'!$A$13:$CK$1019,M$7,FALSE)</f>
        <v>94926.000000000029</v>
      </c>
      <c r="N16" s="140">
        <f t="shared" si="3"/>
        <v>316420</v>
      </c>
      <c r="O16" s="141">
        <f>H16*VLOOKUP($A16,'[1]INPUT_ASSUMPTIONS CALC'!$A$13:$CK$1019,H$6,FALSE)*SUMIF('[1]INPUT_ASSUMPTIONS CALC'!$CQ$15:$CQ$17,'[1]Summary calculation'!E16,'[1]INPUT_ASSUMPTIONS CALC'!$CR$15:$CR$17)</f>
        <v>79105</v>
      </c>
      <c r="P16" s="141">
        <f>H16*VLOOKUP($A16,'[1]INPUT_ASSUMPTIONS CALC'!$A$13:$CK$1019,H$6,FALSE)*SUMIF('[1]INPUT_ASSUMPTIONS CALC'!$CV$15:$CV$31,'[1]Summary calculation'!E16,'[1]INPUT_ASSUMPTIONS CALC'!$CW$15:$CW$31)</f>
        <v>0</v>
      </c>
      <c r="Q16" s="141">
        <f>O16*VLOOKUP($A16,'[1]INPUT_ASSUMPTIONS CALC'!$A$13:$CK$1019,Q$7,FALSE)</f>
        <v>79105</v>
      </c>
      <c r="R16" s="141">
        <f>P16*VLOOKUP($A16,'[1]INPUT_ASSUMPTIONS CALC'!$A$13:$CK$1019,R$7,FALSE)</f>
        <v>0</v>
      </c>
      <c r="S16" s="140">
        <f t="shared" si="1"/>
        <v>79105</v>
      </c>
      <c r="T16" s="142">
        <f t="shared" si="2"/>
        <v>395525</v>
      </c>
      <c r="U16" s="61"/>
    </row>
    <row r="17" spans="1:21" x14ac:dyDescent="0.35">
      <c r="A17" s="125" t="str">
        <f t="shared" si="0"/>
        <v>9Q2</v>
      </c>
      <c r="B17" s="135">
        <v>9</v>
      </c>
      <c r="C17" s="61" t="str">
        <f>INDEX('[1]INPUT_ASSUMPTIONS CALC'!D:D,MATCH(A17,'[1]INPUT_ASSUMPTIONS CALC'!A:A,0))</f>
        <v>Auyelbekova Syndykul</v>
      </c>
      <c r="D17" s="61" t="str">
        <f>INDEX('[1]INPUT_ASSUMPTIONS CALC'!I:I,MATCH(A17,'[1]INPUT_ASSUMPTIONS CALC'!A:A,0))</f>
        <v>Line 2</v>
      </c>
      <c r="E17" s="61" t="str">
        <f>INDEX('[1]INPUT_ASSUMPTIONS CALC'!E:E,MATCH(A17,'[1]INPUT_ASSUMPTIONS CALC'!A:A,0))</f>
        <v>Medical Representative</v>
      </c>
      <c r="F17" s="136">
        <f>IF($F$5="Q1",VLOOKUP($A17,'[1]INPUT_ASSUMPTIONS CALC'!$A$13:$CK$1019,F$7,FALSE),IF($F$5="Q2",VLOOKUP($A17,'[1]INPUT_ASSUMPTIONS CALC'!$A$13:$CK$1019,F$7,FALSE),IF($F$5="Q3",VLOOKUP($A17,'[1]INPUT_ASSUMPTIONS CALC'!$A$13:$CK$1019,F$7,FALSE),IF($F$5="Q4",VLOOKUP($A17,'[1]INPUT_ASSUMPTIONS CALC'!$A$13:$CK$1019,F$7,FALSE),IF($F$5="Year",VLOOKUP($A17,'[1]INPUT_ASSUMPTIONS CALC'!$A$13:$CK$1019,F$7,FALSE),0)))))</f>
        <v>395525</v>
      </c>
      <c r="G17" s="137">
        <f>SUMIF('[1]INPUT_ASSUMPTIONS CALC'!A:A,'[1]Summary calculation'!A17,'[1]INPUT_ASSUMPTIONS CALC'!BU:BU)</f>
        <v>1</v>
      </c>
      <c r="H17" s="138">
        <f>IF($F$5="Year",F17*G17*'[1]INPUT_ASSUMPTIONS CALC'!$S$7,F17*G17)</f>
        <v>395525</v>
      </c>
      <c r="I17" s="138">
        <f>H17*VLOOKUP($A17,'[1]INPUT_ASSUMPTIONS CALC'!$A$13:$CK$1019,H$6,FALSE)*SUMIF('[1]INPUT_ASSUMPTIONS CALC'!$CL$15:$CL$17,'[1]Summary calculation'!E17,'[1]INPUT_ASSUMPTIONS CALC'!$CM$15:$CM$17)</f>
        <v>316420</v>
      </c>
      <c r="J17" s="139">
        <f>$I17*VLOOKUP($A17,'[1]INPUT_ASSUMPTIONS CALC'!$A$13:$CK$1019,I$6,FALSE)*VLOOKUP($A17,'[1]INPUT_ASSUMPTIONS CALC'!$A$13:$CK$1019,J$7,FALSE)</f>
        <v>237315</v>
      </c>
      <c r="K17" s="139">
        <f>$I17*VLOOKUP($A17,'[1]INPUT_ASSUMPTIONS CALC'!$A$13:$CK$1019,I$6,FALSE)*VLOOKUP($A17,'[1]INPUT_ASSUMPTIONS CALC'!$A$13:$CK$1019,K$7,FALSE)</f>
        <v>197762.5</v>
      </c>
      <c r="L17" s="139">
        <f>$I17*VLOOKUP($A17,'[1]INPUT_ASSUMPTIONS CALC'!$A$13:$CK$1019,I$6,FALSE)*VLOOKUP($A17,'[1]INPUT_ASSUMPTIONS CALC'!$A$13:$CK$1019,L$7,FALSE)</f>
        <v>197762.5</v>
      </c>
      <c r="M17" s="139">
        <f>$I17*VLOOKUP($A17,'[1]INPUT_ASSUMPTIONS CALC'!$A$13:$CK$1019,I$6,FALSE)*VLOOKUP($A17,'[1]INPUT_ASSUMPTIONS CALC'!$A$13:$CK$1019,M$7,FALSE)</f>
        <v>158209.99999999997</v>
      </c>
      <c r="N17" s="140">
        <f t="shared" si="3"/>
        <v>791050</v>
      </c>
      <c r="O17" s="141">
        <f>H17*VLOOKUP($A17,'[1]INPUT_ASSUMPTIONS CALC'!$A$13:$CK$1019,H$6,FALSE)*SUMIF('[1]INPUT_ASSUMPTIONS CALC'!$CQ$15:$CQ$17,'[1]Summary calculation'!E17,'[1]INPUT_ASSUMPTIONS CALC'!$CR$15:$CR$17)</f>
        <v>79105</v>
      </c>
      <c r="P17" s="141">
        <f>H17*VLOOKUP($A17,'[1]INPUT_ASSUMPTIONS CALC'!$A$13:$CK$1019,H$6,FALSE)*SUMIF('[1]INPUT_ASSUMPTIONS CALC'!$CV$15:$CV$31,'[1]Summary calculation'!E17,'[1]INPUT_ASSUMPTIONS CALC'!$CW$15:$CW$31)</f>
        <v>0</v>
      </c>
      <c r="Q17" s="141">
        <f>O17*VLOOKUP($A17,'[1]INPUT_ASSUMPTIONS CALC'!$A$13:$CK$1019,Q$7,FALSE)</f>
        <v>39552.5</v>
      </c>
      <c r="R17" s="141">
        <f>P17*VLOOKUP($A17,'[1]INPUT_ASSUMPTIONS CALC'!$A$13:$CK$1019,R$7,FALSE)</f>
        <v>0</v>
      </c>
      <c r="S17" s="140">
        <f t="shared" si="1"/>
        <v>39552.5</v>
      </c>
      <c r="T17" s="142">
        <f t="shared" si="2"/>
        <v>830603</v>
      </c>
      <c r="U17" s="61"/>
    </row>
    <row r="18" spans="1:21" x14ac:dyDescent="0.35">
      <c r="A18" s="125" t="str">
        <f t="shared" si="0"/>
        <v>10Q2</v>
      </c>
      <c r="B18" s="135">
        <v>10</v>
      </c>
      <c r="C18" s="61" t="str">
        <f>INDEX('[1]INPUT_ASSUMPTIONS CALC'!D:D,MATCH(A18,'[1]INPUT_ASSUMPTIONS CALC'!A:A,0))</f>
        <v>Aybolova Zhazira</v>
      </c>
      <c r="D18" s="61" t="str">
        <f>INDEX('[1]INPUT_ASSUMPTIONS CALC'!I:I,MATCH(A18,'[1]INPUT_ASSUMPTIONS CALC'!A:A,0))</f>
        <v>Line 2 (big cities)</v>
      </c>
      <c r="E18" s="61" t="str">
        <f>INDEX('[1]INPUT_ASSUMPTIONS CALC'!E:E,MATCH(A18,'[1]INPUT_ASSUMPTIONS CALC'!A:A,0))</f>
        <v>Medical Representative</v>
      </c>
      <c r="F18" s="136">
        <f>IF($F$5="Q1",VLOOKUP($A18,'[1]INPUT_ASSUMPTIONS CALC'!$A$13:$CK$1019,F$7,FALSE),IF($F$5="Q2",VLOOKUP($A18,'[1]INPUT_ASSUMPTIONS CALC'!$A$13:$CK$1019,F$7,FALSE),IF($F$5="Q3",VLOOKUP($A18,'[1]INPUT_ASSUMPTIONS CALC'!$A$13:$CK$1019,F$7,FALSE),IF($F$5="Q4",VLOOKUP($A18,'[1]INPUT_ASSUMPTIONS CALC'!$A$13:$CK$1019,F$7,FALSE),IF($F$5="Year",VLOOKUP($A18,'[1]INPUT_ASSUMPTIONS CALC'!$A$13:$CK$1019,F$7,FALSE),0)))))</f>
        <v>395525</v>
      </c>
      <c r="G18" s="137">
        <f>SUMIF('[1]INPUT_ASSUMPTIONS CALC'!A:A,'[1]Summary calculation'!A18,'[1]INPUT_ASSUMPTIONS CALC'!BU:BU)</f>
        <v>1</v>
      </c>
      <c r="H18" s="138">
        <f>IF($F$5="Year",F18*G18*'[1]INPUT_ASSUMPTIONS CALC'!$S$7,F18*G18)</f>
        <v>395525</v>
      </c>
      <c r="I18" s="138">
        <f>H18*VLOOKUP($A18,'[1]INPUT_ASSUMPTIONS CALC'!$A$13:$CK$1019,H$6,FALSE)*SUMIF('[1]INPUT_ASSUMPTIONS CALC'!$CL$15:$CL$17,'[1]Summary calculation'!E18,'[1]INPUT_ASSUMPTIONS CALC'!$CM$15:$CM$17)</f>
        <v>316420</v>
      </c>
      <c r="J18" s="139">
        <f>$I18*VLOOKUP($A18,'[1]INPUT_ASSUMPTIONS CALC'!$A$13:$CK$1019,I$6,FALSE)*VLOOKUP($A18,'[1]INPUT_ASSUMPTIONS CALC'!$A$13:$CK$1019,J$7,FALSE)</f>
        <v>37970.400000000001</v>
      </c>
      <c r="K18" s="139">
        <f>$I18*VLOOKUP($A18,'[1]INPUT_ASSUMPTIONS CALC'!$A$13:$CK$1019,I$6,FALSE)*VLOOKUP($A18,'[1]INPUT_ASSUMPTIONS CALC'!$A$13:$CK$1019,K$7,FALSE)</f>
        <v>113911.2</v>
      </c>
      <c r="L18" s="139">
        <f>$I18*VLOOKUP($A18,'[1]INPUT_ASSUMPTIONS CALC'!$A$13:$CK$1019,I$6,FALSE)*VLOOKUP($A18,'[1]INPUT_ASSUMPTIONS CALC'!$A$13:$CK$1019,L$7,FALSE)</f>
        <v>113911.2</v>
      </c>
      <c r="M18" s="139">
        <f>$I18*VLOOKUP($A18,'[1]INPUT_ASSUMPTIONS CALC'!$A$13:$CK$1019,I$6,FALSE)*VLOOKUP($A18,'[1]INPUT_ASSUMPTIONS CALC'!$A$13:$CK$1019,M$7,FALSE)</f>
        <v>113911.20000000004</v>
      </c>
      <c r="N18" s="140">
        <f t="shared" si="3"/>
        <v>379704</v>
      </c>
      <c r="O18" s="141">
        <f>H18*VLOOKUP($A18,'[1]INPUT_ASSUMPTIONS CALC'!$A$13:$CK$1019,H$6,FALSE)*SUMIF('[1]INPUT_ASSUMPTIONS CALC'!$CQ$15:$CQ$17,'[1]Summary calculation'!E18,'[1]INPUT_ASSUMPTIONS CALC'!$CR$15:$CR$17)</f>
        <v>79105</v>
      </c>
      <c r="P18" s="141">
        <f>H18*VLOOKUP($A18,'[1]INPUT_ASSUMPTIONS CALC'!$A$13:$CK$1019,H$6,FALSE)*SUMIF('[1]INPUT_ASSUMPTIONS CALC'!$CV$15:$CV$31,'[1]Summary calculation'!E18,'[1]INPUT_ASSUMPTIONS CALC'!$CW$15:$CW$31)</f>
        <v>0</v>
      </c>
      <c r="Q18" s="141">
        <f>O18*VLOOKUP($A18,'[1]INPUT_ASSUMPTIONS CALC'!$A$13:$CK$1019,Q$7,FALSE)</f>
        <v>79105</v>
      </c>
      <c r="R18" s="141">
        <f>P18*VLOOKUP($A18,'[1]INPUT_ASSUMPTIONS CALC'!$A$13:$CK$1019,R$7,FALSE)</f>
        <v>0</v>
      </c>
      <c r="S18" s="140">
        <f t="shared" si="1"/>
        <v>79105</v>
      </c>
      <c r="T18" s="142">
        <f t="shared" si="2"/>
        <v>458809</v>
      </c>
      <c r="U18" s="61"/>
    </row>
    <row r="19" spans="1:21" x14ac:dyDescent="0.35">
      <c r="A19" s="125" t="str">
        <f t="shared" si="0"/>
        <v>11Q2</v>
      </c>
      <c r="B19" s="135">
        <v>11</v>
      </c>
      <c r="C19" s="61" t="str">
        <f>INDEX('[1]INPUT_ASSUMPTIONS CALC'!D:D,MATCH(A19,'[1]INPUT_ASSUMPTIONS CALC'!A:A,0))</f>
        <v>Baimysheva Mariya</v>
      </c>
      <c r="D19" s="61" t="str">
        <f>INDEX('[1]INPUT_ASSUMPTIONS CALC'!I:I,MATCH(A19,'[1]INPUT_ASSUMPTIONS CALC'!A:A,0))</f>
        <v>Line 2</v>
      </c>
      <c r="E19" s="61" t="str">
        <f>INDEX('[1]INPUT_ASSUMPTIONS CALC'!E:E,MATCH(A19,'[1]INPUT_ASSUMPTIONS CALC'!A:A,0))</f>
        <v>Medical Representative</v>
      </c>
      <c r="F19" s="136">
        <f>IF($F$5="Q1",VLOOKUP($A19,'[1]INPUT_ASSUMPTIONS CALC'!$A$13:$CK$1019,F$7,FALSE),IF($F$5="Q2",VLOOKUP($A19,'[1]INPUT_ASSUMPTIONS CALC'!$A$13:$CK$1019,F$7,FALSE),IF($F$5="Q3",VLOOKUP($A19,'[1]INPUT_ASSUMPTIONS CALC'!$A$13:$CK$1019,F$7,FALSE),IF($F$5="Q4",VLOOKUP($A19,'[1]INPUT_ASSUMPTIONS CALC'!$A$13:$CK$1019,F$7,FALSE),IF($F$5="Year",VLOOKUP($A19,'[1]INPUT_ASSUMPTIONS CALC'!$A$13:$CK$1019,F$7,FALSE),0)))))</f>
        <v>395525</v>
      </c>
      <c r="G19" s="137">
        <f>SUMIF('[1]INPUT_ASSUMPTIONS CALC'!A:A,'[1]Summary calculation'!A19,'[1]INPUT_ASSUMPTIONS CALC'!BU:BU)</f>
        <v>1</v>
      </c>
      <c r="H19" s="138">
        <f>IF($F$5="Year",F19*G19*'[1]INPUT_ASSUMPTIONS CALC'!$S$7,F19*G19)</f>
        <v>395525</v>
      </c>
      <c r="I19" s="138">
        <f>H19*VLOOKUP($A19,'[1]INPUT_ASSUMPTIONS CALC'!$A$13:$CK$1019,H$6,FALSE)*SUMIF('[1]INPUT_ASSUMPTIONS CALC'!$CL$15:$CL$17,'[1]Summary calculation'!E19,'[1]INPUT_ASSUMPTIONS CALC'!$CM$15:$CM$17)</f>
        <v>316420</v>
      </c>
      <c r="J19" s="139">
        <f>$I19*VLOOKUP($A19,'[1]INPUT_ASSUMPTIONS CALC'!$A$13:$CK$1019,I$6,FALSE)*VLOOKUP($A19,'[1]INPUT_ASSUMPTIONS CALC'!$A$13:$CK$1019,J$7,FALSE)</f>
        <v>237315</v>
      </c>
      <c r="K19" s="139">
        <f>$I19*VLOOKUP($A19,'[1]INPUT_ASSUMPTIONS CALC'!$A$13:$CK$1019,I$6,FALSE)*VLOOKUP($A19,'[1]INPUT_ASSUMPTIONS CALC'!$A$13:$CK$1019,K$7,FALSE)</f>
        <v>197762.5</v>
      </c>
      <c r="L19" s="139">
        <f>$I19*VLOOKUP($A19,'[1]INPUT_ASSUMPTIONS CALC'!$A$13:$CK$1019,I$6,FALSE)*VLOOKUP($A19,'[1]INPUT_ASSUMPTIONS CALC'!$A$13:$CK$1019,L$7,FALSE)</f>
        <v>197762.5</v>
      </c>
      <c r="M19" s="139">
        <f>$I19*VLOOKUP($A19,'[1]INPUT_ASSUMPTIONS CALC'!$A$13:$CK$1019,I$6,FALSE)*VLOOKUP($A19,'[1]INPUT_ASSUMPTIONS CALC'!$A$13:$CK$1019,M$7,FALSE)</f>
        <v>158209.99999999997</v>
      </c>
      <c r="N19" s="140">
        <f t="shared" si="3"/>
        <v>791050</v>
      </c>
      <c r="O19" s="141">
        <f>H19*VLOOKUP($A19,'[1]INPUT_ASSUMPTIONS CALC'!$A$13:$CK$1019,H$6,FALSE)*SUMIF('[1]INPUT_ASSUMPTIONS CALC'!$CQ$15:$CQ$17,'[1]Summary calculation'!E19,'[1]INPUT_ASSUMPTIONS CALC'!$CR$15:$CR$17)</f>
        <v>79105</v>
      </c>
      <c r="P19" s="141">
        <f>H19*VLOOKUP($A19,'[1]INPUT_ASSUMPTIONS CALC'!$A$13:$CK$1019,H$6,FALSE)*SUMIF('[1]INPUT_ASSUMPTIONS CALC'!$CV$15:$CV$31,'[1]Summary calculation'!E19,'[1]INPUT_ASSUMPTIONS CALC'!$CW$15:$CW$31)</f>
        <v>0</v>
      </c>
      <c r="Q19" s="141">
        <f>O19*VLOOKUP($A19,'[1]INPUT_ASSUMPTIONS CALC'!$A$13:$CK$1019,Q$7,FALSE)</f>
        <v>79105</v>
      </c>
      <c r="R19" s="141">
        <f>P19*VLOOKUP($A19,'[1]INPUT_ASSUMPTIONS CALC'!$A$13:$CK$1019,R$7,FALSE)</f>
        <v>0</v>
      </c>
      <c r="S19" s="140">
        <f t="shared" si="1"/>
        <v>79105</v>
      </c>
      <c r="T19" s="142">
        <f t="shared" si="2"/>
        <v>870155</v>
      </c>
      <c r="U19" s="61"/>
    </row>
    <row r="20" spans="1:21" x14ac:dyDescent="0.35">
      <c r="A20" s="125" t="str">
        <f t="shared" si="0"/>
        <v>12Q2</v>
      </c>
      <c r="B20" s="135">
        <v>12</v>
      </c>
      <c r="C20" s="61" t="str">
        <f>INDEX('[1]INPUT_ASSUMPTIONS CALC'!D:D,MATCH(A20,'[1]INPUT_ASSUMPTIONS CALC'!A:A,0))</f>
        <v>Bakisheva Aliya</v>
      </c>
      <c r="D20" s="61" t="str">
        <f>INDEX('[1]INPUT_ASSUMPTIONS CALC'!I:I,MATCH(A20,'[1]INPUT_ASSUMPTIONS CALC'!A:A,0))</f>
        <v>Line 3 (big cities)</v>
      </c>
      <c r="E20" s="61" t="str">
        <f>INDEX('[1]INPUT_ASSUMPTIONS CALC'!E:E,MATCH(A20,'[1]INPUT_ASSUMPTIONS CALC'!A:A,0))</f>
        <v>Medical Representative</v>
      </c>
      <c r="F20" s="136">
        <f>IF($F$5="Q1",VLOOKUP($A20,'[1]INPUT_ASSUMPTIONS CALC'!$A$13:$CK$1019,F$7,FALSE),IF($F$5="Q2",VLOOKUP($A20,'[1]INPUT_ASSUMPTIONS CALC'!$A$13:$CK$1019,F$7,FALSE),IF($F$5="Q3",VLOOKUP($A20,'[1]INPUT_ASSUMPTIONS CALC'!$A$13:$CK$1019,F$7,FALSE),IF($F$5="Q4",VLOOKUP($A20,'[1]INPUT_ASSUMPTIONS CALC'!$A$13:$CK$1019,F$7,FALSE),IF($F$5="Year",VLOOKUP($A20,'[1]INPUT_ASSUMPTIONS CALC'!$A$13:$CK$1019,F$7,FALSE),0)))))</f>
        <v>395525</v>
      </c>
      <c r="G20" s="137">
        <f>SUMIF('[1]INPUT_ASSUMPTIONS CALC'!A:A,'[1]Summary calculation'!A20,'[1]INPUT_ASSUMPTIONS CALC'!BU:BU)</f>
        <v>1</v>
      </c>
      <c r="H20" s="138">
        <f>IF($F$5="Year",F20*G20*'[1]INPUT_ASSUMPTIONS CALC'!$S$7,F20*G20)</f>
        <v>395525</v>
      </c>
      <c r="I20" s="138">
        <f>H20*VLOOKUP($A20,'[1]INPUT_ASSUMPTIONS CALC'!$A$13:$CK$1019,H$6,FALSE)*SUMIF('[1]INPUT_ASSUMPTIONS CALC'!$CL$15:$CL$17,'[1]Summary calculation'!E20,'[1]INPUT_ASSUMPTIONS CALC'!$CM$15:$CM$17)</f>
        <v>316420</v>
      </c>
      <c r="J20" s="139">
        <f>$I20*VLOOKUP($A20,'[1]INPUT_ASSUMPTIONS CALC'!$A$13:$CK$1019,I$6,FALSE)*VLOOKUP($A20,'[1]INPUT_ASSUMPTIONS CALC'!$A$13:$CK$1019,J$7,FALSE)</f>
        <v>291897.45</v>
      </c>
      <c r="K20" s="139">
        <f>$I20*VLOOKUP($A20,'[1]INPUT_ASSUMPTIONS CALC'!$A$13:$CK$1019,I$6,FALSE)*VLOOKUP($A20,'[1]INPUT_ASSUMPTIONS CALC'!$A$13:$CK$1019,K$7,FALSE)</f>
        <v>162165.25</v>
      </c>
      <c r="L20" s="139">
        <f>$I20*VLOOKUP($A20,'[1]INPUT_ASSUMPTIONS CALC'!$A$13:$CK$1019,I$6,FALSE)*VLOOKUP($A20,'[1]INPUT_ASSUMPTIONS CALC'!$A$13:$CK$1019,L$7,FALSE)</f>
        <v>162165.25</v>
      </c>
      <c r="M20" s="139">
        <f>$I20*VLOOKUP($A20,'[1]INPUT_ASSUMPTIONS CALC'!$A$13:$CK$1019,I$6,FALSE)*VLOOKUP($A20,'[1]INPUT_ASSUMPTIONS CALC'!$A$13:$CK$1019,M$7,FALSE)</f>
        <v>32433.050000000028</v>
      </c>
      <c r="N20" s="140">
        <f t="shared" si="3"/>
        <v>648661</v>
      </c>
      <c r="O20" s="141">
        <f>H20*VLOOKUP($A20,'[1]INPUT_ASSUMPTIONS CALC'!$A$13:$CK$1019,H$6,FALSE)*SUMIF('[1]INPUT_ASSUMPTIONS CALC'!$CQ$15:$CQ$17,'[1]Summary calculation'!E20,'[1]INPUT_ASSUMPTIONS CALC'!$CR$15:$CR$17)</f>
        <v>79105</v>
      </c>
      <c r="P20" s="141">
        <f>H20*VLOOKUP($A20,'[1]INPUT_ASSUMPTIONS CALC'!$A$13:$CK$1019,H$6,FALSE)*SUMIF('[1]INPUT_ASSUMPTIONS CALC'!$CV$15:$CV$31,'[1]Summary calculation'!E20,'[1]INPUT_ASSUMPTIONS CALC'!$CW$15:$CW$31)</f>
        <v>0</v>
      </c>
      <c r="Q20" s="141">
        <f>O20*VLOOKUP($A20,'[1]INPUT_ASSUMPTIONS CALC'!$A$13:$CK$1019,Q$7,FALSE)</f>
        <v>79105</v>
      </c>
      <c r="R20" s="141">
        <f>P20*VLOOKUP($A20,'[1]INPUT_ASSUMPTIONS CALC'!$A$13:$CK$1019,R$7,FALSE)</f>
        <v>0</v>
      </c>
      <c r="S20" s="140">
        <f t="shared" si="1"/>
        <v>79105</v>
      </c>
      <c r="T20" s="142">
        <f t="shared" si="2"/>
        <v>727766</v>
      </c>
      <c r="U20" s="61"/>
    </row>
    <row r="21" spans="1:21" x14ac:dyDescent="0.35">
      <c r="A21" s="125" t="str">
        <f t="shared" si="0"/>
        <v>13Q2</v>
      </c>
      <c r="B21" s="135">
        <v>13</v>
      </c>
      <c r="C21" s="61" t="str">
        <f>INDEX('[1]INPUT_ASSUMPTIONS CALC'!D:D,MATCH(A21,'[1]INPUT_ASSUMPTIONS CALC'!A:A,0))</f>
        <v>Balanesku Irina</v>
      </c>
      <c r="D21" s="61" t="str">
        <f>INDEX('[1]INPUT_ASSUMPTIONS CALC'!I:I,MATCH(A21,'[1]INPUT_ASSUMPTIONS CALC'!A:A,0))</f>
        <v>Line 2 (big cities)</v>
      </c>
      <c r="E21" s="61" t="str">
        <f>INDEX('[1]INPUT_ASSUMPTIONS CALC'!E:E,MATCH(A21,'[1]INPUT_ASSUMPTIONS CALC'!A:A,0))</f>
        <v>Medical Representative</v>
      </c>
      <c r="F21" s="136">
        <f>IF($F$5="Q1",VLOOKUP($A21,'[1]INPUT_ASSUMPTIONS CALC'!$A$13:$CK$1019,F$7,FALSE),IF($F$5="Q2",VLOOKUP($A21,'[1]INPUT_ASSUMPTIONS CALC'!$A$13:$CK$1019,F$7,FALSE),IF($F$5="Q3",VLOOKUP($A21,'[1]INPUT_ASSUMPTIONS CALC'!$A$13:$CK$1019,F$7,FALSE),IF($F$5="Q4",VLOOKUP($A21,'[1]INPUT_ASSUMPTIONS CALC'!$A$13:$CK$1019,F$7,FALSE),IF($F$5="Year",VLOOKUP($A21,'[1]INPUT_ASSUMPTIONS CALC'!$A$13:$CK$1019,F$7,FALSE),0)))))</f>
        <v>395525</v>
      </c>
      <c r="G21" s="137">
        <f>SUMIF('[1]INPUT_ASSUMPTIONS CALC'!A:A,'[1]Summary calculation'!A21,'[1]INPUT_ASSUMPTIONS CALC'!BU:BU)</f>
        <v>1</v>
      </c>
      <c r="H21" s="138">
        <f>IF($F$5="Year",F21*G21*'[1]INPUT_ASSUMPTIONS CALC'!$S$7,F21*G21)</f>
        <v>395525</v>
      </c>
      <c r="I21" s="138">
        <f>H21*VLOOKUP($A21,'[1]INPUT_ASSUMPTIONS CALC'!$A$13:$CK$1019,H$6,FALSE)*SUMIF('[1]INPUT_ASSUMPTIONS CALC'!$CL$15:$CL$17,'[1]Summary calculation'!E21,'[1]INPUT_ASSUMPTIONS CALC'!$CM$15:$CM$17)</f>
        <v>316420</v>
      </c>
      <c r="J21" s="139">
        <f>$I21*VLOOKUP($A21,'[1]INPUT_ASSUMPTIONS CALC'!$A$13:$CK$1019,I$6,FALSE)*VLOOKUP($A21,'[1]INPUT_ASSUMPTIONS CALC'!$A$13:$CK$1019,J$7,FALSE)</f>
        <v>30376.320000000003</v>
      </c>
      <c r="K21" s="139">
        <f>$I21*VLOOKUP($A21,'[1]INPUT_ASSUMPTIONS CALC'!$A$13:$CK$1019,I$6,FALSE)*VLOOKUP($A21,'[1]INPUT_ASSUMPTIONS CALC'!$A$13:$CK$1019,K$7,FALSE)</f>
        <v>91128.960000000006</v>
      </c>
      <c r="L21" s="139">
        <f>$I21*VLOOKUP($A21,'[1]INPUT_ASSUMPTIONS CALC'!$A$13:$CK$1019,I$6,FALSE)*VLOOKUP($A21,'[1]INPUT_ASSUMPTIONS CALC'!$A$13:$CK$1019,L$7,FALSE)</f>
        <v>91128.960000000006</v>
      </c>
      <c r="M21" s="139">
        <f>$I21*VLOOKUP($A21,'[1]INPUT_ASSUMPTIONS CALC'!$A$13:$CK$1019,I$6,FALSE)*VLOOKUP($A21,'[1]INPUT_ASSUMPTIONS CALC'!$A$13:$CK$1019,M$7,FALSE)</f>
        <v>91128.960000000036</v>
      </c>
      <c r="N21" s="140">
        <f t="shared" si="3"/>
        <v>303763.20000000007</v>
      </c>
      <c r="O21" s="141">
        <f>H21*VLOOKUP($A21,'[1]INPUT_ASSUMPTIONS CALC'!$A$13:$CK$1019,H$6,FALSE)*SUMIF('[1]INPUT_ASSUMPTIONS CALC'!$CQ$15:$CQ$17,'[1]Summary calculation'!E21,'[1]INPUT_ASSUMPTIONS CALC'!$CR$15:$CR$17)</f>
        <v>79105</v>
      </c>
      <c r="P21" s="141">
        <f>H21*VLOOKUP($A21,'[1]INPUT_ASSUMPTIONS CALC'!$A$13:$CK$1019,H$6,FALSE)*SUMIF('[1]INPUT_ASSUMPTIONS CALC'!$CV$15:$CV$31,'[1]Summary calculation'!E21,'[1]INPUT_ASSUMPTIONS CALC'!$CW$15:$CW$31)</f>
        <v>0</v>
      </c>
      <c r="Q21" s="141">
        <f>O21*VLOOKUP($A21,'[1]INPUT_ASSUMPTIONS CALC'!$A$13:$CK$1019,Q$7,FALSE)</f>
        <v>79105</v>
      </c>
      <c r="R21" s="141">
        <f>P21*VLOOKUP($A21,'[1]INPUT_ASSUMPTIONS CALC'!$A$13:$CK$1019,R$7,FALSE)</f>
        <v>0</v>
      </c>
      <c r="S21" s="140">
        <f t="shared" si="1"/>
        <v>79105</v>
      </c>
      <c r="T21" s="142">
        <f t="shared" si="2"/>
        <v>382868</v>
      </c>
      <c r="U21" s="61"/>
    </row>
    <row r="22" spans="1:21" x14ac:dyDescent="0.35">
      <c r="A22" s="125" t="str">
        <f t="shared" si="0"/>
        <v>14Q2</v>
      </c>
      <c r="B22" s="135">
        <v>14</v>
      </c>
      <c r="C22" s="61" t="str">
        <f>INDEX('[1]INPUT_ASSUMPTIONS CALC'!D:D,MATCH(A22,'[1]INPUT_ASSUMPTIONS CALC'!A:A,0))</f>
        <v>Balmagambetova Zamza</v>
      </c>
      <c r="D22" s="61" t="str">
        <f>INDEX('[1]INPUT_ASSUMPTIONS CALC'!I:I,MATCH(A22,'[1]INPUT_ASSUMPTIONS CALC'!A:A,0))</f>
        <v>Line 3 (big cities)</v>
      </c>
      <c r="E22" s="61" t="str">
        <f>INDEX('[1]INPUT_ASSUMPTIONS CALC'!E:E,MATCH(A22,'[1]INPUT_ASSUMPTIONS CALC'!A:A,0))</f>
        <v>Medical Representative</v>
      </c>
      <c r="F22" s="136">
        <f>IF($F$5="Q1",VLOOKUP($A22,'[1]INPUT_ASSUMPTIONS CALC'!$A$13:$CK$1019,F$7,FALSE),IF($F$5="Q2",VLOOKUP($A22,'[1]INPUT_ASSUMPTIONS CALC'!$A$13:$CK$1019,F$7,FALSE),IF($F$5="Q3",VLOOKUP($A22,'[1]INPUT_ASSUMPTIONS CALC'!$A$13:$CK$1019,F$7,FALSE),IF($F$5="Q4",VLOOKUP($A22,'[1]INPUT_ASSUMPTIONS CALC'!$A$13:$CK$1019,F$7,FALSE),IF($F$5="Year",VLOOKUP($A22,'[1]INPUT_ASSUMPTIONS CALC'!$A$13:$CK$1019,F$7,FALSE),0)))))</f>
        <v>395525</v>
      </c>
      <c r="G22" s="137">
        <f>SUMIF('[1]INPUT_ASSUMPTIONS CALC'!A:A,'[1]Summary calculation'!A22,'[1]INPUT_ASSUMPTIONS CALC'!BU:BU)</f>
        <v>1</v>
      </c>
      <c r="H22" s="138">
        <f>IF($F$5="Year",F22*G22*'[1]INPUT_ASSUMPTIONS CALC'!$S$7,F22*G22)</f>
        <v>395525</v>
      </c>
      <c r="I22" s="138">
        <f>H22*VLOOKUP($A22,'[1]INPUT_ASSUMPTIONS CALC'!$A$13:$CK$1019,H$6,FALSE)*SUMIF('[1]INPUT_ASSUMPTIONS CALC'!$CL$15:$CL$17,'[1]Summary calculation'!E22,'[1]INPUT_ASSUMPTIONS CALC'!$CM$15:$CM$17)</f>
        <v>316420</v>
      </c>
      <c r="J22" s="139">
        <f>$I22*VLOOKUP($A22,'[1]INPUT_ASSUMPTIONS CALC'!$A$13:$CK$1019,I$6,FALSE)*VLOOKUP($A22,'[1]INPUT_ASSUMPTIONS CALC'!$A$13:$CK$1019,J$7,FALSE)</f>
        <v>116758.98</v>
      </c>
      <c r="K22" s="139">
        <f>$I22*VLOOKUP($A22,'[1]INPUT_ASSUMPTIONS CALC'!$A$13:$CK$1019,I$6,FALSE)*VLOOKUP($A22,'[1]INPUT_ASSUMPTIONS CALC'!$A$13:$CK$1019,K$7,FALSE)</f>
        <v>64866.1</v>
      </c>
      <c r="L22" s="139">
        <f>$I22*VLOOKUP($A22,'[1]INPUT_ASSUMPTIONS CALC'!$A$13:$CK$1019,I$6,FALSE)*VLOOKUP($A22,'[1]INPUT_ASSUMPTIONS CALC'!$A$13:$CK$1019,L$7,FALSE)</f>
        <v>64866.1</v>
      </c>
      <c r="M22" s="139">
        <f>$I22*VLOOKUP($A22,'[1]INPUT_ASSUMPTIONS CALC'!$A$13:$CK$1019,I$6,FALSE)*VLOOKUP($A22,'[1]INPUT_ASSUMPTIONS CALC'!$A$13:$CK$1019,M$7,FALSE)</f>
        <v>12973.220000000012</v>
      </c>
      <c r="N22" s="140">
        <f t="shared" si="3"/>
        <v>259464.4</v>
      </c>
      <c r="O22" s="141">
        <f>H22*VLOOKUP($A22,'[1]INPUT_ASSUMPTIONS CALC'!$A$13:$CK$1019,H$6,FALSE)*SUMIF('[1]INPUT_ASSUMPTIONS CALC'!$CQ$15:$CQ$17,'[1]Summary calculation'!E22,'[1]INPUT_ASSUMPTIONS CALC'!$CR$15:$CR$17)</f>
        <v>79105</v>
      </c>
      <c r="P22" s="141">
        <f>H22*VLOOKUP($A22,'[1]INPUT_ASSUMPTIONS CALC'!$A$13:$CK$1019,H$6,FALSE)*SUMIF('[1]INPUT_ASSUMPTIONS CALC'!$CV$15:$CV$31,'[1]Summary calculation'!E22,'[1]INPUT_ASSUMPTIONS CALC'!$CW$15:$CW$31)</f>
        <v>0</v>
      </c>
      <c r="Q22" s="141">
        <f>O22*VLOOKUP($A22,'[1]INPUT_ASSUMPTIONS CALC'!$A$13:$CK$1019,Q$7,FALSE)</f>
        <v>79105</v>
      </c>
      <c r="R22" s="141">
        <f>P22*VLOOKUP($A22,'[1]INPUT_ASSUMPTIONS CALC'!$A$13:$CK$1019,R$7,FALSE)</f>
        <v>0</v>
      </c>
      <c r="S22" s="140">
        <f t="shared" si="1"/>
        <v>79105</v>
      </c>
      <c r="T22" s="142">
        <f t="shared" si="2"/>
        <v>338569</v>
      </c>
      <c r="U22" s="61"/>
    </row>
    <row r="23" spans="1:21" x14ac:dyDescent="0.35">
      <c r="A23" s="125" t="str">
        <f t="shared" si="0"/>
        <v>15Q2</v>
      </c>
      <c r="B23" s="135">
        <v>15</v>
      </c>
      <c r="C23" s="61" t="str">
        <f>INDEX('[1]INPUT_ASSUMPTIONS CALC'!D:D,MATCH(A23,'[1]INPUT_ASSUMPTIONS CALC'!A:A,0))</f>
        <v>Bayzakova Gulzhan</v>
      </c>
      <c r="D23" s="61" t="str">
        <f>INDEX('[1]INPUT_ASSUMPTIONS CALC'!I:I,MATCH(A23,'[1]INPUT_ASSUMPTIONS CALC'!A:A,0))</f>
        <v>Line 1</v>
      </c>
      <c r="E23" s="61" t="str">
        <f>INDEX('[1]INPUT_ASSUMPTIONS CALC'!E:E,MATCH(A23,'[1]INPUT_ASSUMPTIONS CALC'!A:A,0))</f>
        <v>Medical Representative</v>
      </c>
      <c r="F23" s="136">
        <f>IF($F$5="Q1",VLOOKUP($A23,'[1]INPUT_ASSUMPTIONS CALC'!$A$13:$CK$1019,F$7,FALSE),IF($F$5="Q2",VLOOKUP($A23,'[1]INPUT_ASSUMPTIONS CALC'!$A$13:$CK$1019,F$7,FALSE),IF($F$5="Q3",VLOOKUP($A23,'[1]INPUT_ASSUMPTIONS CALC'!$A$13:$CK$1019,F$7,FALSE),IF($F$5="Q4",VLOOKUP($A23,'[1]INPUT_ASSUMPTIONS CALC'!$A$13:$CK$1019,F$7,FALSE),IF($F$5="Year",VLOOKUP($A23,'[1]INPUT_ASSUMPTIONS CALC'!$A$13:$CK$1019,F$7,FALSE),0)))))</f>
        <v>395525</v>
      </c>
      <c r="G23" s="137">
        <f>SUMIF('[1]INPUT_ASSUMPTIONS CALC'!A:A,'[1]Summary calculation'!A23,'[1]INPUT_ASSUMPTIONS CALC'!BU:BU)</f>
        <v>1</v>
      </c>
      <c r="H23" s="138">
        <f>IF($F$5="Year",F23*G23*'[1]INPUT_ASSUMPTIONS CALC'!$S$7,F23*G23)</f>
        <v>395525</v>
      </c>
      <c r="I23" s="138">
        <f>H23*VLOOKUP($A23,'[1]INPUT_ASSUMPTIONS CALC'!$A$13:$CK$1019,H$6,FALSE)*SUMIF('[1]INPUT_ASSUMPTIONS CALC'!$CL$15:$CL$17,'[1]Summary calculation'!E23,'[1]INPUT_ASSUMPTIONS CALC'!$CM$15:$CM$17)</f>
        <v>316420</v>
      </c>
      <c r="J23" s="139">
        <f>$I23*VLOOKUP($A23,'[1]INPUT_ASSUMPTIONS CALC'!$A$13:$CK$1019,I$6,FALSE)*VLOOKUP($A23,'[1]INPUT_ASSUMPTIONS CALC'!$A$13:$CK$1019,J$7,FALSE)</f>
        <v>237315</v>
      </c>
      <c r="K23" s="139">
        <f>$I23*VLOOKUP($A23,'[1]INPUT_ASSUMPTIONS CALC'!$A$13:$CK$1019,I$6,FALSE)*VLOOKUP($A23,'[1]INPUT_ASSUMPTIONS CALC'!$A$13:$CK$1019,K$7,FALSE)</f>
        <v>166120.5</v>
      </c>
      <c r="L23" s="139">
        <f>$I23*VLOOKUP($A23,'[1]INPUT_ASSUMPTIONS CALC'!$A$13:$CK$1019,I$6,FALSE)*VLOOKUP($A23,'[1]INPUT_ASSUMPTIONS CALC'!$A$13:$CK$1019,L$7,FALSE)</f>
        <v>47463</v>
      </c>
      <c r="M23" s="139">
        <f>$I23*VLOOKUP($A23,'[1]INPUT_ASSUMPTIONS CALC'!$A$13:$CK$1019,I$6,FALSE)*VLOOKUP($A23,'[1]INPUT_ASSUMPTIONS CALC'!$A$13:$CK$1019,M$7,FALSE)</f>
        <v>23731.500000000007</v>
      </c>
      <c r="N23" s="140">
        <f t="shared" si="3"/>
        <v>474630</v>
      </c>
      <c r="O23" s="141">
        <f>H23*VLOOKUP($A23,'[1]INPUT_ASSUMPTIONS CALC'!$A$13:$CK$1019,H$6,FALSE)*SUMIF('[1]INPUT_ASSUMPTIONS CALC'!$CQ$15:$CQ$17,'[1]Summary calculation'!E23,'[1]INPUT_ASSUMPTIONS CALC'!$CR$15:$CR$17)</f>
        <v>79105</v>
      </c>
      <c r="P23" s="141">
        <f>H23*VLOOKUP($A23,'[1]INPUT_ASSUMPTIONS CALC'!$A$13:$CK$1019,H$6,FALSE)*SUMIF('[1]INPUT_ASSUMPTIONS CALC'!$CV$15:$CV$31,'[1]Summary calculation'!E23,'[1]INPUT_ASSUMPTIONS CALC'!$CW$15:$CW$31)</f>
        <v>0</v>
      </c>
      <c r="Q23" s="141">
        <f>O23*VLOOKUP($A23,'[1]INPUT_ASSUMPTIONS CALC'!$A$13:$CK$1019,Q$7,FALSE)</f>
        <v>39552.5</v>
      </c>
      <c r="R23" s="141">
        <f>P23*VLOOKUP($A23,'[1]INPUT_ASSUMPTIONS CALC'!$A$13:$CK$1019,R$7,FALSE)</f>
        <v>0</v>
      </c>
      <c r="S23" s="140">
        <f t="shared" si="1"/>
        <v>39552.5</v>
      </c>
      <c r="T23" s="142">
        <f t="shared" si="2"/>
        <v>514183</v>
      </c>
      <c r="U23" s="61"/>
    </row>
    <row r="24" spans="1:21" x14ac:dyDescent="0.35">
      <c r="A24" s="125" t="str">
        <f t="shared" si="0"/>
        <v>16Q2</v>
      </c>
      <c r="B24" s="135">
        <v>16</v>
      </c>
      <c r="C24" s="61" t="str">
        <f>INDEX('[1]INPUT_ASSUMPTIONS CALC'!D:D,MATCH(A24,'[1]INPUT_ASSUMPTIONS CALC'!A:A,0))</f>
        <v>Bekbauova Saltanat</v>
      </c>
      <c r="D24" s="61" t="str">
        <f>INDEX('[1]INPUT_ASSUMPTIONS CALC'!I:I,MATCH(A24,'[1]INPUT_ASSUMPTIONS CALC'!A:A,0))</f>
        <v>Line 1</v>
      </c>
      <c r="E24" s="61" t="str">
        <f>INDEX('[1]INPUT_ASSUMPTIONS CALC'!E:E,MATCH(A24,'[1]INPUT_ASSUMPTIONS CALC'!A:A,0))</f>
        <v>Medical Representative</v>
      </c>
      <c r="F24" s="136">
        <f>IF($F$5="Q1",VLOOKUP($A24,'[1]INPUT_ASSUMPTIONS CALC'!$A$13:$CK$1019,F$7,FALSE),IF($F$5="Q2",VLOOKUP($A24,'[1]INPUT_ASSUMPTIONS CALC'!$A$13:$CK$1019,F$7,FALSE),IF($F$5="Q3",VLOOKUP($A24,'[1]INPUT_ASSUMPTIONS CALC'!$A$13:$CK$1019,F$7,FALSE),IF($F$5="Q4",VLOOKUP($A24,'[1]INPUT_ASSUMPTIONS CALC'!$A$13:$CK$1019,F$7,FALSE),IF($F$5="Year",VLOOKUP($A24,'[1]INPUT_ASSUMPTIONS CALC'!$A$13:$CK$1019,F$7,FALSE),0)))))</f>
        <v>395525</v>
      </c>
      <c r="G24" s="137">
        <f>SUMIF('[1]INPUT_ASSUMPTIONS CALC'!A:A,'[1]Summary calculation'!A24,'[1]INPUT_ASSUMPTIONS CALC'!BU:BU)</f>
        <v>1</v>
      </c>
      <c r="H24" s="138">
        <f>IF($F$5="Year",F24*G24*'[1]INPUT_ASSUMPTIONS CALC'!$S$7,F24*G24)</f>
        <v>395525</v>
      </c>
      <c r="I24" s="138">
        <f>H24*VLOOKUP($A24,'[1]INPUT_ASSUMPTIONS CALC'!$A$13:$CK$1019,H$6,FALSE)*SUMIF('[1]INPUT_ASSUMPTIONS CALC'!$CL$15:$CL$17,'[1]Summary calculation'!E24,'[1]INPUT_ASSUMPTIONS CALC'!$CM$15:$CM$17)</f>
        <v>316420</v>
      </c>
      <c r="J24" s="139">
        <f>$I24*VLOOKUP($A24,'[1]INPUT_ASSUMPTIONS CALC'!$A$13:$CK$1019,I$6,FALSE)*VLOOKUP($A24,'[1]INPUT_ASSUMPTIONS CALC'!$A$13:$CK$1019,J$7,FALSE)</f>
        <v>268957</v>
      </c>
      <c r="K24" s="139">
        <f>$I24*VLOOKUP($A24,'[1]INPUT_ASSUMPTIONS CALC'!$A$13:$CK$1019,I$6,FALSE)*VLOOKUP($A24,'[1]INPUT_ASSUMPTIONS CALC'!$A$13:$CK$1019,K$7,FALSE)</f>
        <v>188269.9</v>
      </c>
      <c r="L24" s="139">
        <f>$I24*VLOOKUP($A24,'[1]INPUT_ASSUMPTIONS CALC'!$A$13:$CK$1019,I$6,FALSE)*VLOOKUP($A24,'[1]INPUT_ASSUMPTIONS CALC'!$A$13:$CK$1019,L$7,FALSE)</f>
        <v>53791.4</v>
      </c>
      <c r="M24" s="139">
        <f>$I24*VLOOKUP($A24,'[1]INPUT_ASSUMPTIONS CALC'!$A$13:$CK$1019,I$6,FALSE)*VLOOKUP($A24,'[1]INPUT_ASSUMPTIONS CALC'!$A$13:$CK$1019,M$7,FALSE)</f>
        <v>26895.700000000008</v>
      </c>
      <c r="N24" s="140">
        <f t="shared" si="3"/>
        <v>537914</v>
      </c>
      <c r="O24" s="141">
        <f>H24*VLOOKUP($A24,'[1]INPUT_ASSUMPTIONS CALC'!$A$13:$CK$1019,H$6,FALSE)*SUMIF('[1]INPUT_ASSUMPTIONS CALC'!$CQ$15:$CQ$17,'[1]Summary calculation'!E24,'[1]INPUT_ASSUMPTIONS CALC'!$CR$15:$CR$17)</f>
        <v>79105</v>
      </c>
      <c r="P24" s="141">
        <f>H24*VLOOKUP($A24,'[1]INPUT_ASSUMPTIONS CALC'!$A$13:$CK$1019,H$6,FALSE)*SUMIF('[1]INPUT_ASSUMPTIONS CALC'!$CV$15:$CV$31,'[1]Summary calculation'!E24,'[1]INPUT_ASSUMPTIONS CALC'!$CW$15:$CW$31)</f>
        <v>0</v>
      </c>
      <c r="Q24" s="141">
        <f>O24*VLOOKUP($A24,'[1]INPUT_ASSUMPTIONS CALC'!$A$13:$CK$1019,Q$7,FALSE)</f>
        <v>79105</v>
      </c>
      <c r="R24" s="141">
        <f>P24*VLOOKUP($A24,'[1]INPUT_ASSUMPTIONS CALC'!$A$13:$CK$1019,R$7,FALSE)</f>
        <v>0</v>
      </c>
      <c r="S24" s="140">
        <f t="shared" si="1"/>
        <v>79105</v>
      </c>
      <c r="T24" s="142">
        <f t="shared" si="2"/>
        <v>617019</v>
      </c>
      <c r="U24" s="61"/>
    </row>
    <row r="25" spans="1:21" x14ac:dyDescent="0.35">
      <c r="A25" s="125" t="str">
        <f t="shared" si="0"/>
        <v>17Q2</v>
      </c>
      <c r="B25" s="135">
        <v>17</v>
      </c>
      <c r="C25" s="61" t="str">
        <f>INDEX('[1]INPUT_ASSUMPTIONS CALC'!D:D,MATCH(A25,'[1]INPUT_ASSUMPTIONS CALC'!A:A,0))</f>
        <v>Boyarova Alfiya</v>
      </c>
      <c r="D25" s="61" t="str">
        <f>INDEX('[1]INPUT_ASSUMPTIONS CALC'!I:I,MATCH(A25,'[1]INPUT_ASSUMPTIONS CALC'!A:A,0))</f>
        <v>Line 2</v>
      </c>
      <c r="E25" s="61" t="str">
        <f>INDEX('[1]INPUT_ASSUMPTIONS CALC'!E:E,MATCH(A25,'[1]INPUT_ASSUMPTIONS CALC'!A:A,0))</f>
        <v>Medical Representative</v>
      </c>
      <c r="F25" s="136">
        <f>IF($F$5="Q1",VLOOKUP($A25,'[1]INPUT_ASSUMPTIONS CALC'!$A$13:$CK$1019,F$7,FALSE),IF($F$5="Q2",VLOOKUP($A25,'[1]INPUT_ASSUMPTIONS CALC'!$A$13:$CK$1019,F$7,FALSE),IF($F$5="Q3",VLOOKUP($A25,'[1]INPUT_ASSUMPTIONS CALC'!$A$13:$CK$1019,F$7,FALSE),IF($F$5="Q4",VLOOKUP($A25,'[1]INPUT_ASSUMPTIONS CALC'!$A$13:$CK$1019,F$7,FALSE),IF($F$5="Year",VLOOKUP($A25,'[1]INPUT_ASSUMPTIONS CALC'!$A$13:$CK$1019,F$7,FALSE),0)))))</f>
        <v>395525</v>
      </c>
      <c r="G25" s="137">
        <f>SUMIF('[1]INPUT_ASSUMPTIONS CALC'!A:A,'[1]Summary calculation'!A25,'[1]INPUT_ASSUMPTIONS CALC'!BU:BU)</f>
        <v>1</v>
      </c>
      <c r="H25" s="138">
        <f>IF($F$5="Year",F25*G25*'[1]INPUT_ASSUMPTIONS CALC'!$S$7,F25*G25)</f>
        <v>395525</v>
      </c>
      <c r="I25" s="138">
        <f>H25*VLOOKUP($A25,'[1]INPUT_ASSUMPTIONS CALC'!$A$13:$CK$1019,H$6,FALSE)*SUMIF('[1]INPUT_ASSUMPTIONS CALC'!$CL$15:$CL$17,'[1]Summary calculation'!E25,'[1]INPUT_ASSUMPTIONS CALC'!$CM$15:$CM$17)</f>
        <v>0</v>
      </c>
      <c r="J25" s="139">
        <f>$I25*VLOOKUP($A25,'[1]INPUT_ASSUMPTIONS CALC'!$A$13:$CK$1019,I$6,FALSE)*VLOOKUP($A25,'[1]INPUT_ASSUMPTIONS CALC'!$A$13:$CK$1019,J$7,FALSE)</f>
        <v>0</v>
      </c>
      <c r="K25" s="139">
        <f>$I25*VLOOKUP($A25,'[1]INPUT_ASSUMPTIONS CALC'!$A$13:$CK$1019,I$6,FALSE)*VLOOKUP($A25,'[1]INPUT_ASSUMPTIONS CALC'!$A$13:$CK$1019,K$7,FALSE)</f>
        <v>0</v>
      </c>
      <c r="L25" s="139">
        <f>$I25*VLOOKUP($A25,'[1]INPUT_ASSUMPTIONS CALC'!$A$13:$CK$1019,I$6,FALSE)*VLOOKUP($A25,'[1]INPUT_ASSUMPTIONS CALC'!$A$13:$CK$1019,L$7,FALSE)</f>
        <v>0</v>
      </c>
      <c r="M25" s="139">
        <f>$I25*VLOOKUP($A25,'[1]INPUT_ASSUMPTIONS CALC'!$A$13:$CK$1019,I$6,FALSE)*VLOOKUP($A25,'[1]INPUT_ASSUMPTIONS CALC'!$A$13:$CK$1019,M$7,FALSE)</f>
        <v>0</v>
      </c>
      <c r="N25" s="140">
        <f t="shared" si="3"/>
        <v>0</v>
      </c>
      <c r="O25" s="141">
        <f>H25*VLOOKUP($A25,'[1]INPUT_ASSUMPTIONS CALC'!$A$13:$CK$1019,H$6,FALSE)*SUMIF('[1]INPUT_ASSUMPTIONS CALC'!$CQ$15:$CQ$17,'[1]Summary calculation'!E25,'[1]INPUT_ASSUMPTIONS CALC'!$CR$15:$CR$17)</f>
        <v>0</v>
      </c>
      <c r="P25" s="141">
        <f>H25*VLOOKUP($A25,'[1]INPUT_ASSUMPTIONS CALC'!$A$13:$CK$1019,H$6,FALSE)*SUMIF('[1]INPUT_ASSUMPTIONS CALC'!$CV$15:$CV$31,'[1]Summary calculation'!E25,'[1]INPUT_ASSUMPTIONS CALC'!$CW$15:$CW$31)</f>
        <v>0</v>
      </c>
      <c r="Q25" s="141">
        <f>O25*VLOOKUP($A25,'[1]INPUT_ASSUMPTIONS CALC'!$A$13:$CK$1019,Q$7,FALSE)</f>
        <v>0</v>
      </c>
      <c r="R25" s="141">
        <f>P25*VLOOKUP($A25,'[1]INPUT_ASSUMPTIONS CALC'!$A$13:$CK$1019,R$7,FALSE)</f>
        <v>0</v>
      </c>
      <c r="S25" s="140">
        <f t="shared" si="1"/>
        <v>0</v>
      </c>
      <c r="T25" s="142">
        <f t="shared" si="2"/>
        <v>0</v>
      </c>
      <c r="U25" s="61"/>
    </row>
    <row r="26" spans="1:21" x14ac:dyDescent="0.35">
      <c r="A26" s="125" t="str">
        <f t="shared" si="0"/>
        <v>18Q2</v>
      </c>
      <c r="B26" s="135">
        <v>18</v>
      </c>
      <c r="C26" s="61" t="str">
        <f>INDEX('[1]INPUT_ASSUMPTIONS CALC'!D:D,MATCH(A26,'[1]INPUT_ASSUMPTIONS CALC'!A:A,0))</f>
        <v>Brialinova Inkar</v>
      </c>
      <c r="D26" s="61" t="str">
        <f>INDEX('[1]INPUT_ASSUMPTIONS CALC'!I:I,MATCH(A26,'[1]INPUT_ASSUMPTIONS CALC'!A:A,0))</f>
        <v>Line 1</v>
      </c>
      <c r="E26" s="61" t="str">
        <f>INDEX('[1]INPUT_ASSUMPTIONS CALC'!E:E,MATCH(A26,'[1]INPUT_ASSUMPTIONS CALC'!A:A,0))</f>
        <v>Medical Representative</v>
      </c>
      <c r="F26" s="136">
        <f>IF($F$5="Q1",VLOOKUP($A26,'[1]INPUT_ASSUMPTIONS CALC'!$A$13:$CK$1019,F$7,FALSE),IF($F$5="Q2",VLOOKUP($A26,'[1]INPUT_ASSUMPTIONS CALC'!$A$13:$CK$1019,F$7,FALSE),IF($F$5="Q3",VLOOKUP($A26,'[1]INPUT_ASSUMPTIONS CALC'!$A$13:$CK$1019,F$7,FALSE),IF($F$5="Q4",VLOOKUP($A26,'[1]INPUT_ASSUMPTIONS CALC'!$A$13:$CK$1019,F$7,FALSE),IF($F$5="Year",VLOOKUP($A26,'[1]INPUT_ASSUMPTIONS CALC'!$A$13:$CK$1019,F$7,FALSE),0)))))</f>
        <v>395525</v>
      </c>
      <c r="G26" s="137">
        <f>SUMIF('[1]INPUT_ASSUMPTIONS CALC'!A:A,'[1]Summary calculation'!A26,'[1]INPUT_ASSUMPTIONS CALC'!BU:BU)</f>
        <v>1</v>
      </c>
      <c r="H26" s="138">
        <f>IF($F$5="Year",F26*G26*'[1]INPUT_ASSUMPTIONS CALC'!$S$7,F26*G26)</f>
        <v>395525</v>
      </c>
      <c r="I26" s="138">
        <f>H26*VLOOKUP($A26,'[1]INPUT_ASSUMPTIONS CALC'!$A$13:$CK$1019,H$6,FALSE)*SUMIF('[1]INPUT_ASSUMPTIONS CALC'!$CL$15:$CL$17,'[1]Summary calculation'!E26,'[1]INPUT_ASSUMPTIONS CALC'!$CM$15:$CM$17)</f>
        <v>0</v>
      </c>
      <c r="J26" s="139">
        <f>$I26*VLOOKUP($A26,'[1]INPUT_ASSUMPTIONS CALC'!$A$13:$CK$1019,I$6,FALSE)*VLOOKUP($A26,'[1]INPUT_ASSUMPTIONS CALC'!$A$13:$CK$1019,J$7,FALSE)</f>
        <v>0</v>
      </c>
      <c r="K26" s="139">
        <f>$I26*VLOOKUP($A26,'[1]INPUT_ASSUMPTIONS CALC'!$A$13:$CK$1019,I$6,FALSE)*VLOOKUP($A26,'[1]INPUT_ASSUMPTIONS CALC'!$A$13:$CK$1019,K$7,FALSE)</f>
        <v>0</v>
      </c>
      <c r="L26" s="139">
        <f>$I26*VLOOKUP($A26,'[1]INPUT_ASSUMPTIONS CALC'!$A$13:$CK$1019,I$6,FALSE)*VLOOKUP($A26,'[1]INPUT_ASSUMPTIONS CALC'!$A$13:$CK$1019,L$7,FALSE)</f>
        <v>0</v>
      </c>
      <c r="M26" s="139">
        <f>$I26*VLOOKUP($A26,'[1]INPUT_ASSUMPTIONS CALC'!$A$13:$CK$1019,I$6,FALSE)*VLOOKUP($A26,'[1]INPUT_ASSUMPTIONS CALC'!$A$13:$CK$1019,M$7,FALSE)</f>
        <v>0</v>
      </c>
      <c r="N26" s="140">
        <f t="shared" si="3"/>
        <v>0</v>
      </c>
      <c r="O26" s="141">
        <f>H26*VLOOKUP($A26,'[1]INPUT_ASSUMPTIONS CALC'!$A$13:$CK$1019,H$6,FALSE)*SUMIF('[1]INPUT_ASSUMPTIONS CALC'!$CQ$15:$CQ$17,'[1]Summary calculation'!E26,'[1]INPUT_ASSUMPTIONS CALC'!$CR$15:$CR$17)</f>
        <v>0</v>
      </c>
      <c r="P26" s="141">
        <f>H26*VLOOKUP($A26,'[1]INPUT_ASSUMPTIONS CALC'!$A$13:$CK$1019,H$6,FALSE)*SUMIF('[1]INPUT_ASSUMPTIONS CALC'!$CV$15:$CV$31,'[1]Summary calculation'!E26,'[1]INPUT_ASSUMPTIONS CALC'!$CW$15:$CW$31)</f>
        <v>0</v>
      </c>
      <c r="Q26" s="141">
        <f>O26*VLOOKUP($A26,'[1]INPUT_ASSUMPTIONS CALC'!$A$13:$CK$1019,Q$7,FALSE)</f>
        <v>0</v>
      </c>
      <c r="R26" s="141">
        <f>P26*VLOOKUP($A26,'[1]INPUT_ASSUMPTIONS CALC'!$A$13:$CK$1019,R$7,FALSE)</f>
        <v>0</v>
      </c>
      <c r="S26" s="140">
        <f t="shared" si="1"/>
        <v>0</v>
      </c>
      <c r="T26" s="142">
        <f t="shared" si="2"/>
        <v>0</v>
      </c>
      <c r="U26" s="61"/>
    </row>
    <row r="27" spans="1:21" x14ac:dyDescent="0.35">
      <c r="A27" s="125" t="str">
        <f t="shared" si="0"/>
        <v>19Q2</v>
      </c>
      <c r="B27" s="135">
        <v>19</v>
      </c>
      <c r="C27" s="61" t="str">
        <f>INDEX('[1]INPUT_ASSUMPTIONS CALC'!D:D,MATCH(A27,'[1]INPUT_ASSUMPTIONS CALC'!A:A,0))</f>
        <v>Donayeva Nazira</v>
      </c>
      <c r="D27" s="61" t="str">
        <f>INDEX('[1]INPUT_ASSUMPTIONS CALC'!I:I,MATCH(A27,'[1]INPUT_ASSUMPTIONS CALC'!A:A,0))</f>
        <v>Line 1</v>
      </c>
      <c r="E27" s="61" t="str">
        <f>INDEX('[1]INPUT_ASSUMPTIONS CALC'!E:E,MATCH(A27,'[1]INPUT_ASSUMPTIONS CALC'!A:A,0))</f>
        <v>Medical Representative</v>
      </c>
      <c r="F27" s="136">
        <f>IF($F$5="Q1",VLOOKUP($A27,'[1]INPUT_ASSUMPTIONS CALC'!$A$13:$CK$1019,F$7,FALSE),IF($F$5="Q2",VLOOKUP($A27,'[1]INPUT_ASSUMPTIONS CALC'!$A$13:$CK$1019,F$7,FALSE),IF($F$5="Q3",VLOOKUP($A27,'[1]INPUT_ASSUMPTIONS CALC'!$A$13:$CK$1019,F$7,FALSE),IF($F$5="Q4",VLOOKUP($A27,'[1]INPUT_ASSUMPTIONS CALC'!$A$13:$CK$1019,F$7,FALSE),IF($F$5="Year",VLOOKUP($A27,'[1]INPUT_ASSUMPTIONS CALC'!$A$13:$CK$1019,F$7,FALSE),0)))))</f>
        <v>395525</v>
      </c>
      <c r="G27" s="137">
        <f>SUMIF('[1]INPUT_ASSUMPTIONS CALC'!A:A,'[1]Summary calculation'!A27,'[1]INPUT_ASSUMPTIONS CALC'!BU:BU)</f>
        <v>1</v>
      </c>
      <c r="H27" s="138">
        <f>IF($F$5="Year",F27*G27*'[1]INPUT_ASSUMPTIONS CALC'!$S$7,F27*G27)</f>
        <v>395525</v>
      </c>
      <c r="I27" s="138">
        <f>H27*VLOOKUP($A27,'[1]INPUT_ASSUMPTIONS CALC'!$A$13:$CK$1019,H$6,FALSE)*SUMIF('[1]INPUT_ASSUMPTIONS CALC'!$CL$15:$CL$17,'[1]Summary calculation'!E27,'[1]INPUT_ASSUMPTIONS CALC'!$CM$15:$CM$17)</f>
        <v>316420</v>
      </c>
      <c r="J27" s="139">
        <f>$I27*VLOOKUP($A27,'[1]INPUT_ASSUMPTIONS CALC'!$A$13:$CK$1019,I$6,FALSE)*VLOOKUP($A27,'[1]INPUT_ASSUMPTIONS CALC'!$A$13:$CK$1019,J$7,FALSE)</f>
        <v>158210</v>
      </c>
      <c r="K27" s="139">
        <f>$I27*VLOOKUP($A27,'[1]INPUT_ASSUMPTIONS CALC'!$A$13:$CK$1019,I$6,FALSE)*VLOOKUP($A27,'[1]INPUT_ASSUMPTIONS CALC'!$A$13:$CK$1019,K$7,FALSE)</f>
        <v>110747</v>
      </c>
      <c r="L27" s="139">
        <f>$I27*VLOOKUP($A27,'[1]INPUT_ASSUMPTIONS CALC'!$A$13:$CK$1019,I$6,FALSE)*VLOOKUP($A27,'[1]INPUT_ASSUMPTIONS CALC'!$A$13:$CK$1019,L$7,FALSE)</f>
        <v>31642</v>
      </c>
      <c r="M27" s="139">
        <f>$I27*VLOOKUP($A27,'[1]INPUT_ASSUMPTIONS CALC'!$A$13:$CK$1019,I$6,FALSE)*VLOOKUP($A27,'[1]INPUT_ASSUMPTIONS CALC'!$A$13:$CK$1019,M$7,FALSE)</f>
        <v>15821.000000000005</v>
      </c>
      <c r="N27" s="140">
        <f t="shared" si="3"/>
        <v>316420</v>
      </c>
      <c r="O27" s="141">
        <f>H27*VLOOKUP($A27,'[1]INPUT_ASSUMPTIONS CALC'!$A$13:$CK$1019,H$6,FALSE)*SUMIF('[1]INPUT_ASSUMPTIONS CALC'!$CQ$15:$CQ$17,'[1]Summary calculation'!E27,'[1]INPUT_ASSUMPTIONS CALC'!$CR$15:$CR$17)</f>
        <v>79105</v>
      </c>
      <c r="P27" s="141">
        <f>H27*VLOOKUP($A27,'[1]INPUT_ASSUMPTIONS CALC'!$A$13:$CK$1019,H$6,FALSE)*SUMIF('[1]INPUT_ASSUMPTIONS CALC'!$CV$15:$CV$31,'[1]Summary calculation'!E27,'[1]INPUT_ASSUMPTIONS CALC'!$CW$15:$CW$31)</f>
        <v>0</v>
      </c>
      <c r="Q27" s="141">
        <f>O27*VLOOKUP($A27,'[1]INPUT_ASSUMPTIONS CALC'!$A$13:$CK$1019,Q$7,FALSE)</f>
        <v>79105</v>
      </c>
      <c r="R27" s="141">
        <f>P27*VLOOKUP($A27,'[1]INPUT_ASSUMPTIONS CALC'!$A$13:$CK$1019,R$7,FALSE)</f>
        <v>0</v>
      </c>
      <c r="S27" s="140">
        <f t="shared" si="1"/>
        <v>79105</v>
      </c>
      <c r="T27" s="142">
        <f t="shared" si="2"/>
        <v>395525</v>
      </c>
      <c r="U27" s="61"/>
    </row>
    <row r="28" spans="1:21" x14ac:dyDescent="0.35">
      <c r="A28" s="125" t="str">
        <f t="shared" si="0"/>
        <v>20Q2</v>
      </c>
      <c r="B28" s="135">
        <v>20</v>
      </c>
      <c r="C28" s="61" t="str">
        <f>INDEX('[1]INPUT_ASSUMPTIONS CALC'!D:D,MATCH(A28,'[1]INPUT_ASSUMPTIONS CALC'!A:A,0))</f>
        <v>Dratkov Grigoriy</v>
      </c>
      <c r="D28" s="61" t="str">
        <f>INDEX('[1]INPUT_ASSUMPTIONS CALC'!I:I,MATCH(A28,'[1]INPUT_ASSUMPTIONS CALC'!A:A,0))</f>
        <v>Pharma line</v>
      </c>
      <c r="E28" s="61" t="str">
        <f>INDEX('[1]INPUT_ASSUMPTIONS CALC'!E:E,MATCH(A28,'[1]INPUT_ASSUMPTIONS CALC'!A:A,0))</f>
        <v>Pharm Representative</v>
      </c>
      <c r="F28" s="136">
        <f>IF($F$5="Q1",VLOOKUP($A28,'[1]INPUT_ASSUMPTIONS CALC'!$A$13:$CK$1019,F$7,FALSE),IF($F$5="Q2",VLOOKUP($A28,'[1]INPUT_ASSUMPTIONS CALC'!$A$13:$CK$1019,F$7,FALSE),IF($F$5="Q3",VLOOKUP($A28,'[1]INPUT_ASSUMPTIONS CALC'!$A$13:$CK$1019,F$7,FALSE),IF($F$5="Q4",VLOOKUP($A28,'[1]INPUT_ASSUMPTIONS CALC'!$A$13:$CK$1019,F$7,FALSE),IF($F$5="Year",VLOOKUP($A28,'[1]INPUT_ASSUMPTIONS CALC'!$A$13:$CK$1019,F$7,FALSE),0)))))</f>
        <v>395525</v>
      </c>
      <c r="G28" s="137">
        <f>SUMIF('[1]INPUT_ASSUMPTIONS CALC'!A:A,'[1]Summary calculation'!A28,'[1]INPUT_ASSUMPTIONS CALC'!BU:BU)</f>
        <v>1</v>
      </c>
      <c r="H28" s="138">
        <f>IF($F$5="Year",F28*G28*'[1]INPUT_ASSUMPTIONS CALC'!$S$7,F28*G28)</f>
        <v>395525</v>
      </c>
      <c r="I28" s="138">
        <f>H28*VLOOKUP($A28,'[1]INPUT_ASSUMPTIONS CALC'!$A$13:$CK$1019,H$6,FALSE)*SUMIF('[1]INPUT_ASSUMPTIONS CALC'!$CL$15:$CL$17,'[1]Summary calculation'!E28,'[1]INPUT_ASSUMPTIONS CALC'!$CM$15:$CM$17)</f>
        <v>316420</v>
      </c>
      <c r="J28" s="139">
        <f>$I28*VLOOKUP($A28,'[1]INPUT_ASSUMPTIONS CALC'!$A$13:$CK$1019,I$6,FALSE)*VLOOKUP($A28,'[1]INPUT_ASSUMPTIONS CALC'!$A$13:$CK$1019,J$7,FALSE)</f>
        <v>227822.4</v>
      </c>
      <c r="K28" s="139">
        <f>$I28*VLOOKUP($A28,'[1]INPUT_ASSUMPTIONS CALC'!$A$13:$CK$1019,I$6,FALSE)*VLOOKUP($A28,'[1]INPUT_ASSUMPTIONS CALC'!$A$13:$CK$1019,K$7,FALSE)</f>
        <v>151881.60000000001</v>
      </c>
      <c r="L28" s="139">
        <f>$I28*VLOOKUP($A28,'[1]INPUT_ASSUMPTIONS CALC'!$A$13:$CK$1019,I$6,FALSE)*VLOOKUP($A28,'[1]INPUT_ASSUMPTIONS CALC'!$A$13:$CK$1019,L$7,FALSE)</f>
        <v>75940.800000000003</v>
      </c>
      <c r="M28" s="139">
        <f>$I28*VLOOKUP($A28,'[1]INPUT_ASSUMPTIONS CALC'!$A$13:$CK$1019,I$6,FALSE)*VLOOKUP($A28,'[1]INPUT_ASSUMPTIONS CALC'!$A$13:$CK$1019,M$7,FALSE)</f>
        <v>50627.200000000033</v>
      </c>
      <c r="N28" s="140">
        <f t="shared" si="3"/>
        <v>506272</v>
      </c>
      <c r="O28" s="141">
        <f>H28*VLOOKUP($A28,'[1]INPUT_ASSUMPTIONS CALC'!$A$13:$CK$1019,H$6,FALSE)*SUMIF('[1]INPUT_ASSUMPTIONS CALC'!$CQ$15:$CQ$17,'[1]Summary calculation'!E28,'[1]INPUT_ASSUMPTIONS CALC'!$CR$15:$CR$17)</f>
        <v>79105</v>
      </c>
      <c r="P28" s="141">
        <f>H28*VLOOKUP($A28,'[1]INPUT_ASSUMPTIONS CALC'!$A$13:$CK$1019,H$6,FALSE)*SUMIF('[1]INPUT_ASSUMPTIONS CALC'!$CV$15:$CV$31,'[1]Summary calculation'!E28,'[1]INPUT_ASSUMPTIONS CALC'!$CW$15:$CW$31)</f>
        <v>0</v>
      </c>
      <c r="Q28" s="141">
        <f>O28*VLOOKUP($A28,'[1]INPUT_ASSUMPTIONS CALC'!$A$13:$CK$1019,Q$7,FALSE)</f>
        <v>79105</v>
      </c>
      <c r="R28" s="141">
        <f>P28*VLOOKUP($A28,'[1]INPUT_ASSUMPTIONS CALC'!$A$13:$CK$1019,R$7,FALSE)</f>
        <v>0</v>
      </c>
      <c r="S28" s="140">
        <f t="shared" si="1"/>
        <v>79105</v>
      </c>
      <c r="T28" s="142">
        <f t="shared" si="2"/>
        <v>585377</v>
      </c>
      <c r="U28" s="61"/>
    </row>
    <row r="29" spans="1:21" x14ac:dyDescent="0.35">
      <c r="A29" s="125" t="str">
        <f t="shared" si="0"/>
        <v>21Q2</v>
      </c>
      <c r="B29" s="135">
        <v>21</v>
      </c>
      <c r="C29" s="61" t="str">
        <f>INDEX('[1]INPUT_ASSUMPTIONS CALC'!D:D,MATCH(A29,'[1]INPUT_ASSUMPTIONS CALC'!A:A,0))</f>
        <v>Feist Yekaterina</v>
      </c>
      <c r="D29" s="61" t="str">
        <f>INDEX('[1]INPUT_ASSUMPTIONS CALC'!I:I,MATCH(A29,'[1]INPUT_ASSUMPTIONS CALC'!A:A,0))</f>
        <v>Line 1</v>
      </c>
      <c r="E29" s="61" t="str">
        <f>INDEX('[1]INPUT_ASSUMPTIONS CALC'!E:E,MATCH(A29,'[1]INPUT_ASSUMPTIONS CALC'!A:A,0))</f>
        <v>Medical Representative</v>
      </c>
      <c r="F29" s="136">
        <f>IF($F$5="Q1",VLOOKUP($A29,'[1]INPUT_ASSUMPTIONS CALC'!$A$13:$CK$1019,F$7,FALSE),IF($F$5="Q2",VLOOKUP($A29,'[1]INPUT_ASSUMPTIONS CALC'!$A$13:$CK$1019,F$7,FALSE),IF($F$5="Q3",VLOOKUP($A29,'[1]INPUT_ASSUMPTIONS CALC'!$A$13:$CK$1019,F$7,FALSE),IF($F$5="Q4",VLOOKUP($A29,'[1]INPUT_ASSUMPTIONS CALC'!$A$13:$CK$1019,F$7,FALSE),IF($F$5="Year",VLOOKUP($A29,'[1]INPUT_ASSUMPTIONS CALC'!$A$13:$CK$1019,F$7,FALSE),0)))))</f>
        <v>395525</v>
      </c>
      <c r="G29" s="137">
        <f>SUMIF('[1]INPUT_ASSUMPTIONS CALC'!A:A,'[1]Summary calculation'!A29,'[1]INPUT_ASSUMPTIONS CALC'!BU:BU)</f>
        <v>1</v>
      </c>
      <c r="H29" s="138">
        <f>IF($F$5="Year",F29*G29*'[1]INPUT_ASSUMPTIONS CALC'!$S$7,F29*G29)</f>
        <v>395525</v>
      </c>
      <c r="I29" s="138">
        <f>H29*VLOOKUP($A29,'[1]INPUT_ASSUMPTIONS CALC'!$A$13:$CK$1019,H$6,FALSE)*SUMIF('[1]INPUT_ASSUMPTIONS CALC'!$CL$15:$CL$17,'[1]Summary calculation'!E29,'[1]INPUT_ASSUMPTIONS CALC'!$CM$15:$CM$17)</f>
        <v>316420</v>
      </c>
      <c r="J29" s="139">
        <f>$I29*VLOOKUP($A29,'[1]INPUT_ASSUMPTIONS CALC'!$A$13:$CK$1019,I$6,FALSE)*VLOOKUP($A29,'[1]INPUT_ASSUMPTIONS CALC'!$A$13:$CK$1019,J$7,FALSE)</f>
        <v>237315</v>
      </c>
      <c r="K29" s="139">
        <f>$I29*VLOOKUP($A29,'[1]INPUT_ASSUMPTIONS CALC'!$A$13:$CK$1019,I$6,FALSE)*VLOOKUP($A29,'[1]INPUT_ASSUMPTIONS CALC'!$A$13:$CK$1019,K$7,FALSE)</f>
        <v>166120.5</v>
      </c>
      <c r="L29" s="139">
        <f>$I29*VLOOKUP($A29,'[1]INPUT_ASSUMPTIONS CALC'!$A$13:$CK$1019,I$6,FALSE)*VLOOKUP($A29,'[1]INPUT_ASSUMPTIONS CALC'!$A$13:$CK$1019,L$7,FALSE)</f>
        <v>47463</v>
      </c>
      <c r="M29" s="139">
        <f>$I29*VLOOKUP($A29,'[1]INPUT_ASSUMPTIONS CALC'!$A$13:$CK$1019,I$6,FALSE)*VLOOKUP($A29,'[1]INPUT_ASSUMPTIONS CALC'!$A$13:$CK$1019,M$7,FALSE)</f>
        <v>23731.500000000007</v>
      </c>
      <c r="N29" s="140">
        <f t="shared" si="3"/>
        <v>474630</v>
      </c>
      <c r="O29" s="141">
        <f>H29*VLOOKUP($A29,'[1]INPUT_ASSUMPTIONS CALC'!$A$13:$CK$1019,H$6,FALSE)*SUMIF('[1]INPUT_ASSUMPTIONS CALC'!$CQ$15:$CQ$17,'[1]Summary calculation'!E29,'[1]INPUT_ASSUMPTIONS CALC'!$CR$15:$CR$17)</f>
        <v>79105</v>
      </c>
      <c r="P29" s="141">
        <f>H29*VLOOKUP($A29,'[1]INPUT_ASSUMPTIONS CALC'!$A$13:$CK$1019,H$6,FALSE)*SUMIF('[1]INPUT_ASSUMPTIONS CALC'!$CV$15:$CV$31,'[1]Summary calculation'!E29,'[1]INPUT_ASSUMPTIONS CALC'!$CW$15:$CW$31)</f>
        <v>0</v>
      </c>
      <c r="Q29" s="141">
        <f>O29*VLOOKUP($A29,'[1]INPUT_ASSUMPTIONS CALC'!$A$13:$CK$1019,Q$7,FALSE)</f>
        <v>79105</v>
      </c>
      <c r="R29" s="141">
        <f>P29*VLOOKUP($A29,'[1]INPUT_ASSUMPTIONS CALC'!$A$13:$CK$1019,R$7,FALSE)</f>
        <v>0</v>
      </c>
      <c r="S29" s="140">
        <f t="shared" si="1"/>
        <v>79105</v>
      </c>
      <c r="T29" s="142">
        <f t="shared" si="2"/>
        <v>553735</v>
      </c>
      <c r="U29" s="61"/>
    </row>
    <row r="30" spans="1:21" x14ac:dyDescent="0.35">
      <c r="A30" s="125" t="str">
        <f t="shared" si="0"/>
        <v>22Q2</v>
      </c>
      <c r="B30" s="135">
        <v>22</v>
      </c>
      <c r="C30" s="61" t="str">
        <f>INDEX('[1]INPUT_ASSUMPTIONS CALC'!D:D,MATCH(A30,'[1]INPUT_ASSUMPTIONS CALC'!A:A,0))</f>
        <v>Galiyeva Saule</v>
      </c>
      <c r="D30" s="61" t="str">
        <f>INDEX('[1]INPUT_ASSUMPTIONS CALC'!I:I,MATCH(A30,'[1]INPUT_ASSUMPTIONS CALC'!A:A,0))</f>
        <v>Regional Manager-1</v>
      </c>
      <c r="E30" s="61" t="str">
        <f>INDEX('[1]INPUT_ASSUMPTIONS CALC'!E:E,MATCH(A30,'[1]INPUT_ASSUMPTIONS CALC'!A:A,0))</f>
        <v>Regional Manager</v>
      </c>
      <c r="F30" s="136">
        <f>IF($F$5="Q1",VLOOKUP($A30,'[1]INPUT_ASSUMPTIONS CALC'!$A$13:$CK$1019,F$7,FALSE),IF($F$5="Q2",VLOOKUP($A30,'[1]INPUT_ASSUMPTIONS CALC'!$A$13:$CK$1019,F$7,FALSE),IF($F$5="Q3",VLOOKUP($A30,'[1]INPUT_ASSUMPTIONS CALC'!$A$13:$CK$1019,F$7,FALSE),IF($F$5="Q4",VLOOKUP($A30,'[1]INPUT_ASSUMPTIONS CALC'!$A$13:$CK$1019,F$7,FALSE),IF($F$5="Year",VLOOKUP($A30,'[1]INPUT_ASSUMPTIONS CALC'!$A$13:$CK$1019,F$7,FALSE),0)))))</f>
        <v>726000</v>
      </c>
      <c r="G30" s="137">
        <f>SUMIF('[1]INPUT_ASSUMPTIONS CALC'!A:A,'[1]Summary calculation'!A30,'[1]INPUT_ASSUMPTIONS CALC'!BU:BU)</f>
        <v>1</v>
      </c>
      <c r="H30" s="138">
        <f>IF($F$5="Year",F30*G30*'[1]INPUT_ASSUMPTIONS CALC'!$S$7,F30*G30)</f>
        <v>726000</v>
      </c>
      <c r="I30" s="138">
        <f>H30*VLOOKUP($A30,'[1]INPUT_ASSUMPTIONS CALC'!$A$13:$CK$1019,H$6,FALSE)*SUMIF('[1]INPUT_ASSUMPTIONS CALC'!$CL$15:$CL$17,'[1]Summary calculation'!E30,'[1]INPUT_ASSUMPTIONS CALC'!$CM$15:$CM$17)</f>
        <v>580800</v>
      </c>
      <c r="J30" s="139">
        <f>$I30*VLOOKUP($A30,'[1]INPUT_ASSUMPTIONS CALC'!$A$13:$CK$1019,I$6,FALSE)*VLOOKUP($A30,'[1]INPUT_ASSUMPTIONS CALC'!$A$13:$CK$1019,J$7,FALSE)</f>
        <v>435600</v>
      </c>
      <c r="K30" s="139">
        <f>$I30*VLOOKUP($A30,'[1]INPUT_ASSUMPTIONS CALC'!$A$13:$CK$1019,I$6,FALSE)*VLOOKUP($A30,'[1]INPUT_ASSUMPTIONS CALC'!$A$13:$CK$1019,K$7,FALSE)</f>
        <v>217800</v>
      </c>
      <c r="L30" s="139">
        <f>$I30*VLOOKUP($A30,'[1]INPUT_ASSUMPTIONS CALC'!$A$13:$CK$1019,I$6,FALSE)*VLOOKUP($A30,'[1]INPUT_ASSUMPTIONS CALC'!$A$13:$CK$1019,L$7,FALSE)</f>
        <v>174240</v>
      </c>
      <c r="M30" s="139">
        <f>$I30*VLOOKUP($A30,'[1]INPUT_ASSUMPTIONS CALC'!$A$13:$CK$1019,I$6,FALSE)*VLOOKUP($A30,'[1]INPUT_ASSUMPTIONS CALC'!$A$13:$CK$1019,M$7,FALSE)</f>
        <v>43559.999999999993</v>
      </c>
      <c r="N30" s="140">
        <f t="shared" si="3"/>
        <v>871200</v>
      </c>
      <c r="O30" s="141">
        <f>H30*VLOOKUP($A30,'[1]INPUT_ASSUMPTIONS CALC'!$A$13:$CK$1019,H$6,FALSE)*SUMIF('[1]INPUT_ASSUMPTIONS CALC'!$CQ$15:$CQ$17,'[1]Summary calculation'!E30,'[1]INPUT_ASSUMPTIONS CALC'!$CR$15:$CR$17)</f>
        <v>72600</v>
      </c>
      <c r="P30" s="141">
        <f>H30*VLOOKUP($A30,'[1]INPUT_ASSUMPTIONS CALC'!$A$13:$CK$1019,H$6,FALSE)*SUMIF('[1]INPUT_ASSUMPTIONS CALC'!$CV$15:$CV$31,'[1]Summary calculation'!E30,'[1]INPUT_ASSUMPTIONS CALC'!$CW$15:$CW$31)</f>
        <v>72600</v>
      </c>
      <c r="Q30" s="141">
        <f>O30*VLOOKUP($A30,'[1]INPUT_ASSUMPTIONS CALC'!$A$13:$CK$1019,Q$7,FALSE)</f>
        <v>72600</v>
      </c>
      <c r="R30" s="141">
        <f>P30*VLOOKUP($A30,'[1]INPUT_ASSUMPTIONS CALC'!$A$13:$CK$1019,R$7,FALSE)</f>
        <v>72600</v>
      </c>
      <c r="S30" s="140">
        <f t="shared" si="1"/>
        <v>145200</v>
      </c>
      <c r="T30" s="142">
        <f t="shared" si="2"/>
        <v>1016400</v>
      </c>
      <c r="U30" s="61"/>
    </row>
    <row r="31" spans="1:21" x14ac:dyDescent="0.35">
      <c r="A31" s="125" t="str">
        <f t="shared" si="0"/>
        <v>23Q2</v>
      </c>
      <c r="B31" s="135">
        <v>23</v>
      </c>
      <c r="C31" s="61" t="str">
        <f>INDEX('[1]INPUT_ASSUMPTIONS CALC'!D:D,MATCH(A31,'[1]INPUT_ASSUMPTIONS CALC'!A:A,0))</f>
        <v>Gulyakova Olga</v>
      </c>
      <c r="D31" s="61" t="str">
        <f>INDEX('[1]INPUT_ASSUMPTIONS CALC'!I:I,MATCH(A31,'[1]INPUT_ASSUMPTIONS CALC'!A:A,0))</f>
        <v>Line 1</v>
      </c>
      <c r="E31" s="61" t="str">
        <f>INDEX('[1]INPUT_ASSUMPTIONS CALC'!E:E,MATCH(A31,'[1]INPUT_ASSUMPTIONS CALC'!A:A,0))</f>
        <v>Medical Representative</v>
      </c>
      <c r="F31" s="136">
        <f>IF($F$5="Q1",VLOOKUP($A31,'[1]INPUT_ASSUMPTIONS CALC'!$A$13:$CK$1019,F$7,FALSE),IF($F$5="Q2",VLOOKUP($A31,'[1]INPUT_ASSUMPTIONS CALC'!$A$13:$CK$1019,F$7,FALSE),IF($F$5="Q3",VLOOKUP($A31,'[1]INPUT_ASSUMPTIONS CALC'!$A$13:$CK$1019,F$7,FALSE),IF($F$5="Q4",VLOOKUP($A31,'[1]INPUT_ASSUMPTIONS CALC'!$A$13:$CK$1019,F$7,FALSE),IF($F$5="Year",VLOOKUP($A31,'[1]INPUT_ASSUMPTIONS CALC'!$A$13:$CK$1019,F$7,FALSE),0)))))</f>
        <v>395525</v>
      </c>
      <c r="G31" s="137">
        <f>SUMIF('[1]INPUT_ASSUMPTIONS CALC'!A:A,'[1]Summary calculation'!A31,'[1]INPUT_ASSUMPTIONS CALC'!BU:BU)</f>
        <v>1</v>
      </c>
      <c r="H31" s="138">
        <f>IF($F$5="Year",F31*G31*'[1]INPUT_ASSUMPTIONS CALC'!$S$7,F31*G31)</f>
        <v>395525</v>
      </c>
      <c r="I31" s="138">
        <f>H31*VLOOKUP($A31,'[1]INPUT_ASSUMPTIONS CALC'!$A$13:$CK$1019,H$6,FALSE)*SUMIF('[1]INPUT_ASSUMPTIONS CALC'!$CL$15:$CL$17,'[1]Summary calculation'!E31,'[1]INPUT_ASSUMPTIONS CALC'!$CM$15:$CM$17)</f>
        <v>316420</v>
      </c>
      <c r="J31" s="139">
        <f>$I31*VLOOKUP($A31,'[1]INPUT_ASSUMPTIONS CALC'!$A$13:$CK$1019,I$6,FALSE)*VLOOKUP($A31,'[1]INPUT_ASSUMPTIONS CALC'!$A$13:$CK$1019,J$7,FALSE)</f>
        <v>174031</v>
      </c>
      <c r="K31" s="139">
        <f>$I31*VLOOKUP($A31,'[1]INPUT_ASSUMPTIONS CALC'!$A$13:$CK$1019,I$6,FALSE)*VLOOKUP($A31,'[1]INPUT_ASSUMPTIONS CALC'!$A$13:$CK$1019,K$7,FALSE)</f>
        <v>121821.7</v>
      </c>
      <c r="L31" s="139">
        <f>$I31*VLOOKUP($A31,'[1]INPUT_ASSUMPTIONS CALC'!$A$13:$CK$1019,I$6,FALSE)*VLOOKUP($A31,'[1]INPUT_ASSUMPTIONS CALC'!$A$13:$CK$1019,L$7,FALSE)</f>
        <v>34806.200000000004</v>
      </c>
      <c r="M31" s="139">
        <f>$I31*VLOOKUP($A31,'[1]INPUT_ASSUMPTIONS CALC'!$A$13:$CK$1019,I$6,FALSE)*VLOOKUP($A31,'[1]INPUT_ASSUMPTIONS CALC'!$A$13:$CK$1019,M$7,FALSE)</f>
        <v>17403.100000000006</v>
      </c>
      <c r="N31" s="140">
        <f t="shared" si="3"/>
        <v>348062</v>
      </c>
      <c r="O31" s="141">
        <f>H31*VLOOKUP($A31,'[1]INPUT_ASSUMPTIONS CALC'!$A$13:$CK$1019,H$6,FALSE)*SUMIF('[1]INPUT_ASSUMPTIONS CALC'!$CQ$15:$CQ$17,'[1]Summary calculation'!E31,'[1]INPUT_ASSUMPTIONS CALC'!$CR$15:$CR$17)</f>
        <v>79105</v>
      </c>
      <c r="P31" s="141">
        <f>H31*VLOOKUP($A31,'[1]INPUT_ASSUMPTIONS CALC'!$A$13:$CK$1019,H$6,FALSE)*SUMIF('[1]INPUT_ASSUMPTIONS CALC'!$CV$15:$CV$31,'[1]Summary calculation'!E31,'[1]INPUT_ASSUMPTIONS CALC'!$CW$15:$CW$31)</f>
        <v>0</v>
      </c>
      <c r="Q31" s="141">
        <f>O31*VLOOKUP($A31,'[1]INPUT_ASSUMPTIONS CALC'!$A$13:$CK$1019,Q$7,FALSE)</f>
        <v>39552.5</v>
      </c>
      <c r="R31" s="141">
        <f>P31*VLOOKUP($A31,'[1]INPUT_ASSUMPTIONS CALC'!$A$13:$CK$1019,R$7,FALSE)</f>
        <v>0</v>
      </c>
      <c r="S31" s="140">
        <f t="shared" si="1"/>
        <v>39552.5</v>
      </c>
      <c r="T31" s="142">
        <f t="shared" si="2"/>
        <v>387615</v>
      </c>
      <c r="U31" s="61"/>
    </row>
    <row r="32" spans="1:21" x14ac:dyDescent="0.35">
      <c r="A32" s="125" t="str">
        <f t="shared" si="0"/>
        <v>24Q2</v>
      </c>
      <c r="B32" s="135">
        <v>24</v>
      </c>
      <c r="C32" s="61" t="str">
        <f>INDEX('[1]INPUT_ASSUMPTIONS CALC'!D:D,MATCH(A32,'[1]INPUT_ASSUMPTIONS CALC'!A:A,0))</f>
        <v>Inkarbekova Nurbibi</v>
      </c>
      <c r="D32" s="61" t="str">
        <f>INDEX('[1]INPUT_ASSUMPTIONS CALC'!I:I,MATCH(A32,'[1]INPUT_ASSUMPTIONS CALC'!A:A,0))</f>
        <v>Line 1</v>
      </c>
      <c r="E32" s="61" t="str">
        <f>INDEX('[1]INPUT_ASSUMPTIONS CALC'!E:E,MATCH(A32,'[1]INPUT_ASSUMPTIONS CALC'!A:A,0))</f>
        <v>Medical Representative</v>
      </c>
      <c r="F32" s="136">
        <f>IF($F$5="Q1",VLOOKUP($A32,'[1]INPUT_ASSUMPTIONS CALC'!$A$13:$CK$1019,F$7,FALSE),IF($F$5="Q2",VLOOKUP($A32,'[1]INPUT_ASSUMPTIONS CALC'!$A$13:$CK$1019,F$7,FALSE),IF($F$5="Q3",VLOOKUP($A32,'[1]INPUT_ASSUMPTIONS CALC'!$A$13:$CK$1019,F$7,FALSE),IF($F$5="Q4",VLOOKUP($A32,'[1]INPUT_ASSUMPTIONS CALC'!$A$13:$CK$1019,F$7,FALSE),IF($F$5="Year",VLOOKUP($A32,'[1]INPUT_ASSUMPTIONS CALC'!$A$13:$CK$1019,F$7,FALSE),0)))))</f>
        <v>395525</v>
      </c>
      <c r="G32" s="137">
        <f>SUMIF('[1]INPUT_ASSUMPTIONS CALC'!A:A,'[1]Summary calculation'!A32,'[1]INPUT_ASSUMPTIONS CALC'!BU:BU)</f>
        <v>1</v>
      </c>
      <c r="H32" s="138">
        <f>IF($F$5="Year",F32*G32*'[1]INPUT_ASSUMPTIONS CALC'!$S$7,F32*G32)</f>
        <v>395525</v>
      </c>
      <c r="I32" s="138">
        <f>H32*VLOOKUP($A32,'[1]INPUT_ASSUMPTIONS CALC'!$A$13:$CK$1019,H$6,FALSE)*SUMIF('[1]INPUT_ASSUMPTIONS CALC'!$CL$15:$CL$17,'[1]Summary calculation'!E32,'[1]INPUT_ASSUMPTIONS CALC'!$CM$15:$CM$17)</f>
        <v>316420</v>
      </c>
      <c r="J32" s="139">
        <f>$I32*VLOOKUP($A32,'[1]INPUT_ASSUMPTIONS CALC'!$A$13:$CK$1019,I$6,FALSE)*VLOOKUP($A32,'[1]INPUT_ASSUMPTIONS CALC'!$A$13:$CK$1019,J$7,FALSE)</f>
        <v>158210</v>
      </c>
      <c r="K32" s="139">
        <f>$I32*VLOOKUP($A32,'[1]INPUT_ASSUMPTIONS CALC'!$A$13:$CK$1019,I$6,FALSE)*VLOOKUP($A32,'[1]INPUT_ASSUMPTIONS CALC'!$A$13:$CK$1019,K$7,FALSE)</f>
        <v>110747</v>
      </c>
      <c r="L32" s="139">
        <f>$I32*VLOOKUP($A32,'[1]INPUT_ASSUMPTIONS CALC'!$A$13:$CK$1019,I$6,FALSE)*VLOOKUP($A32,'[1]INPUT_ASSUMPTIONS CALC'!$A$13:$CK$1019,L$7,FALSE)</f>
        <v>31642</v>
      </c>
      <c r="M32" s="139">
        <f>$I32*VLOOKUP($A32,'[1]INPUT_ASSUMPTIONS CALC'!$A$13:$CK$1019,I$6,FALSE)*VLOOKUP($A32,'[1]INPUT_ASSUMPTIONS CALC'!$A$13:$CK$1019,M$7,FALSE)</f>
        <v>15821.000000000005</v>
      </c>
      <c r="N32" s="140">
        <f t="shared" si="3"/>
        <v>316420</v>
      </c>
      <c r="O32" s="141">
        <f>H32*VLOOKUP($A32,'[1]INPUT_ASSUMPTIONS CALC'!$A$13:$CK$1019,H$6,FALSE)*SUMIF('[1]INPUT_ASSUMPTIONS CALC'!$CQ$15:$CQ$17,'[1]Summary calculation'!E32,'[1]INPUT_ASSUMPTIONS CALC'!$CR$15:$CR$17)</f>
        <v>79105</v>
      </c>
      <c r="P32" s="141">
        <f>H32*VLOOKUP($A32,'[1]INPUT_ASSUMPTIONS CALC'!$A$13:$CK$1019,H$6,FALSE)*SUMIF('[1]INPUT_ASSUMPTIONS CALC'!$CV$15:$CV$31,'[1]Summary calculation'!E32,'[1]INPUT_ASSUMPTIONS CALC'!$CW$15:$CW$31)</f>
        <v>0</v>
      </c>
      <c r="Q32" s="141">
        <f>O32*VLOOKUP($A32,'[1]INPUT_ASSUMPTIONS CALC'!$A$13:$CK$1019,Q$7,FALSE)</f>
        <v>79105</v>
      </c>
      <c r="R32" s="141">
        <f>P32*VLOOKUP($A32,'[1]INPUT_ASSUMPTIONS CALC'!$A$13:$CK$1019,R$7,FALSE)</f>
        <v>0</v>
      </c>
      <c r="S32" s="140">
        <f t="shared" si="1"/>
        <v>79105</v>
      </c>
      <c r="T32" s="142">
        <f t="shared" si="2"/>
        <v>395525</v>
      </c>
      <c r="U32" s="61"/>
    </row>
    <row r="33" spans="1:21" x14ac:dyDescent="0.35">
      <c r="A33" s="125" t="str">
        <f t="shared" si="0"/>
        <v>25Q2</v>
      </c>
      <c r="B33" s="135">
        <v>25</v>
      </c>
      <c r="C33" s="61" t="str">
        <f>INDEX('[1]INPUT_ASSUMPTIONS CALC'!D:D,MATCH(A33,'[1]INPUT_ASSUMPTIONS CALC'!A:A,0))</f>
        <v>Issakhanova Assem</v>
      </c>
      <c r="D33" s="61" t="str">
        <f>INDEX('[1]INPUT_ASSUMPTIONS CALC'!I:I,MATCH(A33,'[1]INPUT_ASSUMPTIONS CALC'!A:A,0))</f>
        <v>Line 2</v>
      </c>
      <c r="E33" s="61" t="str">
        <f>INDEX('[1]INPUT_ASSUMPTIONS CALC'!E:E,MATCH(A33,'[1]INPUT_ASSUMPTIONS CALC'!A:A,0))</f>
        <v>Medical Representative</v>
      </c>
      <c r="F33" s="136">
        <f>IF($F$5="Q1",VLOOKUP($A33,'[1]INPUT_ASSUMPTIONS CALC'!$A$13:$CK$1019,F$7,FALSE),IF($F$5="Q2",VLOOKUP($A33,'[1]INPUT_ASSUMPTIONS CALC'!$A$13:$CK$1019,F$7,FALSE),IF($F$5="Q3",VLOOKUP($A33,'[1]INPUT_ASSUMPTIONS CALC'!$A$13:$CK$1019,F$7,FALSE),IF($F$5="Q4",VLOOKUP($A33,'[1]INPUT_ASSUMPTIONS CALC'!$A$13:$CK$1019,F$7,FALSE),IF($F$5="Year",VLOOKUP($A33,'[1]INPUT_ASSUMPTIONS CALC'!$A$13:$CK$1019,F$7,FALSE),0)))))</f>
        <v>395525</v>
      </c>
      <c r="G33" s="137">
        <f>SUMIF('[1]INPUT_ASSUMPTIONS CALC'!A:A,'[1]Summary calculation'!A33,'[1]INPUT_ASSUMPTIONS CALC'!BU:BU)</f>
        <v>1</v>
      </c>
      <c r="H33" s="138">
        <f>IF($F$5="Year",F33*G33*'[1]INPUT_ASSUMPTIONS CALC'!$S$7,F33*G33)</f>
        <v>395525</v>
      </c>
      <c r="I33" s="138">
        <f>H33*VLOOKUP($A33,'[1]INPUT_ASSUMPTIONS CALC'!$A$13:$CK$1019,H$6,FALSE)*SUMIF('[1]INPUT_ASSUMPTIONS CALC'!$CL$15:$CL$17,'[1]Summary calculation'!E33,'[1]INPUT_ASSUMPTIONS CALC'!$CM$15:$CM$17)</f>
        <v>316420</v>
      </c>
      <c r="J33" s="139">
        <f>$I33*VLOOKUP($A33,'[1]INPUT_ASSUMPTIONS CALC'!$A$13:$CK$1019,I$6,FALSE)*VLOOKUP($A33,'[1]INPUT_ASSUMPTIONS CALC'!$A$13:$CK$1019,J$7,FALSE)</f>
        <v>104418.59999999999</v>
      </c>
      <c r="K33" s="139">
        <f>$I33*VLOOKUP($A33,'[1]INPUT_ASSUMPTIONS CALC'!$A$13:$CK$1019,I$6,FALSE)*VLOOKUP($A33,'[1]INPUT_ASSUMPTIONS CALC'!$A$13:$CK$1019,K$7,FALSE)</f>
        <v>87015.5</v>
      </c>
      <c r="L33" s="139">
        <f>$I33*VLOOKUP($A33,'[1]INPUT_ASSUMPTIONS CALC'!$A$13:$CK$1019,I$6,FALSE)*VLOOKUP($A33,'[1]INPUT_ASSUMPTIONS CALC'!$A$13:$CK$1019,L$7,FALSE)</f>
        <v>87015.5</v>
      </c>
      <c r="M33" s="139">
        <f>$I33*VLOOKUP($A33,'[1]INPUT_ASSUMPTIONS CALC'!$A$13:$CK$1019,I$6,FALSE)*VLOOKUP($A33,'[1]INPUT_ASSUMPTIONS CALC'!$A$13:$CK$1019,M$7,FALSE)</f>
        <v>69612.39999999998</v>
      </c>
      <c r="N33" s="140">
        <f t="shared" si="3"/>
        <v>348061.99999999994</v>
      </c>
      <c r="O33" s="141">
        <f>H33*VLOOKUP($A33,'[1]INPUT_ASSUMPTIONS CALC'!$A$13:$CK$1019,H$6,FALSE)*SUMIF('[1]INPUT_ASSUMPTIONS CALC'!$CQ$15:$CQ$17,'[1]Summary calculation'!E33,'[1]INPUT_ASSUMPTIONS CALC'!$CR$15:$CR$17)</f>
        <v>79105</v>
      </c>
      <c r="P33" s="141">
        <f>H33*VLOOKUP($A33,'[1]INPUT_ASSUMPTIONS CALC'!$A$13:$CK$1019,H$6,FALSE)*SUMIF('[1]INPUT_ASSUMPTIONS CALC'!$CV$15:$CV$31,'[1]Summary calculation'!E33,'[1]INPUT_ASSUMPTIONS CALC'!$CW$15:$CW$31)</f>
        <v>0</v>
      </c>
      <c r="Q33" s="141">
        <f>O33*VLOOKUP($A33,'[1]INPUT_ASSUMPTIONS CALC'!$A$13:$CK$1019,Q$7,FALSE)</f>
        <v>39552.5</v>
      </c>
      <c r="R33" s="141">
        <f>P33*VLOOKUP($A33,'[1]INPUT_ASSUMPTIONS CALC'!$A$13:$CK$1019,R$7,FALSE)</f>
        <v>0</v>
      </c>
      <c r="S33" s="140">
        <f t="shared" si="1"/>
        <v>39552.5</v>
      </c>
      <c r="T33" s="142">
        <f t="shared" si="2"/>
        <v>387615</v>
      </c>
      <c r="U33" s="61"/>
    </row>
    <row r="34" spans="1:21" x14ac:dyDescent="0.35">
      <c r="A34" s="125" t="str">
        <f t="shared" si="0"/>
        <v>26Q2</v>
      </c>
      <c r="B34" s="135">
        <v>26</v>
      </c>
      <c r="C34" s="61" t="str">
        <f>INDEX('[1]INPUT_ASSUMPTIONS CALC'!D:D,MATCH(A34,'[1]INPUT_ASSUMPTIONS CALC'!A:A,0))</f>
        <v>Issakova Dina</v>
      </c>
      <c r="D34" s="61" t="str">
        <f>INDEX('[1]INPUT_ASSUMPTIONS CALC'!I:I,MATCH(A34,'[1]INPUT_ASSUMPTIONS CALC'!A:A,0))</f>
        <v>Line 1</v>
      </c>
      <c r="E34" s="61" t="str">
        <f>INDEX('[1]INPUT_ASSUMPTIONS CALC'!E:E,MATCH(A34,'[1]INPUT_ASSUMPTIONS CALC'!A:A,0))</f>
        <v>Medical Representative</v>
      </c>
      <c r="F34" s="136">
        <f>IF($F$5="Q1",VLOOKUP($A34,'[1]INPUT_ASSUMPTIONS CALC'!$A$13:$CK$1019,F$7,FALSE),IF($F$5="Q2",VLOOKUP($A34,'[1]INPUT_ASSUMPTIONS CALC'!$A$13:$CK$1019,F$7,FALSE),IF($F$5="Q3",VLOOKUP($A34,'[1]INPUT_ASSUMPTIONS CALC'!$A$13:$CK$1019,F$7,FALSE),IF($F$5="Q4",VLOOKUP($A34,'[1]INPUT_ASSUMPTIONS CALC'!$A$13:$CK$1019,F$7,FALSE),IF($F$5="Year",VLOOKUP($A34,'[1]INPUT_ASSUMPTIONS CALC'!$A$13:$CK$1019,F$7,FALSE),0)))))</f>
        <v>395525</v>
      </c>
      <c r="G34" s="137">
        <f>SUMIF('[1]INPUT_ASSUMPTIONS CALC'!A:A,'[1]Summary calculation'!A34,'[1]INPUT_ASSUMPTIONS CALC'!BU:BU)</f>
        <v>1</v>
      </c>
      <c r="H34" s="138">
        <f>IF($F$5="Year",F34*G34*'[1]INPUT_ASSUMPTIONS CALC'!$S$7,F34*G34)</f>
        <v>395525</v>
      </c>
      <c r="I34" s="138">
        <f>H34*VLOOKUP($A34,'[1]INPUT_ASSUMPTIONS CALC'!$A$13:$CK$1019,H$6,FALSE)*SUMIF('[1]INPUT_ASSUMPTIONS CALC'!$CL$15:$CL$17,'[1]Summary calculation'!E34,'[1]INPUT_ASSUMPTIONS CALC'!$CM$15:$CM$17)</f>
        <v>316420</v>
      </c>
      <c r="J34" s="139">
        <f>$I34*VLOOKUP($A34,'[1]INPUT_ASSUMPTIONS CALC'!$A$13:$CK$1019,I$6,FALSE)*VLOOKUP($A34,'[1]INPUT_ASSUMPTIONS CALC'!$A$13:$CK$1019,J$7,FALSE)</f>
        <v>158210</v>
      </c>
      <c r="K34" s="139">
        <f>$I34*VLOOKUP($A34,'[1]INPUT_ASSUMPTIONS CALC'!$A$13:$CK$1019,I$6,FALSE)*VLOOKUP($A34,'[1]INPUT_ASSUMPTIONS CALC'!$A$13:$CK$1019,K$7,FALSE)</f>
        <v>110747</v>
      </c>
      <c r="L34" s="139">
        <f>$I34*VLOOKUP($A34,'[1]INPUT_ASSUMPTIONS CALC'!$A$13:$CK$1019,I$6,FALSE)*VLOOKUP($A34,'[1]INPUT_ASSUMPTIONS CALC'!$A$13:$CK$1019,L$7,FALSE)</f>
        <v>31642</v>
      </c>
      <c r="M34" s="139">
        <f>$I34*VLOOKUP($A34,'[1]INPUT_ASSUMPTIONS CALC'!$A$13:$CK$1019,I$6,FALSE)*VLOOKUP($A34,'[1]INPUT_ASSUMPTIONS CALC'!$A$13:$CK$1019,M$7,FALSE)</f>
        <v>15821.000000000005</v>
      </c>
      <c r="N34" s="140">
        <f t="shared" si="3"/>
        <v>316420</v>
      </c>
      <c r="O34" s="141">
        <f>H34*VLOOKUP($A34,'[1]INPUT_ASSUMPTIONS CALC'!$A$13:$CK$1019,H$6,FALSE)*SUMIF('[1]INPUT_ASSUMPTIONS CALC'!$CQ$15:$CQ$17,'[1]Summary calculation'!E34,'[1]INPUT_ASSUMPTIONS CALC'!$CR$15:$CR$17)</f>
        <v>79105</v>
      </c>
      <c r="P34" s="141">
        <f>H34*VLOOKUP($A34,'[1]INPUT_ASSUMPTIONS CALC'!$A$13:$CK$1019,H$6,FALSE)*SUMIF('[1]INPUT_ASSUMPTIONS CALC'!$CV$15:$CV$31,'[1]Summary calculation'!E34,'[1]INPUT_ASSUMPTIONS CALC'!$CW$15:$CW$31)</f>
        <v>0</v>
      </c>
      <c r="Q34" s="141">
        <f>O34*VLOOKUP($A34,'[1]INPUT_ASSUMPTIONS CALC'!$A$13:$CK$1019,Q$7,FALSE)</f>
        <v>79105</v>
      </c>
      <c r="R34" s="141">
        <f>P34*VLOOKUP($A34,'[1]INPUT_ASSUMPTIONS CALC'!$A$13:$CK$1019,R$7,FALSE)</f>
        <v>0</v>
      </c>
      <c r="S34" s="140">
        <f t="shared" si="1"/>
        <v>79105</v>
      </c>
      <c r="T34" s="142">
        <f t="shared" si="2"/>
        <v>395525</v>
      </c>
      <c r="U34" s="61"/>
    </row>
    <row r="35" spans="1:21" x14ac:dyDescent="0.35">
      <c r="A35" s="125" t="str">
        <f t="shared" si="0"/>
        <v>27Q2</v>
      </c>
      <c r="B35" s="135">
        <v>27</v>
      </c>
      <c r="C35" s="61" t="str">
        <f>INDEX('[1]INPUT_ASSUMPTIONS CALC'!D:D,MATCH(A35,'[1]INPUT_ASSUMPTIONS CALC'!A:A,0))</f>
        <v>Itakhunov Rassul</v>
      </c>
      <c r="D35" s="61" t="str">
        <f>INDEX('[1]INPUT_ASSUMPTIONS CALC'!I:I,MATCH(A35,'[1]INPUT_ASSUMPTIONS CALC'!A:A,0))</f>
        <v>Pharma line</v>
      </c>
      <c r="E35" s="61" t="str">
        <f>INDEX('[1]INPUT_ASSUMPTIONS CALC'!E:E,MATCH(A35,'[1]INPUT_ASSUMPTIONS CALC'!A:A,0))</f>
        <v>Pharm Representative</v>
      </c>
      <c r="F35" s="136">
        <f>IF($F$5="Q1",VLOOKUP($A35,'[1]INPUT_ASSUMPTIONS CALC'!$A$13:$CK$1019,F$7,FALSE),IF($F$5="Q2",VLOOKUP($A35,'[1]INPUT_ASSUMPTIONS CALC'!$A$13:$CK$1019,F$7,FALSE),IF($F$5="Q3",VLOOKUP($A35,'[1]INPUT_ASSUMPTIONS CALC'!$A$13:$CK$1019,F$7,FALSE),IF($F$5="Q4",VLOOKUP($A35,'[1]INPUT_ASSUMPTIONS CALC'!$A$13:$CK$1019,F$7,FALSE),IF($F$5="Year",VLOOKUP($A35,'[1]INPUT_ASSUMPTIONS CALC'!$A$13:$CK$1019,F$7,FALSE),0)))))</f>
        <v>395525</v>
      </c>
      <c r="G35" s="137">
        <f>SUMIF('[1]INPUT_ASSUMPTIONS CALC'!A:A,'[1]Summary calculation'!A35,'[1]INPUT_ASSUMPTIONS CALC'!BU:BU)</f>
        <v>1</v>
      </c>
      <c r="H35" s="138">
        <f>IF($F$5="Year",F35*G35*'[1]INPUT_ASSUMPTIONS CALC'!$S$7,F35*G35)</f>
        <v>395525</v>
      </c>
      <c r="I35" s="138">
        <f>H35*VLOOKUP($A35,'[1]INPUT_ASSUMPTIONS CALC'!$A$13:$CK$1019,H$6,FALSE)*SUMIF('[1]INPUT_ASSUMPTIONS CALC'!$CL$15:$CL$17,'[1]Summary calculation'!E35,'[1]INPUT_ASSUMPTIONS CALC'!$CM$15:$CM$17)</f>
        <v>316420</v>
      </c>
      <c r="J35" s="139">
        <f>$I35*VLOOKUP($A35,'[1]INPUT_ASSUMPTIONS CALC'!$A$13:$CK$1019,I$6,FALSE)*VLOOKUP($A35,'[1]INPUT_ASSUMPTIONS CALC'!$A$13:$CK$1019,J$7,FALSE)</f>
        <v>227822.4</v>
      </c>
      <c r="K35" s="139">
        <f>$I35*VLOOKUP($A35,'[1]INPUT_ASSUMPTIONS CALC'!$A$13:$CK$1019,I$6,FALSE)*VLOOKUP($A35,'[1]INPUT_ASSUMPTIONS CALC'!$A$13:$CK$1019,K$7,FALSE)</f>
        <v>151881.60000000001</v>
      </c>
      <c r="L35" s="139">
        <f>$I35*VLOOKUP($A35,'[1]INPUT_ASSUMPTIONS CALC'!$A$13:$CK$1019,I$6,FALSE)*VLOOKUP($A35,'[1]INPUT_ASSUMPTIONS CALC'!$A$13:$CK$1019,L$7,FALSE)</f>
        <v>75940.800000000003</v>
      </c>
      <c r="M35" s="139">
        <f>$I35*VLOOKUP($A35,'[1]INPUT_ASSUMPTIONS CALC'!$A$13:$CK$1019,I$6,FALSE)*VLOOKUP($A35,'[1]INPUT_ASSUMPTIONS CALC'!$A$13:$CK$1019,M$7,FALSE)</f>
        <v>50627.200000000033</v>
      </c>
      <c r="N35" s="140">
        <f t="shared" si="3"/>
        <v>506272</v>
      </c>
      <c r="O35" s="141">
        <f>H35*VLOOKUP($A35,'[1]INPUT_ASSUMPTIONS CALC'!$A$13:$CK$1019,H$6,FALSE)*SUMIF('[1]INPUT_ASSUMPTIONS CALC'!$CQ$15:$CQ$17,'[1]Summary calculation'!E35,'[1]INPUT_ASSUMPTIONS CALC'!$CR$15:$CR$17)</f>
        <v>79105</v>
      </c>
      <c r="P35" s="141">
        <f>H35*VLOOKUP($A35,'[1]INPUT_ASSUMPTIONS CALC'!$A$13:$CK$1019,H$6,FALSE)*SUMIF('[1]INPUT_ASSUMPTIONS CALC'!$CV$15:$CV$31,'[1]Summary calculation'!E35,'[1]INPUT_ASSUMPTIONS CALC'!$CW$15:$CW$31)</f>
        <v>0</v>
      </c>
      <c r="Q35" s="141">
        <f>O35*VLOOKUP($A35,'[1]INPUT_ASSUMPTIONS CALC'!$A$13:$CK$1019,Q$7,FALSE)</f>
        <v>79105</v>
      </c>
      <c r="R35" s="141">
        <f>P35*VLOOKUP($A35,'[1]INPUT_ASSUMPTIONS CALC'!$A$13:$CK$1019,R$7,FALSE)</f>
        <v>0</v>
      </c>
      <c r="S35" s="140">
        <f t="shared" si="1"/>
        <v>79105</v>
      </c>
      <c r="T35" s="142">
        <f t="shared" si="2"/>
        <v>585377</v>
      </c>
      <c r="U35" s="61"/>
    </row>
    <row r="36" spans="1:21" x14ac:dyDescent="0.35">
      <c r="A36" s="125" t="str">
        <f t="shared" si="0"/>
        <v>28Q2</v>
      </c>
      <c r="B36" s="135">
        <v>28</v>
      </c>
      <c r="C36" s="61" t="str">
        <f>INDEX('[1]INPUT_ASSUMPTIONS CALC'!D:D,MATCH(A36,'[1]INPUT_ASSUMPTIONS CALC'!A:A,0))</f>
        <v>Kadyrova Azaliya</v>
      </c>
      <c r="D36" s="61" t="str">
        <f>INDEX('[1]INPUT_ASSUMPTIONS CALC'!I:I,MATCH(A36,'[1]INPUT_ASSUMPTIONS CALC'!A:A,0))</f>
        <v>Line 2 (big cities)</v>
      </c>
      <c r="E36" s="61" t="str">
        <f>INDEX('[1]INPUT_ASSUMPTIONS CALC'!E:E,MATCH(A36,'[1]INPUT_ASSUMPTIONS CALC'!A:A,0))</f>
        <v>Medical Representative</v>
      </c>
      <c r="F36" s="136">
        <f>IF($F$5="Q1",VLOOKUP($A36,'[1]INPUT_ASSUMPTIONS CALC'!$A$13:$CK$1019,F$7,FALSE),IF($F$5="Q2",VLOOKUP($A36,'[1]INPUT_ASSUMPTIONS CALC'!$A$13:$CK$1019,F$7,FALSE),IF($F$5="Q3",VLOOKUP($A36,'[1]INPUT_ASSUMPTIONS CALC'!$A$13:$CK$1019,F$7,FALSE),IF($F$5="Q4",VLOOKUP($A36,'[1]INPUT_ASSUMPTIONS CALC'!$A$13:$CK$1019,F$7,FALSE),IF($F$5="Year",VLOOKUP($A36,'[1]INPUT_ASSUMPTIONS CALC'!$A$13:$CK$1019,F$7,FALSE),0)))))</f>
        <v>395525</v>
      </c>
      <c r="G36" s="137">
        <f>SUMIF('[1]INPUT_ASSUMPTIONS CALC'!A:A,'[1]Summary calculation'!A36,'[1]INPUT_ASSUMPTIONS CALC'!BU:BU)</f>
        <v>1</v>
      </c>
      <c r="H36" s="138">
        <f>IF($F$5="Year",F36*G36*'[1]INPUT_ASSUMPTIONS CALC'!$S$7,F36*G36)</f>
        <v>395525</v>
      </c>
      <c r="I36" s="138">
        <f>H36*VLOOKUP($A36,'[1]INPUT_ASSUMPTIONS CALC'!$A$13:$CK$1019,H$6,FALSE)*SUMIF('[1]INPUT_ASSUMPTIONS CALC'!$CL$15:$CL$17,'[1]Summary calculation'!E36,'[1]INPUT_ASSUMPTIONS CALC'!$CM$15:$CM$17)</f>
        <v>316420</v>
      </c>
      <c r="J36" s="139">
        <f>$I36*VLOOKUP($A36,'[1]INPUT_ASSUMPTIONS CALC'!$A$13:$CK$1019,I$6,FALSE)*VLOOKUP($A36,'[1]INPUT_ASSUMPTIONS CALC'!$A$13:$CK$1019,J$7,FALSE)</f>
        <v>37970.400000000001</v>
      </c>
      <c r="K36" s="139">
        <f>$I36*VLOOKUP($A36,'[1]INPUT_ASSUMPTIONS CALC'!$A$13:$CK$1019,I$6,FALSE)*VLOOKUP($A36,'[1]INPUT_ASSUMPTIONS CALC'!$A$13:$CK$1019,K$7,FALSE)</f>
        <v>113911.2</v>
      </c>
      <c r="L36" s="139">
        <f>$I36*VLOOKUP($A36,'[1]INPUT_ASSUMPTIONS CALC'!$A$13:$CK$1019,I$6,FALSE)*VLOOKUP($A36,'[1]INPUT_ASSUMPTIONS CALC'!$A$13:$CK$1019,L$7,FALSE)</f>
        <v>113911.2</v>
      </c>
      <c r="M36" s="139">
        <f>$I36*VLOOKUP($A36,'[1]INPUT_ASSUMPTIONS CALC'!$A$13:$CK$1019,I$6,FALSE)*VLOOKUP($A36,'[1]INPUT_ASSUMPTIONS CALC'!$A$13:$CK$1019,M$7,FALSE)</f>
        <v>113911.20000000004</v>
      </c>
      <c r="N36" s="140">
        <f t="shared" si="3"/>
        <v>379704</v>
      </c>
      <c r="O36" s="141">
        <f>H36*VLOOKUP($A36,'[1]INPUT_ASSUMPTIONS CALC'!$A$13:$CK$1019,H$6,FALSE)*SUMIF('[1]INPUT_ASSUMPTIONS CALC'!$CQ$15:$CQ$17,'[1]Summary calculation'!E36,'[1]INPUT_ASSUMPTIONS CALC'!$CR$15:$CR$17)</f>
        <v>79105</v>
      </c>
      <c r="P36" s="141">
        <f>H36*VLOOKUP($A36,'[1]INPUT_ASSUMPTIONS CALC'!$A$13:$CK$1019,H$6,FALSE)*SUMIF('[1]INPUT_ASSUMPTIONS CALC'!$CV$15:$CV$31,'[1]Summary calculation'!E36,'[1]INPUT_ASSUMPTIONS CALC'!$CW$15:$CW$31)</f>
        <v>0</v>
      </c>
      <c r="Q36" s="141">
        <f>O36*VLOOKUP($A36,'[1]INPUT_ASSUMPTIONS CALC'!$A$13:$CK$1019,Q$7,FALSE)</f>
        <v>39552.5</v>
      </c>
      <c r="R36" s="141">
        <f>P36*VLOOKUP($A36,'[1]INPUT_ASSUMPTIONS CALC'!$A$13:$CK$1019,R$7,FALSE)</f>
        <v>0</v>
      </c>
      <c r="S36" s="140">
        <f t="shared" si="1"/>
        <v>39552.5</v>
      </c>
      <c r="T36" s="142">
        <f t="shared" si="2"/>
        <v>419257</v>
      </c>
      <c r="U36" s="61"/>
    </row>
    <row r="37" spans="1:21" x14ac:dyDescent="0.35">
      <c r="A37" s="125" t="str">
        <f t="shared" si="0"/>
        <v>29Q2</v>
      </c>
      <c r="B37" s="135">
        <v>29</v>
      </c>
      <c r="C37" s="61" t="str">
        <f>INDEX('[1]INPUT_ASSUMPTIONS CALC'!D:D,MATCH(A37,'[1]INPUT_ASSUMPTIONS CALC'!A:A,0))</f>
        <v>Kalistratova Alexandra</v>
      </c>
      <c r="D37" s="61" t="str">
        <f>INDEX('[1]INPUT_ASSUMPTIONS CALC'!I:I,MATCH(A37,'[1]INPUT_ASSUMPTIONS CALC'!A:A,0))</f>
        <v>Line 2</v>
      </c>
      <c r="E37" s="61" t="str">
        <f>INDEX('[1]INPUT_ASSUMPTIONS CALC'!E:E,MATCH(A37,'[1]INPUT_ASSUMPTIONS CALC'!A:A,0))</f>
        <v>Medical Representative</v>
      </c>
      <c r="F37" s="136">
        <f>IF($F$5="Q1",VLOOKUP($A37,'[1]INPUT_ASSUMPTIONS CALC'!$A$13:$CK$1019,F$7,FALSE),IF($F$5="Q2",VLOOKUP($A37,'[1]INPUT_ASSUMPTIONS CALC'!$A$13:$CK$1019,F$7,FALSE),IF($F$5="Q3",VLOOKUP($A37,'[1]INPUT_ASSUMPTIONS CALC'!$A$13:$CK$1019,F$7,FALSE),IF($F$5="Q4",VLOOKUP($A37,'[1]INPUT_ASSUMPTIONS CALC'!$A$13:$CK$1019,F$7,FALSE),IF($F$5="Year",VLOOKUP($A37,'[1]INPUT_ASSUMPTIONS CALC'!$A$13:$CK$1019,F$7,FALSE),0)))))</f>
        <v>395525</v>
      </c>
      <c r="G37" s="137">
        <f>SUMIF('[1]INPUT_ASSUMPTIONS CALC'!A:A,'[1]Summary calculation'!A37,'[1]INPUT_ASSUMPTIONS CALC'!BU:BU)</f>
        <v>1</v>
      </c>
      <c r="H37" s="138">
        <f>IF($F$5="Year",F37*G37*'[1]INPUT_ASSUMPTIONS CALC'!$S$7,F37*G37)</f>
        <v>395525</v>
      </c>
      <c r="I37" s="138">
        <f>H37*VLOOKUP($A37,'[1]INPUT_ASSUMPTIONS CALC'!$A$13:$CK$1019,H$6,FALSE)*SUMIF('[1]INPUT_ASSUMPTIONS CALC'!$CL$15:$CL$17,'[1]Summary calculation'!E37,'[1]INPUT_ASSUMPTIONS CALC'!$CM$15:$CM$17)</f>
        <v>316420</v>
      </c>
      <c r="J37" s="139">
        <f>$I37*VLOOKUP($A37,'[1]INPUT_ASSUMPTIONS CALC'!$A$13:$CK$1019,I$6,FALSE)*VLOOKUP($A37,'[1]INPUT_ASSUMPTIONS CALC'!$A$13:$CK$1019,J$7,FALSE)</f>
        <v>104418.59999999999</v>
      </c>
      <c r="K37" s="139">
        <f>$I37*VLOOKUP($A37,'[1]INPUT_ASSUMPTIONS CALC'!$A$13:$CK$1019,I$6,FALSE)*VLOOKUP($A37,'[1]INPUT_ASSUMPTIONS CALC'!$A$13:$CK$1019,K$7,FALSE)</f>
        <v>87015.5</v>
      </c>
      <c r="L37" s="139">
        <f>$I37*VLOOKUP($A37,'[1]INPUT_ASSUMPTIONS CALC'!$A$13:$CK$1019,I$6,FALSE)*VLOOKUP($A37,'[1]INPUT_ASSUMPTIONS CALC'!$A$13:$CK$1019,L$7,FALSE)</f>
        <v>87015.5</v>
      </c>
      <c r="M37" s="139">
        <f>$I37*VLOOKUP($A37,'[1]INPUT_ASSUMPTIONS CALC'!$A$13:$CK$1019,I$6,FALSE)*VLOOKUP($A37,'[1]INPUT_ASSUMPTIONS CALC'!$A$13:$CK$1019,M$7,FALSE)</f>
        <v>69612.39999999998</v>
      </c>
      <c r="N37" s="140">
        <f t="shared" si="3"/>
        <v>348061.99999999994</v>
      </c>
      <c r="O37" s="141">
        <f>H37*VLOOKUP($A37,'[1]INPUT_ASSUMPTIONS CALC'!$A$13:$CK$1019,H$6,FALSE)*SUMIF('[1]INPUT_ASSUMPTIONS CALC'!$CQ$15:$CQ$17,'[1]Summary calculation'!E37,'[1]INPUT_ASSUMPTIONS CALC'!$CR$15:$CR$17)</f>
        <v>79105</v>
      </c>
      <c r="P37" s="141">
        <f>H37*VLOOKUP($A37,'[1]INPUT_ASSUMPTIONS CALC'!$A$13:$CK$1019,H$6,FALSE)*SUMIF('[1]INPUT_ASSUMPTIONS CALC'!$CV$15:$CV$31,'[1]Summary calculation'!E37,'[1]INPUT_ASSUMPTIONS CALC'!$CW$15:$CW$31)</f>
        <v>0</v>
      </c>
      <c r="Q37" s="141">
        <f>O37*VLOOKUP($A37,'[1]INPUT_ASSUMPTIONS CALC'!$A$13:$CK$1019,Q$7,FALSE)</f>
        <v>79105</v>
      </c>
      <c r="R37" s="141">
        <f>P37*VLOOKUP($A37,'[1]INPUT_ASSUMPTIONS CALC'!$A$13:$CK$1019,R$7,FALSE)</f>
        <v>0</v>
      </c>
      <c r="S37" s="140">
        <f t="shared" si="1"/>
        <v>79105</v>
      </c>
      <c r="T37" s="142">
        <f t="shared" si="2"/>
        <v>427167</v>
      </c>
      <c r="U37" s="61"/>
    </row>
    <row r="38" spans="1:21" x14ac:dyDescent="0.35">
      <c r="A38" s="125" t="str">
        <f t="shared" si="0"/>
        <v>30Q2</v>
      </c>
      <c r="B38" s="135">
        <v>30</v>
      </c>
      <c r="C38" s="61" t="str">
        <f>INDEX('[1]INPUT_ASSUMPTIONS CALC'!D:D,MATCH(A38,'[1]INPUT_ASSUMPTIONS CALC'!A:A,0))</f>
        <v>Kassenova Gulshat</v>
      </c>
      <c r="D38" s="61" t="str">
        <f>INDEX('[1]INPUT_ASSUMPTIONS CALC'!I:I,MATCH(A38,'[1]INPUT_ASSUMPTIONS CALC'!A:A,0))</f>
        <v>Line 1</v>
      </c>
      <c r="E38" s="61" t="str">
        <f>INDEX('[1]INPUT_ASSUMPTIONS CALC'!E:E,MATCH(A38,'[1]INPUT_ASSUMPTIONS CALC'!A:A,0))</f>
        <v>Medical Representative</v>
      </c>
      <c r="F38" s="136">
        <f>IF($F$5="Q1",VLOOKUP($A38,'[1]INPUT_ASSUMPTIONS CALC'!$A$13:$CK$1019,F$7,FALSE),IF($F$5="Q2",VLOOKUP($A38,'[1]INPUT_ASSUMPTIONS CALC'!$A$13:$CK$1019,F$7,FALSE),IF($F$5="Q3",VLOOKUP($A38,'[1]INPUT_ASSUMPTIONS CALC'!$A$13:$CK$1019,F$7,FALSE),IF($F$5="Q4",VLOOKUP($A38,'[1]INPUT_ASSUMPTIONS CALC'!$A$13:$CK$1019,F$7,FALSE),IF($F$5="Year",VLOOKUP($A38,'[1]INPUT_ASSUMPTIONS CALC'!$A$13:$CK$1019,F$7,FALSE),0)))))</f>
        <v>395525</v>
      </c>
      <c r="G38" s="137">
        <f>SUMIF('[1]INPUT_ASSUMPTIONS CALC'!A:A,'[1]Summary calculation'!A38,'[1]INPUT_ASSUMPTIONS CALC'!BU:BU)</f>
        <v>1</v>
      </c>
      <c r="H38" s="138">
        <f>IF($F$5="Year",F38*G38*'[1]INPUT_ASSUMPTIONS CALC'!$S$7,F38*G38)</f>
        <v>395525</v>
      </c>
      <c r="I38" s="138">
        <f>H38*VLOOKUP($A38,'[1]INPUT_ASSUMPTIONS CALC'!$A$13:$CK$1019,H$6,FALSE)*SUMIF('[1]INPUT_ASSUMPTIONS CALC'!$CL$15:$CL$17,'[1]Summary calculation'!E38,'[1]INPUT_ASSUMPTIONS CALC'!$CM$15:$CM$17)</f>
        <v>316420</v>
      </c>
      <c r="J38" s="139">
        <f>$I38*VLOOKUP($A38,'[1]INPUT_ASSUMPTIONS CALC'!$A$13:$CK$1019,I$6,FALSE)*VLOOKUP($A38,'[1]INPUT_ASSUMPTIONS CALC'!$A$13:$CK$1019,J$7,FALSE)</f>
        <v>268957</v>
      </c>
      <c r="K38" s="139">
        <f>$I38*VLOOKUP($A38,'[1]INPUT_ASSUMPTIONS CALC'!$A$13:$CK$1019,I$6,FALSE)*VLOOKUP($A38,'[1]INPUT_ASSUMPTIONS CALC'!$A$13:$CK$1019,K$7,FALSE)</f>
        <v>188269.9</v>
      </c>
      <c r="L38" s="139">
        <f>$I38*VLOOKUP($A38,'[1]INPUT_ASSUMPTIONS CALC'!$A$13:$CK$1019,I$6,FALSE)*VLOOKUP($A38,'[1]INPUT_ASSUMPTIONS CALC'!$A$13:$CK$1019,L$7,FALSE)</f>
        <v>53791.4</v>
      </c>
      <c r="M38" s="139">
        <f>$I38*VLOOKUP($A38,'[1]INPUT_ASSUMPTIONS CALC'!$A$13:$CK$1019,I$6,FALSE)*VLOOKUP($A38,'[1]INPUT_ASSUMPTIONS CALC'!$A$13:$CK$1019,M$7,FALSE)</f>
        <v>26895.700000000008</v>
      </c>
      <c r="N38" s="140">
        <f t="shared" si="3"/>
        <v>537914</v>
      </c>
      <c r="O38" s="141">
        <f>H38*VLOOKUP($A38,'[1]INPUT_ASSUMPTIONS CALC'!$A$13:$CK$1019,H$6,FALSE)*SUMIF('[1]INPUT_ASSUMPTIONS CALC'!$CQ$15:$CQ$17,'[1]Summary calculation'!E38,'[1]INPUT_ASSUMPTIONS CALC'!$CR$15:$CR$17)</f>
        <v>79105</v>
      </c>
      <c r="P38" s="141">
        <f>H38*VLOOKUP($A38,'[1]INPUT_ASSUMPTIONS CALC'!$A$13:$CK$1019,H$6,FALSE)*SUMIF('[1]INPUT_ASSUMPTIONS CALC'!$CV$15:$CV$31,'[1]Summary calculation'!E38,'[1]INPUT_ASSUMPTIONS CALC'!$CW$15:$CW$31)</f>
        <v>0</v>
      </c>
      <c r="Q38" s="141">
        <f>O38*VLOOKUP($A38,'[1]INPUT_ASSUMPTIONS CALC'!$A$13:$CK$1019,Q$7,FALSE)</f>
        <v>39552.5</v>
      </c>
      <c r="R38" s="141">
        <f>P38*VLOOKUP($A38,'[1]INPUT_ASSUMPTIONS CALC'!$A$13:$CK$1019,R$7,FALSE)</f>
        <v>0</v>
      </c>
      <c r="S38" s="140">
        <f t="shared" si="1"/>
        <v>39552.5</v>
      </c>
      <c r="T38" s="142">
        <f t="shared" si="2"/>
        <v>577467</v>
      </c>
      <c r="U38" s="61"/>
    </row>
    <row r="39" spans="1:21" x14ac:dyDescent="0.35">
      <c r="A39" s="125" t="str">
        <f t="shared" si="0"/>
        <v>31Q2</v>
      </c>
      <c r="B39" s="135">
        <v>31</v>
      </c>
      <c r="C39" s="61" t="str">
        <f>INDEX('[1]INPUT_ASSUMPTIONS CALC'!D:D,MATCH(A39,'[1]INPUT_ASSUMPTIONS CALC'!A:A,0))</f>
        <v>Khalikova Nuriya</v>
      </c>
      <c r="D39" s="61" t="str">
        <f>INDEX('[1]INPUT_ASSUMPTIONS CALC'!I:I,MATCH(A39,'[1]INPUT_ASSUMPTIONS CALC'!A:A,0))</f>
        <v>Line 1</v>
      </c>
      <c r="E39" s="61" t="str">
        <f>INDEX('[1]INPUT_ASSUMPTIONS CALC'!E:E,MATCH(A39,'[1]INPUT_ASSUMPTIONS CALC'!A:A,0))</f>
        <v>Medical Representative</v>
      </c>
      <c r="F39" s="136">
        <f>IF($F$5="Q1",VLOOKUP($A39,'[1]INPUT_ASSUMPTIONS CALC'!$A$13:$CK$1019,F$7,FALSE),IF($F$5="Q2",VLOOKUP($A39,'[1]INPUT_ASSUMPTIONS CALC'!$A$13:$CK$1019,F$7,FALSE),IF($F$5="Q3",VLOOKUP($A39,'[1]INPUT_ASSUMPTIONS CALC'!$A$13:$CK$1019,F$7,FALSE),IF($F$5="Q4",VLOOKUP($A39,'[1]INPUT_ASSUMPTIONS CALC'!$A$13:$CK$1019,F$7,FALSE),IF($F$5="Year",VLOOKUP($A39,'[1]INPUT_ASSUMPTIONS CALC'!$A$13:$CK$1019,F$7,FALSE),0)))))</f>
        <v>395525</v>
      </c>
      <c r="G39" s="137">
        <f>SUMIF('[1]INPUT_ASSUMPTIONS CALC'!A:A,'[1]Summary calculation'!A39,'[1]INPUT_ASSUMPTIONS CALC'!BU:BU)</f>
        <v>1</v>
      </c>
      <c r="H39" s="138">
        <f>IF($F$5="Year",F39*G39*'[1]INPUT_ASSUMPTIONS CALC'!$S$7,F39*G39)</f>
        <v>395525</v>
      </c>
      <c r="I39" s="138">
        <f>H39*VLOOKUP($A39,'[1]INPUT_ASSUMPTIONS CALC'!$A$13:$CK$1019,H$6,FALSE)*SUMIF('[1]INPUT_ASSUMPTIONS CALC'!$CL$15:$CL$17,'[1]Summary calculation'!E39,'[1]INPUT_ASSUMPTIONS CALC'!$CM$15:$CM$17)</f>
        <v>316420</v>
      </c>
      <c r="J39" s="139">
        <f>$I39*VLOOKUP($A39,'[1]INPUT_ASSUMPTIONS CALC'!$A$13:$CK$1019,I$6,FALSE)*VLOOKUP($A39,'[1]INPUT_ASSUMPTIONS CALC'!$A$13:$CK$1019,J$7,FALSE)</f>
        <v>395525</v>
      </c>
      <c r="K39" s="139">
        <f>$I39*VLOOKUP($A39,'[1]INPUT_ASSUMPTIONS CALC'!$A$13:$CK$1019,I$6,FALSE)*VLOOKUP($A39,'[1]INPUT_ASSUMPTIONS CALC'!$A$13:$CK$1019,K$7,FALSE)</f>
        <v>276867.5</v>
      </c>
      <c r="L39" s="139">
        <f>$I39*VLOOKUP($A39,'[1]INPUT_ASSUMPTIONS CALC'!$A$13:$CK$1019,I$6,FALSE)*VLOOKUP($A39,'[1]INPUT_ASSUMPTIONS CALC'!$A$13:$CK$1019,L$7,FALSE)</f>
        <v>79105</v>
      </c>
      <c r="M39" s="139">
        <f>$I39*VLOOKUP($A39,'[1]INPUT_ASSUMPTIONS CALC'!$A$13:$CK$1019,I$6,FALSE)*VLOOKUP($A39,'[1]INPUT_ASSUMPTIONS CALC'!$A$13:$CK$1019,M$7,FALSE)</f>
        <v>39552.500000000015</v>
      </c>
      <c r="N39" s="140">
        <f t="shared" si="3"/>
        <v>791050</v>
      </c>
      <c r="O39" s="141">
        <f>H39*VLOOKUP($A39,'[1]INPUT_ASSUMPTIONS CALC'!$A$13:$CK$1019,H$6,FALSE)*SUMIF('[1]INPUT_ASSUMPTIONS CALC'!$CQ$15:$CQ$17,'[1]Summary calculation'!E39,'[1]INPUT_ASSUMPTIONS CALC'!$CR$15:$CR$17)</f>
        <v>79105</v>
      </c>
      <c r="P39" s="141">
        <f>H39*VLOOKUP($A39,'[1]INPUT_ASSUMPTIONS CALC'!$A$13:$CK$1019,H$6,FALSE)*SUMIF('[1]INPUT_ASSUMPTIONS CALC'!$CV$15:$CV$31,'[1]Summary calculation'!E39,'[1]INPUT_ASSUMPTIONS CALC'!$CW$15:$CW$31)</f>
        <v>0</v>
      </c>
      <c r="Q39" s="141">
        <f>O39*VLOOKUP($A39,'[1]INPUT_ASSUMPTIONS CALC'!$A$13:$CK$1019,Q$7,FALSE)</f>
        <v>79105</v>
      </c>
      <c r="R39" s="141">
        <f>P39*VLOOKUP($A39,'[1]INPUT_ASSUMPTIONS CALC'!$A$13:$CK$1019,R$7,FALSE)</f>
        <v>0</v>
      </c>
      <c r="S39" s="140">
        <f t="shared" si="1"/>
        <v>79105</v>
      </c>
      <c r="T39" s="142">
        <f t="shared" si="2"/>
        <v>870155</v>
      </c>
      <c r="U39" s="61"/>
    </row>
    <row r="40" spans="1:21" x14ac:dyDescent="0.35">
      <c r="A40" s="125" t="str">
        <f t="shared" si="0"/>
        <v>32Q2</v>
      </c>
      <c r="B40" s="135">
        <v>32</v>
      </c>
      <c r="C40" s="61" t="str">
        <f>INDEX('[1]INPUT_ASSUMPTIONS CALC'!D:D,MATCH(A40,'[1]INPUT_ASSUMPTIONS CALC'!A:A,0))</f>
        <v>Kuchshanova Akmaral</v>
      </c>
      <c r="D40" s="61" t="str">
        <f>INDEX('[1]INPUT_ASSUMPTIONS CALC'!I:I,MATCH(A40,'[1]INPUT_ASSUMPTIONS CALC'!A:A,0))</f>
        <v>Line 2 (big cities)</v>
      </c>
      <c r="E40" s="61" t="str">
        <f>INDEX('[1]INPUT_ASSUMPTIONS CALC'!E:E,MATCH(A40,'[1]INPUT_ASSUMPTIONS CALC'!A:A,0))</f>
        <v>Medical Representative</v>
      </c>
      <c r="F40" s="136">
        <f>IF($F$5="Q1",VLOOKUP($A40,'[1]INPUT_ASSUMPTIONS CALC'!$A$13:$CK$1019,F$7,FALSE),IF($F$5="Q2",VLOOKUP($A40,'[1]INPUT_ASSUMPTIONS CALC'!$A$13:$CK$1019,F$7,FALSE),IF($F$5="Q3",VLOOKUP($A40,'[1]INPUT_ASSUMPTIONS CALC'!$A$13:$CK$1019,F$7,FALSE),IF($F$5="Q4",VLOOKUP($A40,'[1]INPUT_ASSUMPTIONS CALC'!$A$13:$CK$1019,F$7,FALSE),IF($F$5="Year",VLOOKUP($A40,'[1]INPUT_ASSUMPTIONS CALC'!$A$13:$CK$1019,F$7,FALSE),0)))))</f>
        <v>395525</v>
      </c>
      <c r="G40" s="137">
        <f>SUMIF('[1]INPUT_ASSUMPTIONS CALC'!A:A,'[1]Summary calculation'!A40,'[1]INPUT_ASSUMPTIONS CALC'!BU:BU)</f>
        <v>1</v>
      </c>
      <c r="H40" s="138">
        <f>IF($F$5="Year",F40*G40*'[1]INPUT_ASSUMPTIONS CALC'!$S$7,F40*G40)</f>
        <v>395525</v>
      </c>
      <c r="I40" s="138">
        <f>H40*VLOOKUP($A40,'[1]INPUT_ASSUMPTIONS CALC'!$A$13:$CK$1019,H$6,FALSE)*SUMIF('[1]INPUT_ASSUMPTIONS CALC'!$CL$15:$CL$17,'[1]Summary calculation'!E40,'[1]INPUT_ASSUMPTIONS CALC'!$CM$15:$CM$17)</f>
        <v>316420</v>
      </c>
      <c r="J40" s="139">
        <f>$I40*VLOOKUP($A40,'[1]INPUT_ASSUMPTIONS CALC'!$A$13:$CK$1019,I$6,FALSE)*VLOOKUP($A40,'[1]INPUT_ASSUMPTIONS CALC'!$A$13:$CK$1019,J$7,FALSE)</f>
        <v>31642</v>
      </c>
      <c r="K40" s="139">
        <f>$I40*VLOOKUP($A40,'[1]INPUT_ASSUMPTIONS CALC'!$A$13:$CK$1019,I$6,FALSE)*VLOOKUP($A40,'[1]INPUT_ASSUMPTIONS CALC'!$A$13:$CK$1019,K$7,FALSE)</f>
        <v>94926</v>
      </c>
      <c r="L40" s="139">
        <f>$I40*VLOOKUP($A40,'[1]INPUT_ASSUMPTIONS CALC'!$A$13:$CK$1019,I$6,FALSE)*VLOOKUP($A40,'[1]INPUT_ASSUMPTIONS CALC'!$A$13:$CK$1019,L$7,FALSE)</f>
        <v>94926</v>
      </c>
      <c r="M40" s="139">
        <f>$I40*VLOOKUP($A40,'[1]INPUT_ASSUMPTIONS CALC'!$A$13:$CK$1019,I$6,FALSE)*VLOOKUP($A40,'[1]INPUT_ASSUMPTIONS CALC'!$A$13:$CK$1019,M$7,FALSE)</f>
        <v>94926.000000000029</v>
      </c>
      <c r="N40" s="140">
        <f t="shared" si="3"/>
        <v>316420</v>
      </c>
      <c r="O40" s="141">
        <f>H40*VLOOKUP($A40,'[1]INPUT_ASSUMPTIONS CALC'!$A$13:$CK$1019,H$6,FALSE)*SUMIF('[1]INPUT_ASSUMPTIONS CALC'!$CQ$15:$CQ$17,'[1]Summary calculation'!E40,'[1]INPUT_ASSUMPTIONS CALC'!$CR$15:$CR$17)</f>
        <v>79105</v>
      </c>
      <c r="P40" s="141">
        <f>H40*VLOOKUP($A40,'[1]INPUT_ASSUMPTIONS CALC'!$A$13:$CK$1019,H$6,FALSE)*SUMIF('[1]INPUT_ASSUMPTIONS CALC'!$CV$15:$CV$31,'[1]Summary calculation'!E40,'[1]INPUT_ASSUMPTIONS CALC'!$CW$15:$CW$31)</f>
        <v>0</v>
      </c>
      <c r="Q40" s="141">
        <f>O40*VLOOKUP($A40,'[1]INPUT_ASSUMPTIONS CALC'!$A$13:$CK$1019,Q$7,FALSE)</f>
        <v>79105</v>
      </c>
      <c r="R40" s="141">
        <f>P40*VLOOKUP($A40,'[1]INPUT_ASSUMPTIONS CALC'!$A$13:$CK$1019,R$7,FALSE)</f>
        <v>0</v>
      </c>
      <c r="S40" s="140">
        <f t="shared" si="1"/>
        <v>79105</v>
      </c>
      <c r="T40" s="142">
        <f t="shared" si="2"/>
        <v>395525</v>
      </c>
      <c r="U40" s="61"/>
    </row>
    <row r="41" spans="1:21" x14ac:dyDescent="0.35">
      <c r="A41" s="125" t="str">
        <f t="shared" si="0"/>
        <v>33Q2</v>
      </c>
      <c r="B41" s="135">
        <v>33</v>
      </c>
      <c r="C41" s="61" t="str">
        <f>INDEX('[1]INPUT_ASSUMPTIONS CALC'!D:D,MATCH(A41,'[1]INPUT_ASSUMPTIONS CALC'!A:A,0))</f>
        <v>Kussainova Dilara</v>
      </c>
      <c r="D41" s="61" t="str">
        <f>INDEX('[1]INPUT_ASSUMPTIONS CALC'!I:I,MATCH(A41,'[1]INPUT_ASSUMPTIONS CALC'!A:A,0))</f>
        <v>Line 2 (big cities)</v>
      </c>
      <c r="E41" s="61" t="str">
        <f>INDEX('[1]INPUT_ASSUMPTIONS CALC'!E:E,MATCH(A41,'[1]INPUT_ASSUMPTIONS CALC'!A:A,0))</f>
        <v>Medical Representative</v>
      </c>
      <c r="F41" s="136">
        <f>IF($F$5="Q1",VLOOKUP($A41,'[1]INPUT_ASSUMPTIONS CALC'!$A$13:$CK$1019,F$7,FALSE),IF($F$5="Q2",VLOOKUP($A41,'[1]INPUT_ASSUMPTIONS CALC'!$A$13:$CK$1019,F$7,FALSE),IF($F$5="Q3",VLOOKUP($A41,'[1]INPUT_ASSUMPTIONS CALC'!$A$13:$CK$1019,F$7,FALSE),IF($F$5="Q4",VLOOKUP($A41,'[1]INPUT_ASSUMPTIONS CALC'!$A$13:$CK$1019,F$7,FALSE),IF($F$5="Year",VLOOKUP($A41,'[1]INPUT_ASSUMPTIONS CALC'!$A$13:$CK$1019,F$7,FALSE),0)))))</f>
        <v>395525</v>
      </c>
      <c r="G41" s="137">
        <f>SUMIF('[1]INPUT_ASSUMPTIONS CALC'!A:A,'[1]Summary calculation'!A41,'[1]INPUT_ASSUMPTIONS CALC'!BU:BU)</f>
        <v>1</v>
      </c>
      <c r="H41" s="138">
        <f>IF($F$5="Year",F41*G41*'[1]INPUT_ASSUMPTIONS CALC'!$S$7,F41*G41)</f>
        <v>395525</v>
      </c>
      <c r="I41" s="138">
        <f>H41*VLOOKUP($A41,'[1]INPUT_ASSUMPTIONS CALC'!$A$13:$CK$1019,H$6,FALSE)*SUMIF('[1]INPUT_ASSUMPTIONS CALC'!$CL$15:$CL$17,'[1]Summary calculation'!E41,'[1]INPUT_ASSUMPTIONS CALC'!$CM$15:$CM$17)</f>
        <v>316420</v>
      </c>
      <c r="J41" s="139">
        <f>$I41*VLOOKUP($A41,'[1]INPUT_ASSUMPTIONS CALC'!$A$13:$CK$1019,I$6,FALSE)*VLOOKUP($A41,'[1]INPUT_ASSUMPTIONS CALC'!$A$13:$CK$1019,J$7,FALSE)</f>
        <v>44298.8</v>
      </c>
      <c r="K41" s="139">
        <f>$I41*VLOOKUP($A41,'[1]INPUT_ASSUMPTIONS CALC'!$A$13:$CK$1019,I$6,FALSE)*VLOOKUP($A41,'[1]INPUT_ASSUMPTIONS CALC'!$A$13:$CK$1019,K$7,FALSE)</f>
        <v>132896.4</v>
      </c>
      <c r="L41" s="139">
        <f>$I41*VLOOKUP($A41,'[1]INPUT_ASSUMPTIONS CALC'!$A$13:$CK$1019,I$6,FALSE)*VLOOKUP($A41,'[1]INPUT_ASSUMPTIONS CALC'!$A$13:$CK$1019,L$7,FALSE)</f>
        <v>132896.4</v>
      </c>
      <c r="M41" s="139">
        <f>$I41*VLOOKUP($A41,'[1]INPUT_ASSUMPTIONS CALC'!$A$13:$CK$1019,I$6,FALSE)*VLOOKUP($A41,'[1]INPUT_ASSUMPTIONS CALC'!$A$13:$CK$1019,M$7,FALSE)</f>
        <v>132896.40000000005</v>
      </c>
      <c r="N41" s="140">
        <f t="shared" si="3"/>
        <v>442988</v>
      </c>
      <c r="O41" s="141">
        <f>H41*VLOOKUP($A41,'[1]INPUT_ASSUMPTIONS CALC'!$A$13:$CK$1019,H$6,FALSE)*SUMIF('[1]INPUT_ASSUMPTIONS CALC'!$CQ$15:$CQ$17,'[1]Summary calculation'!E41,'[1]INPUT_ASSUMPTIONS CALC'!$CR$15:$CR$17)</f>
        <v>79105</v>
      </c>
      <c r="P41" s="141">
        <f>H41*VLOOKUP($A41,'[1]INPUT_ASSUMPTIONS CALC'!$A$13:$CK$1019,H$6,FALSE)*SUMIF('[1]INPUT_ASSUMPTIONS CALC'!$CV$15:$CV$31,'[1]Summary calculation'!E41,'[1]INPUT_ASSUMPTIONS CALC'!$CW$15:$CW$31)</f>
        <v>0</v>
      </c>
      <c r="Q41" s="141">
        <f>O41*VLOOKUP($A41,'[1]INPUT_ASSUMPTIONS CALC'!$A$13:$CK$1019,Q$7,FALSE)</f>
        <v>79105</v>
      </c>
      <c r="R41" s="141">
        <f>P41*VLOOKUP($A41,'[1]INPUT_ASSUMPTIONS CALC'!$A$13:$CK$1019,R$7,FALSE)</f>
        <v>0</v>
      </c>
      <c r="S41" s="140">
        <f t="shared" si="1"/>
        <v>79105</v>
      </c>
      <c r="T41" s="142">
        <f t="shared" si="2"/>
        <v>522093</v>
      </c>
      <c r="U41" s="61"/>
    </row>
    <row r="42" spans="1:21" x14ac:dyDescent="0.35">
      <c r="A42" s="125" t="str">
        <f t="shared" si="0"/>
        <v>34Q2</v>
      </c>
      <c r="B42" s="135">
        <v>34</v>
      </c>
      <c r="C42" s="61" t="str">
        <f>INDEX('[1]INPUT_ASSUMPTIONS CALC'!D:D,MATCH(A42,'[1]INPUT_ASSUMPTIONS CALC'!A:A,0))</f>
        <v>Kutdussova Liliya</v>
      </c>
      <c r="D42" s="61" t="str">
        <f>INDEX('[1]INPUT_ASSUMPTIONS CALC'!I:I,MATCH(A42,'[1]INPUT_ASSUMPTIONS CALC'!A:A,0))</f>
        <v>Line 2 (big cities)</v>
      </c>
      <c r="E42" s="61" t="str">
        <f>INDEX('[1]INPUT_ASSUMPTIONS CALC'!E:E,MATCH(A42,'[1]INPUT_ASSUMPTIONS CALC'!A:A,0))</f>
        <v>Medical Representative</v>
      </c>
      <c r="F42" s="136">
        <f>IF($F$5="Q1",VLOOKUP($A42,'[1]INPUT_ASSUMPTIONS CALC'!$A$13:$CK$1019,F$7,FALSE),IF($F$5="Q2",VLOOKUP($A42,'[1]INPUT_ASSUMPTIONS CALC'!$A$13:$CK$1019,F$7,FALSE),IF($F$5="Q3",VLOOKUP($A42,'[1]INPUT_ASSUMPTIONS CALC'!$A$13:$CK$1019,F$7,FALSE),IF($F$5="Q4",VLOOKUP($A42,'[1]INPUT_ASSUMPTIONS CALC'!$A$13:$CK$1019,F$7,FALSE),IF($F$5="Year",VLOOKUP($A42,'[1]INPUT_ASSUMPTIONS CALC'!$A$13:$CK$1019,F$7,FALSE),0)))))</f>
        <v>395525</v>
      </c>
      <c r="G42" s="137">
        <f>SUMIF('[1]INPUT_ASSUMPTIONS CALC'!A:A,'[1]Summary calculation'!A42,'[1]INPUT_ASSUMPTIONS CALC'!BU:BU)</f>
        <v>1</v>
      </c>
      <c r="H42" s="138">
        <f>IF($F$5="Year",F42*G42*'[1]INPUT_ASSUMPTIONS CALC'!$S$7,F42*G42)</f>
        <v>395525</v>
      </c>
      <c r="I42" s="138">
        <f>H42*VLOOKUP($A42,'[1]INPUT_ASSUMPTIONS CALC'!$A$13:$CK$1019,H$6,FALSE)*SUMIF('[1]INPUT_ASSUMPTIONS CALC'!$CL$15:$CL$17,'[1]Summary calculation'!E42,'[1]INPUT_ASSUMPTIONS CALC'!$CM$15:$CM$17)</f>
        <v>0</v>
      </c>
      <c r="J42" s="139">
        <f>$I42*VLOOKUP($A42,'[1]INPUT_ASSUMPTIONS CALC'!$A$13:$CK$1019,I$6,FALSE)*VLOOKUP($A42,'[1]INPUT_ASSUMPTIONS CALC'!$A$13:$CK$1019,J$7,FALSE)</f>
        <v>0</v>
      </c>
      <c r="K42" s="139">
        <f>$I42*VLOOKUP($A42,'[1]INPUT_ASSUMPTIONS CALC'!$A$13:$CK$1019,I$6,FALSE)*VLOOKUP($A42,'[1]INPUT_ASSUMPTIONS CALC'!$A$13:$CK$1019,K$7,FALSE)</f>
        <v>0</v>
      </c>
      <c r="L42" s="139">
        <f>$I42*VLOOKUP($A42,'[1]INPUT_ASSUMPTIONS CALC'!$A$13:$CK$1019,I$6,FALSE)*VLOOKUP($A42,'[1]INPUT_ASSUMPTIONS CALC'!$A$13:$CK$1019,L$7,FALSE)</f>
        <v>0</v>
      </c>
      <c r="M42" s="139">
        <f>$I42*VLOOKUP($A42,'[1]INPUT_ASSUMPTIONS CALC'!$A$13:$CK$1019,I$6,FALSE)*VLOOKUP($A42,'[1]INPUT_ASSUMPTIONS CALC'!$A$13:$CK$1019,M$7,FALSE)</f>
        <v>0</v>
      </c>
      <c r="N42" s="140">
        <f t="shared" si="3"/>
        <v>0</v>
      </c>
      <c r="O42" s="141">
        <f>H42*VLOOKUP($A42,'[1]INPUT_ASSUMPTIONS CALC'!$A$13:$CK$1019,H$6,FALSE)*SUMIF('[1]INPUT_ASSUMPTIONS CALC'!$CQ$15:$CQ$17,'[1]Summary calculation'!E42,'[1]INPUT_ASSUMPTIONS CALC'!$CR$15:$CR$17)</f>
        <v>0</v>
      </c>
      <c r="P42" s="141">
        <f>H42*VLOOKUP($A42,'[1]INPUT_ASSUMPTIONS CALC'!$A$13:$CK$1019,H$6,FALSE)*SUMIF('[1]INPUT_ASSUMPTIONS CALC'!$CV$15:$CV$31,'[1]Summary calculation'!E42,'[1]INPUT_ASSUMPTIONS CALC'!$CW$15:$CW$31)</f>
        <v>0</v>
      </c>
      <c r="Q42" s="141">
        <f>O42*VLOOKUP($A42,'[1]INPUT_ASSUMPTIONS CALC'!$A$13:$CK$1019,Q$7,FALSE)</f>
        <v>0</v>
      </c>
      <c r="R42" s="141">
        <f>P42*VLOOKUP($A42,'[1]INPUT_ASSUMPTIONS CALC'!$A$13:$CK$1019,R$7,FALSE)</f>
        <v>0</v>
      </c>
      <c r="S42" s="140">
        <f t="shared" si="1"/>
        <v>0</v>
      </c>
      <c r="T42" s="142">
        <f t="shared" si="2"/>
        <v>0</v>
      </c>
      <c r="U42" s="61"/>
    </row>
    <row r="43" spans="1:21" x14ac:dyDescent="0.35">
      <c r="A43" s="125" t="str">
        <f t="shared" si="0"/>
        <v>35Q2</v>
      </c>
      <c r="B43" s="135">
        <v>35</v>
      </c>
      <c r="C43" s="61" t="str">
        <f>INDEX('[1]INPUT_ASSUMPTIONS CALC'!D:D,MATCH(A43,'[1]INPUT_ASSUMPTIONS CALC'!A:A,0))</f>
        <v>Kutlymuratov Assylatdin</v>
      </c>
      <c r="D43" s="61" t="str">
        <f>INDEX('[1]INPUT_ASSUMPTIONS CALC'!I:I,MATCH(A43,'[1]INPUT_ASSUMPTIONS CALC'!A:A,0))</f>
        <v>Line 2 (big cities)</v>
      </c>
      <c r="E43" s="61" t="str">
        <f>INDEX('[1]INPUT_ASSUMPTIONS CALC'!E:E,MATCH(A43,'[1]INPUT_ASSUMPTIONS CALC'!A:A,0))</f>
        <v>Medical Representative</v>
      </c>
      <c r="F43" s="136">
        <f>IF($F$5="Q1",VLOOKUP($A43,'[1]INPUT_ASSUMPTIONS CALC'!$A$13:$CK$1019,F$7,FALSE),IF($F$5="Q2",VLOOKUP($A43,'[1]INPUT_ASSUMPTIONS CALC'!$A$13:$CK$1019,F$7,FALSE),IF($F$5="Q3",VLOOKUP($A43,'[1]INPUT_ASSUMPTIONS CALC'!$A$13:$CK$1019,F$7,FALSE),IF($F$5="Q4",VLOOKUP($A43,'[1]INPUT_ASSUMPTIONS CALC'!$A$13:$CK$1019,F$7,FALSE),IF($F$5="Year",VLOOKUP($A43,'[1]INPUT_ASSUMPTIONS CALC'!$A$13:$CK$1019,F$7,FALSE),0)))))</f>
        <v>395525</v>
      </c>
      <c r="G43" s="137">
        <f>SUMIF('[1]INPUT_ASSUMPTIONS CALC'!A:A,'[1]Summary calculation'!A43,'[1]INPUT_ASSUMPTIONS CALC'!BU:BU)</f>
        <v>1</v>
      </c>
      <c r="H43" s="138">
        <f>IF($F$5="Year",F43*G43*'[1]INPUT_ASSUMPTIONS CALC'!$S$7,F43*G43)</f>
        <v>395525</v>
      </c>
      <c r="I43" s="138">
        <f>H43*VLOOKUP($A43,'[1]INPUT_ASSUMPTIONS CALC'!$A$13:$CK$1019,H$6,FALSE)*SUMIF('[1]INPUT_ASSUMPTIONS CALC'!$CL$15:$CL$17,'[1]Summary calculation'!E43,'[1]INPUT_ASSUMPTIONS CALC'!$CM$15:$CM$17)</f>
        <v>316420</v>
      </c>
      <c r="J43" s="139">
        <f>$I43*VLOOKUP($A43,'[1]INPUT_ASSUMPTIONS CALC'!$A$13:$CK$1019,I$6,FALSE)*VLOOKUP($A43,'[1]INPUT_ASSUMPTIONS CALC'!$A$13:$CK$1019,J$7,FALSE)</f>
        <v>31642</v>
      </c>
      <c r="K43" s="139">
        <f>$I43*VLOOKUP($A43,'[1]INPUT_ASSUMPTIONS CALC'!$A$13:$CK$1019,I$6,FALSE)*VLOOKUP($A43,'[1]INPUT_ASSUMPTIONS CALC'!$A$13:$CK$1019,K$7,FALSE)</f>
        <v>94926</v>
      </c>
      <c r="L43" s="139">
        <f>$I43*VLOOKUP($A43,'[1]INPUT_ASSUMPTIONS CALC'!$A$13:$CK$1019,I$6,FALSE)*VLOOKUP($A43,'[1]INPUT_ASSUMPTIONS CALC'!$A$13:$CK$1019,L$7,FALSE)</f>
        <v>94926</v>
      </c>
      <c r="M43" s="139">
        <f>$I43*VLOOKUP($A43,'[1]INPUT_ASSUMPTIONS CALC'!$A$13:$CK$1019,I$6,FALSE)*VLOOKUP($A43,'[1]INPUT_ASSUMPTIONS CALC'!$A$13:$CK$1019,M$7,FALSE)</f>
        <v>94926.000000000029</v>
      </c>
      <c r="N43" s="140">
        <f t="shared" si="3"/>
        <v>316420</v>
      </c>
      <c r="O43" s="141">
        <f>H43*VLOOKUP($A43,'[1]INPUT_ASSUMPTIONS CALC'!$A$13:$CK$1019,H$6,FALSE)*SUMIF('[1]INPUT_ASSUMPTIONS CALC'!$CQ$15:$CQ$17,'[1]Summary calculation'!E43,'[1]INPUT_ASSUMPTIONS CALC'!$CR$15:$CR$17)</f>
        <v>79105</v>
      </c>
      <c r="P43" s="141">
        <f>H43*VLOOKUP($A43,'[1]INPUT_ASSUMPTIONS CALC'!$A$13:$CK$1019,H$6,FALSE)*SUMIF('[1]INPUT_ASSUMPTIONS CALC'!$CV$15:$CV$31,'[1]Summary calculation'!E43,'[1]INPUT_ASSUMPTIONS CALC'!$CW$15:$CW$31)</f>
        <v>0</v>
      </c>
      <c r="Q43" s="141">
        <f>O43*VLOOKUP($A43,'[1]INPUT_ASSUMPTIONS CALC'!$A$13:$CK$1019,Q$7,FALSE)</f>
        <v>39552.5</v>
      </c>
      <c r="R43" s="141">
        <f>P43*VLOOKUP($A43,'[1]INPUT_ASSUMPTIONS CALC'!$A$13:$CK$1019,R$7,FALSE)</f>
        <v>0</v>
      </c>
      <c r="S43" s="140">
        <f t="shared" si="1"/>
        <v>39552.5</v>
      </c>
      <c r="T43" s="142">
        <f t="shared" si="2"/>
        <v>355973</v>
      </c>
      <c r="U43" s="61"/>
    </row>
    <row r="44" spans="1:21" x14ac:dyDescent="0.35">
      <c r="A44" s="125" t="str">
        <f t="shared" si="0"/>
        <v>36Q2</v>
      </c>
      <c r="B44" s="135">
        <v>36</v>
      </c>
      <c r="C44" s="61" t="str">
        <f>INDEX('[1]INPUT_ASSUMPTIONS CALC'!D:D,MATCH(A44,'[1]INPUT_ASSUMPTIONS CALC'!A:A,0))</f>
        <v>Kuxa Anna</v>
      </c>
      <c r="D44" s="61" t="str">
        <f>INDEX('[1]INPUT_ASSUMPTIONS CALC'!I:I,MATCH(A44,'[1]INPUT_ASSUMPTIONS CALC'!A:A,0))</f>
        <v>Regional Manager-1</v>
      </c>
      <c r="E44" s="61" t="str">
        <f>INDEX('[1]INPUT_ASSUMPTIONS CALC'!E:E,MATCH(A44,'[1]INPUT_ASSUMPTIONS CALC'!A:A,0))</f>
        <v>Regional Manager</v>
      </c>
      <c r="F44" s="136">
        <f>IF($F$5="Q1",VLOOKUP($A44,'[1]INPUT_ASSUMPTIONS CALC'!$A$13:$CK$1019,F$7,FALSE),IF($F$5="Q2",VLOOKUP($A44,'[1]INPUT_ASSUMPTIONS CALC'!$A$13:$CK$1019,F$7,FALSE),IF($F$5="Q3",VLOOKUP($A44,'[1]INPUT_ASSUMPTIONS CALC'!$A$13:$CK$1019,F$7,FALSE),IF($F$5="Q4",VLOOKUP($A44,'[1]INPUT_ASSUMPTIONS CALC'!$A$13:$CK$1019,F$7,FALSE),IF($F$5="Year",VLOOKUP($A44,'[1]INPUT_ASSUMPTIONS CALC'!$A$13:$CK$1019,F$7,FALSE),0)))))</f>
        <v>726000</v>
      </c>
      <c r="G44" s="137">
        <f>SUMIF('[1]INPUT_ASSUMPTIONS CALC'!A:A,'[1]Summary calculation'!A44,'[1]INPUT_ASSUMPTIONS CALC'!BU:BU)</f>
        <v>1</v>
      </c>
      <c r="H44" s="138">
        <f>IF($F$5="Year",F44*G44*'[1]INPUT_ASSUMPTIONS CALC'!$S$7,F44*G44)</f>
        <v>726000</v>
      </c>
      <c r="I44" s="138">
        <f>H44*VLOOKUP($A44,'[1]INPUT_ASSUMPTIONS CALC'!$A$13:$CK$1019,H$6,FALSE)*SUMIF('[1]INPUT_ASSUMPTIONS CALC'!$CL$15:$CL$17,'[1]Summary calculation'!E44,'[1]INPUT_ASSUMPTIONS CALC'!$CM$15:$CM$17)</f>
        <v>580800</v>
      </c>
      <c r="J44" s="139">
        <f>$I44*VLOOKUP($A44,'[1]INPUT_ASSUMPTIONS CALC'!$A$13:$CK$1019,I$6,FALSE)*VLOOKUP($A44,'[1]INPUT_ASSUMPTIONS CALC'!$A$13:$CK$1019,J$7,FALSE)</f>
        <v>319440</v>
      </c>
      <c r="K44" s="139">
        <f>$I44*VLOOKUP($A44,'[1]INPUT_ASSUMPTIONS CALC'!$A$13:$CK$1019,I$6,FALSE)*VLOOKUP($A44,'[1]INPUT_ASSUMPTIONS CALC'!$A$13:$CK$1019,K$7,FALSE)</f>
        <v>159720</v>
      </c>
      <c r="L44" s="139">
        <f>$I44*VLOOKUP($A44,'[1]INPUT_ASSUMPTIONS CALC'!$A$13:$CK$1019,I$6,FALSE)*VLOOKUP($A44,'[1]INPUT_ASSUMPTIONS CALC'!$A$13:$CK$1019,L$7,FALSE)</f>
        <v>127776</v>
      </c>
      <c r="M44" s="139">
        <f>$I44*VLOOKUP($A44,'[1]INPUT_ASSUMPTIONS CALC'!$A$13:$CK$1019,I$6,FALSE)*VLOOKUP($A44,'[1]INPUT_ASSUMPTIONS CALC'!$A$13:$CK$1019,M$7,FALSE)</f>
        <v>31943.999999999993</v>
      </c>
      <c r="N44" s="140">
        <f t="shared" si="3"/>
        <v>638880</v>
      </c>
      <c r="O44" s="141">
        <f>H44*VLOOKUP($A44,'[1]INPUT_ASSUMPTIONS CALC'!$A$13:$CK$1019,H$6,FALSE)*SUMIF('[1]INPUT_ASSUMPTIONS CALC'!$CQ$15:$CQ$17,'[1]Summary calculation'!E44,'[1]INPUT_ASSUMPTIONS CALC'!$CR$15:$CR$17)</f>
        <v>72600</v>
      </c>
      <c r="P44" s="141">
        <f>H44*VLOOKUP($A44,'[1]INPUT_ASSUMPTIONS CALC'!$A$13:$CK$1019,H$6,FALSE)*SUMIF('[1]INPUT_ASSUMPTIONS CALC'!$CV$15:$CV$31,'[1]Summary calculation'!E44,'[1]INPUT_ASSUMPTIONS CALC'!$CW$15:$CW$31)</f>
        <v>72600</v>
      </c>
      <c r="Q44" s="141">
        <f>O44*VLOOKUP($A44,'[1]INPUT_ASSUMPTIONS CALC'!$A$13:$CK$1019,Q$7,FALSE)</f>
        <v>36300</v>
      </c>
      <c r="R44" s="141">
        <f>P44*VLOOKUP($A44,'[1]INPUT_ASSUMPTIONS CALC'!$A$13:$CK$1019,R$7,FALSE)</f>
        <v>72600</v>
      </c>
      <c r="S44" s="140">
        <f t="shared" si="1"/>
        <v>108900</v>
      </c>
      <c r="T44" s="142">
        <f t="shared" si="2"/>
        <v>747780</v>
      </c>
      <c r="U44" s="61"/>
    </row>
    <row r="45" spans="1:21" x14ac:dyDescent="0.35">
      <c r="A45" s="125" t="str">
        <f t="shared" si="0"/>
        <v>37Q2</v>
      </c>
      <c r="B45" s="135">
        <v>37</v>
      </c>
      <c r="C45" s="61" t="str">
        <f>INDEX('[1]INPUT_ASSUMPTIONS CALC'!D:D,MATCH(A45,'[1]INPUT_ASSUMPTIONS CALC'!A:A,0))</f>
        <v>Kuzikeyeva Dinara</v>
      </c>
      <c r="D45" s="61" t="str">
        <f>INDEX('[1]INPUT_ASSUMPTIONS CALC'!I:I,MATCH(A45,'[1]INPUT_ASSUMPTIONS CALC'!A:A,0))</f>
        <v>Regional Manager-1</v>
      </c>
      <c r="E45" s="61" t="str">
        <f>INDEX('[1]INPUT_ASSUMPTIONS CALC'!E:E,MATCH(A45,'[1]INPUT_ASSUMPTIONS CALC'!A:A,0))</f>
        <v>Regional Manager</v>
      </c>
      <c r="F45" s="136">
        <f>IF($F$5="Q1",VLOOKUP($A45,'[1]INPUT_ASSUMPTIONS CALC'!$A$13:$CK$1019,F$7,FALSE),IF($F$5="Q2",VLOOKUP($A45,'[1]INPUT_ASSUMPTIONS CALC'!$A$13:$CK$1019,F$7,FALSE),IF($F$5="Q3",VLOOKUP($A45,'[1]INPUT_ASSUMPTIONS CALC'!$A$13:$CK$1019,F$7,FALSE),IF($F$5="Q4",VLOOKUP($A45,'[1]INPUT_ASSUMPTIONS CALC'!$A$13:$CK$1019,F$7,FALSE),IF($F$5="Year",VLOOKUP($A45,'[1]INPUT_ASSUMPTIONS CALC'!$A$13:$CK$1019,F$7,FALSE),0)))))</f>
        <v>726000</v>
      </c>
      <c r="G45" s="137">
        <f>SUMIF('[1]INPUT_ASSUMPTIONS CALC'!A:A,'[1]Summary calculation'!A45,'[1]INPUT_ASSUMPTIONS CALC'!BU:BU)</f>
        <v>1</v>
      </c>
      <c r="H45" s="138">
        <f>IF($F$5="Year",F45*G45*'[1]INPUT_ASSUMPTIONS CALC'!$S$7,F45*G45)</f>
        <v>726000</v>
      </c>
      <c r="I45" s="138">
        <f>H45*VLOOKUP($A45,'[1]INPUT_ASSUMPTIONS CALC'!$A$13:$CK$1019,H$6,FALSE)*SUMIF('[1]INPUT_ASSUMPTIONS CALC'!$CL$15:$CL$17,'[1]Summary calculation'!E45,'[1]INPUT_ASSUMPTIONS CALC'!$CM$15:$CM$17)</f>
        <v>580800</v>
      </c>
      <c r="J45" s="139">
        <f>$I45*VLOOKUP($A45,'[1]INPUT_ASSUMPTIONS CALC'!$A$13:$CK$1019,I$6,FALSE)*VLOOKUP($A45,'[1]INPUT_ASSUMPTIONS CALC'!$A$13:$CK$1019,J$7,FALSE)</f>
        <v>726000</v>
      </c>
      <c r="K45" s="139">
        <f>$I45*VLOOKUP($A45,'[1]INPUT_ASSUMPTIONS CALC'!$A$13:$CK$1019,I$6,FALSE)*VLOOKUP($A45,'[1]INPUT_ASSUMPTIONS CALC'!$A$13:$CK$1019,K$7,FALSE)</f>
        <v>363000</v>
      </c>
      <c r="L45" s="139">
        <f>$I45*VLOOKUP($A45,'[1]INPUT_ASSUMPTIONS CALC'!$A$13:$CK$1019,I$6,FALSE)*VLOOKUP($A45,'[1]INPUT_ASSUMPTIONS CALC'!$A$13:$CK$1019,L$7,FALSE)</f>
        <v>290400</v>
      </c>
      <c r="M45" s="139">
        <f>$I45*VLOOKUP($A45,'[1]INPUT_ASSUMPTIONS CALC'!$A$13:$CK$1019,I$6,FALSE)*VLOOKUP($A45,'[1]INPUT_ASSUMPTIONS CALC'!$A$13:$CK$1019,M$7,FALSE)</f>
        <v>72599.999999999985</v>
      </c>
      <c r="N45" s="140">
        <f t="shared" si="3"/>
        <v>1452000</v>
      </c>
      <c r="O45" s="141">
        <f>H45*VLOOKUP($A45,'[1]INPUT_ASSUMPTIONS CALC'!$A$13:$CK$1019,H$6,FALSE)*SUMIF('[1]INPUT_ASSUMPTIONS CALC'!$CQ$15:$CQ$17,'[1]Summary calculation'!E45,'[1]INPUT_ASSUMPTIONS CALC'!$CR$15:$CR$17)</f>
        <v>72600</v>
      </c>
      <c r="P45" s="141">
        <f>H45*VLOOKUP($A45,'[1]INPUT_ASSUMPTIONS CALC'!$A$13:$CK$1019,H$6,FALSE)*SUMIF('[1]INPUT_ASSUMPTIONS CALC'!$CV$15:$CV$31,'[1]Summary calculation'!E45,'[1]INPUT_ASSUMPTIONS CALC'!$CW$15:$CW$31)</f>
        <v>72600</v>
      </c>
      <c r="Q45" s="141">
        <f>O45*VLOOKUP($A45,'[1]INPUT_ASSUMPTIONS CALC'!$A$13:$CK$1019,Q$7,FALSE)</f>
        <v>72600</v>
      </c>
      <c r="R45" s="141">
        <f>P45*VLOOKUP($A45,'[1]INPUT_ASSUMPTIONS CALC'!$A$13:$CK$1019,R$7,FALSE)</f>
        <v>72600</v>
      </c>
      <c r="S45" s="140">
        <f t="shared" si="1"/>
        <v>145200</v>
      </c>
      <c r="T45" s="142">
        <f t="shared" si="2"/>
        <v>1597200</v>
      </c>
      <c r="U45" s="61"/>
    </row>
    <row r="46" spans="1:21" x14ac:dyDescent="0.35">
      <c r="A46" s="125" t="str">
        <f t="shared" si="0"/>
        <v>38Q2</v>
      </c>
      <c r="B46" s="135">
        <v>38</v>
      </c>
      <c r="C46" s="61" t="str">
        <f>INDEX('[1]INPUT_ASSUMPTIONS CALC'!D:D,MATCH(A46,'[1]INPUT_ASSUMPTIONS CALC'!A:A,0))</f>
        <v>Kuznetsova Natalya</v>
      </c>
      <c r="D46" s="61" t="str">
        <f>INDEX('[1]INPUT_ASSUMPTIONS CALC'!I:I,MATCH(A46,'[1]INPUT_ASSUMPTIONS CALC'!A:A,0))</f>
        <v>Line 2 (big cities)</v>
      </c>
      <c r="E46" s="61" t="str">
        <f>INDEX('[1]INPUT_ASSUMPTIONS CALC'!E:E,MATCH(A46,'[1]INPUT_ASSUMPTIONS CALC'!A:A,0))</f>
        <v>Medical Representative</v>
      </c>
      <c r="F46" s="136">
        <f>IF($F$5="Q1",VLOOKUP($A46,'[1]INPUT_ASSUMPTIONS CALC'!$A$13:$CK$1019,F$7,FALSE),IF($F$5="Q2",VLOOKUP($A46,'[1]INPUT_ASSUMPTIONS CALC'!$A$13:$CK$1019,F$7,FALSE),IF($F$5="Q3",VLOOKUP($A46,'[1]INPUT_ASSUMPTIONS CALC'!$A$13:$CK$1019,F$7,FALSE),IF($F$5="Q4",VLOOKUP($A46,'[1]INPUT_ASSUMPTIONS CALC'!$A$13:$CK$1019,F$7,FALSE),IF($F$5="Year",VLOOKUP($A46,'[1]INPUT_ASSUMPTIONS CALC'!$A$13:$CK$1019,F$7,FALSE),0)))))</f>
        <v>395525</v>
      </c>
      <c r="G46" s="137">
        <f>SUMIF('[1]INPUT_ASSUMPTIONS CALC'!A:A,'[1]Summary calculation'!A46,'[1]INPUT_ASSUMPTIONS CALC'!BU:BU)</f>
        <v>1</v>
      </c>
      <c r="H46" s="138">
        <f>IF($F$5="Year",F46*G46*'[1]INPUT_ASSUMPTIONS CALC'!$S$7,F46*G46)</f>
        <v>395525</v>
      </c>
      <c r="I46" s="138">
        <f>H46*VLOOKUP($A46,'[1]INPUT_ASSUMPTIONS CALC'!$A$13:$CK$1019,H$6,FALSE)*SUMIF('[1]INPUT_ASSUMPTIONS CALC'!$CL$15:$CL$17,'[1]Summary calculation'!E46,'[1]INPUT_ASSUMPTIONS CALC'!$CM$15:$CM$17)</f>
        <v>316420</v>
      </c>
      <c r="J46" s="139">
        <f>$I46*VLOOKUP($A46,'[1]INPUT_ASSUMPTIONS CALC'!$A$13:$CK$1019,I$6,FALSE)*VLOOKUP($A46,'[1]INPUT_ASSUMPTIONS CALC'!$A$13:$CK$1019,J$7,FALSE)</f>
        <v>30376.320000000003</v>
      </c>
      <c r="K46" s="139">
        <f>$I46*VLOOKUP($A46,'[1]INPUT_ASSUMPTIONS CALC'!$A$13:$CK$1019,I$6,FALSE)*VLOOKUP($A46,'[1]INPUT_ASSUMPTIONS CALC'!$A$13:$CK$1019,K$7,FALSE)</f>
        <v>91128.960000000006</v>
      </c>
      <c r="L46" s="139">
        <f>$I46*VLOOKUP($A46,'[1]INPUT_ASSUMPTIONS CALC'!$A$13:$CK$1019,I$6,FALSE)*VLOOKUP($A46,'[1]INPUT_ASSUMPTIONS CALC'!$A$13:$CK$1019,L$7,FALSE)</f>
        <v>91128.960000000006</v>
      </c>
      <c r="M46" s="139">
        <f>$I46*VLOOKUP($A46,'[1]INPUT_ASSUMPTIONS CALC'!$A$13:$CK$1019,I$6,FALSE)*VLOOKUP($A46,'[1]INPUT_ASSUMPTIONS CALC'!$A$13:$CK$1019,M$7,FALSE)</f>
        <v>91128.960000000036</v>
      </c>
      <c r="N46" s="140">
        <f t="shared" si="3"/>
        <v>303763.20000000007</v>
      </c>
      <c r="O46" s="141">
        <f>H46*VLOOKUP($A46,'[1]INPUT_ASSUMPTIONS CALC'!$A$13:$CK$1019,H$6,FALSE)*SUMIF('[1]INPUT_ASSUMPTIONS CALC'!$CQ$15:$CQ$17,'[1]Summary calculation'!E46,'[1]INPUT_ASSUMPTIONS CALC'!$CR$15:$CR$17)</f>
        <v>79105</v>
      </c>
      <c r="P46" s="141">
        <f>H46*VLOOKUP($A46,'[1]INPUT_ASSUMPTIONS CALC'!$A$13:$CK$1019,H$6,FALSE)*SUMIF('[1]INPUT_ASSUMPTIONS CALC'!$CV$15:$CV$31,'[1]Summary calculation'!E46,'[1]INPUT_ASSUMPTIONS CALC'!$CW$15:$CW$31)</f>
        <v>0</v>
      </c>
      <c r="Q46" s="141">
        <f>O46*VLOOKUP($A46,'[1]INPUT_ASSUMPTIONS CALC'!$A$13:$CK$1019,Q$7,FALSE)</f>
        <v>79105</v>
      </c>
      <c r="R46" s="141">
        <f>P46*VLOOKUP($A46,'[1]INPUT_ASSUMPTIONS CALC'!$A$13:$CK$1019,R$7,FALSE)</f>
        <v>0</v>
      </c>
      <c r="S46" s="140">
        <f t="shared" si="1"/>
        <v>79105</v>
      </c>
      <c r="T46" s="142">
        <f t="shared" si="2"/>
        <v>382868</v>
      </c>
      <c r="U46" s="61"/>
    </row>
    <row r="47" spans="1:21" x14ac:dyDescent="0.35">
      <c r="A47" s="125" t="str">
        <f t="shared" si="0"/>
        <v>39Q2</v>
      </c>
      <c r="B47" s="135">
        <v>39</v>
      </c>
      <c r="C47" s="61" t="str">
        <f>INDEX('[1]INPUT_ASSUMPTIONS CALC'!D:D,MATCH(A47,'[1]INPUT_ASSUMPTIONS CALC'!A:A,0))</f>
        <v>Litvinenko Tatyana</v>
      </c>
      <c r="D47" s="61" t="str">
        <f>INDEX('[1]INPUT_ASSUMPTIONS CALC'!I:I,MATCH(A47,'[1]INPUT_ASSUMPTIONS CALC'!A:A,0))</f>
        <v>Pharma line</v>
      </c>
      <c r="E47" s="61" t="str">
        <f>INDEX('[1]INPUT_ASSUMPTIONS CALC'!E:E,MATCH(A47,'[1]INPUT_ASSUMPTIONS CALC'!A:A,0))</f>
        <v>Pharm Representative</v>
      </c>
      <c r="F47" s="136">
        <f>IF($F$5="Q1",VLOOKUP($A47,'[1]INPUT_ASSUMPTIONS CALC'!$A$13:$CK$1019,F$7,FALSE),IF($F$5="Q2",VLOOKUP($A47,'[1]INPUT_ASSUMPTIONS CALC'!$A$13:$CK$1019,F$7,FALSE),IF($F$5="Q3",VLOOKUP($A47,'[1]INPUT_ASSUMPTIONS CALC'!$A$13:$CK$1019,F$7,FALSE),IF($F$5="Q4",VLOOKUP($A47,'[1]INPUT_ASSUMPTIONS CALC'!$A$13:$CK$1019,F$7,FALSE),IF($F$5="Year",VLOOKUP($A47,'[1]INPUT_ASSUMPTIONS CALC'!$A$13:$CK$1019,F$7,FALSE),0)))))</f>
        <v>395525</v>
      </c>
      <c r="G47" s="137">
        <f>SUMIF('[1]INPUT_ASSUMPTIONS CALC'!A:A,'[1]Summary calculation'!A47,'[1]INPUT_ASSUMPTIONS CALC'!BU:BU)</f>
        <v>1</v>
      </c>
      <c r="H47" s="138">
        <f>IF($F$5="Year",F47*G47*'[1]INPUT_ASSUMPTIONS CALC'!$S$7,F47*G47)</f>
        <v>395525</v>
      </c>
      <c r="I47" s="138">
        <f>H47*VLOOKUP($A47,'[1]INPUT_ASSUMPTIONS CALC'!$A$13:$CK$1019,H$6,FALSE)*SUMIF('[1]INPUT_ASSUMPTIONS CALC'!$CL$15:$CL$17,'[1]Summary calculation'!E47,'[1]INPUT_ASSUMPTIONS CALC'!$CM$15:$CM$17)</f>
        <v>316420</v>
      </c>
      <c r="J47" s="139">
        <f>$I47*VLOOKUP($A47,'[1]INPUT_ASSUMPTIONS CALC'!$A$13:$CK$1019,I$6,FALSE)*VLOOKUP($A47,'[1]INPUT_ASSUMPTIONS CALC'!$A$13:$CK$1019,J$7,FALSE)</f>
        <v>242061.30000000002</v>
      </c>
      <c r="K47" s="139">
        <f>$I47*VLOOKUP($A47,'[1]INPUT_ASSUMPTIONS CALC'!$A$13:$CK$1019,I$6,FALSE)*VLOOKUP($A47,'[1]INPUT_ASSUMPTIONS CALC'!$A$13:$CK$1019,K$7,FALSE)</f>
        <v>161374.19999999998</v>
      </c>
      <c r="L47" s="139">
        <f>$I47*VLOOKUP($A47,'[1]INPUT_ASSUMPTIONS CALC'!$A$13:$CK$1019,I$6,FALSE)*VLOOKUP($A47,'[1]INPUT_ASSUMPTIONS CALC'!$A$13:$CK$1019,L$7,FALSE)</f>
        <v>80687.099999999991</v>
      </c>
      <c r="M47" s="139">
        <f>$I47*VLOOKUP($A47,'[1]INPUT_ASSUMPTIONS CALC'!$A$13:$CK$1019,I$6,FALSE)*VLOOKUP($A47,'[1]INPUT_ASSUMPTIONS CALC'!$A$13:$CK$1019,M$7,FALSE)</f>
        <v>53791.400000000031</v>
      </c>
      <c r="N47" s="140">
        <f t="shared" si="3"/>
        <v>537914</v>
      </c>
      <c r="O47" s="141">
        <f>H47*VLOOKUP($A47,'[1]INPUT_ASSUMPTIONS CALC'!$A$13:$CK$1019,H$6,FALSE)*SUMIF('[1]INPUT_ASSUMPTIONS CALC'!$CQ$15:$CQ$17,'[1]Summary calculation'!E47,'[1]INPUT_ASSUMPTIONS CALC'!$CR$15:$CR$17)</f>
        <v>79105</v>
      </c>
      <c r="P47" s="141">
        <f>H47*VLOOKUP($A47,'[1]INPUT_ASSUMPTIONS CALC'!$A$13:$CK$1019,H$6,FALSE)*SUMIF('[1]INPUT_ASSUMPTIONS CALC'!$CV$15:$CV$31,'[1]Summary calculation'!E47,'[1]INPUT_ASSUMPTIONS CALC'!$CW$15:$CW$31)</f>
        <v>0</v>
      </c>
      <c r="Q47" s="141">
        <f>O47*VLOOKUP($A47,'[1]INPUT_ASSUMPTIONS CALC'!$A$13:$CK$1019,Q$7,FALSE)</f>
        <v>79105</v>
      </c>
      <c r="R47" s="141">
        <f>P47*VLOOKUP($A47,'[1]INPUT_ASSUMPTIONS CALC'!$A$13:$CK$1019,R$7,FALSE)</f>
        <v>0</v>
      </c>
      <c r="S47" s="140">
        <f t="shared" si="1"/>
        <v>79105</v>
      </c>
      <c r="T47" s="142">
        <f t="shared" si="2"/>
        <v>617019</v>
      </c>
      <c r="U47" s="61"/>
    </row>
    <row r="48" spans="1:21" x14ac:dyDescent="0.35">
      <c r="A48" s="125" t="str">
        <f t="shared" si="0"/>
        <v>40Q2</v>
      </c>
      <c r="B48" s="135">
        <v>40</v>
      </c>
      <c r="C48" s="61" t="str">
        <f>INDEX('[1]INPUT_ASSUMPTIONS CALC'!D:D,MATCH(A48,'[1]INPUT_ASSUMPTIONS CALC'!A:A,0))</f>
        <v>Maisutova Almagul</v>
      </c>
      <c r="D48" s="61" t="str">
        <f>INDEX('[1]INPUT_ASSUMPTIONS CALC'!I:I,MATCH(A48,'[1]INPUT_ASSUMPTIONS CALC'!A:A,0))</f>
        <v>Regional Manager-1</v>
      </c>
      <c r="E48" s="61" t="str">
        <f>INDEX('[1]INPUT_ASSUMPTIONS CALC'!E:E,MATCH(A48,'[1]INPUT_ASSUMPTIONS CALC'!A:A,0))</f>
        <v>Regional Manager</v>
      </c>
      <c r="F48" s="136">
        <f>IF($F$5="Q1",VLOOKUP($A48,'[1]INPUT_ASSUMPTIONS CALC'!$A$13:$CK$1019,F$7,FALSE),IF($F$5="Q2",VLOOKUP($A48,'[1]INPUT_ASSUMPTIONS CALC'!$A$13:$CK$1019,F$7,FALSE),IF($F$5="Q3",VLOOKUP($A48,'[1]INPUT_ASSUMPTIONS CALC'!$A$13:$CK$1019,F$7,FALSE),IF($F$5="Q4",VLOOKUP($A48,'[1]INPUT_ASSUMPTIONS CALC'!$A$13:$CK$1019,F$7,FALSE),IF($F$5="Year",VLOOKUP($A48,'[1]INPUT_ASSUMPTIONS CALC'!$A$13:$CK$1019,F$7,FALSE),0)))))</f>
        <v>726000</v>
      </c>
      <c r="G48" s="137">
        <f>SUMIF('[1]INPUT_ASSUMPTIONS CALC'!A:A,'[1]Summary calculation'!A48,'[1]INPUT_ASSUMPTIONS CALC'!BU:BU)</f>
        <v>1</v>
      </c>
      <c r="H48" s="138">
        <f>IF($F$5="Year",F48*G48*'[1]INPUT_ASSUMPTIONS CALC'!$S$7,F48*G48)</f>
        <v>726000</v>
      </c>
      <c r="I48" s="138">
        <f>H48*VLOOKUP($A48,'[1]INPUT_ASSUMPTIONS CALC'!$A$13:$CK$1019,H$6,FALSE)*SUMIF('[1]INPUT_ASSUMPTIONS CALC'!$CL$15:$CL$17,'[1]Summary calculation'!E48,'[1]INPUT_ASSUMPTIONS CALC'!$CM$15:$CM$17)</f>
        <v>580800</v>
      </c>
      <c r="J48" s="139">
        <f>$I48*VLOOKUP($A48,'[1]INPUT_ASSUMPTIONS CALC'!$A$13:$CK$1019,I$6,FALSE)*VLOOKUP($A48,'[1]INPUT_ASSUMPTIONS CALC'!$A$13:$CK$1019,J$7,FALSE)</f>
        <v>290400</v>
      </c>
      <c r="K48" s="139">
        <f>$I48*VLOOKUP($A48,'[1]INPUT_ASSUMPTIONS CALC'!$A$13:$CK$1019,I$6,FALSE)*VLOOKUP($A48,'[1]INPUT_ASSUMPTIONS CALC'!$A$13:$CK$1019,K$7,FALSE)</f>
        <v>145200</v>
      </c>
      <c r="L48" s="139">
        <f>$I48*VLOOKUP($A48,'[1]INPUT_ASSUMPTIONS CALC'!$A$13:$CK$1019,I$6,FALSE)*VLOOKUP($A48,'[1]INPUT_ASSUMPTIONS CALC'!$A$13:$CK$1019,L$7,FALSE)</f>
        <v>116160</v>
      </c>
      <c r="M48" s="139">
        <f>$I48*VLOOKUP($A48,'[1]INPUT_ASSUMPTIONS CALC'!$A$13:$CK$1019,I$6,FALSE)*VLOOKUP($A48,'[1]INPUT_ASSUMPTIONS CALC'!$A$13:$CK$1019,M$7,FALSE)</f>
        <v>29039.999999999993</v>
      </c>
      <c r="N48" s="140">
        <f t="shared" si="3"/>
        <v>580800</v>
      </c>
      <c r="O48" s="141">
        <f>H48*VLOOKUP($A48,'[1]INPUT_ASSUMPTIONS CALC'!$A$13:$CK$1019,H$6,FALSE)*SUMIF('[1]INPUT_ASSUMPTIONS CALC'!$CQ$15:$CQ$17,'[1]Summary calculation'!E48,'[1]INPUT_ASSUMPTIONS CALC'!$CR$15:$CR$17)</f>
        <v>72600</v>
      </c>
      <c r="P48" s="141">
        <f>H48*VLOOKUP($A48,'[1]INPUT_ASSUMPTIONS CALC'!$A$13:$CK$1019,H$6,FALSE)*SUMIF('[1]INPUT_ASSUMPTIONS CALC'!$CV$15:$CV$31,'[1]Summary calculation'!E48,'[1]INPUT_ASSUMPTIONS CALC'!$CW$15:$CW$31)</f>
        <v>72600</v>
      </c>
      <c r="Q48" s="141">
        <f>O48*VLOOKUP($A48,'[1]INPUT_ASSUMPTIONS CALC'!$A$13:$CK$1019,Q$7,FALSE)</f>
        <v>72600</v>
      </c>
      <c r="R48" s="141">
        <f>P48*VLOOKUP($A48,'[1]INPUT_ASSUMPTIONS CALC'!$A$13:$CK$1019,R$7,FALSE)</f>
        <v>72600</v>
      </c>
      <c r="S48" s="140">
        <f t="shared" si="1"/>
        <v>145200</v>
      </c>
      <c r="T48" s="142">
        <f t="shared" si="2"/>
        <v>726000</v>
      </c>
      <c r="U48" s="61"/>
    </row>
    <row r="49" spans="1:21" x14ac:dyDescent="0.35">
      <c r="A49" s="125" t="str">
        <f t="shared" si="0"/>
        <v>41Q2</v>
      </c>
      <c r="B49" s="135">
        <v>41</v>
      </c>
      <c r="C49" s="61" t="str">
        <f>INDEX('[1]INPUT_ASSUMPTIONS CALC'!D:D,MATCH(A49,'[1]INPUT_ASSUMPTIONS CALC'!A:A,0))</f>
        <v>Mamedova Zarina</v>
      </c>
      <c r="D49" s="61" t="str">
        <f>INDEX('[1]INPUT_ASSUMPTIONS CALC'!I:I,MATCH(A49,'[1]INPUT_ASSUMPTIONS CALC'!A:A,0))</f>
        <v>Line 3 (big cities)</v>
      </c>
      <c r="E49" s="61" t="str">
        <f>INDEX('[1]INPUT_ASSUMPTIONS CALC'!E:E,MATCH(A49,'[1]INPUT_ASSUMPTIONS CALC'!A:A,0))</f>
        <v>Medical Representative</v>
      </c>
      <c r="F49" s="136">
        <f>IF($F$5="Q1",VLOOKUP($A49,'[1]INPUT_ASSUMPTIONS CALC'!$A$13:$CK$1019,F$7,FALSE),IF($F$5="Q2",VLOOKUP($A49,'[1]INPUT_ASSUMPTIONS CALC'!$A$13:$CK$1019,F$7,FALSE),IF($F$5="Q3",VLOOKUP($A49,'[1]INPUT_ASSUMPTIONS CALC'!$A$13:$CK$1019,F$7,FALSE),IF($F$5="Q4",VLOOKUP($A49,'[1]INPUT_ASSUMPTIONS CALC'!$A$13:$CK$1019,F$7,FALSE),IF($F$5="Year",VLOOKUP($A49,'[1]INPUT_ASSUMPTIONS CALC'!$A$13:$CK$1019,F$7,FALSE),0)))))</f>
        <v>395525</v>
      </c>
      <c r="G49" s="137">
        <f>SUMIF('[1]INPUT_ASSUMPTIONS CALC'!A:A,'[1]Summary calculation'!A49,'[1]INPUT_ASSUMPTIONS CALC'!BU:BU)</f>
        <v>1</v>
      </c>
      <c r="H49" s="138">
        <f>IF($F$5="Year",F49*G49*'[1]INPUT_ASSUMPTIONS CALC'!$S$7,F49*G49)</f>
        <v>395525</v>
      </c>
      <c r="I49" s="138">
        <f>H49*VLOOKUP($A49,'[1]INPUT_ASSUMPTIONS CALC'!$A$13:$CK$1019,H$6,FALSE)*SUMIF('[1]INPUT_ASSUMPTIONS CALC'!$CL$15:$CL$17,'[1]Summary calculation'!E49,'[1]INPUT_ASSUMPTIONS CALC'!$CM$15:$CM$17)</f>
        <v>0</v>
      </c>
      <c r="J49" s="139">
        <f>$I49*VLOOKUP($A49,'[1]INPUT_ASSUMPTIONS CALC'!$A$13:$CK$1019,I$6,FALSE)*VLOOKUP($A49,'[1]INPUT_ASSUMPTIONS CALC'!$A$13:$CK$1019,J$7,FALSE)</f>
        <v>0</v>
      </c>
      <c r="K49" s="139">
        <f>$I49*VLOOKUP($A49,'[1]INPUT_ASSUMPTIONS CALC'!$A$13:$CK$1019,I$6,FALSE)*VLOOKUP($A49,'[1]INPUT_ASSUMPTIONS CALC'!$A$13:$CK$1019,K$7,FALSE)</f>
        <v>0</v>
      </c>
      <c r="L49" s="139">
        <f>$I49*VLOOKUP($A49,'[1]INPUT_ASSUMPTIONS CALC'!$A$13:$CK$1019,I$6,FALSE)*VLOOKUP($A49,'[1]INPUT_ASSUMPTIONS CALC'!$A$13:$CK$1019,L$7,FALSE)</f>
        <v>0</v>
      </c>
      <c r="M49" s="139">
        <f>$I49*VLOOKUP($A49,'[1]INPUT_ASSUMPTIONS CALC'!$A$13:$CK$1019,I$6,FALSE)*VLOOKUP($A49,'[1]INPUT_ASSUMPTIONS CALC'!$A$13:$CK$1019,M$7,FALSE)</f>
        <v>0</v>
      </c>
      <c r="N49" s="140">
        <f t="shared" si="3"/>
        <v>0</v>
      </c>
      <c r="O49" s="141">
        <f>H49*VLOOKUP($A49,'[1]INPUT_ASSUMPTIONS CALC'!$A$13:$CK$1019,H$6,FALSE)*SUMIF('[1]INPUT_ASSUMPTIONS CALC'!$CQ$15:$CQ$17,'[1]Summary calculation'!E49,'[1]INPUT_ASSUMPTIONS CALC'!$CR$15:$CR$17)</f>
        <v>0</v>
      </c>
      <c r="P49" s="141">
        <f>H49*VLOOKUP($A49,'[1]INPUT_ASSUMPTIONS CALC'!$A$13:$CK$1019,H$6,FALSE)*SUMIF('[1]INPUT_ASSUMPTIONS CALC'!$CV$15:$CV$31,'[1]Summary calculation'!E49,'[1]INPUT_ASSUMPTIONS CALC'!$CW$15:$CW$31)</f>
        <v>0</v>
      </c>
      <c r="Q49" s="141">
        <f>O49*VLOOKUP($A49,'[1]INPUT_ASSUMPTIONS CALC'!$A$13:$CK$1019,Q$7,FALSE)</f>
        <v>0</v>
      </c>
      <c r="R49" s="141">
        <f>P49*VLOOKUP($A49,'[1]INPUT_ASSUMPTIONS CALC'!$A$13:$CK$1019,R$7,FALSE)</f>
        <v>0</v>
      </c>
      <c r="S49" s="140">
        <f t="shared" si="1"/>
        <v>0</v>
      </c>
      <c r="T49" s="142">
        <f t="shared" si="2"/>
        <v>0</v>
      </c>
      <c r="U49" s="61"/>
    </row>
    <row r="50" spans="1:21" x14ac:dyDescent="0.35">
      <c r="A50" s="125" t="str">
        <f t="shared" si="0"/>
        <v>42Q2</v>
      </c>
      <c r="B50" s="135">
        <v>42</v>
      </c>
      <c r="C50" s="61" t="str">
        <f>INDEX('[1]INPUT_ASSUMPTIONS CALC'!D:D,MATCH(A50,'[1]INPUT_ASSUMPTIONS CALC'!A:A,0))</f>
        <v>Mamutova Aliya</v>
      </c>
      <c r="D50" s="61" t="str">
        <f>INDEX('[1]INPUT_ASSUMPTIONS CALC'!I:I,MATCH(A50,'[1]INPUT_ASSUMPTIONS CALC'!A:A,0))</f>
        <v>Line 1</v>
      </c>
      <c r="E50" s="61" t="str">
        <f>INDEX('[1]INPUT_ASSUMPTIONS CALC'!E:E,MATCH(A50,'[1]INPUT_ASSUMPTIONS CALC'!A:A,0))</f>
        <v>Medical Representative</v>
      </c>
      <c r="F50" s="136">
        <f>IF($F$5="Q1",VLOOKUP($A50,'[1]INPUT_ASSUMPTIONS CALC'!$A$13:$CK$1019,F$7,FALSE),IF($F$5="Q2",VLOOKUP($A50,'[1]INPUT_ASSUMPTIONS CALC'!$A$13:$CK$1019,F$7,FALSE),IF($F$5="Q3",VLOOKUP($A50,'[1]INPUT_ASSUMPTIONS CALC'!$A$13:$CK$1019,F$7,FALSE),IF($F$5="Q4",VLOOKUP($A50,'[1]INPUT_ASSUMPTIONS CALC'!$A$13:$CK$1019,F$7,FALSE),IF($F$5="Year",VLOOKUP($A50,'[1]INPUT_ASSUMPTIONS CALC'!$A$13:$CK$1019,F$7,FALSE),0)))))</f>
        <v>395525</v>
      </c>
      <c r="G50" s="137">
        <f>SUMIF('[1]INPUT_ASSUMPTIONS CALC'!A:A,'[1]Summary calculation'!A50,'[1]INPUT_ASSUMPTIONS CALC'!BU:BU)</f>
        <v>1</v>
      </c>
      <c r="H50" s="138">
        <f>IF($F$5="Year",F50*G50*'[1]INPUT_ASSUMPTIONS CALC'!$S$7,F50*G50)</f>
        <v>395525</v>
      </c>
      <c r="I50" s="138">
        <f>H50*VLOOKUP($A50,'[1]INPUT_ASSUMPTIONS CALC'!$A$13:$CK$1019,H$6,FALSE)*SUMIF('[1]INPUT_ASSUMPTIONS CALC'!$CL$15:$CL$17,'[1]Summary calculation'!E50,'[1]INPUT_ASSUMPTIONS CALC'!$CM$15:$CM$17)</f>
        <v>316420</v>
      </c>
      <c r="J50" s="139">
        <f>$I50*VLOOKUP($A50,'[1]INPUT_ASSUMPTIONS CALC'!$A$13:$CK$1019,I$6,FALSE)*VLOOKUP($A50,'[1]INPUT_ASSUMPTIONS CALC'!$A$13:$CK$1019,J$7,FALSE)</f>
        <v>379704</v>
      </c>
      <c r="K50" s="139">
        <f>$I50*VLOOKUP($A50,'[1]INPUT_ASSUMPTIONS CALC'!$A$13:$CK$1019,I$6,FALSE)*VLOOKUP($A50,'[1]INPUT_ASSUMPTIONS CALC'!$A$13:$CK$1019,K$7,FALSE)</f>
        <v>265792.8</v>
      </c>
      <c r="L50" s="139">
        <f>$I50*VLOOKUP($A50,'[1]INPUT_ASSUMPTIONS CALC'!$A$13:$CK$1019,I$6,FALSE)*VLOOKUP($A50,'[1]INPUT_ASSUMPTIONS CALC'!$A$13:$CK$1019,L$7,FALSE)</f>
        <v>75940.800000000003</v>
      </c>
      <c r="M50" s="139">
        <f>$I50*VLOOKUP($A50,'[1]INPUT_ASSUMPTIONS CALC'!$A$13:$CK$1019,I$6,FALSE)*VLOOKUP($A50,'[1]INPUT_ASSUMPTIONS CALC'!$A$13:$CK$1019,M$7,FALSE)</f>
        <v>37970.400000000016</v>
      </c>
      <c r="N50" s="140">
        <f t="shared" si="3"/>
        <v>759408.00000000012</v>
      </c>
      <c r="O50" s="141">
        <f>H50*VLOOKUP($A50,'[1]INPUT_ASSUMPTIONS CALC'!$A$13:$CK$1019,H$6,FALSE)*SUMIF('[1]INPUT_ASSUMPTIONS CALC'!$CQ$15:$CQ$17,'[1]Summary calculation'!E50,'[1]INPUT_ASSUMPTIONS CALC'!$CR$15:$CR$17)</f>
        <v>79105</v>
      </c>
      <c r="P50" s="141">
        <f>H50*VLOOKUP($A50,'[1]INPUT_ASSUMPTIONS CALC'!$A$13:$CK$1019,H$6,FALSE)*SUMIF('[1]INPUT_ASSUMPTIONS CALC'!$CV$15:$CV$31,'[1]Summary calculation'!E50,'[1]INPUT_ASSUMPTIONS CALC'!$CW$15:$CW$31)</f>
        <v>0</v>
      </c>
      <c r="Q50" s="141">
        <f>O50*VLOOKUP($A50,'[1]INPUT_ASSUMPTIONS CALC'!$A$13:$CK$1019,Q$7,FALSE)</f>
        <v>79105</v>
      </c>
      <c r="R50" s="141">
        <f>P50*VLOOKUP($A50,'[1]INPUT_ASSUMPTIONS CALC'!$A$13:$CK$1019,R$7,FALSE)</f>
        <v>0</v>
      </c>
      <c r="S50" s="140">
        <f t="shared" si="1"/>
        <v>79105</v>
      </c>
      <c r="T50" s="142">
        <f t="shared" si="2"/>
        <v>838513</v>
      </c>
      <c r="U50" s="61"/>
    </row>
    <row r="51" spans="1:21" x14ac:dyDescent="0.35">
      <c r="A51" s="125" t="str">
        <f t="shared" si="0"/>
        <v>43Q2</v>
      </c>
      <c r="B51" s="135">
        <v>43</v>
      </c>
      <c r="C51" s="61" t="str">
        <f>INDEX('[1]INPUT_ASSUMPTIONS CALC'!D:D,MATCH(A51,'[1]INPUT_ASSUMPTIONS CALC'!A:A,0))</f>
        <v>Manapbayeva Assel</v>
      </c>
      <c r="D51" s="61" t="str">
        <f>INDEX('[1]INPUT_ASSUMPTIONS CALC'!I:I,MATCH(A51,'[1]INPUT_ASSUMPTIONS CALC'!A:A,0))</f>
        <v>Line 2 (big cities)</v>
      </c>
      <c r="E51" s="61" t="str">
        <f>INDEX('[1]INPUT_ASSUMPTIONS CALC'!E:E,MATCH(A51,'[1]INPUT_ASSUMPTIONS CALC'!A:A,0))</f>
        <v>Medical Representative</v>
      </c>
      <c r="F51" s="136">
        <f>IF($F$5="Q1",VLOOKUP($A51,'[1]INPUT_ASSUMPTIONS CALC'!$A$13:$CK$1019,F$7,FALSE),IF($F$5="Q2",VLOOKUP($A51,'[1]INPUT_ASSUMPTIONS CALC'!$A$13:$CK$1019,F$7,FALSE),IF($F$5="Q3",VLOOKUP($A51,'[1]INPUT_ASSUMPTIONS CALC'!$A$13:$CK$1019,F$7,FALSE),IF($F$5="Q4",VLOOKUP($A51,'[1]INPUT_ASSUMPTIONS CALC'!$A$13:$CK$1019,F$7,FALSE),IF($F$5="Year",VLOOKUP($A51,'[1]INPUT_ASSUMPTIONS CALC'!$A$13:$CK$1019,F$7,FALSE),0)))))</f>
        <v>395525</v>
      </c>
      <c r="G51" s="137">
        <f>SUMIF('[1]INPUT_ASSUMPTIONS CALC'!A:A,'[1]Summary calculation'!A51,'[1]INPUT_ASSUMPTIONS CALC'!BU:BU)</f>
        <v>1</v>
      </c>
      <c r="H51" s="138">
        <f>IF($F$5="Year",F51*G51*'[1]INPUT_ASSUMPTIONS CALC'!$S$7,F51*G51)</f>
        <v>395525</v>
      </c>
      <c r="I51" s="138">
        <f>H51*VLOOKUP($A51,'[1]INPUT_ASSUMPTIONS CALC'!$A$13:$CK$1019,H$6,FALSE)*SUMIF('[1]INPUT_ASSUMPTIONS CALC'!$CL$15:$CL$17,'[1]Summary calculation'!E51,'[1]INPUT_ASSUMPTIONS CALC'!$CM$15:$CM$17)</f>
        <v>316420</v>
      </c>
      <c r="J51" s="139">
        <f>$I51*VLOOKUP($A51,'[1]INPUT_ASSUMPTIONS CALC'!$A$13:$CK$1019,I$6,FALSE)*VLOOKUP($A51,'[1]INPUT_ASSUMPTIONS CALC'!$A$13:$CK$1019,J$7,FALSE)</f>
        <v>31642</v>
      </c>
      <c r="K51" s="139">
        <f>$I51*VLOOKUP($A51,'[1]INPUT_ASSUMPTIONS CALC'!$A$13:$CK$1019,I$6,FALSE)*VLOOKUP($A51,'[1]INPUT_ASSUMPTIONS CALC'!$A$13:$CK$1019,K$7,FALSE)</f>
        <v>94926</v>
      </c>
      <c r="L51" s="139">
        <f>$I51*VLOOKUP($A51,'[1]INPUT_ASSUMPTIONS CALC'!$A$13:$CK$1019,I$6,FALSE)*VLOOKUP($A51,'[1]INPUT_ASSUMPTIONS CALC'!$A$13:$CK$1019,L$7,FALSE)</f>
        <v>94926</v>
      </c>
      <c r="M51" s="139">
        <f>$I51*VLOOKUP($A51,'[1]INPUT_ASSUMPTIONS CALC'!$A$13:$CK$1019,I$6,FALSE)*VLOOKUP($A51,'[1]INPUT_ASSUMPTIONS CALC'!$A$13:$CK$1019,M$7,FALSE)</f>
        <v>94926.000000000029</v>
      </c>
      <c r="N51" s="140">
        <f t="shared" si="3"/>
        <v>316420</v>
      </c>
      <c r="O51" s="141">
        <f>H51*VLOOKUP($A51,'[1]INPUT_ASSUMPTIONS CALC'!$A$13:$CK$1019,H$6,FALSE)*SUMIF('[1]INPUT_ASSUMPTIONS CALC'!$CQ$15:$CQ$17,'[1]Summary calculation'!E51,'[1]INPUT_ASSUMPTIONS CALC'!$CR$15:$CR$17)</f>
        <v>79105</v>
      </c>
      <c r="P51" s="141">
        <f>H51*VLOOKUP($A51,'[1]INPUT_ASSUMPTIONS CALC'!$A$13:$CK$1019,H$6,FALSE)*SUMIF('[1]INPUT_ASSUMPTIONS CALC'!$CV$15:$CV$31,'[1]Summary calculation'!E51,'[1]INPUT_ASSUMPTIONS CALC'!$CW$15:$CW$31)</f>
        <v>0</v>
      </c>
      <c r="Q51" s="141">
        <f>O51*VLOOKUP($A51,'[1]INPUT_ASSUMPTIONS CALC'!$A$13:$CK$1019,Q$7,FALSE)</f>
        <v>79105</v>
      </c>
      <c r="R51" s="141">
        <f>P51*VLOOKUP($A51,'[1]INPUT_ASSUMPTIONS CALC'!$A$13:$CK$1019,R$7,FALSE)</f>
        <v>0</v>
      </c>
      <c r="S51" s="140">
        <f t="shared" si="1"/>
        <v>79105</v>
      </c>
      <c r="T51" s="142">
        <f t="shared" si="2"/>
        <v>395525</v>
      </c>
      <c r="U51" s="61"/>
    </row>
    <row r="52" spans="1:21" x14ac:dyDescent="0.35">
      <c r="A52" s="125" t="str">
        <f t="shared" si="0"/>
        <v>44Q2</v>
      </c>
      <c r="B52" s="135">
        <v>44</v>
      </c>
      <c r="C52" s="61" t="str">
        <f>INDEX('[1]INPUT_ASSUMPTIONS CALC'!D:D,MATCH(A52,'[1]INPUT_ASSUMPTIONS CALC'!A:A,0))</f>
        <v>Maximenko Alexandr</v>
      </c>
      <c r="D52" s="61" t="str">
        <f>INDEX('[1]INPUT_ASSUMPTIONS CALC'!I:I,MATCH(A52,'[1]INPUT_ASSUMPTIONS CALC'!A:A,0))</f>
        <v>Pharma line</v>
      </c>
      <c r="E52" s="61" t="str">
        <f>INDEX('[1]INPUT_ASSUMPTIONS CALC'!E:E,MATCH(A52,'[1]INPUT_ASSUMPTIONS CALC'!A:A,0))</f>
        <v>Pharm Representative</v>
      </c>
      <c r="F52" s="136">
        <f>IF($F$5="Q1",VLOOKUP($A52,'[1]INPUT_ASSUMPTIONS CALC'!$A$13:$CK$1019,F$7,FALSE),IF($F$5="Q2",VLOOKUP($A52,'[1]INPUT_ASSUMPTIONS CALC'!$A$13:$CK$1019,F$7,FALSE),IF($F$5="Q3",VLOOKUP($A52,'[1]INPUT_ASSUMPTIONS CALC'!$A$13:$CK$1019,F$7,FALSE),IF($F$5="Q4",VLOOKUP($A52,'[1]INPUT_ASSUMPTIONS CALC'!$A$13:$CK$1019,F$7,FALSE),IF($F$5="Year",VLOOKUP($A52,'[1]INPUT_ASSUMPTIONS CALC'!$A$13:$CK$1019,F$7,FALSE),0)))))</f>
        <v>395525</v>
      </c>
      <c r="G52" s="137">
        <f>SUMIF('[1]INPUT_ASSUMPTIONS CALC'!A:A,'[1]Summary calculation'!A52,'[1]INPUT_ASSUMPTIONS CALC'!BU:BU)</f>
        <v>1</v>
      </c>
      <c r="H52" s="138">
        <f>IF($F$5="Year",F52*G52*'[1]INPUT_ASSUMPTIONS CALC'!$S$7,F52*G52)</f>
        <v>395525</v>
      </c>
      <c r="I52" s="138">
        <f>H52*VLOOKUP($A52,'[1]INPUT_ASSUMPTIONS CALC'!$A$13:$CK$1019,H$6,FALSE)*SUMIF('[1]INPUT_ASSUMPTIONS CALC'!$CL$15:$CL$17,'[1]Summary calculation'!E52,'[1]INPUT_ASSUMPTIONS CALC'!$CM$15:$CM$17)</f>
        <v>316420</v>
      </c>
      <c r="J52" s="139">
        <f>$I52*VLOOKUP($A52,'[1]INPUT_ASSUMPTIONS CALC'!$A$13:$CK$1019,I$6,FALSE)*VLOOKUP($A52,'[1]INPUT_ASSUMPTIONS CALC'!$A$13:$CK$1019,J$7,FALSE)</f>
        <v>199344.6</v>
      </c>
      <c r="K52" s="139">
        <f>$I52*VLOOKUP($A52,'[1]INPUT_ASSUMPTIONS CALC'!$A$13:$CK$1019,I$6,FALSE)*VLOOKUP($A52,'[1]INPUT_ASSUMPTIONS CALC'!$A$13:$CK$1019,K$7,FALSE)</f>
        <v>132896.4</v>
      </c>
      <c r="L52" s="139">
        <f>$I52*VLOOKUP($A52,'[1]INPUT_ASSUMPTIONS CALC'!$A$13:$CK$1019,I$6,FALSE)*VLOOKUP($A52,'[1]INPUT_ASSUMPTIONS CALC'!$A$13:$CK$1019,L$7,FALSE)</f>
        <v>66448.2</v>
      </c>
      <c r="M52" s="139">
        <f>$I52*VLOOKUP($A52,'[1]INPUT_ASSUMPTIONS CALC'!$A$13:$CK$1019,I$6,FALSE)*VLOOKUP($A52,'[1]INPUT_ASSUMPTIONS CALC'!$A$13:$CK$1019,M$7,FALSE)</f>
        <v>44298.800000000025</v>
      </c>
      <c r="N52" s="140">
        <f t="shared" si="3"/>
        <v>442988.00000000006</v>
      </c>
      <c r="O52" s="141">
        <f>H52*VLOOKUP($A52,'[1]INPUT_ASSUMPTIONS CALC'!$A$13:$CK$1019,H$6,FALSE)*SUMIF('[1]INPUT_ASSUMPTIONS CALC'!$CQ$15:$CQ$17,'[1]Summary calculation'!E52,'[1]INPUT_ASSUMPTIONS CALC'!$CR$15:$CR$17)</f>
        <v>79105</v>
      </c>
      <c r="P52" s="141">
        <f>H52*VLOOKUP($A52,'[1]INPUT_ASSUMPTIONS CALC'!$A$13:$CK$1019,H$6,FALSE)*SUMIF('[1]INPUT_ASSUMPTIONS CALC'!$CV$15:$CV$31,'[1]Summary calculation'!E52,'[1]INPUT_ASSUMPTIONS CALC'!$CW$15:$CW$31)</f>
        <v>0</v>
      </c>
      <c r="Q52" s="141">
        <f>O52*VLOOKUP($A52,'[1]INPUT_ASSUMPTIONS CALC'!$A$13:$CK$1019,Q$7,FALSE)</f>
        <v>79105</v>
      </c>
      <c r="R52" s="141">
        <f>P52*VLOOKUP($A52,'[1]INPUT_ASSUMPTIONS CALC'!$A$13:$CK$1019,R$7,FALSE)</f>
        <v>0</v>
      </c>
      <c r="S52" s="140">
        <f t="shared" si="1"/>
        <v>79105</v>
      </c>
      <c r="T52" s="142">
        <f t="shared" si="2"/>
        <v>522093</v>
      </c>
      <c r="U52" s="61"/>
    </row>
    <row r="53" spans="1:21" x14ac:dyDescent="0.35">
      <c r="A53" s="125" t="str">
        <f t="shared" si="0"/>
        <v>45Q2</v>
      </c>
      <c r="B53" s="135">
        <v>45</v>
      </c>
      <c r="C53" s="61" t="str">
        <f>INDEX('[1]INPUT_ASSUMPTIONS CALC'!D:D,MATCH(A53,'[1]INPUT_ASSUMPTIONS CALC'!A:A,0))</f>
        <v>Meirbek Ainur</v>
      </c>
      <c r="D53" s="61" t="str">
        <f>INDEX('[1]INPUT_ASSUMPTIONS CALC'!I:I,MATCH(A53,'[1]INPUT_ASSUMPTIONS CALC'!A:A,0))</f>
        <v>Line 1</v>
      </c>
      <c r="E53" s="61" t="str">
        <f>INDEX('[1]INPUT_ASSUMPTIONS CALC'!E:E,MATCH(A53,'[1]INPUT_ASSUMPTIONS CALC'!A:A,0))</f>
        <v>Medical Representative</v>
      </c>
      <c r="F53" s="136">
        <f>IF($F$5="Q1",VLOOKUP($A53,'[1]INPUT_ASSUMPTIONS CALC'!$A$13:$CK$1019,F$7,FALSE),IF($F$5="Q2",VLOOKUP($A53,'[1]INPUT_ASSUMPTIONS CALC'!$A$13:$CK$1019,F$7,FALSE),IF($F$5="Q3",VLOOKUP($A53,'[1]INPUT_ASSUMPTIONS CALC'!$A$13:$CK$1019,F$7,FALSE),IF($F$5="Q4",VLOOKUP($A53,'[1]INPUT_ASSUMPTIONS CALC'!$A$13:$CK$1019,F$7,FALSE),IF($F$5="Year",VLOOKUP($A53,'[1]INPUT_ASSUMPTIONS CALC'!$A$13:$CK$1019,F$7,FALSE),0)))))</f>
        <v>395525</v>
      </c>
      <c r="G53" s="137">
        <f>SUMIF('[1]INPUT_ASSUMPTIONS CALC'!A:A,'[1]Summary calculation'!A53,'[1]INPUT_ASSUMPTIONS CALC'!BU:BU)</f>
        <v>1</v>
      </c>
      <c r="H53" s="138">
        <f>IF($F$5="Year",F53*G53*'[1]INPUT_ASSUMPTIONS CALC'!$S$7,F53*G53)</f>
        <v>395525</v>
      </c>
      <c r="I53" s="138">
        <f>H53*VLOOKUP($A53,'[1]INPUT_ASSUMPTIONS CALC'!$A$13:$CK$1019,H$6,FALSE)*SUMIF('[1]INPUT_ASSUMPTIONS CALC'!$CL$15:$CL$17,'[1]Summary calculation'!E53,'[1]INPUT_ASSUMPTIONS CALC'!$CM$15:$CM$17)</f>
        <v>316420</v>
      </c>
      <c r="J53" s="139">
        <f>$I53*VLOOKUP($A53,'[1]INPUT_ASSUMPTIONS CALC'!$A$13:$CK$1019,I$6,FALSE)*VLOOKUP($A53,'[1]INPUT_ASSUMPTIONS CALC'!$A$13:$CK$1019,J$7,FALSE)</f>
        <v>129732.2</v>
      </c>
      <c r="K53" s="139">
        <f>$I53*VLOOKUP($A53,'[1]INPUT_ASSUMPTIONS CALC'!$A$13:$CK$1019,I$6,FALSE)*VLOOKUP($A53,'[1]INPUT_ASSUMPTIONS CALC'!$A$13:$CK$1019,K$7,FALSE)</f>
        <v>90812.54</v>
      </c>
      <c r="L53" s="139">
        <f>$I53*VLOOKUP($A53,'[1]INPUT_ASSUMPTIONS CALC'!$A$13:$CK$1019,I$6,FALSE)*VLOOKUP($A53,'[1]INPUT_ASSUMPTIONS CALC'!$A$13:$CK$1019,L$7,FALSE)</f>
        <v>25946.440000000002</v>
      </c>
      <c r="M53" s="139">
        <f>$I53*VLOOKUP($A53,'[1]INPUT_ASSUMPTIONS CALC'!$A$13:$CK$1019,I$6,FALSE)*VLOOKUP($A53,'[1]INPUT_ASSUMPTIONS CALC'!$A$13:$CK$1019,M$7,FALSE)</f>
        <v>12973.220000000005</v>
      </c>
      <c r="N53" s="140">
        <f t="shared" si="3"/>
        <v>259464.4</v>
      </c>
      <c r="O53" s="141">
        <f>H53*VLOOKUP($A53,'[1]INPUT_ASSUMPTIONS CALC'!$A$13:$CK$1019,H$6,FALSE)*SUMIF('[1]INPUT_ASSUMPTIONS CALC'!$CQ$15:$CQ$17,'[1]Summary calculation'!E53,'[1]INPUT_ASSUMPTIONS CALC'!$CR$15:$CR$17)</f>
        <v>79105</v>
      </c>
      <c r="P53" s="141">
        <f>H53*VLOOKUP($A53,'[1]INPUT_ASSUMPTIONS CALC'!$A$13:$CK$1019,H$6,FALSE)*SUMIF('[1]INPUT_ASSUMPTIONS CALC'!$CV$15:$CV$31,'[1]Summary calculation'!E53,'[1]INPUT_ASSUMPTIONS CALC'!$CW$15:$CW$31)</f>
        <v>0</v>
      </c>
      <c r="Q53" s="141">
        <f>O53*VLOOKUP($A53,'[1]INPUT_ASSUMPTIONS CALC'!$A$13:$CK$1019,Q$7,FALSE)</f>
        <v>79105</v>
      </c>
      <c r="R53" s="141">
        <f>P53*VLOOKUP($A53,'[1]INPUT_ASSUMPTIONS CALC'!$A$13:$CK$1019,R$7,FALSE)</f>
        <v>0</v>
      </c>
      <c r="S53" s="140">
        <f t="shared" si="1"/>
        <v>79105</v>
      </c>
      <c r="T53" s="142">
        <f t="shared" si="2"/>
        <v>338569</v>
      </c>
      <c r="U53" s="61"/>
    </row>
    <row r="54" spans="1:21" x14ac:dyDescent="0.35">
      <c r="A54" s="125" t="str">
        <f t="shared" si="0"/>
        <v>46Q2</v>
      </c>
      <c r="B54" s="135">
        <v>46</v>
      </c>
      <c r="C54" s="61" t="str">
        <f>INDEX('[1]INPUT_ASSUMPTIONS CALC'!D:D,MATCH(A54,'[1]INPUT_ASSUMPTIONS CALC'!A:A,0))</f>
        <v>Nakipbekova Gulzhan</v>
      </c>
      <c r="D54" s="61" t="str">
        <f>INDEX('[1]INPUT_ASSUMPTIONS CALC'!I:I,MATCH(A54,'[1]INPUT_ASSUMPTIONS CALC'!A:A,0))</f>
        <v>Line 1</v>
      </c>
      <c r="E54" s="61" t="str">
        <f>INDEX('[1]INPUT_ASSUMPTIONS CALC'!E:E,MATCH(A54,'[1]INPUT_ASSUMPTIONS CALC'!A:A,0))</f>
        <v>Medical Representative</v>
      </c>
      <c r="F54" s="136">
        <f>IF($F$5="Q1",VLOOKUP($A54,'[1]INPUT_ASSUMPTIONS CALC'!$A$13:$CK$1019,F$7,FALSE),IF($F$5="Q2",VLOOKUP($A54,'[1]INPUT_ASSUMPTIONS CALC'!$A$13:$CK$1019,F$7,FALSE),IF($F$5="Q3",VLOOKUP($A54,'[1]INPUT_ASSUMPTIONS CALC'!$A$13:$CK$1019,F$7,FALSE),IF($F$5="Q4",VLOOKUP($A54,'[1]INPUT_ASSUMPTIONS CALC'!$A$13:$CK$1019,F$7,FALSE),IF($F$5="Year",VLOOKUP($A54,'[1]INPUT_ASSUMPTIONS CALC'!$A$13:$CK$1019,F$7,FALSE),0)))))</f>
        <v>395525</v>
      </c>
      <c r="G54" s="137">
        <f>SUMIF('[1]INPUT_ASSUMPTIONS CALC'!A:A,'[1]Summary calculation'!A54,'[1]INPUT_ASSUMPTIONS CALC'!BU:BU)</f>
        <v>1</v>
      </c>
      <c r="H54" s="138">
        <f>IF($F$5="Year",F54*G54*'[1]INPUT_ASSUMPTIONS CALC'!$S$7,F54*G54)</f>
        <v>395525</v>
      </c>
      <c r="I54" s="138">
        <f>H54*VLOOKUP($A54,'[1]INPUT_ASSUMPTIONS CALC'!$A$13:$CK$1019,H$6,FALSE)*SUMIF('[1]INPUT_ASSUMPTIONS CALC'!$CL$15:$CL$17,'[1]Summary calculation'!E54,'[1]INPUT_ASSUMPTIONS CALC'!$CM$15:$CM$17)</f>
        <v>316420</v>
      </c>
      <c r="J54" s="139">
        <f>$I54*VLOOKUP($A54,'[1]INPUT_ASSUMPTIONS CALC'!$A$13:$CK$1019,I$6,FALSE)*VLOOKUP($A54,'[1]INPUT_ASSUMPTIONS CALC'!$A$13:$CK$1019,J$7,FALSE)</f>
        <v>129732.2</v>
      </c>
      <c r="K54" s="139">
        <f>$I54*VLOOKUP($A54,'[1]INPUT_ASSUMPTIONS CALC'!$A$13:$CK$1019,I$6,FALSE)*VLOOKUP($A54,'[1]INPUT_ASSUMPTIONS CALC'!$A$13:$CK$1019,K$7,FALSE)</f>
        <v>90812.54</v>
      </c>
      <c r="L54" s="139">
        <f>$I54*VLOOKUP($A54,'[1]INPUT_ASSUMPTIONS CALC'!$A$13:$CK$1019,I$6,FALSE)*VLOOKUP($A54,'[1]INPUT_ASSUMPTIONS CALC'!$A$13:$CK$1019,L$7,FALSE)</f>
        <v>25946.440000000002</v>
      </c>
      <c r="M54" s="139">
        <f>$I54*VLOOKUP($A54,'[1]INPUT_ASSUMPTIONS CALC'!$A$13:$CK$1019,I$6,FALSE)*VLOOKUP($A54,'[1]INPUT_ASSUMPTIONS CALC'!$A$13:$CK$1019,M$7,FALSE)</f>
        <v>12973.220000000005</v>
      </c>
      <c r="N54" s="140">
        <f t="shared" si="3"/>
        <v>259464.4</v>
      </c>
      <c r="O54" s="141">
        <f>H54*VLOOKUP($A54,'[1]INPUT_ASSUMPTIONS CALC'!$A$13:$CK$1019,H$6,FALSE)*SUMIF('[1]INPUT_ASSUMPTIONS CALC'!$CQ$15:$CQ$17,'[1]Summary calculation'!E54,'[1]INPUT_ASSUMPTIONS CALC'!$CR$15:$CR$17)</f>
        <v>79105</v>
      </c>
      <c r="P54" s="141">
        <f>H54*VLOOKUP($A54,'[1]INPUT_ASSUMPTIONS CALC'!$A$13:$CK$1019,H$6,FALSE)*SUMIF('[1]INPUT_ASSUMPTIONS CALC'!$CV$15:$CV$31,'[1]Summary calculation'!E54,'[1]INPUT_ASSUMPTIONS CALC'!$CW$15:$CW$31)</f>
        <v>0</v>
      </c>
      <c r="Q54" s="141">
        <f>O54*VLOOKUP($A54,'[1]INPUT_ASSUMPTIONS CALC'!$A$13:$CK$1019,Q$7,FALSE)</f>
        <v>39552.5</v>
      </c>
      <c r="R54" s="141">
        <f>P54*VLOOKUP($A54,'[1]INPUT_ASSUMPTIONS CALC'!$A$13:$CK$1019,R$7,FALSE)</f>
        <v>0</v>
      </c>
      <c r="S54" s="140">
        <f t="shared" si="1"/>
        <v>39552.5</v>
      </c>
      <c r="T54" s="142">
        <f t="shared" si="2"/>
        <v>299017</v>
      </c>
      <c r="U54" s="61"/>
    </row>
    <row r="55" spans="1:21" x14ac:dyDescent="0.35">
      <c r="A55" s="125" t="str">
        <f t="shared" si="0"/>
        <v>47Q2</v>
      </c>
      <c r="B55" s="135">
        <v>47</v>
      </c>
      <c r="C55" s="61" t="str">
        <f>INDEX('[1]INPUT_ASSUMPTIONS CALC'!D:D,MATCH(A55,'[1]INPUT_ASSUMPTIONS CALC'!A:A,0))</f>
        <v>Novokhatnyaya Anastasiya</v>
      </c>
      <c r="D55" s="61" t="str">
        <f>INDEX('[1]INPUT_ASSUMPTIONS CALC'!I:I,MATCH(A55,'[1]INPUT_ASSUMPTIONS CALC'!A:A,0))</f>
        <v>Line 3 (big cities)</v>
      </c>
      <c r="E55" s="61" t="str">
        <f>INDEX('[1]INPUT_ASSUMPTIONS CALC'!E:E,MATCH(A55,'[1]INPUT_ASSUMPTIONS CALC'!A:A,0))</f>
        <v>Medical Representative</v>
      </c>
      <c r="F55" s="136">
        <f>IF($F$5="Q1",VLOOKUP($A55,'[1]INPUT_ASSUMPTIONS CALC'!$A$13:$CK$1019,F$7,FALSE),IF($F$5="Q2",VLOOKUP($A55,'[1]INPUT_ASSUMPTIONS CALC'!$A$13:$CK$1019,F$7,FALSE),IF($F$5="Q3",VLOOKUP($A55,'[1]INPUT_ASSUMPTIONS CALC'!$A$13:$CK$1019,F$7,FALSE),IF($F$5="Q4",VLOOKUP($A55,'[1]INPUT_ASSUMPTIONS CALC'!$A$13:$CK$1019,F$7,FALSE),IF($F$5="Year",VLOOKUP($A55,'[1]INPUT_ASSUMPTIONS CALC'!$A$13:$CK$1019,F$7,FALSE),0)))))</f>
        <v>395525</v>
      </c>
      <c r="G55" s="137">
        <f>SUMIF('[1]INPUT_ASSUMPTIONS CALC'!A:A,'[1]Summary calculation'!A55,'[1]INPUT_ASSUMPTIONS CALC'!BU:BU)</f>
        <v>1</v>
      </c>
      <c r="H55" s="138">
        <f>IF($F$5="Year",F55*G55*'[1]INPUT_ASSUMPTIONS CALC'!$S$7,F55*G55)</f>
        <v>395525</v>
      </c>
      <c r="I55" s="138">
        <f>H55*VLOOKUP($A55,'[1]INPUT_ASSUMPTIONS CALC'!$A$13:$CK$1019,H$6,FALSE)*SUMIF('[1]INPUT_ASSUMPTIONS CALC'!$CL$15:$CL$17,'[1]Summary calculation'!E55,'[1]INPUT_ASSUMPTIONS CALC'!$CM$15:$CM$17)</f>
        <v>316420</v>
      </c>
      <c r="J55" s="139">
        <f>$I55*VLOOKUP($A55,'[1]INPUT_ASSUMPTIONS CALC'!$A$13:$CK$1019,I$6,FALSE)*VLOOKUP($A55,'[1]INPUT_ASSUMPTIONS CALC'!$A$13:$CK$1019,J$7,FALSE)</f>
        <v>291897.45</v>
      </c>
      <c r="K55" s="139">
        <f>$I55*VLOOKUP($A55,'[1]INPUT_ASSUMPTIONS CALC'!$A$13:$CK$1019,I$6,FALSE)*VLOOKUP($A55,'[1]INPUT_ASSUMPTIONS CALC'!$A$13:$CK$1019,K$7,FALSE)</f>
        <v>162165.25</v>
      </c>
      <c r="L55" s="139">
        <f>$I55*VLOOKUP($A55,'[1]INPUT_ASSUMPTIONS CALC'!$A$13:$CK$1019,I$6,FALSE)*VLOOKUP($A55,'[1]INPUT_ASSUMPTIONS CALC'!$A$13:$CK$1019,L$7,FALSE)</f>
        <v>162165.25</v>
      </c>
      <c r="M55" s="139">
        <f>$I55*VLOOKUP($A55,'[1]INPUT_ASSUMPTIONS CALC'!$A$13:$CK$1019,I$6,FALSE)*VLOOKUP($A55,'[1]INPUT_ASSUMPTIONS CALC'!$A$13:$CK$1019,M$7,FALSE)</f>
        <v>32433.050000000028</v>
      </c>
      <c r="N55" s="140">
        <f t="shared" si="3"/>
        <v>648661</v>
      </c>
      <c r="O55" s="141">
        <f>H55*VLOOKUP($A55,'[1]INPUT_ASSUMPTIONS CALC'!$A$13:$CK$1019,H$6,FALSE)*SUMIF('[1]INPUT_ASSUMPTIONS CALC'!$CQ$15:$CQ$17,'[1]Summary calculation'!E55,'[1]INPUT_ASSUMPTIONS CALC'!$CR$15:$CR$17)</f>
        <v>79105</v>
      </c>
      <c r="P55" s="141">
        <f>H55*VLOOKUP($A55,'[1]INPUT_ASSUMPTIONS CALC'!$A$13:$CK$1019,H$6,FALSE)*SUMIF('[1]INPUT_ASSUMPTIONS CALC'!$CV$15:$CV$31,'[1]Summary calculation'!E55,'[1]INPUT_ASSUMPTIONS CALC'!$CW$15:$CW$31)</f>
        <v>0</v>
      </c>
      <c r="Q55" s="141">
        <f>O55*VLOOKUP($A55,'[1]INPUT_ASSUMPTIONS CALC'!$A$13:$CK$1019,Q$7,FALSE)</f>
        <v>39552.5</v>
      </c>
      <c r="R55" s="141">
        <f>P55*VLOOKUP($A55,'[1]INPUT_ASSUMPTIONS CALC'!$A$13:$CK$1019,R$7,FALSE)</f>
        <v>0</v>
      </c>
      <c r="S55" s="140">
        <f t="shared" si="1"/>
        <v>39552.5</v>
      </c>
      <c r="T55" s="142">
        <f t="shared" si="2"/>
        <v>688214</v>
      </c>
      <c r="U55" s="61"/>
    </row>
    <row r="56" spans="1:21" x14ac:dyDescent="0.35">
      <c r="A56" s="125" t="str">
        <f t="shared" si="0"/>
        <v>48Q2</v>
      </c>
      <c r="B56" s="135">
        <v>48</v>
      </c>
      <c r="C56" s="61" t="str">
        <f>INDEX('[1]INPUT_ASSUMPTIONS CALC'!D:D,MATCH(A56,'[1]INPUT_ASSUMPTIONS CALC'!A:A,0))</f>
        <v>Omarova Aizhan</v>
      </c>
      <c r="D56" s="61" t="str">
        <f>INDEX('[1]INPUT_ASSUMPTIONS CALC'!I:I,MATCH(A56,'[1]INPUT_ASSUMPTIONS CALC'!A:A,0))</f>
        <v>Line 1</v>
      </c>
      <c r="E56" s="61" t="str">
        <f>INDEX('[1]INPUT_ASSUMPTIONS CALC'!E:E,MATCH(A56,'[1]INPUT_ASSUMPTIONS CALC'!A:A,0))</f>
        <v>Medical Representative</v>
      </c>
      <c r="F56" s="136">
        <f>IF($F$5="Q1",VLOOKUP($A56,'[1]INPUT_ASSUMPTIONS CALC'!$A$13:$CK$1019,F$7,FALSE),IF($F$5="Q2",VLOOKUP($A56,'[1]INPUT_ASSUMPTIONS CALC'!$A$13:$CK$1019,F$7,FALSE),IF($F$5="Q3",VLOOKUP($A56,'[1]INPUT_ASSUMPTIONS CALC'!$A$13:$CK$1019,F$7,FALSE),IF($F$5="Q4",VLOOKUP($A56,'[1]INPUT_ASSUMPTIONS CALC'!$A$13:$CK$1019,F$7,FALSE),IF($F$5="Year",VLOOKUP($A56,'[1]INPUT_ASSUMPTIONS CALC'!$A$13:$CK$1019,F$7,FALSE),0)))))</f>
        <v>395525</v>
      </c>
      <c r="G56" s="137">
        <f>SUMIF('[1]INPUT_ASSUMPTIONS CALC'!A:A,'[1]Summary calculation'!A56,'[1]INPUT_ASSUMPTIONS CALC'!BU:BU)</f>
        <v>1</v>
      </c>
      <c r="H56" s="138">
        <f>IF($F$5="Year",F56*G56*'[1]INPUT_ASSUMPTIONS CALC'!$S$7,F56*G56)</f>
        <v>395525</v>
      </c>
      <c r="I56" s="138">
        <f>H56*VLOOKUP($A56,'[1]INPUT_ASSUMPTIONS CALC'!$A$13:$CK$1019,H$6,FALSE)*SUMIF('[1]INPUT_ASSUMPTIONS CALC'!$CL$15:$CL$17,'[1]Summary calculation'!E56,'[1]INPUT_ASSUMPTIONS CALC'!$CM$15:$CM$17)</f>
        <v>316420</v>
      </c>
      <c r="J56" s="139">
        <f>$I56*VLOOKUP($A56,'[1]INPUT_ASSUMPTIONS CALC'!$A$13:$CK$1019,I$6,FALSE)*VLOOKUP($A56,'[1]INPUT_ASSUMPTIONS CALC'!$A$13:$CK$1019,J$7,FALSE)</f>
        <v>395525</v>
      </c>
      <c r="K56" s="139">
        <f>$I56*VLOOKUP($A56,'[1]INPUT_ASSUMPTIONS CALC'!$A$13:$CK$1019,I$6,FALSE)*VLOOKUP($A56,'[1]INPUT_ASSUMPTIONS CALC'!$A$13:$CK$1019,K$7,FALSE)</f>
        <v>276867.5</v>
      </c>
      <c r="L56" s="139">
        <f>$I56*VLOOKUP($A56,'[1]INPUT_ASSUMPTIONS CALC'!$A$13:$CK$1019,I$6,FALSE)*VLOOKUP($A56,'[1]INPUT_ASSUMPTIONS CALC'!$A$13:$CK$1019,L$7,FALSE)</f>
        <v>79105</v>
      </c>
      <c r="M56" s="139">
        <f>$I56*VLOOKUP($A56,'[1]INPUT_ASSUMPTIONS CALC'!$A$13:$CK$1019,I$6,FALSE)*VLOOKUP($A56,'[1]INPUT_ASSUMPTIONS CALC'!$A$13:$CK$1019,M$7,FALSE)</f>
        <v>39552.500000000015</v>
      </c>
      <c r="N56" s="140">
        <f t="shared" si="3"/>
        <v>791050</v>
      </c>
      <c r="O56" s="141">
        <f>H56*VLOOKUP($A56,'[1]INPUT_ASSUMPTIONS CALC'!$A$13:$CK$1019,H$6,FALSE)*SUMIF('[1]INPUT_ASSUMPTIONS CALC'!$CQ$15:$CQ$17,'[1]Summary calculation'!E56,'[1]INPUT_ASSUMPTIONS CALC'!$CR$15:$CR$17)</f>
        <v>79105</v>
      </c>
      <c r="P56" s="141">
        <f>H56*VLOOKUP($A56,'[1]INPUT_ASSUMPTIONS CALC'!$A$13:$CK$1019,H$6,FALSE)*SUMIF('[1]INPUT_ASSUMPTIONS CALC'!$CV$15:$CV$31,'[1]Summary calculation'!E56,'[1]INPUT_ASSUMPTIONS CALC'!$CW$15:$CW$31)</f>
        <v>0</v>
      </c>
      <c r="Q56" s="141">
        <f>O56*VLOOKUP($A56,'[1]INPUT_ASSUMPTIONS CALC'!$A$13:$CK$1019,Q$7,FALSE)</f>
        <v>39552.5</v>
      </c>
      <c r="R56" s="141">
        <f>P56*VLOOKUP($A56,'[1]INPUT_ASSUMPTIONS CALC'!$A$13:$CK$1019,R$7,FALSE)</f>
        <v>0</v>
      </c>
      <c r="S56" s="140">
        <f t="shared" si="1"/>
        <v>39552.5</v>
      </c>
      <c r="T56" s="142">
        <f t="shared" si="2"/>
        <v>830603</v>
      </c>
      <c r="U56" s="61"/>
    </row>
    <row r="57" spans="1:21" x14ac:dyDescent="0.35">
      <c r="A57" s="125" t="str">
        <f t="shared" si="0"/>
        <v>49Q2</v>
      </c>
      <c r="B57" s="135">
        <v>49</v>
      </c>
      <c r="C57" s="61" t="str">
        <f>INDEX('[1]INPUT_ASSUMPTIONS CALC'!D:D,MATCH(A57,'[1]INPUT_ASSUMPTIONS CALC'!A:A,0))</f>
        <v>Ospanova Anar</v>
      </c>
      <c r="D57" s="61" t="str">
        <f>INDEX('[1]INPUT_ASSUMPTIONS CALC'!I:I,MATCH(A57,'[1]INPUT_ASSUMPTIONS CALC'!A:A,0))</f>
        <v>Line 2</v>
      </c>
      <c r="E57" s="61" t="str">
        <f>INDEX('[1]INPUT_ASSUMPTIONS CALC'!E:E,MATCH(A57,'[1]INPUT_ASSUMPTIONS CALC'!A:A,0))</f>
        <v>Medical Representative</v>
      </c>
      <c r="F57" s="136">
        <f>IF($F$5="Q1",VLOOKUP($A57,'[1]INPUT_ASSUMPTIONS CALC'!$A$13:$CK$1019,F$7,FALSE),IF($F$5="Q2",VLOOKUP($A57,'[1]INPUT_ASSUMPTIONS CALC'!$A$13:$CK$1019,F$7,FALSE),IF($F$5="Q3",VLOOKUP($A57,'[1]INPUT_ASSUMPTIONS CALC'!$A$13:$CK$1019,F$7,FALSE),IF($F$5="Q4",VLOOKUP($A57,'[1]INPUT_ASSUMPTIONS CALC'!$A$13:$CK$1019,F$7,FALSE),IF($F$5="Year",VLOOKUP($A57,'[1]INPUT_ASSUMPTIONS CALC'!$A$13:$CK$1019,F$7,FALSE),0)))))</f>
        <v>395525</v>
      </c>
      <c r="G57" s="137">
        <f>SUMIF('[1]INPUT_ASSUMPTIONS CALC'!A:A,'[1]Summary calculation'!A57,'[1]INPUT_ASSUMPTIONS CALC'!BU:BU)</f>
        <v>1</v>
      </c>
      <c r="H57" s="138">
        <f>IF($F$5="Year",F57*G57*'[1]INPUT_ASSUMPTIONS CALC'!$S$7,F57*G57)</f>
        <v>395525</v>
      </c>
      <c r="I57" s="138">
        <f>H57*VLOOKUP($A57,'[1]INPUT_ASSUMPTIONS CALC'!$A$13:$CK$1019,H$6,FALSE)*SUMIF('[1]INPUT_ASSUMPTIONS CALC'!$CL$15:$CL$17,'[1]Summary calculation'!E57,'[1]INPUT_ASSUMPTIONS CALC'!$CM$15:$CM$17)</f>
        <v>316420</v>
      </c>
      <c r="J57" s="139">
        <f>$I57*VLOOKUP($A57,'[1]INPUT_ASSUMPTIONS CALC'!$A$13:$CK$1019,I$6,FALSE)*VLOOKUP($A57,'[1]INPUT_ASSUMPTIONS CALC'!$A$13:$CK$1019,J$7,FALSE)</f>
        <v>199344.6</v>
      </c>
      <c r="K57" s="139">
        <f>$I57*VLOOKUP($A57,'[1]INPUT_ASSUMPTIONS CALC'!$A$13:$CK$1019,I$6,FALSE)*VLOOKUP($A57,'[1]INPUT_ASSUMPTIONS CALC'!$A$13:$CK$1019,K$7,FALSE)</f>
        <v>166120.5</v>
      </c>
      <c r="L57" s="139">
        <f>$I57*VLOOKUP($A57,'[1]INPUT_ASSUMPTIONS CALC'!$A$13:$CK$1019,I$6,FALSE)*VLOOKUP($A57,'[1]INPUT_ASSUMPTIONS CALC'!$A$13:$CK$1019,L$7,FALSE)</f>
        <v>166120.5</v>
      </c>
      <c r="M57" s="139">
        <f>$I57*VLOOKUP($A57,'[1]INPUT_ASSUMPTIONS CALC'!$A$13:$CK$1019,I$6,FALSE)*VLOOKUP($A57,'[1]INPUT_ASSUMPTIONS CALC'!$A$13:$CK$1019,M$7,FALSE)</f>
        <v>132896.39999999997</v>
      </c>
      <c r="N57" s="140">
        <f t="shared" si="3"/>
        <v>664482</v>
      </c>
      <c r="O57" s="141">
        <f>H57*VLOOKUP($A57,'[1]INPUT_ASSUMPTIONS CALC'!$A$13:$CK$1019,H$6,FALSE)*SUMIF('[1]INPUT_ASSUMPTIONS CALC'!$CQ$15:$CQ$17,'[1]Summary calculation'!E57,'[1]INPUT_ASSUMPTIONS CALC'!$CR$15:$CR$17)</f>
        <v>79105</v>
      </c>
      <c r="P57" s="141">
        <f>H57*VLOOKUP($A57,'[1]INPUT_ASSUMPTIONS CALC'!$A$13:$CK$1019,H$6,FALSE)*SUMIF('[1]INPUT_ASSUMPTIONS CALC'!$CV$15:$CV$31,'[1]Summary calculation'!E57,'[1]INPUT_ASSUMPTIONS CALC'!$CW$15:$CW$31)</f>
        <v>0</v>
      </c>
      <c r="Q57" s="141">
        <f>O57*VLOOKUP($A57,'[1]INPUT_ASSUMPTIONS CALC'!$A$13:$CK$1019,Q$7,FALSE)</f>
        <v>79105</v>
      </c>
      <c r="R57" s="141">
        <f>P57*VLOOKUP($A57,'[1]INPUT_ASSUMPTIONS CALC'!$A$13:$CK$1019,R$7,FALSE)</f>
        <v>0</v>
      </c>
      <c r="S57" s="140">
        <f t="shared" si="1"/>
        <v>79105</v>
      </c>
      <c r="T57" s="142">
        <f t="shared" si="2"/>
        <v>743587</v>
      </c>
      <c r="U57" s="61"/>
    </row>
    <row r="58" spans="1:21" x14ac:dyDescent="0.35">
      <c r="A58" s="125" t="str">
        <f t="shared" si="0"/>
        <v>50Q2</v>
      </c>
      <c r="B58" s="135">
        <v>50</v>
      </c>
      <c r="C58" s="61" t="str">
        <f>INDEX('[1]INPUT_ASSUMPTIONS CALC'!D:D,MATCH(A58,'[1]INPUT_ASSUMPTIONS CALC'!A:A,0))</f>
        <v>Ossipova Anna</v>
      </c>
      <c r="D58" s="61" t="str">
        <f>INDEX('[1]INPUT_ASSUMPTIONS CALC'!I:I,MATCH(A58,'[1]INPUT_ASSUMPTIONS CALC'!A:A,0))</f>
        <v>Pharma line</v>
      </c>
      <c r="E58" s="61" t="str">
        <f>INDEX('[1]INPUT_ASSUMPTIONS CALC'!E:E,MATCH(A58,'[1]INPUT_ASSUMPTIONS CALC'!A:A,0))</f>
        <v>Pharm Representative</v>
      </c>
      <c r="F58" s="136">
        <f>IF($F$5="Q1",VLOOKUP($A58,'[1]INPUT_ASSUMPTIONS CALC'!$A$13:$CK$1019,F$7,FALSE),IF($F$5="Q2",VLOOKUP($A58,'[1]INPUT_ASSUMPTIONS CALC'!$A$13:$CK$1019,F$7,FALSE),IF($F$5="Q3",VLOOKUP($A58,'[1]INPUT_ASSUMPTIONS CALC'!$A$13:$CK$1019,F$7,FALSE),IF($F$5="Q4",VLOOKUP($A58,'[1]INPUT_ASSUMPTIONS CALC'!$A$13:$CK$1019,F$7,FALSE),IF($F$5="Year",VLOOKUP($A58,'[1]INPUT_ASSUMPTIONS CALC'!$A$13:$CK$1019,F$7,FALSE),0)))))</f>
        <v>395525</v>
      </c>
      <c r="G58" s="137">
        <f>SUMIF('[1]INPUT_ASSUMPTIONS CALC'!A:A,'[1]Summary calculation'!A58,'[1]INPUT_ASSUMPTIONS CALC'!BU:BU)</f>
        <v>1</v>
      </c>
      <c r="H58" s="138">
        <f>IF($F$5="Year",F58*G58*'[1]INPUT_ASSUMPTIONS CALC'!$S$7,F58*G58)</f>
        <v>395525</v>
      </c>
      <c r="I58" s="138">
        <f>H58*VLOOKUP($A58,'[1]INPUT_ASSUMPTIONS CALC'!$A$13:$CK$1019,H$6,FALSE)*SUMIF('[1]INPUT_ASSUMPTIONS CALC'!$CL$15:$CL$17,'[1]Summary calculation'!E58,'[1]INPUT_ASSUMPTIONS CALC'!$CM$15:$CM$17)</f>
        <v>316420</v>
      </c>
      <c r="J58" s="139">
        <f>$I58*VLOOKUP($A58,'[1]INPUT_ASSUMPTIONS CALC'!$A$13:$CK$1019,I$6,FALSE)*VLOOKUP($A58,'[1]INPUT_ASSUMPTIONS CALC'!$A$13:$CK$1019,J$7,FALSE)</f>
        <v>334614.15000000002</v>
      </c>
      <c r="K58" s="139">
        <f>$I58*VLOOKUP($A58,'[1]INPUT_ASSUMPTIONS CALC'!$A$13:$CK$1019,I$6,FALSE)*VLOOKUP($A58,'[1]INPUT_ASSUMPTIONS CALC'!$A$13:$CK$1019,K$7,FALSE)</f>
        <v>223076.1</v>
      </c>
      <c r="L58" s="139">
        <f>$I58*VLOOKUP($A58,'[1]INPUT_ASSUMPTIONS CALC'!$A$13:$CK$1019,I$6,FALSE)*VLOOKUP($A58,'[1]INPUT_ASSUMPTIONS CALC'!$A$13:$CK$1019,L$7,FALSE)</f>
        <v>111538.05</v>
      </c>
      <c r="M58" s="139">
        <f>$I58*VLOOKUP($A58,'[1]INPUT_ASSUMPTIONS CALC'!$A$13:$CK$1019,I$6,FALSE)*VLOOKUP($A58,'[1]INPUT_ASSUMPTIONS CALC'!$A$13:$CK$1019,M$7,FALSE)</f>
        <v>74358.700000000041</v>
      </c>
      <c r="N58" s="140">
        <f t="shared" si="3"/>
        <v>743587.00000000012</v>
      </c>
      <c r="O58" s="141">
        <f>H58*VLOOKUP($A58,'[1]INPUT_ASSUMPTIONS CALC'!$A$13:$CK$1019,H$6,FALSE)*SUMIF('[1]INPUT_ASSUMPTIONS CALC'!$CQ$15:$CQ$17,'[1]Summary calculation'!E58,'[1]INPUT_ASSUMPTIONS CALC'!$CR$15:$CR$17)</f>
        <v>79105</v>
      </c>
      <c r="P58" s="141">
        <f>H58*VLOOKUP($A58,'[1]INPUT_ASSUMPTIONS CALC'!$A$13:$CK$1019,H$6,FALSE)*SUMIF('[1]INPUT_ASSUMPTIONS CALC'!$CV$15:$CV$31,'[1]Summary calculation'!E58,'[1]INPUT_ASSUMPTIONS CALC'!$CW$15:$CW$31)</f>
        <v>0</v>
      </c>
      <c r="Q58" s="141">
        <f>O58*VLOOKUP($A58,'[1]INPUT_ASSUMPTIONS CALC'!$A$13:$CK$1019,Q$7,FALSE)</f>
        <v>39552.5</v>
      </c>
      <c r="R58" s="141">
        <f>P58*VLOOKUP($A58,'[1]INPUT_ASSUMPTIONS CALC'!$A$13:$CK$1019,R$7,FALSE)</f>
        <v>0</v>
      </c>
      <c r="S58" s="140">
        <f t="shared" si="1"/>
        <v>39552.5</v>
      </c>
      <c r="T58" s="142">
        <f t="shared" si="2"/>
        <v>783140</v>
      </c>
      <c r="U58" s="61"/>
    </row>
    <row r="59" spans="1:21" x14ac:dyDescent="0.35">
      <c r="A59" s="125" t="str">
        <f t="shared" si="0"/>
        <v>51Q2</v>
      </c>
      <c r="B59" s="135">
        <v>51</v>
      </c>
      <c r="C59" s="61" t="str">
        <f>INDEX('[1]INPUT_ASSUMPTIONS CALC'!D:D,MATCH(A59,'[1]INPUT_ASSUMPTIONS CALC'!A:A,0))</f>
        <v>Pavlutskikh Yelena</v>
      </c>
      <c r="D59" s="61" t="str">
        <f>INDEX('[1]INPUT_ASSUMPTIONS CALC'!I:I,MATCH(A59,'[1]INPUT_ASSUMPTIONS CALC'!A:A,0))</f>
        <v>Line 1</v>
      </c>
      <c r="E59" s="61" t="str">
        <f>INDEX('[1]INPUT_ASSUMPTIONS CALC'!E:E,MATCH(A59,'[1]INPUT_ASSUMPTIONS CALC'!A:A,0))</f>
        <v>Medical Representative</v>
      </c>
      <c r="F59" s="136">
        <f>IF($F$5="Q1",VLOOKUP($A59,'[1]INPUT_ASSUMPTIONS CALC'!$A$13:$CK$1019,F$7,FALSE),IF($F$5="Q2",VLOOKUP($A59,'[1]INPUT_ASSUMPTIONS CALC'!$A$13:$CK$1019,F$7,FALSE),IF($F$5="Q3",VLOOKUP($A59,'[1]INPUT_ASSUMPTIONS CALC'!$A$13:$CK$1019,F$7,FALSE),IF($F$5="Q4",VLOOKUP($A59,'[1]INPUT_ASSUMPTIONS CALC'!$A$13:$CK$1019,F$7,FALSE),IF($F$5="Year",VLOOKUP($A59,'[1]INPUT_ASSUMPTIONS CALC'!$A$13:$CK$1019,F$7,FALSE),0)))))</f>
        <v>395525</v>
      </c>
      <c r="G59" s="137">
        <f>SUMIF('[1]INPUT_ASSUMPTIONS CALC'!A:A,'[1]Summary calculation'!A59,'[1]INPUT_ASSUMPTIONS CALC'!BU:BU)</f>
        <v>1</v>
      </c>
      <c r="H59" s="138">
        <f>IF($F$5="Year",F59*G59*'[1]INPUT_ASSUMPTIONS CALC'!$S$7,F59*G59)</f>
        <v>395525</v>
      </c>
      <c r="I59" s="138">
        <f>H59*VLOOKUP($A59,'[1]INPUT_ASSUMPTIONS CALC'!$A$13:$CK$1019,H$6,FALSE)*SUMIF('[1]INPUT_ASSUMPTIONS CALC'!$CL$15:$CL$17,'[1]Summary calculation'!E59,'[1]INPUT_ASSUMPTIONS CALC'!$CM$15:$CM$17)</f>
        <v>316420</v>
      </c>
      <c r="J59" s="139">
        <f>$I59*VLOOKUP($A59,'[1]INPUT_ASSUMPTIONS CALC'!$A$13:$CK$1019,I$6,FALSE)*VLOOKUP($A59,'[1]INPUT_ASSUMPTIONS CALC'!$A$13:$CK$1019,J$7,FALSE)</f>
        <v>253136</v>
      </c>
      <c r="K59" s="139">
        <f>$I59*VLOOKUP($A59,'[1]INPUT_ASSUMPTIONS CALC'!$A$13:$CK$1019,I$6,FALSE)*VLOOKUP($A59,'[1]INPUT_ASSUMPTIONS CALC'!$A$13:$CK$1019,K$7,FALSE)</f>
        <v>177195.19999999998</v>
      </c>
      <c r="L59" s="139">
        <f>$I59*VLOOKUP($A59,'[1]INPUT_ASSUMPTIONS CALC'!$A$13:$CK$1019,I$6,FALSE)*VLOOKUP($A59,'[1]INPUT_ASSUMPTIONS CALC'!$A$13:$CK$1019,L$7,FALSE)</f>
        <v>50627.200000000004</v>
      </c>
      <c r="M59" s="139">
        <f>$I59*VLOOKUP($A59,'[1]INPUT_ASSUMPTIONS CALC'!$A$13:$CK$1019,I$6,FALSE)*VLOOKUP($A59,'[1]INPUT_ASSUMPTIONS CALC'!$A$13:$CK$1019,M$7,FALSE)</f>
        <v>25313.600000000009</v>
      </c>
      <c r="N59" s="140">
        <f t="shared" si="3"/>
        <v>506272</v>
      </c>
      <c r="O59" s="141">
        <f>H59*VLOOKUP($A59,'[1]INPUT_ASSUMPTIONS CALC'!$A$13:$CK$1019,H$6,FALSE)*SUMIF('[1]INPUT_ASSUMPTIONS CALC'!$CQ$15:$CQ$17,'[1]Summary calculation'!E59,'[1]INPUT_ASSUMPTIONS CALC'!$CR$15:$CR$17)</f>
        <v>79105</v>
      </c>
      <c r="P59" s="141">
        <f>H59*VLOOKUP($A59,'[1]INPUT_ASSUMPTIONS CALC'!$A$13:$CK$1019,H$6,FALSE)*SUMIF('[1]INPUT_ASSUMPTIONS CALC'!$CV$15:$CV$31,'[1]Summary calculation'!E59,'[1]INPUT_ASSUMPTIONS CALC'!$CW$15:$CW$31)</f>
        <v>0</v>
      </c>
      <c r="Q59" s="141">
        <f>O59*VLOOKUP($A59,'[1]INPUT_ASSUMPTIONS CALC'!$A$13:$CK$1019,Q$7,FALSE)</f>
        <v>39552.5</v>
      </c>
      <c r="R59" s="141">
        <f>P59*VLOOKUP($A59,'[1]INPUT_ASSUMPTIONS CALC'!$A$13:$CK$1019,R$7,FALSE)</f>
        <v>0</v>
      </c>
      <c r="S59" s="140">
        <f t="shared" si="1"/>
        <v>39552.5</v>
      </c>
      <c r="T59" s="142">
        <f t="shared" si="2"/>
        <v>545825</v>
      </c>
      <c r="U59" s="61"/>
    </row>
    <row r="60" spans="1:21" x14ac:dyDescent="0.35">
      <c r="A60" s="125" t="str">
        <f t="shared" si="0"/>
        <v>52Q2</v>
      </c>
      <c r="B60" s="135">
        <v>52</v>
      </c>
      <c r="C60" s="61" t="str">
        <f>INDEX('[1]INPUT_ASSUMPTIONS CALC'!D:D,MATCH(A60,'[1]INPUT_ASSUMPTIONS CALC'!A:A,0))</f>
        <v>Rakhimzhanova Gulnar</v>
      </c>
      <c r="D60" s="61" t="str">
        <f>INDEX('[1]INPUT_ASSUMPTIONS CALC'!I:I,MATCH(A60,'[1]INPUT_ASSUMPTIONS CALC'!A:A,0))</f>
        <v>Line 1</v>
      </c>
      <c r="E60" s="61" t="str">
        <f>INDEX('[1]INPUT_ASSUMPTIONS CALC'!E:E,MATCH(A60,'[1]INPUT_ASSUMPTIONS CALC'!A:A,0))</f>
        <v>Medical Representative</v>
      </c>
      <c r="F60" s="136">
        <f>IF($F$5="Q1",VLOOKUP($A60,'[1]INPUT_ASSUMPTIONS CALC'!$A$13:$CK$1019,F$7,FALSE),IF($F$5="Q2",VLOOKUP($A60,'[1]INPUT_ASSUMPTIONS CALC'!$A$13:$CK$1019,F$7,FALSE),IF($F$5="Q3",VLOOKUP($A60,'[1]INPUT_ASSUMPTIONS CALC'!$A$13:$CK$1019,F$7,FALSE),IF($F$5="Q4",VLOOKUP($A60,'[1]INPUT_ASSUMPTIONS CALC'!$A$13:$CK$1019,F$7,FALSE),IF($F$5="Year",VLOOKUP($A60,'[1]INPUT_ASSUMPTIONS CALC'!$A$13:$CK$1019,F$7,FALSE),0)))))</f>
        <v>395525</v>
      </c>
      <c r="G60" s="137">
        <f>SUMIF('[1]INPUT_ASSUMPTIONS CALC'!A:A,'[1]Summary calculation'!A60,'[1]INPUT_ASSUMPTIONS CALC'!BU:BU)</f>
        <v>1</v>
      </c>
      <c r="H60" s="138">
        <f>IF($F$5="Year",F60*G60*'[1]INPUT_ASSUMPTIONS CALC'!$S$7,F60*G60)</f>
        <v>395525</v>
      </c>
      <c r="I60" s="138">
        <f>H60*VLOOKUP($A60,'[1]INPUT_ASSUMPTIONS CALC'!$A$13:$CK$1019,H$6,FALSE)*SUMIF('[1]INPUT_ASSUMPTIONS CALC'!$CL$15:$CL$17,'[1]Summary calculation'!E60,'[1]INPUT_ASSUMPTIONS CALC'!$CM$15:$CM$17)</f>
        <v>316420</v>
      </c>
      <c r="J60" s="139">
        <f>$I60*VLOOKUP($A60,'[1]INPUT_ASSUMPTIONS CALC'!$A$13:$CK$1019,I$6,FALSE)*VLOOKUP($A60,'[1]INPUT_ASSUMPTIONS CALC'!$A$13:$CK$1019,J$7,FALSE)</f>
        <v>237315</v>
      </c>
      <c r="K60" s="139">
        <f>$I60*VLOOKUP($A60,'[1]INPUT_ASSUMPTIONS CALC'!$A$13:$CK$1019,I$6,FALSE)*VLOOKUP($A60,'[1]INPUT_ASSUMPTIONS CALC'!$A$13:$CK$1019,K$7,FALSE)</f>
        <v>166120.5</v>
      </c>
      <c r="L60" s="139">
        <f>$I60*VLOOKUP($A60,'[1]INPUT_ASSUMPTIONS CALC'!$A$13:$CK$1019,I$6,FALSE)*VLOOKUP($A60,'[1]INPUT_ASSUMPTIONS CALC'!$A$13:$CK$1019,L$7,FALSE)</f>
        <v>47463</v>
      </c>
      <c r="M60" s="139">
        <f>$I60*VLOOKUP($A60,'[1]INPUT_ASSUMPTIONS CALC'!$A$13:$CK$1019,I$6,FALSE)*VLOOKUP($A60,'[1]INPUT_ASSUMPTIONS CALC'!$A$13:$CK$1019,M$7,FALSE)</f>
        <v>23731.500000000007</v>
      </c>
      <c r="N60" s="140">
        <f t="shared" si="3"/>
        <v>474630</v>
      </c>
      <c r="O60" s="141">
        <f>H60*VLOOKUP($A60,'[1]INPUT_ASSUMPTIONS CALC'!$A$13:$CK$1019,H$6,FALSE)*SUMIF('[1]INPUT_ASSUMPTIONS CALC'!$CQ$15:$CQ$17,'[1]Summary calculation'!E60,'[1]INPUT_ASSUMPTIONS CALC'!$CR$15:$CR$17)</f>
        <v>79105</v>
      </c>
      <c r="P60" s="141">
        <f>H60*VLOOKUP($A60,'[1]INPUT_ASSUMPTIONS CALC'!$A$13:$CK$1019,H$6,FALSE)*SUMIF('[1]INPUT_ASSUMPTIONS CALC'!$CV$15:$CV$31,'[1]Summary calculation'!E60,'[1]INPUT_ASSUMPTIONS CALC'!$CW$15:$CW$31)</f>
        <v>0</v>
      </c>
      <c r="Q60" s="141">
        <f>O60*VLOOKUP($A60,'[1]INPUT_ASSUMPTIONS CALC'!$A$13:$CK$1019,Q$7,FALSE)</f>
        <v>79105</v>
      </c>
      <c r="R60" s="141">
        <f>P60*VLOOKUP($A60,'[1]INPUT_ASSUMPTIONS CALC'!$A$13:$CK$1019,R$7,FALSE)</f>
        <v>0</v>
      </c>
      <c r="S60" s="140">
        <f t="shared" si="1"/>
        <v>79105</v>
      </c>
      <c r="T60" s="142">
        <f t="shared" si="2"/>
        <v>553735</v>
      </c>
      <c r="U60" s="61"/>
    </row>
    <row r="61" spans="1:21" x14ac:dyDescent="0.35">
      <c r="A61" s="125" t="str">
        <f t="shared" si="0"/>
        <v>53Q2</v>
      </c>
      <c r="B61" s="135">
        <v>53</v>
      </c>
      <c r="C61" s="61" t="str">
        <f>INDEX('[1]INPUT_ASSUMPTIONS CALC'!D:D,MATCH(A61,'[1]INPUT_ASSUMPTIONS CALC'!A:A,0))</f>
        <v>Sadvakassova Zhanat</v>
      </c>
      <c r="D61" s="61" t="str">
        <f>INDEX('[1]INPUT_ASSUMPTIONS CALC'!I:I,MATCH(A61,'[1]INPUT_ASSUMPTIONS CALC'!A:A,0))</f>
        <v>Pharma line</v>
      </c>
      <c r="E61" s="61" t="str">
        <f>INDEX('[1]INPUT_ASSUMPTIONS CALC'!E:E,MATCH(A61,'[1]INPUT_ASSUMPTIONS CALC'!A:A,0))</f>
        <v>Pharm Representative</v>
      </c>
      <c r="F61" s="136">
        <f>IF($F$5="Q1",VLOOKUP($A61,'[1]INPUT_ASSUMPTIONS CALC'!$A$13:$CK$1019,F$7,FALSE),IF($F$5="Q2",VLOOKUP($A61,'[1]INPUT_ASSUMPTIONS CALC'!$A$13:$CK$1019,F$7,FALSE),IF($F$5="Q3",VLOOKUP($A61,'[1]INPUT_ASSUMPTIONS CALC'!$A$13:$CK$1019,F$7,FALSE),IF($F$5="Q4",VLOOKUP($A61,'[1]INPUT_ASSUMPTIONS CALC'!$A$13:$CK$1019,F$7,FALSE),IF($F$5="Year",VLOOKUP($A61,'[1]INPUT_ASSUMPTIONS CALC'!$A$13:$CK$1019,F$7,FALSE),0)))))</f>
        <v>395525</v>
      </c>
      <c r="G61" s="137">
        <f>SUMIF('[1]INPUT_ASSUMPTIONS CALC'!A:A,'[1]Summary calculation'!A61,'[1]INPUT_ASSUMPTIONS CALC'!BU:BU)</f>
        <v>1</v>
      </c>
      <c r="H61" s="138">
        <f>IF($F$5="Year",F61*G61*'[1]INPUT_ASSUMPTIONS CALC'!$S$7,F61*G61)</f>
        <v>395525</v>
      </c>
      <c r="I61" s="138">
        <f>H61*VLOOKUP($A61,'[1]INPUT_ASSUMPTIONS CALC'!$A$13:$CK$1019,H$6,FALSE)*SUMIF('[1]INPUT_ASSUMPTIONS CALC'!$CL$15:$CL$17,'[1]Summary calculation'!E61,'[1]INPUT_ASSUMPTIONS CALC'!$CM$15:$CM$17)</f>
        <v>316420</v>
      </c>
      <c r="J61" s="139">
        <f>$I61*VLOOKUP($A61,'[1]INPUT_ASSUMPTIONS CALC'!$A$13:$CK$1019,I$6,FALSE)*VLOOKUP($A61,'[1]INPUT_ASSUMPTIONS CALC'!$A$13:$CK$1019,J$7,FALSE)</f>
        <v>227822.4</v>
      </c>
      <c r="K61" s="139">
        <f>$I61*VLOOKUP($A61,'[1]INPUT_ASSUMPTIONS CALC'!$A$13:$CK$1019,I$6,FALSE)*VLOOKUP($A61,'[1]INPUT_ASSUMPTIONS CALC'!$A$13:$CK$1019,K$7,FALSE)</f>
        <v>151881.60000000001</v>
      </c>
      <c r="L61" s="139">
        <f>$I61*VLOOKUP($A61,'[1]INPUT_ASSUMPTIONS CALC'!$A$13:$CK$1019,I$6,FALSE)*VLOOKUP($A61,'[1]INPUT_ASSUMPTIONS CALC'!$A$13:$CK$1019,L$7,FALSE)</f>
        <v>75940.800000000003</v>
      </c>
      <c r="M61" s="139">
        <f>$I61*VLOOKUP($A61,'[1]INPUT_ASSUMPTIONS CALC'!$A$13:$CK$1019,I$6,FALSE)*VLOOKUP($A61,'[1]INPUT_ASSUMPTIONS CALC'!$A$13:$CK$1019,M$7,FALSE)</f>
        <v>50627.200000000033</v>
      </c>
      <c r="N61" s="140">
        <f t="shared" si="3"/>
        <v>506272</v>
      </c>
      <c r="O61" s="141">
        <f>H61*VLOOKUP($A61,'[1]INPUT_ASSUMPTIONS CALC'!$A$13:$CK$1019,H$6,FALSE)*SUMIF('[1]INPUT_ASSUMPTIONS CALC'!$CQ$15:$CQ$17,'[1]Summary calculation'!E61,'[1]INPUT_ASSUMPTIONS CALC'!$CR$15:$CR$17)</f>
        <v>79105</v>
      </c>
      <c r="P61" s="141">
        <f>H61*VLOOKUP($A61,'[1]INPUT_ASSUMPTIONS CALC'!$A$13:$CK$1019,H$6,FALSE)*SUMIF('[1]INPUT_ASSUMPTIONS CALC'!$CV$15:$CV$31,'[1]Summary calculation'!E61,'[1]INPUT_ASSUMPTIONS CALC'!$CW$15:$CW$31)</f>
        <v>0</v>
      </c>
      <c r="Q61" s="141">
        <f>O61*VLOOKUP($A61,'[1]INPUT_ASSUMPTIONS CALC'!$A$13:$CK$1019,Q$7,FALSE)</f>
        <v>79105</v>
      </c>
      <c r="R61" s="141">
        <f>P61*VLOOKUP($A61,'[1]INPUT_ASSUMPTIONS CALC'!$A$13:$CK$1019,R$7,FALSE)</f>
        <v>0</v>
      </c>
      <c r="S61" s="140">
        <f t="shared" si="1"/>
        <v>79105</v>
      </c>
      <c r="T61" s="142">
        <f t="shared" si="2"/>
        <v>585377</v>
      </c>
      <c r="U61" s="61"/>
    </row>
    <row r="62" spans="1:21" x14ac:dyDescent="0.35">
      <c r="A62" s="125" t="str">
        <f t="shared" si="0"/>
        <v>54Q2</v>
      </c>
      <c r="B62" s="135">
        <v>54</v>
      </c>
      <c r="C62" s="61" t="str">
        <f>INDEX('[1]INPUT_ASSUMPTIONS CALC'!D:D,MATCH(A62,'[1]INPUT_ASSUMPTIONS CALC'!A:A,0))</f>
        <v>Sagimbayeva Lyazat</v>
      </c>
      <c r="D62" s="61" t="str">
        <f>INDEX('[1]INPUT_ASSUMPTIONS CALC'!I:I,MATCH(A62,'[1]INPUT_ASSUMPTIONS CALC'!A:A,0))</f>
        <v>Pharma line</v>
      </c>
      <c r="E62" s="61" t="str">
        <f>INDEX('[1]INPUT_ASSUMPTIONS CALC'!E:E,MATCH(A62,'[1]INPUT_ASSUMPTIONS CALC'!A:A,0))</f>
        <v>Pharm Representative</v>
      </c>
      <c r="F62" s="136">
        <f>IF($F$5="Q1",VLOOKUP($A62,'[1]INPUT_ASSUMPTIONS CALC'!$A$13:$CK$1019,F$7,FALSE),IF($F$5="Q2",VLOOKUP($A62,'[1]INPUT_ASSUMPTIONS CALC'!$A$13:$CK$1019,F$7,FALSE),IF($F$5="Q3",VLOOKUP($A62,'[1]INPUT_ASSUMPTIONS CALC'!$A$13:$CK$1019,F$7,FALSE),IF($F$5="Q4",VLOOKUP($A62,'[1]INPUT_ASSUMPTIONS CALC'!$A$13:$CK$1019,F$7,FALSE),IF($F$5="Year",VLOOKUP($A62,'[1]INPUT_ASSUMPTIONS CALC'!$A$13:$CK$1019,F$7,FALSE),0)))))</f>
        <v>395525</v>
      </c>
      <c r="G62" s="137">
        <f>SUMIF('[1]INPUT_ASSUMPTIONS CALC'!A:A,'[1]Summary calculation'!A62,'[1]INPUT_ASSUMPTIONS CALC'!BU:BU)</f>
        <v>1</v>
      </c>
      <c r="H62" s="138">
        <f>IF($F$5="Year",F62*G62*'[1]INPUT_ASSUMPTIONS CALC'!$S$7,F62*G62)</f>
        <v>395525</v>
      </c>
      <c r="I62" s="138">
        <f>H62*VLOOKUP($A62,'[1]INPUT_ASSUMPTIONS CALC'!$A$13:$CK$1019,H$6,FALSE)*SUMIF('[1]INPUT_ASSUMPTIONS CALC'!$CL$15:$CL$17,'[1]Summary calculation'!E62,'[1]INPUT_ASSUMPTIONS CALC'!$CM$15:$CM$17)</f>
        <v>0</v>
      </c>
      <c r="J62" s="139">
        <f>$I62*VLOOKUP($A62,'[1]INPUT_ASSUMPTIONS CALC'!$A$13:$CK$1019,I$6,FALSE)*VLOOKUP($A62,'[1]INPUT_ASSUMPTIONS CALC'!$A$13:$CK$1019,J$7,FALSE)</f>
        <v>0</v>
      </c>
      <c r="K62" s="139">
        <f>$I62*VLOOKUP($A62,'[1]INPUT_ASSUMPTIONS CALC'!$A$13:$CK$1019,I$6,FALSE)*VLOOKUP($A62,'[1]INPUT_ASSUMPTIONS CALC'!$A$13:$CK$1019,K$7,FALSE)</f>
        <v>0</v>
      </c>
      <c r="L62" s="139">
        <f>$I62*VLOOKUP($A62,'[1]INPUT_ASSUMPTIONS CALC'!$A$13:$CK$1019,I$6,FALSE)*VLOOKUP($A62,'[1]INPUT_ASSUMPTIONS CALC'!$A$13:$CK$1019,L$7,FALSE)</f>
        <v>0</v>
      </c>
      <c r="M62" s="139">
        <f>$I62*VLOOKUP($A62,'[1]INPUT_ASSUMPTIONS CALC'!$A$13:$CK$1019,I$6,FALSE)*VLOOKUP($A62,'[1]INPUT_ASSUMPTIONS CALC'!$A$13:$CK$1019,M$7,FALSE)</f>
        <v>0</v>
      </c>
      <c r="N62" s="140">
        <f t="shared" si="3"/>
        <v>0</v>
      </c>
      <c r="O62" s="141">
        <f>H62*VLOOKUP($A62,'[1]INPUT_ASSUMPTIONS CALC'!$A$13:$CK$1019,H$6,FALSE)*SUMIF('[1]INPUT_ASSUMPTIONS CALC'!$CQ$15:$CQ$17,'[1]Summary calculation'!E62,'[1]INPUT_ASSUMPTIONS CALC'!$CR$15:$CR$17)</f>
        <v>0</v>
      </c>
      <c r="P62" s="141">
        <f>H62*VLOOKUP($A62,'[1]INPUT_ASSUMPTIONS CALC'!$A$13:$CK$1019,H$6,FALSE)*SUMIF('[1]INPUT_ASSUMPTIONS CALC'!$CV$15:$CV$31,'[1]Summary calculation'!E62,'[1]INPUT_ASSUMPTIONS CALC'!$CW$15:$CW$31)</f>
        <v>0</v>
      </c>
      <c r="Q62" s="141">
        <f>O62*VLOOKUP($A62,'[1]INPUT_ASSUMPTIONS CALC'!$A$13:$CK$1019,Q$7,FALSE)</f>
        <v>0</v>
      </c>
      <c r="R62" s="141">
        <f>P62*VLOOKUP($A62,'[1]INPUT_ASSUMPTIONS CALC'!$A$13:$CK$1019,R$7,FALSE)</f>
        <v>0</v>
      </c>
      <c r="S62" s="140">
        <f t="shared" si="1"/>
        <v>0</v>
      </c>
      <c r="T62" s="142">
        <f t="shared" si="2"/>
        <v>0</v>
      </c>
      <c r="U62" s="61"/>
    </row>
    <row r="63" spans="1:21" x14ac:dyDescent="0.35">
      <c r="A63" s="125" t="str">
        <f t="shared" si="0"/>
        <v>55Q2</v>
      </c>
      <c r="B63" s="135">
        <v>55</v>
      </c>
      <c r="C63" s="61" t="str">
        <f>INDEX('[1]INPUT_ASSUMPTIONS CALC'!D:D,MATCH(A63,'[1]INPUT_ASSUMPTIONS CALC'!A:A,0))</f>
        <v>Sakalbayeva Aliya</v>
      </c>
      <c r="D63" s="61" t="str">
        <f>INDEX('[1]INPUT_ASSUMPTIONS CALC'!I:I,MATCH(A63,'[1]INPUT_ASSUMPTIONS CALC'!A:A,0))</f>
        <v>Line 2</v>
      </c>
      <c r="E63" s="61" t="str">
        <f>INDEX('[1]INPUT_ASSUMPTIONS CALC'!E:E,MATCH(A63,'[1]INPUT_ASSUMPTIONS CALC'!A:A,0))</f>
        <v>Medical Representative</v>
      </c>
      <c r="F63" s="136">
        <f>IF($F$5="Q1",VLOOKUP($A63,'[1]INPUT_ASSUMPTIONS CALC'!$A$13:$CK$1019,F$7,FALSE),IF($F$5="Q2",VLOOKUP($A63,'[1]INPUT_ASSUMPTIONS CALC'!$A$13:$CK$1019,F$7,FALSE),IF($F$5="Q3",VLOOKUP($A63,'[1]INPUT_ASSUMPTIONS CALC'!$A$13:$CK$1019,F$7,FALSE),IF($F$5="Q4",VLOOKUP($A63,'[1]INPUT_ASSUMPTIONS CALC'!$A$13:$CK$1019,F$7,FALSE),IF($F$5="Year",VLOOKUP($A63,'[1]INPUT_ASSUMPTIONS CALC'!$A$13:$CK$1019,F$7,FALSE),0)))))</f>
        <v>395525</v>
      </c>
      <c r="G63" s="137">
        <f>SUMIF('[1]INPUT_ASSUMPTIONS CALC'!A:A,'[1]Summary calculation'!A63,'[1]INPUT_ASSUMPTIONS CALC'!BU:BU)</f>
        <v>1</v>
      </c>
      <c r="H63" s="138">
        <f>IF($F$5="Year",F63*G63*'[1]INPUT_ASSUMPTIONS CALC'!$S$7,F63*G63)</f>
        <v>395525</v>
      </c>
      <c r="I63" s="138">
        <f>H63*VLOOKUP($A63,'[1]INPUT_ASSUMPTIONS CALC'!$A$13:$CK$1019,H$6,FALSE)*SUMIF('[1]INPUT_ASSUMPTIONS CALC'!$CL$15:$CL$17,'[1]Summary calculation'!E63,'[1]INPUT_ASSUMPTIONS CALC'!$CM$15:$CM$17)</f>
        <v>316420</v>
      </c>
      <c r="J63" s="139">
        <f>$I63*VLOOKUP($A63,'[1]INPUT_ASSUMPTIONS CALC'!$A$13:$CK$1019,I$6,FALSE)*VLOOKUP($A63,'[1]INPUT_ASSUMPTIONS CALC'!$A$13:$CK$1019,J$7,FALSE)</f>
        <v>66448.2</v>
      </c>
      <c r="K63" s="139">
        <f>$I63*VLOOKUP($A63,'[1]INPUT_ASSUMPTIONS CALC'!$A$13:$CK$1019,I$6,FALSE)*VLOOKUP($A63,'[1]INPUT_ASSUMPTIONS CALC'!$A$13:$CK$1019,K$7,FALSE)</f>
        <v>55373.5</v>
      </c>
      <c r="L63" s="139">
        <f>$I63*VLOOKUP($A63,'[1]INPUT_ASSUMPTIONS CALC'!$A$13:$CK$1019,I$6,FALSE)*VLOOKUP($A63,'[1]INPUT_ASSUMPTIONS CALC'!$A$13:$CK$1019,L$7,FALSE)</f>
        <v>55373.5</v>
      </c>
      <c r="M63" s="139">
        <f>$I63*VLOOKUP($A63,'[1]INPUT_ASSUMPTIONS CALC'!$A$13:$CK$1019,I$6,FALSE)*VLOOKUP($A63,'[1]INPUT_ASSUMPTIONS CALC'!$A$13:$CK$1019,M$7,FALSE)</f>
        <v>44298.799999999988</v>
      </c>
      <c r="N63" s="140">
        <f t="shared" si="3"/>
        <v>221494</v>
      </c>
      <c r="O63" s="141">
        <f>H63*VLOOKUP($A63,'[1]INPUT_ASSUMPTIONS CALC'!$A$13:$CK$1019,H$6,FALSE)*SUMIF('[1]INPUT_ASSUMPTIONS CALC'!$CQ$15:$CQ$17,'[1]Summary calculation'!E63,'[1]INPUT_ASSUMPTIONS CALC'!$CR$15:$CR$17)</f>
        <v>79105</v>
      </c>
      <c r="P63" s="141">
        <f>H63*VLOOKUP($A63,'[1]INPUT_ASSUMPTIONS CALC'!$A$13:$CK$1019,H$6,FALSE)*SUMIF('[1]INPUT_ASSUMPTIONS CALC'!$CV$15:$CV$31,'[1]Summary calculation'!E63,'[1]INPUT_ASSUMPTIONS CALC'!$CW$15:$CW$31)</f>
        <v>0</v>
      </c>
      <c r="Q63" s="141">
        <f>O63*VLOOKUP($A63,'[1]INPUT_ASSUMPTIONS CALC'!$A$13:$CK$1019,Q$7,FALSE)</f>
        <v>39552.5</v>
      </c>
      <c r="R63" s="141">
        <f>P63*VLOOKUP($A63,'[1]INPUT_ASSUMPTIONS CALC'!$A$13:$CK$1019,R$7,FALSE)</f>
        <v>0</v>
      </c>
      <c r="S63" s="140">
        <f t="shared" si="1"/>
        <v>39552.5</v>
      </c>
      <c r="T63" s="142">
        <f t="shared" si="2"/>
        <v>261047</v>
      </c>
      <c r="U63" s="61"/>
    </row>
    <row r="64" spans="1:21" x14ac:dyDescent="0.35">
      <c r="A64" s="125" t="str">
        <f t="shared" si="0"/>
        <v>56Q2</v>
      </c>
      <c r="B64" s="135">
        <v>56</v>
      </c>
      <c r="C64" s="61" t="str">
        <f>INDEX('[1]INPUT_ASSUMPTIONS CALC'!D:D,MATCH(A64,'[1]INPUT_ASSUMPTIONS CALC'!A:A,0))</f>
        <v>Sarbassova Dina (Shymkent)</v>
      </c>
      <c r="D64" s="61" t="str">
        <f>INDEX('[1]INPUT_ASSUMPTIONS CALC'!I:I,MATCH(A64,'[1]INPUT_ASSUMPTIONS CALC'!A:A,0))</f>
        <v>Pharma line</v>
      </c>
      <c r="E64" s="61" t="str">
        <f>INDEX('[1]INPUT_ASSUMPTIONS CALC'!E:E,MATCH(A64,'[1]INPUT_ASSUMPTIONS CALC'!A:A,0))</f>
        <v>Pharm Representative</v>
      </c>
      <c r="F64" s="136">
        <f>IF($F$5="Q1",VLOOKUP($A64,'[1]INPUT_ASSUMPTIONS CALC'!$A$13:$CK$1019,F$7,FALSE),IF($F$5="Q2",VLOOKUP($A64,'[1]INPUT_ASSUMPTIONS CALC'!$A$13:$CK$1019,F$7,FALSE),IF($F$5="Q3",VLOOKUP($A64,'[1]INPUT_ASSUMPTIONS CALC'!$A$13:$CK$1019,F$7,FALSE),IF($F$5="Q4",VLOOKUP($A64,'[1]INPUT_ASSUMPTIONS CALC'!$A$13:$CK$1019,F$7,FALSE),IF($F$5="Year",VLOOKUP($A64,'[1]INPUT_ASSUMPTIONS CALC'!$A$13:$CK$1019,F$7,FALSE),0)))))</f>
        <v>395525</v>
      </c>
      <c r="G64" s="137">
        <f>SUMIF('[1]INPUT_ASSUMPTIONS CALC'!A:A,'[1]Summary calculation'!A64,'[1]INPUT_ASSUMPTIONS CALC'!BU:BU)</f>
        <v>0.66666666666666663</v>
      </c>
      <c r="H64" s="138">
        <f>IF($F$5="Year",F64*G64*'[1]INPUT_ASSUMPTIONS CALC'!$S$7,F64*G64)</f>
        <v>263683.33333333331</v>
      </c>
      <c r="I64" s="138">
        <f>H64*VLOOKUP($A64,'[1]INPUT_ASSUMPTIONS CALC'!$A$13:$CK$1019,H$6,FALSE)*SUMIF('[1]INPUT_ASSUMPTIONS CALC'!$CL$15:$CL$17,'[1]Summary calculation'!E64,'[1]INPUT_ASSUMPTIONS CALC'!$CM$15:$CM$17)</f>
        <v>0</v>
      </c>
      <c r="J64" s="139">
        <f>$I64*VLOOKUP($A64,'[1]INPUT_ASSUMPTIONS CALC'!$A$13:$CK$1019,I$6,FALSE)*VLOOKUP($A64,'[1]INPUT_ASSUMPTIONS CALC'!$A$13:$CK$1019,J$7,FALSE)</f>
        <v>0</v>
      </c>
      <c r="K64" s="139">
        <f>$I64*VLOOKUP($A64,'[1]INPUT_ASSUMPTIONS CALC'!$A$13:$CK$1019,I$6,FALSE)*VLOOKUP($A64,'[1]INPUT_ASSUMPTIONS CALC'!$A$13:$CK$1019,K$7,FALSE)</f>
        <v>0</v>
      </c>
      <c r="L64" s="139">
        <f>$I64*VLOOKUP($A64,'[1]INPUT_ASSUMPTIONS CALC'!$A$13:$CK$1019,I$6,FALSE)*VLOOKUP($A64,'[1]INPUT_ASSUMPTIONS CALC'!$A$13:$CK$1019,L$7,FALSE)</f>
        <v>0</v>
      </c>
      <c r="M64" s="139">
        <f>$I64*VLOOKUP($A64,'[1]INPUT_ASSUMPTIONS CALC'!$A$13:$CK$1019,I$6,FALSE)*VLOOKUP($A64,'[1]INPUT_ASSUMPTIONS CALC'!$A$13:$CK$1019,M$7,FALSE)</f>
        <v>0</v>
      </c>
      <c r="N64" s="140">
        <f t="shared" si="3"/>
        <v>0</v>
      </c>
      <c r="O64" s="141">
        <f>H64*VLOOKUP($A64,'[1]INPUT_ASSUMPTIONS CALC'!$A$13:$CK$1019,H$6,FALSE)*SUMIF('[1]INPUT_ASSUMPTIONS CALC'!$CQ$15:$CQ$17,'[1]Summary calculation'!E64,'[1]INPUT_ASSUMPTIONS CALC'!$CR$15:$CR$17)</f>
        <v>0</v>
      </c>
      <c r="P64" s="141">
        <f>H64*VLOOKUP($A64,'[1]INPUT_ASSUMPTIONS CALC'!$A$13:$CK$1019,H$6,FALSE)*SUMIF('[1]INPUT_ASSUMPTIONS CALC'!$CV$15:$CV$31,'[1]Summary calculation'!E64,'[1]INPUT_ASSUMPTIONS CALC'!$CW$15:$CW$31)</f>
        <v>0</v>
      </c>
      <c r="Q64" s="141">
        <f>O64*VLOOKUP($A64,'[1]INPUT_ASSUMPTIONS CALC'!$A$13:$CK$1019,Q$7,FALSE)</f>
        <v>0</v>
      </c>
      <c r="R64" s="141">
        <f>P64*VLOOKUP($A64,'[1]INPUT_ASSUMPTIONS CALC'!$A$13:$CK$1019,R$7,FALSE)</f>
        <v>0</v>
      </c>
      <c r="S64" s="140">
        <f t="shared" si="1"/>
        <v>0</v>
      </c>
      <c r="T64" s="142">
        <f t="shared" si="2"/>
        <v>0</v>
      </c>
      <c r="U64" s="61"/>
    </row>
    <row r="65" spans="1:21" x14ac:dyDescent="0.35">
      <c r="A65" s="125" t="str">
        <f t="shared" si="0"/>
        <v>57Q2</v>
      </c>
      <c r="B65" s="135">
        <v>57</v>
      </c>
      <c r="C65" s="61" t="str">
        <f>INDEX('[1]INPUT_ASSUMPTIONS CALC'!D:D,MATCH(A65,'[1]INPUT_ASSUMPTIONS CALC'!A:A,0))</f>
        <v>Sariyeva Ainur</v>
      </c>
      <c r="D65" s="61" t="str">
        <f>INDEX('[1]INPUT_ASSUMPTIONS CALC'!I:I,MATCH(A65,'[1]INPUT_ASSUMPTIONS CALC'!A:A,0))</f>
        <v>Pharma line</v>
      </c>
      <c r="E65" s="61" t="str">
        <f>INDEX('[1]INPUT_ASSUMPTIONS CALC'!E:E,MATCH(A65,'[1]INPUT_ASSUMPTIONS CALC'!A:A,0))</f>
        <v>Pharm Representative</v>
      </c>
      <c r="F65" s="136">
        <f>IF($F$5="Q1",VLOOKUP($A65,'[1]INPUT_ASSUMPTIONS CALC'!$A$13:$CK$1019,F$7,FALSE),IF($F$5="Q2",VLOOKUP($A65,'[1]INPUT_ASSUMPTIONS CALC'!$A$13:$CK$1019,F$7,FALSE),IF($F$5="Q3",VLOOKUP($A65,'[1]INPUT_ASSUMPTIONS CALC'!$A$13:$CK$1019,F$7,FALSE),IF($F$5="Q4",VLOOKUP($A65,'[1]INPUT_ASSUMPTIONS CALC'!$A$13:$CK$1019,F$7,FALSE),IF($F$5="Year",VLOOKUP($A65,'[1]INPUT_ASSUMPTIONS CALC'!$A$13:$CK$1019,F$7,FALSE),0)))))</f>
        <v>395525</v>
      </c>
      <c r="G65" s="137">
        <f>SUMIF('[1]INPUT_ASSUMPTIONS CALC'!A:A,'[1]Summary calculation'!A65,'[1]INPUT_ASSUMPTIONS CALC'!BU:BU)</f>
        <v>1</v>
      </c>
      <c r="H65" s="138">
        <f>IF($F$5="Year",F65*G65*'[1]INPUT_ASSUMPTIONS CALC'!$S$7,F65*G65)</f>
        <v>395525</v>
      </c>
      <c r="I65" s="138">
        <f>H65*VLOOKUP($A65,'[1]INPUT_ASSUMPTIONS CALC'!$A$13:$CK$1019,H$6,FALSE)*SUMIF('[1]INPUT_ASSUMPTIONS CALC'!$CL$15:$CL$17,'[1]Summary calculation'!E65,'[1]INPUT_ASSUMPTIONS CALC'!$CM$15:$CM$17)</f>
        <v>316420</v>
      </c>
      <c r="J65" s="139">
        <f>$I65*VLOOKUP($A65,'[1]INPUT_ASSUMPTIONS CALC'!$A$13:$CK$1019,I$6,FALSE)*VLOOKUP($A65,'[1]INPUT_ASSUMPTIONS CALC'!$A$13:$CK$1019,J$7,FALSE)</f>
        <v>99672.3</v>
      </c>
      <c r="K65" s="139">
        <f>$I65*VLOOKUP($A65,'[1]INPUT_ASSUMPTIONS CALC'!$A$13:$CK$1019,I$6,FALSE)*VLOOKUP($A65,'[1]INPUT_ASSUMPTIONS CALC'!$A$13:$CK$1019,K$7,FALSE)</f>
        <v>66448.2</v>
      </c>
      <c r="L65" s="139">
        <f>$I65*VLOOKUP($A65,'[1]INPUT_ASSUMPTIONS CALC'!$A$13:$CK$1019,I$6,FALSE)*VLOOKUP($A65,'[1]INPUT_ASSUMPTIONS CALC'!$A$13:$CK$1019,L$7,FALSE)</f>
        <v>33224.1</v>
      </c>
      <c r="M65" s="139">
        <f>$I65*VLOOKUP($A65,'[1]INPUT_ASSUMPTIONS CALC'!$A$13:$CK$1019,I$6,FALSE)*VLOOKUP($A65,'[1]INPUT_ASSUMPTIONS CALC'!$A$13:$CK$1019,M$7,FALSE)</f>
        <v>22149.400000000012</v>
      </c>
      <c r="N65" s="140">
        <f t="shared" si="3"/>
        <v>221494.00000000003</v>
      </c>
      <c r="O65" s="141">
        <f>H65*VLOOKUP($A65,'[1]INPUT_ASSUMPTIONS CALC'!$A$13:$CK$1019,H$6,FALSE)*SUMIF('[1]INPUT_ASSUMPTIONS CALC'!$CQ$15:$CQ$17,'[1]Summary calculation'!E65,'[1]INPUT_ASSUMPTIONS CALC'!$CR$15:$CR$17)</f>
        <v>79105</v>
      </c>
      <c r="P65" s="141">
        <f>H65*VLOOKUP($A65,'[1]INPUT_ASSUMPTIONS CALC'!$A$13:$CK$1019,H$6,FALSE)*SUMIF('[1]INPUT_ASSUMPTIONS CALC'!$CV$15:$CV$31,'[1]Summary calculation'!E65,'[1]INPUT_ASSUMPTIONS CALC'!$CW$15:$CW$31)</f>
        <v>0</v>
      </c>
      <c r="Q65" s="141">
        <f>O65*VLOOKUP($A65,'[1]INPUT_ASSUMPTIONS CALC'!$A$13:$CK$1019,Q$7,FALSE)</f>
        <v>79105</v>
      </c>
      <c r="R65" s="141">
        <f>P65*VLOOKUP($A65,'[1]INPUT_ASSUMPTIONS CALC'!$A$13:$CK$1019,R$7,FALSE)</f>
        <v>0</v>
      </c>
      <c r="S65" s="140">
        <f t="shared" si="1"/>
        <v>79105</v>
      </c>
      <c r="T65" s="142">
        <f t="shared" si="2"/>
        <v>300599</v>
      </c>
      <c r="U65" s="61"/>
    </row>
    <row r="66" spans="1:21" x14ac:dyDescent="0.35">
      <c r="A66" s="125" t="str">
        <f t="shared" si="0"/>
        <v>58Q2</v>
      </c>
      <c r="B66" s="135">
        <v>58</v>
      </c>
      <c r="C66" s="61" t="str">
        <f>INDEX('[1]INPUT_ASSUMPTIONS CALC'!D:D,MATCH(A66,'[1]INPUT_ASSUMPTIONS CALC'!A:A,0))</f>
        <v>Sarsenbayeva Saniya</v>
      </c>
      <c r="D66" s="61" t="str">
        <f>INDEX('[1]INPUT_ASSUMPTIONS CALC'!I:I,MATCH(A66,'[1]INPUT_ASSUMPTIONS CALC'!A:A,0))</f>
        <v>Line 1</v>
      </c>
      <c r="E66" s="61" t="str">
        <f>INDEX('[1]INPUT_ASSUMPTIONS CALC'!E:E,MATCH(A66,'[1]INPUT_ASSUMPTIONS CALC'!A:A,0))</f>
        <v>Medical Representative</v>
      </c>
      <c r="F66" s="136">
        <f>IF($F$5="Q1",VLOOKUP($A66,'[1]INPUT_ASSUMPTIONS CALC'!$A$13:$CK$1019,F$7,FALSE),IF($F$5="Q2",VLOOKUP($A66,'[1]INPUT_ASSUMPTIONS CALC'!$A$13:$CK$1019,F$7,FALSE),IF($F$5="Q3",VLOOKUP($A66,'[1]INPUT_ASSUMPTIONS CALC'!$A$13:$CK$1019,F$7,FALSE),IF($F$5="Q4",VLOOKUP($A66,'[1]INPUT_ASSUMPTIONS CALC'!$A$13:$CK$1019,F$7,FALSE),IF($F$5="Year",VLOOKUP($A66,'[1]INPUT_ASSUMPTIONS CALC'!$A$13:$CK$1019,F$7,FALSE),0)))))</f>
        <v>395525</v>
      </c>
      <c r="G66" s="137">
        <f>SUMIF('[1]INPUT_ASSUMPTIONS CALC'!A:A,'[1]Summary calculation'!A66,'[1]INPUT_ASSUMPTIONS CALC'!BU:BU)</f>
        <v>1</v>
      </c>
      <c r="H66" s="138">
        <f>IF($F$5="Year",F66*G66*'[1]INPUT_ASSUMPTIONS CALC'!$S$7,F66*G66)</f>
        <v>395525</v>
      </c>
      <c r="I66" s="138">
        <f>H66*VLOOKUP($A66,'[1]INPUT_ASSUMPTIONS CALC'!$A$13:$CK$1019,H$6,FALSE)*SUMIF('[1]INPUT_ASSUMPTIONS CALC'!$CL$15:$CL$17,'[1]Summary calculation'!E66,'[1]INPUT_ASSUMPTIONS CALC'!$CM$15:$CM$17)</f>
        <v>316420</v>
      </c>
      <c r="J66" s="139">
        <f>$I66*VLOOKUP($A66,'[1]INPUT_ASSUMPTIONS CALC'!$A$13:$CK$1019,I$6,FALSE)*VLOOKUP($A66,'[1]INPUT_ASSUMPTIONS CALC'!$A$13:$CK$1019,J$7,FALSE)</f>
        <v>237315</v>
      </c>
      <c r="K66" s="139">
        <f>$I66*VLOOKUP($A66,'[1]INPUT_ASSUMPTIONS CALC'!$A$13:$CK$1019,I$6,FALSE)*VLOOKUP($A66,'[1]INPUT_ASSUMPTIONS CALC'!$A$13:$CK$1019,K$7,FALSE)</f>
        <v>166120.5</v>
      </c>
      <c r="L66" s="139">
        <f>$I66*VLOOKUP($A66,'[1]INPUT_ASSUMPTIONS CALC'!$A$13:$CK$1019,I$6,FALSE)*VLOOKUP($A66,'[1]INPUT_ASSUMPTIONS CALC'!$A$13:$CK$1019,L$7,FALSE)</f>
        <v>47463</v>
      </c>
      <c r="M66" s="139">
        <f>$I66*VLOOKUP($A66,'[1]INPUT_ASSUMPTIONS CALC'!$A$13:$CK$1019,I$6,FALSE)*VLOOKUP($A66,'[1]INPUT_ASSUMPTIONS CALC'!$A$13:$CK$1019,M$7,FALSE)</f>
        <v>23731.500000000007</v>
      </c>
      <c r="N66" s="140">
        <f t="shared" si="3"/>
        <v>474630</v>
      </c>
      <c r="O66" s="141">
        <f>H66*VLOOKUP($A66,'[1]INPUT_ASSUMPTIONS CALC'!$A$13:$CK$1019,H$6,FALSE)*SUMIF('[1]INPUT_ASSUMPTIONS CALC'!$CQ$15:$CQ$17,'[1]Summary calculation'!E66,'[1]INPUT_ASSUMPTIONS CALC'!$CR$15:$CR$17)</f>
        <v>79105</v>
      </c>
      <c r="P66" s="141">
        <f>H66*VLOOKUP($A66,'[1]INPUT_ASSUMPTIONS CALC'!$A$13:$CK$1019,H$6,FALSE)*SUMIF('[1]INPUT_ASSUMPTIONS CALC'!$CV$15:$CV$31,'[1]Summary calculation'!E66,'[1]INPUT_ASSUMPTIONS CALC'!$CW$15:$CW$31)</f>
        <v>0</v>
      </c>
      <c r="Q66" s="141">
        <f>O66*VLOOKUP($A66,'[1]INPUT_ASSUMPTIONS CALC'!$A$13:$CK$1019,Q$7,FALSE)</f>
        <v>79105</v>
      </c>
      <c r="R66" s="141">
        <f>P66*VLOOKUP($A66,'[1]INPUT_ASSUMPTIONS CALC'!$A$13:$CK$1019,R$7,FALSE)</f>
        <v>0</v>
      </c>
      <c r="S66" s="140">
        <f t="shared" si="1"/>
        <v>79105</v>
      </c>
      <c r="T66" s="142">
        <f t="shared" si="2"/>
        <v>553735</v>
      </c>
      <c r="U66" s="61"/>
    </row>
    <row r="67" spans="1:21" x14ac:dyDescent="0.35">
      <c r="A67" s="125" t="str">
        <f t="shared" si="0"/>
        <v>59Q2</v>
      </c>
      <c r="B67" s="135">
        <v>59</v>
      </c>
      <c r="C67" s="61" t="str">
        <f>INDEX('[1]INPUT_ASSUMPTIONS CALC'!D:D,MATCH(A67,'[1]INPUT_ASSUMPTIONS CALC'!A:A,0))</f>
        <v>Simachkova Yelena</v>
      </c>
      <c r="D67" s="61" t="str">
        <f>INDEX('[1]INPUT_ASSUMPTIONS CALC'!I:I,MATCH(A67,'[1]INPUT_ASSUMPTIONS CALC'!A:A,0))</f>
        <v>Pharma line</v>
      </c>
      <c r="E67" s="61" t="str">
        <f>INDEX('[1]INPUT_ASSUMPTIONS CALC'!E:E,MATCH(A67,'[1]INPUT_ASSUMPTIONS CALC'!A:A,0))</f>
        <v>Pharm Representative</v>
      </c>
      <c r="F67" s="136">
        <f>IF($F$5="Q1",VLOOKUP($A67,'[1]INPUT_ASSUMPTIONS CALC'!$A$13:$CK$1019,F$7,FALSE),IF($F$5="Q2",VLOOKUP($A67,'[1]INPUT_ASSUMPTIONS CALC'!$A$13:$CK$1019,F$7,FALSE),IF($F$5="Q3",VLOOKUP($A67,'[1]INPUT_ASSUMPTIONS CALC'!$A$13:$CK$1019,F$7,FALSE),IF($F$5="Q4",VLOOKUP($A67,'[1]INPUT_ASSUMPTIONS CALC'!$A$13:$CK$1019,F$7,FALSE),IF($F$5="Year",VLOOKUP($A67,'[1]INPUT_ASSUMPTIONS CALC'!$A$13:$CK$1019,F$7,FALSE),0)))))</f>
        <v>395525</v>
      </c>
      <c r="G67" s="137">
        <f>SUMIF('[1]INPUT_ASSUMPTIONS CALC'!A:A,'[1]Summary calculation'!A67,'[1]INPUT_ASSUMPTIONS CALC'!BU:BU)</f>
        <v>0.33333333333333331</v>
      </c>
      <c r="H67" s="138">
        <f>IF($F$5="Year",F67*G67*'[1]INPUT_ASSUMPTIONS CALC'!$S$7,F67*G67)</f>
        <v>131841.66666666666</v>
      </c>
      <c r="I67" s="138">
        <f>H67*VLOOKUP($A67,'[1]INPUT_ASSUMPTIONS CALC'!$A$13:$CK$1019,H$6,FALSE)*SUMIF('[1]INPUT_ASSUMPTIONS CALC'!$CL$15:$CL$17,'[1]Summary calculation'!E67,'[1]INPUT_ASSUMPTIONS CALC'!$CM$15:$CM$17)</f>
        <v>105473.33333333333</v>
      </c>
      <c r="J67" s="139">
        <f>$I67*VLOOKUP($A67,'[1]INPUT_ASSUMPTIONS CALC'!$A$13:$CK$1019,I$6,FALSE)*VLOOKUP($A67,'[1]INPUT_ASSUMPTIONS CALC'!$A$13:$CK$1019,J$7,FALSE)</f>
        <v>75940.800000000003</v>
      </c>
      <c r="K67" s="139">
        <f>$I67*VLOOKUP($A67,'[1]INPUT_ASSUMPTIONS CALC'!$A$13:$CK$1019,I$6,FALSE)*VLOOKUP($A67,'[1]INPUT_ASSUMPTIONS CALC'!$A$13:$CK$1019,K$7,FALSE)</f>
        <v>50627.200000000004</v>
      </c>
      <c r="L67" s="139">
        <f>$I67*VLOOKUP($A67,'[1]INPUT_ASSUMPTIONS CALC'!$A$13:$CK$1019,I$6,FALSE)*VLOOKUP($A67,'[1]INPUT_ASSUMPTIONS CALC'!$A$13:$CK$1019,L$7,FALSE)</f>
        <v>25313.600000000002</v>
      </c>
      <c r="M67" s="139">
        <f>$I67*VLOOKUP($A67,'[1]INPUT_ASSUMPTIONS CALC'!$A$13:$CK$1019,I$6,FALSE)*VLOOKUP($A67,'[1]INPUT_ASSUMPTIONS CALC'!$A$13:$CK$1019,M$7,FALSE)</f>
        <v>16875.733333333344</v>
      </c>
      <c r="N67" s="140">
        <f t="shared" si="3"/>
        <v>168757.33333333334</v>
      </c>
      <c r="O67" s="141">
        <f>H67*VLOOKUP($A67,'[1]INPUT_ASSUMPTIONS CALC'!$A$13:$CK$1019,H$6,FALSE)*SUMIF('[1]INPUT_ASSUMPTIONS CALC'!$CQ$15:$CQ$17,'[1]Summary calculation'!E67,'[1]INPUT_ASSUMPTIONS CALC'!$CR$15:$CR$17)</f>
        <v>26368.333333333332</v>
      </c>
      <c r="P67" s="141">
        <f>H67*VLOOKUP($A67,'[1]INPUT_ASSUMPTIONS CALC'!$A$13:$CK$1019,H$6,FALSE)*SUMIF('[1]INPUT_ASSUMPTIONS CALC'!$CV$15:$CV$31,'[1]Summary calculation'!E67,'[1]INPUT_ASSUMPTIONS CALC'!$CW$15:$CW$31)</f>
        <v>0</v>
      </c>
      <c r="Q67" s="141">
        <f>O67*VLOOKUP($A67,'[1]INPUT_ASSUMPTIONS CALC'!$A$13:$CK$1019,Q$7,FALSE)</f>
        <v>0</v>
      </c>
      <c r="R67" s="141">
        <f>P67*VLOOKUP($A67,'[1]INPUT_ASSUMPTIONS CALC'!$A$13:$CK$1019,R$7,FALSE)</f>
        <v>0</v>
      </c>
      <c r="S67" s="140">
        <f t="shared" si="1"/>
        <v>0</v>
      </c>
      <c r="T67" s="142">
        <f t="shared" si="2"/>
        <v>168757</v>
      </c>
      <c r="U67" s="61"/>
    </row>
    <row r="68" spans="1:21" x14ac:dyDescent="0.35">
      <c r="A68" s="125" t="str">
        <f t="shared" si="0"/>
        <v>60Q2</v>
      </c>
      <c r="B68" s="135">
        <v>60</v>
      </c>
      <c r="C68" s="61" t="str">
        <f>INDEX('[1]INPUT_ASSUMPTIONS CALC'!D:D,MATCH(A68,'[1]INPUT_ASSUMPTIONS CALC'!A:A,0))</f>
        <v>Soni Laura</v>
      </c>
      <c r="D68" s="61" t="str">
        <f>INDEX('[1]INPUT_ASSUMPTIONS CALC'!I:I,MATCH(A68,'[1]INPUT_ASSUMPTIONS CALC'!A:A,0))</f>
        <v>Line 2 (big cities)</v>
      </c>
      <c r="E68" s="61" t="str">
        <f>INDEX('[1]INPUT_ASSUMPTIONS CALC'!E:E,MATCH(A68,'[1]INPUT_ASSUMPTIONS CALC'!A:A,0))</f>
        <v>Medical Representative</v>
      </c>
      <c r="F68" s="136">
        <f>IF($F$5="Q1",VLOOKUP($A68,'[1]INPUT_ASSUMPTIONS CALC'!$A$13:$CK$1019,F$7,FALSE),IF($F$5="Q2",VLOOKUP($A68,'[1]INPUT_ASSUMPTIONS CALC'!$A$13:$CK$1019,F$7,FALSE),IF($F$5="Q3",VLOOKUP($A68,'[1]INPUT_ASSUMPTIONS CALC'!$A$13:$CK$1019,F$7,FALSE),IF($F$5="Q4",VLOOKUP($A68,'[1]INPUT_ASSUMPTIONS CALC'!$A$13:$CK$1019,F$7,FALSE),IF($F$5="Year",VLOOKUP($A68,'[1]INPUT_ASSUMPTIONS CALC'!$A$13:$CK$1019,F$7,FALSE),0)))))</f>
        <v>395525</v>
      </c>
      <c r="G68" s="137">
        <f>SUMIF('[1]INPUT_ASSUMPTIONS CALC'!A:A,'[1]Summary calculation'!A68,'[1]INPUT_ASSUMPTIONS CALC'!BU:BU)</f>
        <v>1</v>
      </c>
      <c r="H68" s="138">
        <f>IF($F$5="Year",F68*G68*'[1]INPUT_ASSUMPTIONS CALC'!$S$7,F68*G68)</f>
        <v>395525</v>
      </c>
      <c r="I68" s="138">
        <f>H68*VLOOKUP($A68,'[1]INPUT_ASSUMPTIONS CALC'!$A$13:$CK$1019,H$6,FALSE)*SUMIF('[1]INPUT_ASSUMPTIONS CALC'!$CL$15:$CL$17,'[1]Summary calculation'!E68,'[1]INPUT_ASSUMPTIONS CALC'!$CM$15:$CM$17)</f>
        <v>316420</v>
      </c>
      <c r="J68" s="139">
        <f>$I68*VLOOKUP($A68,'[1]INPUT_ASSUMPTIONS CALC'!$A$13:$CK$1019,I$6,FALSE)*VLOOKUP($A68,'[1]INPUT_ASSUMPTIONS CALC'!$A$13:$CK$1019,J$7,FALSE)</f>
        <v>31642</v>
      </c>
      <c r="K68" s="139">
        <f>$I68*VLOOKUP($A68,'[1]INPUT_ASSUMPTIONS CALC'!$A$13:$CK$1019,I$6,FALSE)*VLOOKUP($A68,'[1]INPUT_ASSUMPTIONS CALC'!$A$13:$CK$1019,K$7,FALSE)</f>
        <v>94926</v>
      </c>
      <c r="L68" s="139">
        <f>$I68*VLOOKUP($A68,'[1]INPUT_ASSUMPTIONS CALC'!$A$13:$CK$1019,I$6,FALSE)*VLOOKUP($A68,'[1]INPUT_ASSUMPTIONS CALC'!$A$13:$CK$1019,L$7,FALSE)</f>
        <v>94926</v>
      </c>
      <c r="M68" s="139">
        <f>$I68*VLOOKUP($A68,'[1]INPUT_ASSUMPTIONS CALC'!$A$13:$CK$1019,I$6,FALSE)*VLOOKUP($A68,'[1]INPUT_ASSUMPTIONS CALC'!$A$13:$CK$1019,M$7,FALSE)</f>
        <v>94926.000000000029</v>
      </c>
      <c r="N68" s="140">
        <f t="shared" si="3"/>
        <v>316420</v>
      </c>
      <c r="O68" s="141">
        <f>H68*VLOOKUP($A68,'[1]INPUT_ASSUMPTIONS CALC'!$A$13:$CK$1019,H$6,FALSE)*SUMIF('[1]INPUT_ASSUMPTIONS CALC'!$CQ$15:$CQ$17,'[1]Summary calculation'!E68,'[1]INPUT_ASSUMPTIONS CALC'!$CR$15:$CR$17)</f>
        <v>79105</v>
      </c>
      <c r="P68" s="141">
        <f>H68*VLOOKUP($A68,'[1]INPUT_ASSUMPTIONS CALC'!$A$13:$CK$1019,H$6,FALSE)*SUMIF('[1]INPUT_ASSUMPTIONS CALC'!$CV$15:$CV$31,'[1]Summary calculation'!E68,'[1]INPUT_ASSUMPTIONS CALC'!$CW$15:$CW$31)</f>
        <v>0</v>
      </c>
      <c r="Q68" s="141">
        <f>O68*VLOOKUP($A68,'[1]INPUT_ASSUMPTIONS CALC'!$A$13:$CK$1019,Q$7,FALSE)</f>
        <v>79105</v>
      </c>
      <c r="R68" s="141">
        <f>P68*VLOOKUP($A68,'[1]INPUT_ASSUMPTIONS CALC'!$A$13:$CK$1019,R$7,FALSE)</f>
        <v>0</v>
      </c>
      <c r="S68" s="140">
        <f t="shared" si="1"/>
        <v>79105</v>
      </c>
      <c r="T68" s="142">
        <f t="shared" si="2"/>
        <v>395525</v>
      </c>
      <c r="U68" s="61"/>
    </row>
    <row r="69" spans="1:21" x14ac:dyDescent="0.35">
      <c r="A69" s="125" t="str">
        <f t="shared" si="0"/>
        <v>61Q2</v>
      </c>
      <c r="B69" s="135">
        <v>61</v>
      </c>
      <c r="C69" s="61" t="str">
        <f>INDEX('[1]INPUT_ASSUMPTIONS CALC'!D:D,MATCH(A69,'[1]INPUT_ASSUMPTIONS CALC'!A:A,0))</f>
        <v>Suttubayeva Gulnar</v>
      </c>
      <c r="D69" s="61" t="str">
        <f>INDEX('[1]INPUT_ASSUMPTIONS CALC'!I:I,MATCH(A69,'[1]INPUT_ASSUMPTIONS CALC'!A:A,0))</f>
        <v>Regional Manager-1</v>
      </c>
      <c r="E69" s="61" t="str">
        <f>INDEX('[1]INPUT_ASSUMPTIONS CALC'!E:E,MATCH(A69,'[1]INPUT_ASSUMPTIONS CALC'!A:A,0))</f>
        <v>Regional Manager</v>
      </c>
      <c r="F69" s="136">
        <f>IF($F$5="Q1",VLOOKUP($A69,'[1]INPUT_ASSUMPTIONS CALC'!$A$13:$CK$1019,F$7,FALSE),IF($F$5="Q2",VLOOKUP($A69,'[1]INPUT_ASSUMPTIONS CALC'!$A$13:$CK$1019,F$7,FALSE),IF($F$5="Q3",VLOOKUP($A69,'[1]INPUT_ASSUMPTIONS CALC'!$A$13:$CK$1019,F$7,FALSE),IF($F$5="Q4",VLOOKUP($A69,'[1]INPUT_ASSUMPTIONS CALC'!$A$13:$CK$1019,F$7,FALSE),IF($F$5="Year",VLOOKUP($A69,'[1]INPUT_ASSUMPTIONS CALC'!$A$13:$CK$1019,F$7,FALSE),0)))))</f>
        <v>726000</v>
      </c>
      <c r="G69" s="137">
        <f>SUMIF('[1]INPUT_ASSUMPTIONS CALC'!A:A,'[1]Summary calculation'!A69,'[1]INPUT_ASSUMPTIONS CALC'!BU:BU)</f>
        <v>1</v>
      </c>
      <c r="H69" s="138">
        <f>IF($F$5="Year",F69*G69*'[1]INPUT_ASSUMPTIONS CALC'!$S$7,F69*G69)</f>
        <v>726000</v>
      </c>
      <c r="I69" s="138">
        <f>H69*VLOOKUP($A69,'[1]INPUT_ASSUMPTIONS CALC'!$A$13:$CK$1019,H$6,FALSE)*SUMIF('[1]INPUT_ASSUMPTIONS CALC'!$CL$15:$CL$17,'[1]Summary calculation'!E69,'[1]INPUT_ASSUMPTIONS CALC'!$CM$15:$CM$17)</f>
        <v>580800</v>
      </c>
      <c r="J69" s="139">
        <f>$I69*VLOOKUP($A69,'[1]INPUT_ASSUMPTIONS CALC'!$A$13:$CK$1019,I$6,FALSE)*VLOOKUP($A69,'[1]INPUT_ASSUMPTIONS CALC'!$A$13:$CK$1019,J$7,FALSE)</f>
        <v>711480</v>
      </c>
      <c r="K69" s="139">
        <f>$I69*VLOOKUP($A69,'[1]INPUT_ASSUMPTIONS CALC'!$A$13:$CK$1019,I$6,FALSE)*VLOOKUP($A69,'[1]INPUT_ASSUMPTIONS CALC'!$A$13:$CK$1019,K$7,FALSE)</f>
        <v>355740</v>
      </c>
      <c r="L69" s="139">
        <f>$I69*VLOOKUP($A69,'[1]INPUT_ASSUMPTIONS CALC'!$A$13:$CK$1019,I$6,FALSE)*VLOOKUP($A69,'[1]INPUT_ASSUMPTIONS CALC'!$A$13:$CK$1019,L$7,FALSE)</f>
        <v>284592</v>
      </c>
      <c r="M69" s="139">
        <f>$I69*VLOOKUP($A69,'[1]INPUT_ASSUMPTIONS CALC'!$A$13:$CK$1019,I$6,FALSE)*VLOOKUP($A69,'[1]INPUT_ASSUMPTIONS CALC'!$A$13:$CK$1019,M$7,FALSE)</f>
        <v>71147.999999999985</v>
      </c>
      <c r="N69" s="140">
        <f t="shared" si="3"/>
        <v>1422960</v>
      </c>
      <c r="O69" s="141">
        <f>H69*VLOOKUP($A69,'[1]INPUT_ASSUMPTIONS CALC'!$A$13:$CK$1019,H$6,FALSE)*SUMIF('[1]INPUT_ASSUMPTIONS CALC'!$CQ$15:$CQ$17,'[1]Summary calculation'!E69,'[1]INPUT_ASSUMPTIONS CALC'!$CR$15:$CR$17)</f>
        <v>72600</v>
      </c>
      <c r="P69" s="141">
        <f>H69*VLOOKUP($A69,'[1]INPUT_ASSUMPTIONS CALC'!$A$13:$CK$1019,H$6,FALSE)*SUMIF('[1]INPUT_ASSUMPTIONS CALC'!$CV$15:$CV$31,'[1]Summary calculation'!E69,'[1]INPUT_ASSUMPTIONS CALC'!$CW$15:$CW$31)</f>
        <v>72600</v>
      </c>
      <c r="Q69" s="141">
        <f>O69*VLOOKUP($A69,'[1]INPUT_ASSUMPTIONS CALC'!$A$13:$CK$1019,Q$7,FALSE)</f>
        <v>72600</v>
      </c>
      <c r="R69" s="141">
        <f>P69*VLOOKUP($A69,'[1]INPUT_ASSUMPTIONS CALC'!$A$13:$CK$1019,R$7,FALSE)</f>
        <v>72600</v>
      </c>
      <c r="S69" s="140">
        <f t="shared" si="1"/>
        <v>145200</v>
      </c>
      <c r="T69" s="142">
        <f t="shared" si="2"/>
        <v>1568160</v>
      </c>
      <c r="U69" s="61"/>
    </row>
    <row r="70" spans="1:21" x14ac:dyDescent="0.35">
      <c r="A70" s="125" t="str">
        <f t="shared" si="0"/>
        <v>62Q2</v>
      </c>
      <c r="B70" s="135">
        <v>62</v>
      </c>
      <c r="C70" s="61" t="str">
        <f>INDEX('[1]INPUT_ASSUMPTIONS CALC'!D:D,MATCH(A70,'[1]INPUT_ASSUMPTIONS CALC'!A:A,0))</f>
        <v>Tasbulatova Saule</v>
      </c>
      <c r="D70" s="61" t="str">
        <f>INDEX('[1]INPUT_ASSUMPTIONS CALC'!I:I,MATCH(A70,'[1]INPUT_ASSUMPTIONS CALC'!A:A,0))</f>
        <v>Line 2</v>
      </c>
      <c r="E70" s="61" t="str">
        <f>INDEX('[1]INPUT_ASSUMPTIONS CALC'!E:E,MATCH(A70,'[1]INPUT_ASSUMPTIONS CALC'!A:A,0))</f>
        <v>Medical Representative</v>
      </c>
      <c r="F70" s="136">
        <f>IF($F$5="Q1",VLOOKUP($A70,'[1]INPUT_ASSUMPTIONS CALC'!$A$13:$CK$1019,F$7,FALSE),IF($F$5="Q2",VLOOKUP($A70,'[1]INPUT_ASSUMPTIONS CALC'!$A$13:$CK$1019,F$7,FALSE),IF($F$5="Q3",VLOOKUP($A70,'[1]INPUT_ASSUMPTIONS CALC'!$A$13:$CK$1019,F$7,FALSE),IF($F$5="Q4",VLOOKUP($A70,'[1]INPUT_ASSUMPTIONS CALC'!$A$13:$CK$1019,F$7,FALSE),IF($F$5="Year",VLOOKUP($A70,'[1]INPUT_ASSUMPTIONS CALC'!$A$13:$CK$1019,F$7,FALSE),0)))))</f>
        <v>395525</v>
      </c>
      <c r="G70" s="137">
        <f>SUMIF('[1]INPUT_ASSUMPTIONS CALC'!A:A,'[1]Summary calculation'!A70,'[1]INPUT_ASSUMPTIONS CALC'!BU:BU)</f>
        <v>1</v>
      </c>
      <c r="H70" s="138">
        <f>IF($F$5="Year",F70*G70*'[1]INPUT_ASSUMPTIONS CALC'!$S$7,F70*G70)</f>
        <v>395525</v>
      </c>
      <c r="I70" s="138">
        <f>H70*VLOOKUP($A70,'[1]INPUT_ASSUMPTIONS CALC'!$A$13:$CK$1019,H$6,FALSE)*SUMIF('[1]INPUT_ASSUMPTIONS CALC'!$CL$15:$CL$17,'[1]Summary calculation'!E70,'[1]INPUT_ASSUMPTIONS CALC'!$CM$15:$CM$17)</f>
        <v>316420</v>
      </c>
      <c r="J70" s="139">
        <f>$I70*VLOOKUP($A70,'[1]INPUT_ASSUMPTIONS CALC'!$A$13:$CK$1019,I$6,FALSE)*VLOOKUP($A70,'[1]INPUT_ASSUMPTIONS CALC'!$A$13:$CK$1019,J$7,FALSE)</f>
        <v>237315</v>
      </c>
      <c r="K70" s="139">
        <f>$I70*VLOOKUP($A70,'[1]INPUT_ASSUMPTIONS CALC'!$A$13:$CK$1019,I$6,FALSE)*VLOOKUP($A70,'[1]INPUT_ASSUMPTIONS CALC'!$A$13:$CK$1019,K$7,FALSE)</f>
        <v>197762.5</v>
      </c>
      <c r="L70" s="139">
        <f>$I70*VLOOKUP($A70,'[1]INPUT_ASSUMPTIONS CALC'!$A$13:$CK$1019,I$6,FALSE)*VLOOKUP($A70,'[1]INPUT_ASSUMPTIONS CALC'!$A$13:$CK$1019,L$7,FALSE)</f>
        <v>197762.5</v>
      </c>
      <c r="M70" s="139">
        <f>$I70*VLOOKUP($A70,'[1]INPUT_ASSUMPTIONS CALC'!$A$13:$CK$1019,I$6,FALSE)*VLOOKUP($A70,'[1]INPUT_ASSUMPTIONS CALC'!$A$13:$CK$1019,M$7,FALSE)</f>
        <v>158209.99999999997</v>
      </c>
      <c r="N70" s="140">
        <f t="shared" si="3"/>
        <v>791050</v>
      </c>
      <c r="O70" s="141">
        <f>H70*VLOOKUP($A70,'[1]INPUT_ASSUMPTIONS CALC'!$A$13:$CK$1019,H$6,FALSE)*SUMIF('[1]INPUT_ASSUMPTIONS CALC'!$CQ$15:$CQ$17,'[1]Summary calculation'!E70,'[1]INPUT_ASSUMPTIONS CALC'!$CR$15:$CR$17)</f>
        <v>79105</v>
      </c>
      <c r="P70" s="141">
        <f>H70*VLOOKUP($A70,'[1]INPUT_ASSUMPTIONS CALC'!$A$13:$CK$1019,H$6,FALSE)*SUMIF('[1]INPUT_ASSUMPTIONS CALC'!$CV$15:$CV$31,'[1]Summary calculation'!E70,'[1]INPUT_ASSUMPTIONS CALC'!$CW$15:$CW$31)</f>
        <v>0</v>
      </c>
      <c r="Q70" s="141">
        <f>O70*VLOOKUP($A70,'[1]INPUT_ASSUMPTIONS CALC'!$A$13:$CK$1019,Q$7,FALSE)</f>
        <v>79105</v>
      </c>
      <c r="R70" s="141">
        <f>P70*VLOOKUP($A70,'[1]INPUT_ASSUMPTIONS CALC'!$A$13:$CK$1019,R$7,FALSE)</f>
        <v>0</v>
      </c>
      <c r="S70" s="140">
        <f t="shared" si="1"/>
        <v>79105</v>
      </c>
      <c r="T70" s="142">
        <f t="shared" si="2"/>
        <v>870155</v>
      </c>
      <c r="U70" s="61"/>
    </row>
    <row r="71" spans="1:21" x14ac:dyDescent="0.35">
      <c r="A71" s="125" t="str">
        <f t="shared" si="0"/>
        <v>63Q2</v>
      </c>
      <c r="B71" s="135">
        <v>63</v>
      </c>
      <c r="C71" s="61" t="str">
        <f>INDEX('[1]INPUT_ASSUMPTIONS CALC'!D:D,MATCH(A71,'[1]INPUT_ASSUMPTIONS CALC'!A:A,0))</f>
        <v>Temirbayeva Akzhunis</v>
      </c>
      <c r="D71" s="61" t="str">
        <f>INDEX('[1]INPUT_ASSUMPTIONS CALC'!I:I,MATCH(A71,'[1]INPUT_ASSUMPTIONS CALC'!A:A,0))</f>
        <v>Line 1</v>
      </c>
      <c r="E71" s="61" t="str">
        <f>INDEX('[1]INPUT_ASSUMPTIONS CALC'!E:E,MATCH(A71,'[1]INPUT_ASSUMPTIONS CALC'!A:A,0))</f>
        <v>Medical Representative</v>
      </c>
      <c r="F71" s="136">
        <f>IF($F$5="Q1",VLOOKUP($A71,'[1]INPUT_ASSUMPTIONS CALC'!$A$13:$CK$1019,F$7,FALSE),IF($F$5="Q2",VLOOKUP($A71,'[1]INPUT_ASSUMPTIONS CALC'!$A$13:$CK$1019,F$7,FALSE),IF($F$5="Q3",VLOOKUP($A71,'[1]INPUT_ASSUMPTIONS CALC'!$A$13:$CK$1019,F$7,FALSE),IF($F$5="Q4",VLOOKUP($A71,'[1]INPUT_ASSUMPTIONS CALC'!$A$13:$CK$1019,F$7,FALSE),IF($F$5="Year",VLOOKUP($A71,'[1]INPUT_ASSUMPTIONS CALC'!$A$13:$CK$1019,F$7,FALSE),0)))))</f>
        <v>395525</v>
      </c>
      <c r="G71" s="137">
        <f>SUMIF('[1]INPUT_ASSUMPTIONS CALC'!A:A,'[1]Summary calculation'!A71,'[1]INPUT_ASSUMPTIONS CALC'!BU:BU)</f>
        <v>1</v>
      </c>
      <c r="H71" s="138">
        <f>IF($F$5="Year",F71*G71*'[1]INPUT_ASSUMPTIONS CALC'!$S$7,F71*G71)</f>
        <v>395525</v>
      </c>
      <c r="I71" s="138">
        <f>H71*VLOOKUP($A71,'[1]INPUT_ASSUMPTIONS CALC'!$A$13:$CK$1019,H$6,FALSE)*SUMIF('[1]INPUT_ASSUMPTIONS CALC'!$CL$15:$CL$17,'[1]Summary calculation'!E71,'[1]INPUT_ASSUMPTIONS CALC'!$CM$15:$CM$17)</f>
        <v>316420</v>
      </c>
      <c r="J71" s="139">
        <f>$I71*VLOOKUP($A71,'[1]INPUT_ASSUMPTIONS CALC'!$A$13:$CK$1019,I$6,FALSE)*VLOOKUP($A71,'[1]INPUT_ASSUMPTIONS CALC'!$A$13:$CK$1019,J$7,FALSE)</f>
        <v>129732.2</v>
      </c>
      <c r="K71" s="139">
        <f>$I71*VLOOKUP($A71,'[1]INPUT_ASSUMPTIONS CALC'!$A$13:$CK$1019,I$6,FALSE)*VLOOKUP($A71,'[1]INPUT_ASSUMPTIONS CALC'!$A$13:$CK$1019,K$7,FALSE)</f>
        <v>90812.54</v>
      </c>
      <c r="L71" s="139">
        <f>$I71*VLOOKUP($A71,'[1]INPUT_ASSUMPTIONS CALC'!$A$13:$CK$1019,I$6,FALSE)*VLOOKUP($A71,'[1]INPUT_ASSUMPTIONS CALC'!$A$13:$CK$1019,L$7,FALSE)</f>
        <v>25946.440000000002</v>
      </c>
      <c r="M71" s="139">
        <f>$I71*VLOOKUP($A71,'[1]INPUT_ASSUMPTIONS CALC'!$A$13:$CK$1019,I$6,FALSE)*VLOOKUP($A71,'[1]INPUT_ASSUMPTIONS CALC'!$A$13:$CK$1019,M$7,FALSE)</f>
        <v>12973.220000000005</v>
      </c>
      <c r="N71" s="140">
        <f t="shared" si="3"/>
        <v>259464.4</v>
      </c>
      <c r="O71" s="141">
        <f>H71*VLOOKUP($A71,'[1]INPUT_ASSUMPTIONS CALC'!$A$13:$CK$1019,H$6,FALSE)*SUMIF('[1]INPUT_ASSUMPTIONS CALC'!$CQ$15:$CQ$17,'[1]Summary calculation'!E71,'[1]INPUT_ASSUMPTIONS CALC'!$CR$15:$CR$17)</f>
        <v>79105</v>
      </c>
      <c r="P71" s="141">
        <f>H71*VLOOKUP($A71,'[1]INPUT_ASSUMPTIONS CALC'!$A$13:$CK$1019,H$6,FALSE)*SUMIF('[1]INPUT_ASSUMPTIONS CALC'!$CV$15:$CV$31,'[1]Summary calculation'!E71,'[1]INPUT_ASSUMPTIONS CALC'!$CW$15:$CW$31)</f>
        <v>0</v>
      </c>
      <c r="Q71" s="141">
        <f>O71*VLOOKUP($A71,'[1]INPUT_ASSUMPTIONS CALC'!$A$13:$CK$1019,Q$7,FALSE)</f>
        <v>39552.5</v>
      </c>
      <c r="R71" s="141">
        <f>P71*VLOOKUP($A71,'[1]INPUT_ASSUMPTIONS CALC'!$A$13:$CK$1019,R$7,FALSE)</f>
        <v>0</v>
      </c>
      <c r="S71" s="140">
        <f t="shared" si="1"/>
        <v>39552.5</v>
      </c>
      <c r="T71" s="142">
        <f t="shared" si="2"/>
        <v>299017</v>
      </c>
      <c r="U71" s="61"/>
    </row>
    <row r="72" spans="1:21" x14ac:dyDescent="0.35">
      <c r="A72" s="125" t="str">
        <f t="shared" si="0"/>
        <v>64Q2</v>
      </c>
      <c r="B72" s="135">
        <v>64</v>
      </c>
      <c r="C72" s="61" t="str">
        <f>INDEX('[1]INPUT_ASSUMPTIONS CALC'!D:D,MATCH(A72,'[1]INPUT_ASSUMPTIONS CALC'!A:A,0))</f>
        <v>Tilessova Altynay</v>
      </c>
      <c r="D72" s="61" t="str">
        <f>INDEX('[1]INPUT_ASSUMPTIONS CALC'!I:I,MATCH(A72,'[1]INPUT_ASSUMPTIONS CALC'!A:A,0))</f>
        <v>Line 1</v>
      </c>
      <c r="E72" s="61" t="str">
        <f>INDEX('[1]INPUT_ASSUMPTIONS CALC'!E:E,MATCH(A72,'[1]INPUT_ASSUMPTIONS CALC'!A:A,0))</f>
        <v>Medical Representative</v>
      </c>
      <c r="F72" s="136">
        <f>IF($F$5="Q1",VLOOKUP($A72,'[1]INPUT_ASSUMPTIONS CALC'!$A$13:$CK$1019,F$7,FALSE),IF($F$5="Q2",VLOOKUP($A72,'[1]INPUT_ASSUMPTIONS CALC'!$A$13:$CK$1019,F$7,FALSE),IF($F$5="Q3",VLOOKUP($A72,'[1]INPUT_ASSUMPTIONS CALC'!$A$13:$CK$1019,F$7,FALSE),IF($F$5="Q4",VLOOKUP($A72,'[1]INPUT_ASSUMPTIONS CALC'!$A$13:$CK$1019,F$7,FALSE),IF($F$5="Year",VLOOKUP($A72,'[1]INPUT_ASSUMPTIONS CALC'!$A$13:$CK$1019,F$7,FALSE),0)))))</f>
        <v>395525</v>
      </c>
      <c r="G72" s="137">
        <f>SUMIF('[1]INPUT_ASSUMPTIONS CALC'!A:A,'[1]Summary calculation'!A72,'[1]INPUT_ASSUMPTIONS CALC'!BU:BU)</f>
        <v>1</v>
      </c>
      <c r="H72" s="138">
        <f>IF($F$5="Year",F72*G72*'[1]INPUT_ASSUMPTIONS CALC'!$S$7,F72*G72)</f>
        <v>395525</v>
      </c>
      <c r="I72" s="138">
        <f>H72*VLOOKUP($A72,'[1]INPUT_ASSUMPTIONS CALC'!$A$13:$CK$1019,H$6,FALSE)*SUMIF('[1]INPUT_ASSUMPTIONS CALC'!$CL$15:$CL$17,'[1]Summary calculation'!E72,'[1]INPUT_ASSUMPTIONS CALC'!$CM$15:$CM$17)</f>
        <v>316420</v>
      </c>
      <c r="J72" s="139">
        <f>$I72*VLOOKUP($A72,'[1]INPUT_ASSUMPTIONS CALC'!$A$13:$CK$1019,I$6,FALSE)*VLOOKUP($A72,'[1]INPUT_ASSUMPTIONS CALC'!$A$13:$CK$1019,J$7,FALSE)</f>
        <v>129732.2</v>
      </c>
      <c r="K72" s="139">
        <f>$I72*VLOOKUP($A72,'[1]INPUT_ASSUMPTIONS CALC'!$A$13:$CK$1019,I$6,FALSE)*VLOOKUP($A72,'[1]INPUT_ASSUMPTIONS CALC'!$A$13:$CK$1019,K$7,FALSE)</f>
        <v>90812.54</v>
      </c>
      <c r="L72" s="139">
        <f>$I72*VLOOKUP($A72,'[1]INPUT_ASSUMPTIONS CALC'!$A$13:$CK$1019,I$6,FALSE)*VLOOKUP($A72,'[1]INPUT_ASSUMPTIONS CALC'!$A$13:$CK$1019,L$7,FALSE)</f>
        <v>25946.440000000002</v>
      </c>
      <c r="M72" s="139">
        <f>$I72*VLOOKUP($A72,'[1]INPUT_ASSUMPTIONS CALC'!$A$13:$CK$1019,I$6,FALSE)*VLOOKUP($A72,'[1]INPUT_ASSUMPTIONS CALC'!$A$13:$CK$1019,M$7,FALSE)</f>
        <v>12973.220000000005</v>
      </c>
      <c r="N72" s="140">
        <f t="shared" si="3"/>
        <v>259464.4</v>
      </c>
      <c r="O72" s="141">
        <f>H72*VLOOKUP($A72,'[1]INPUT_ASSUMPTIONS CALC'!$A$13:$CK$1019,H$6,FALSE)*SUMIF('[1]INPUT_ASSUMPTIONS CALC'!$CQ$15:$CQ$17,'[1]Summary calculation'!E72,'[1]INPUT_ASSUMPTIONS CALC'!$CR$15:$CR$17)</f>
        <v>79105</v>
      </c>
      <c r="P72" s="141">
        <f>H72*VLOOKUP($A72,'[1]INPUT_ASSUMPTIONS CALC'!$A$13:$CK$1019,H$6,FALSE)*SUMIF('[1]INPUT_ASSUMPTIONS CALC'!$CV$15:$CV$31,'[1]Summary calculation'!E72,'[1]INPUT_ASSUMPTIONS CALC'!$CW$15:$CW$31)</f>
        <v>0</v>
      </c>
      <c r="Q72" s="141">
        <f>O72*VLOOKUP($A72,'[1]INPUT_ASSUMPTIONS CALC'!$A$13:$CK$1019,Q$7,FALSE)</f>
        <v>79105</v>
      </c>
      <c r="R72" s="141">
        <f>P72*VLOOKUP($A72,'[1]INPUT_ASSUMPTIONS CALC'!$A$13:$CK$1019,R$7,FALSE)</f>
        <v>0</v>
      </c>
      <c r="S72" s="140">
        <f t="shared" si="1"/>
        <v>79105</v>
      </c>
      <c r="T72" s="142">
        <f t="shared" si="2"/>
        <v>338569</v>
      </c>
      <c r="U72" s="61"/>
    </row>
    <row r="73" spans="1:21" x14ac:dyDescent="0.35">
      <c r="A73" s="125" t="str">
        <f t="shared" ref="A73:A136" si="4">CONCATENATE(B73,$F$5)</f>
        <v>65Q2</v>
      </c>
      <c r="B73" s="135">
        <v>65</v>
      </c>
      <c r="C73" s="61" t="str">
        <f>INDEX('[1]INPUT_ASSUMPTIONS CALC'!D:D,MATCH(A73,'[1]INPUT_ASSUMPTIONS CALC'!A:A,0))</f>
        <v>Tipalov Sergey</v>
      </c>
      <c r="D73" s="61" t="str">
        <f>INDEX('[1]INPUT_ASSUMPTIONS CALC'!I:I,MATCH(A73,'[1]INPUT_ASSUMPTIONS CALC'!A:A,0))</f>
        <v>Line 2</v>
      </c>
      <c r="E73" s="61" t="str">
        <f>INDEX('[1]INPUT_ASSUMPTIONS CALC'!E:E,MATCH(A73,'[1]INPUT_ASSUMPTIONS CALC'!A:A,0))</f>
        <v>Medical Representative</v>
      </c>
      <c r="F73" s="136">
        <f>IF($F$5="Q1",VLOOKUP($A73,'[1]INPUT_ASSUMPTIONS CALC'!$A$13:$CK$1019,F$7,FALSE),IF($F$5="Q2",VLOOKUP($A73,'[1]INPUT_ASSUMPTIONS CALC'!$A$13:$CK$1019,F$7,FALSE),IF($F$5="Q3",VLOOKUP($A73,'[1]INPUT_ASSUMPTIONS CALC'!$A$13:$CK$1019,F$7,FALSE),IF($F$5="Q4",VLOOKUP($A73,'[1]INPUT_ASSUMPTIONS CALC'!$A$13:$CK$1019,F$7,FALSE),IF($F$5="Year",VLOOKUP($A73,'[1]INPUT_ASSUMPTIONS CALC'!$A$13:$CK$1019,F$7,FALSE),0)))))</f>
        <v>395525</v>
      </c>
      <c r="G73" s="137">
        <f>SUMIF('[1]INPUT_ASSUMPTIONS CALC'!A:A,'[1]Summary calculation'!A73,'[1]INPUT_ASSUMPTIONS CALC'!BU:BU)</f>
        <v>1</v>
      </c>
      <c r="H73" s="138">
        <f>IF($F$5="Year",F73*G73*'[1]INPUT_ASSUMPTIONS CALC'!$S$7,F73*G73)</f>
        <v>395525</v>
      </c>
      <c r="I73" s="138">
        <f>H73*VLOOKUP($A73,'[1]INPUT_ASSUMPTIONS CALC'!$A$13:$CK$1019,H$6,FALSE)*SUMIF('[1]INPUT_ASSUMPTIONS CALC'!$CL$15:$CL$17,'[1]Summary calculation'!E73,'[1]INPUT_ASSUMPTIONS CALC'!$CM$15:$CM$17)</f>
        <v>316420</v>
      </c>
      <c r="J73" s="139">
        <f>$I73*VLOOKUP($A73,'[1]INPUT_ASSUMPTIONS CALC'!$A$13:$CK$1019,I$6,FALSE)*VLOOKUP($A73,'[1]INPUT_ASSUMPTIONS CALC'!$A$13:$CK$1019,J$7,FALSE)</f>
        <v>199344.6</v>
      </c>
      <c r="K73" s="139">
        <f>$I73*VLOOKUP($A73,'[1]INPUT_ASSUMPTIONS CALC'!$A$13:$CK$1019,I$6,FALSE)*VLOOKUP($A73,'[1]INPUT_ASSUMPTIONS CALC'!$A$13:$CK$1019,K$7,FALSE)</f>
        <v>166120.5</v>
      </c>
      <c r="L73" s="139">
        <f>$I73*VLOOKUP($A73,'[1]INPUT_ASSUMPTIONS CALC'!$A$13:$CK$1019,I$6,FALSE)*VLOOKUP($A73,'[1]INPUT_ASSUMPTIONS CALC'!$A$13:$CK$1019,L$7,FALSE)</f>
        <v>166120.5</v>
      </c>
      <c r="M73" s="139">
        <f>$I73*VLOOKUP($A73,'[1]INPUT_ASSUMPTIONS CALC'!$A$13:$CK$1019,I$6,FALSE)*VLOOKUP($A73,'[1]INPUT_ASSUMPTIONS CALC'!$A$13:$CK$1019,M$7,FALSE)</f>
        <v>132896.39999999997</v>
      </c>
      <c r="N73" s="140">
        <f t="shared" si="3"/>
        <v>664482</v>
      </c>
      <c r="O73" s="141">
        <f>H73*VLOOKUP($A73,'[1]INPUT_ASSUMPTIONS CALC'!$A$13:$CK$1019,H$6,FALSE)*SUMIF('[1]INPUT_ASSUMPTIONS CALC'!$CQ$15:$CQ$17,'[1]Summary calculation'!E73,'[1]INPUT_ASSUMPTIONS CALC'!$CR$15:$CR$17)</f>
        <v>79105</v>
      </c>
      <c r="P73" s="141">
        <f>H73*VLOOKUP($A73,'[1]INPUT_ASSUMPTIONS CALC'!$A$13:$CK$1019,H$6,FALSE)*SUMIF('[1]INPUT_ASSUMPTIONS CALC'!$CV$15:$CV$31,'[1]Summary calculation'!E73,'[1]INPUT_ASSUMPTIONS CALC'!$CW$15:$CW$31)</f>
        <v>0</v>
      </c>
      <c r="Q73" s="141">
        <f>O73*VLOOKUP($A73,'[1]INPUT_ASSUMPTIONS CALC'!$A$13:$CK$1019,Q$7,FALSE)</f>
        <v>39552.5</v>
      </c>
      <c r="R73" s="141">
        <f>P73*VLOOKUP($A73,'[1]INPUT_ASSUMPTIONS CALC'!$A$13:$CK$1019,R$7,FALSE)</f>
        <v>0</v>
      </c>
      <c r="S73" s="140">
        <f t="shared" ref="S73:S136" si="5">SUM(Q73:R73)</f>
        <v>39552.5</v>
      </c>
      <c r="T73" s="142">
        <f t="shared" ref="T73:T136" si="6">ROUND(N73+S73,0)</f>
        <v>704035</v>
      </c>
      <c r="U73" s="61"/>
    </row>
    <row r="74" spans="1:21" x14ac:dyDescent="0.35">
      <c r="A74" s="125" t="str">
        <f t="shared" si="4"/>
        <v>66Q2</v>
      </c>
      <c r="B74" s="135">
        <v>66</v>
      </c>
      <c r="C74" s="61" t="str">
        <f>INDEX('[1]INPUT_ASSUMPTIONS CALC'!D:D,MATCH(A74,'[1]INPUT_ASSUMPTIONS CALC'!A:A,0))</f>
        <v>Ungarbayeva Zhanna</v>
      </c>
      <c r="D74" s="61" t="str">
        <f>INDEX('[1]INPUT_ASSUMPTIONS CALC'!I:I,MATCH(A74,'[1]INPUT_ASSUMPTIONS CALC'!A:A,0))</f>
        <v>Line 3 (big cities)</v>
      </c>
      <c r="E74" s="61" t="str">
        <f>INDEX('[1]INPUT_ASSUMPTIONS CALC'!E:E,MATCH(A74,'[1]INPUT_ASSUMPTIONS CALC'!A:A,0))</f>
        <v>Medical Representative</v>
      </c>
      <c r="F74" s="136">
        <f>IF($F$5="Q1",VLOOKUP($A74,'[1]INPUT_ASSUMPTIONS CALC'!$A$13:$CK$1019,F$7,FALSE),IF($F$5="Q2",VLOOKUP($A74,'[1]INPUT_ASSUMPTIONS CALC'!$A$13:$CK$1019,F$7,FALSE),IF($F$5="Q3",VLOOKUP($A74,'[1]INPUT_ASSUMPTIONS CALC'!$A$13:$CK$1019,F$7,FALSE),IF($F$5="Q4",VLOOKUP($A74,'[1]INPUT_ASSUMPTIONS CALC'!$A$13:$CK$1019,F$7,FALSE),IF($F$5="Year",VLOOKUP($A74,'[1]INPUT_ASSUMPTIONS CALC'!$A$13:$CK$1019,F$7,FALSE),0)))))</f>
        <v>395525</v>
      </c>
      <c r="G74" s="137">
        <f>SUMIF('[1]INPUT_ASSUMPTIONS CALC'!A:A,'[1]Summary calculation'!A74,'[1]INPUT_ASSUMPTIONS CALC'!BU:BU)</f>
        <v>1</v>
      </c>
      <c r="H74" s="138">
        <f>IF($F$5="Year",F74*G74*'[1]INPUT_ASSUMPTIONS CALC'!$S$7,F74*G74)</f>
        <v>395525</v>
      </c>
      <c r="I74" s="138">
        <f>H74*VLOOKUP($A74,'[1]INPUT_ASSUMPTIONS CALC'!$A$13:$CK$1019,H$6,FALSE)*SUMIF('[1]INPUT_ASSUMPTIONS CALC'!$CL$15:$CL$17,'[1]Summary calculation'!E74,'[1]INPUT_ASSUMPTIONS CALC'!$CM$15:$CM$17)</f>
        <v>316420</v>
      </c>
      <c r="J74" s="139">
        <f>$I74*VLOOKUP($A74,'[1]INPUT_ASSUMPTIONS CALC'!$A$13:$CK$1019,I$6,FALSE)*VLOOKUP($A74,'[1]INPUT_ASSUMPTIONS CALC'!$A$13:$CK$1019,J$7,FALSE)</f>
        <v>99672.3</v>
      </c>
      <c r="K74" s="139">
        <f>$I74*VLOOKUP($A74,'[1]INPUT_ASSUMPTIONS CALC'!$A$13:$CK$1019,I$6,FALSE)*VLOOKUP($A74,'[1]INPUT_ASSUMPTIONS CALC'!$A$13:$CK$1019,K$7,FALSE)</f>
        <v>55373.5</v>
      </c>
      <c r="L74" s="139">
        <f>$I74*VLOOKUP($A74,'[1]INPUT_ASSUMPTIONS CALC'!$A$13:$CK$1019,I$6,FALSE)*VLOOKUP($A74,'[1]INPUT_ASSUMPTIONS CALC'!$A$13:$CK$1019,L$7,FALSE)</f>
        <v>55373.5</v>
      </c>
      <c r="M74" s="139">
        <f>$I74*VLOOKUP($A74,'[1]INPUT_ASSUMPTIONS CALC'!$A$13:$CK$1019,I$6,FALSE)*VLOOKUP($A74,'[1]INPUT_ASSUMPTIONS CALC'!$A$13:$CK$1019,M$7,FALSE)</f>
        <v>11074.70000000001</v>
      </c>
      <c r="N74" s="140">
        <f t="shared" ref="N74:N137" si="7">SUM(J74:M74)</f>
        <v>221494</v>
      </c>
      <c r="O74" s="141">
        <f>H74*VLOOKUP($A74,'[1]INPUT_ASSUMPTIONS CALC'!$A$13:$CK$1019,H$6,FALSE)*SUMIF('[1]INPUT_ASSUMPTIONS CALC'!$CQ$15:$CQ$17,'[1]Summary calculation'!E74,'[1]INPUT_ASSUMPTIONS CALC'!$CR$15:$CR$17)</f>
        <v>79105</v>
      </c>
      <c r="P74" s="141">
        <f>H74*VLOOKUP($A74,'[1]INPUT_ASSUMPTIONS CALC'!$A$13:$CK$1019,H$6,FALSE)*SUMIF('[1]INPUT_ASSUMPTIONS CALC'!$CV$15:$CV$31,'[1]Summary calculation'!E74,'[1]INPUT_ASSUMPTIONS CALC'!$CW$15:$CW$31)</f>
        <v>0</v>
      </c>
      <c r="Q74" s="141">
        <f>O74*VLOOKUP($A74,'[1]INPUT_ASSUMPTIONS CALC'!$A$13:$CK$1019,Q$7,FALSE)</f>
        <v>79105</v>
      </c>
      <c r="R74" s="141">
        <f>P74*VLOOKUP($A74,'[1]INPUT_ASSUMPTIONS CALC'!$A$13:$CK$1019,R$7,FALSE)</f>
        <v>0</v>
      </c>
      <c r="S74" s="140">
        <f t="shared" si="5"/>
        <v>79105</v>
      </c>
      <c r="T74" s="142">
        <f t="shared" si="6"/>
        <v>300599</v>
      </c>
      <c r="U74" s="61"/>
    </row>
    <row r="75" spans="1:21" x14ac:dyDescent="0.35">
      <c r="A75" s="125" t="str">
        <f t="shared" si="4"/>
        <v>67Q2</v>
      </c>
      <c r="B75" s="135">
        <v>67</v>
      </c>
      <c r="C75" s="61" t="str">
        <f>INDEX('[1]INPUT_ASSUMPTIONS CALC'!D:D,MATCH(A75,'[1]INPUT_ASSUMPTIONS CALC'!A:A,0))</f>
        <v>Yerkin Nadiyam</v>
      </c>
      <c r="D75" s="61" t="str">
        <f>INDEX('[1]INPUT_ASSUMPTIONS CALC'!I:I,MATCH(A75,'[1]INPUT_ASSUMPTIONS CALC'!A:A,0))</f>
        <v>Line 1</v>
      </c>
      <c r="E75" s="61" t="str">
        <f>INDEX('[1]INPUT_ASSUMPTIONS CALC'!E:E,MATCH(A75,'[1]INPUT_ASSUMPTIONS CALC'!A:A,0))</f>
        <v>Medical Representative</v>
      </c>
      <c r="F75" s="136">
        <f>IF($F$5="Q1",VLOOKUP($A75,'[1]INPUT_ASSUMPTIONS CALC'!$A$13:$CK$1019,F$7,FALSE),IF($F$5="Q2",VLOOKUP($A75,'[1]INPUT_ASSUMPTIONS CALC'!$A$13:$CK$1019,F$7,FALSE),IF($F$5="Q3",VLOOKUP($A75,'[1]INPUT_ASSUMPTIONS CALC'!$A$13:$CK$1019,F$7,FALSE),IF($F$5="Q4",VLOOKUP($A75,'[1]INPUT_ASSUMPTIONS CALC'!$A$13:$CK$1019,F$7,FALSE),IF($F$5="Year",VLOOKUP($A75,'[1]INPUT_ASSUMPTIONS CALC'!$A$13:$CK$1019,F$7,FALSE),0)))))</f>
        <v>395525</v>
      </c>
      <c r="G75" s="137">
        <f>SUMIF('[1]INPUT_ASSUMPTIONS CALC'!A:A,'[1]Summary calculation'!A75,'[1]INPUT_ASSUMPTIONS CALC'!BU:BU)</f>
        <v>1</v>
      </c>
      <c r="H75" s="138">
        <f>IF($F$5="Year",F75*G75*'[1]INPUT_ASSUMPTIONS CALC'!$S$7,F75*G75)</f>
        <v>395525</v>
      </c>
      <c r="I75" s="138">
        <f>H75*VLOOKUP($A75,'[1]INPUT_ASSUMPTIONS CALC'!$A$13:$CK$1019,H$6,FALSE)*SUMIF('[1]INPUT_ASSUMPTIONS CALC'!$CL$15:$CL$17,'[1]Summary calculation'!E75,'[1]INPUT_ASSUMPTIONS CALC'!$CM$15:$CM$17)</f>
        <v>316420</v>
      </c>
      <c r="J75" s="139">
        <f>$I75*VLOOKUP($A75,'[1]INPUT_ASSUMPTIONS CALC'!$A$13:$CK$1019,I$6,FALSE)*VLOOKUP($A75,'[1]INPUT_ASSUMPTIONS CALC'!$A$13:$CK$1019,J$7,FALSE)</f>
        <v>158210</v>
      </c>
      <c r="K75" s="139">
        <f>$I75*VLOOKUP($A75,'[1]INPUT_ASSUMPTIONS CALC'!$A$13:$CK$1019,I$6,FALSE)*VLOOKUP($A75,'[1]INPUT_ASSUMPTIONS CALC'!$A$13:$CK$1019,K$7,FALSE)</f>
        <v>110747</v>
      </c>
      <c r="L75" s="139">
        <f>$I75*VLOOKUP($A75,'[1]INPUT_ASSUMPTIONS CALC'!$A$13:$CK$1019,I$6,FALSE)*VLOOKUP($A75,'[1]INPUT_ASSUMPTIONS CALC'!$A$13:$CK$1019,L$7,FALSE)</f>
        <v>31642</v>
      </c>
      <c r="M75" s="139">
        <f>$I75*VLOOKUP($A75,'[1]INPUT_ASSUMPTIONS CALC'!$A$13:$CK$1019,I$6,FALSE)*VLOOKUP($A75,'[1]INPUT_ASSUMPTIONS CALC'!$A$13:$CK$1019,M$7,FALSE)</f>
        <v>15821.000000000005</v>
      </c>
      <c r="N75" s="140">
        <f t="shared" si="7"/>
        <v>316420</v>
      </c>
      <c r="O75" s="141">
        <f>H75*VLOOKUP($A75,'[1]INPUT_ASSUMPTIONS CALC'!$A$13:$CK$1019,H$6,FALSE)*SUMIF('[1]INPUT_ASSUMPTIONS CALC'!$CQ$15:$CQ$17,'[1]Summary calculation'!E75,'[1]INPUT_ASSUMPTIONS CALC'!$CR$15:$CR$17)</f>
        <v>79105</v>
      </c>
      <c r="P75" s="141">
        <f>H75*VLOOKUP($A75,'[1]INPUT_ASSUMPTIONS CALC'!$A$13:$CK$1019,H$6,FALSE)*SUMIF('[1]INPUT_ASSUMPTIONS CALC'!$CV$15:$CV$31,'[1]Summary calculation'!E75,'[1]INPUT_ASSUMPTIONS CALC'!$CW$15:$CW$31)</f>
        <v>0</v>
      </c>
      <c r="Q75" s="141">
        <f>O75*VLOOKUP($A75,'[1]INPUT_ASSUMPTIONS CALC'!$A$13:$CK$1019,Q$7,FALSE)</f>
        <v>79105</v>
      </c>
      <c r="R75" s="141">
        <f>P75*VLOOKUP($A75,'[1]INPUT_ASSUMPTIONS CALC'!$A$13:$CK$1019,R$7,FALSE)</f>
        <v>0</v>
      </c>
      <c r="S75" s="140">
        <f t="shared" si="5"/>
        <v>79105</v>
      </c>
      <c r="T75" s="142">
        <f t="shared" si="6"/>
        <v>395525</v>
      </c>
      <c r="U75" s="61"/>
    </row>
    <row r="76" spans="1:21" x14ac:dyDescent="0.35">
      <c r="A76" s="125" t="str">
        <f t="shared" si="4"/>
        <v>68Q2</v>
      </c>
      <c r="B76" s="135">
        <v>68</v>
      </c>
      <c r="C76" s="61" t="str">
        <f>INDEX('[1]INPUT_ASSUMPTIONS CALC'!D:D,MATCH(A76,'[1]INPUT_ASSUMPTIONS CALC'!A:A,0))</f>
        <v>Yesbolova Gulnur</v>
      </c>
      <c r="D76" s="61" t="str">
        <f>INDEX('[1]INPUT_ASSUMPTIONS CALC'!I:I,MATCH(A76,'[1]INPUT_ASSUMPTIONS CALC'!A:A,0))</f>
        <v>Line 1</v>
      </c>
      <c r="E76" s="61" t="str">
        <f>INDEX('[1]INPUT_ASSUMPTIONS CALC'!E:E,MATCH(A76,'[1]INPUT_ASSUMPTIONS CALC'!A:A,0))</f>
        <v>Medical Representative</v>
      </c>
      <c r="F76" s="136">
        <f>IF($F$5="Q1",VLOOKUP($A76,'[1]INPUT_ASSUMPTIONS CALC'!$A$13:$CK$1019,F$7,FALSE),IF($F$5="Q2",VLOOKUP($A76,'[1]INPUT_ASSUMPTIONS CALC'!$A$13:$CK$1019,F$7,FALSE),IF($F$5="Q3",VLOOKUP($A76,'[1]INPUT_ASSUMPTIONS CALC'!$A$13:$CK$1019,F$7,FALSE),IF($F$5="Q4",VLOOKUP($A76,'[1]INPUT_ASSUMPTIONS CALC'!$A$13:$CK$1019,F$7,FALSE),IF($F$5="Year",VLOOKUP($A76,'[1]INPUT_ASSUMPTIONS CALC'!$A$13:$CK$1019,F$7,FALSE),0)))))</f>
        <v>395525</v>
      </c>
      <c r="G76" s="137">
        <f>SUMIF('[1]INPUT_ASSUMPTIONS CALC'!A:A,'[1]Summary calculation'!A76,'[1]INPUT_ASSUMPTIONS CALC'!BU:BU)</f>
        <v>1</v>
      </c>
      <c r="H76" s="138">
        <f>IF($F$5="Year",F76*G76*'[1]INPUT_ASSUMPTIONS CALC'!$S$7,F76*G76)</f>
        <v>395525</v>
      </c>
      <c r="I76" s="138">
        <f>H76*VLOOKUP($A76,'[1]INPUT_ASSUMPTIONS CALC'!$A$13:$CK$1019,H$6,FALSE)*SUMIF('[1]INPUT_ASSUMPTIONS CALC'!$CL$15:$CL$17,'[1]Summary calculation'!E76,'[1]INPUT_ASSUMPTIONS CALC'!$CM$15:$CM$17)</f>
        <v>316420</v>
      </c>
      <c r="J76" s="139">
        <f>$I76*VLOOKUP($A76,'[1]INPUT_ASSUMPTIONS CALC'!$A$13:$CK$1019,I$6,FALSE)*VLOOKUP($A76,'[1]INPUT_ASSUMPTIONS CALC'!$A$13:$CK$1019,J$7,FALSE)</f>
        <v>158210</v>
      </c>
      <c r="K76" s="139">
        <f>$I76*VLOOKUP($A76,'[1]INPUT_ASSUMPTIONS CALC'!$A$13:$CK$1019,I$6,FALSE)*VLOOKUP($A76,'[1]INPUT_ASSUMPTIONS CALC'!$A$13:$CK$1019,K$7,FALSE)</f>
        <v>110747</v>
      </c>
      <c r="L76" s="139">
        <f>$I76*VLOOKUP($A76,'[1]INPUT_ASSUMPTIONS CALC'!$A$13:$CK$1019,I$6,FALSE)*VLOOKUP($A76,'[1]INPUT_ASSUMPTIONS CALC'!$A$13:$CK$1019,L$7,FALSE)</f>
        <v>31642</v>
      </c>
      <c r="M76" s="139">
        <f>$I76*VLOOKUP($A76,'[1]INPUT_ASSUMPTIONS CALC'!$A$13:$CK$1019,I$6,FALSE)*VLOOKUP($A76,'[1]INPUT_ASSUMPTIONS CALC'!$A$13:$CK$1019,M$7,FALSE)</f>
        <v>15821.000000000005</v>
      </c>
      <c r="N76" s="140">
        <f t="shared" si="7"/>
        <v>316420</v>
      </c>
      <c r="O76" s="141">
        <f>H76*VLOOKUP($A76,'[1]INPUT_ASSUMPTIONS CALC'!$A$13:$CK$1019,H$6,FALSE)*SUMIF('[1]INPUT_ASSUMPTIONS CALC'!$CQ$15:$CQ$17,'[1]Summary calculation'!E76,'[1]INPUT_ASSUMPTIONS CALC'!$CR$15:$CR$17)</f>
        <v>79105</v>
      </c>
      <c r="P76" s="141">
        <f>H76*VLOOKUP($A76,'[1]INPUT_ASSUMPTIONS CALC'!$A$13:$CK$1019,H$6,FALSE)*SUMIF('[1]INPUT_ASSUMPTIONS CALC'!$CV$15:$CV$31,'[1]Summary calculation'!E76,'[1]INPUT_ASSUMPTIONS CALC'!$CW$15:$CW$31)</f>
        <v>0</v>
      </c>
      <c r="Q76" s="141">
        <f>O76*VLOOKUP($A76,'[1]INPUT_ASSUMPTIONS CALC'!$A$13:$CK$1019,Q$7,FALSE)</f>
        <v>79105</v>
      </c>
      <c r="R76" s="141">
        <f>P76*VLOOKUP($A76,'[1]INPUT_ASSUMPTIONS CALC'!$A$13:$CK$1019,R$7,FALSE)</f>
        <v>0</v>
      </c>
      <c r="S76" s="140">
        <f t="shared" si="5"/>
        <v>79105</v>
      </c>
      <c r="T76" s="142">
        <f t="shared" si="6"/>
        <v>395525</v>
      </c>
      <c r="U76" s="61"/>
    </row>
    <row r="77" spans="1:21" x14ac:dyDescent="0.35">
      <c r="A77" s="125" t="str">
        <f t="shared" si="4"/>
        <v>69Q2</v>
      </c>
      <c r="B77" s="135">
        <v>69</v>
      </c>
      <c r="C77" s="61" t="str">
        <f>INDEX('[1]INPUT_ASSUMPTIONS CALC'!D:D,MATCH(A77,'[1]INPUT_ASSUMPTIONS CALC'!A:A,0))</f>
        <v>Yevseyenko Larissa</v>
      </c>
      <c r="D77" s="61" t="str">
        <f>INDEX('[1]INPUT_ASSUMPTIONS CALC'!I:I,MATCH(A77,'[1]INPUT_ASSUMPTIONS CALC'!A:A,0))</f>
        <v>Regional Manager-1</v>
      </c>
      <c r="E77" s="61" t="str">
        <f>INDEX('[1]INPUT_ASSUMPTIONS CALC'!E:E,MATCH(A77,'[1]INPUT_ASSUMPTIONS CALC'!A:A,0))</f>
        <v>Regional Manager</v>
      </c>
      <c r="F77" s="136">
        <f>IF($F$5="Q1",VLOOKUP($A77,'[1]INPUT_ASSUMPTIONS CALC'!$A$13:$CK$1019,F$7,FALSE),IF($F$5="Q2",VLOOKUP($A77,'[1]INPUT_ASSUMPTIONS CALC'!$A$13:$CK$1019,F$7,FALSE),IF($F$5="Q3",VLOOKUP($A77,'[1]INPUT_ASSUMPTIONS CALC'!$A$13:$CK$1019,F$7,FALSE),IF($F$5="Q4",VLOOKUP($A77,'[1]INPUT_ASSUMPTIONS CALC'!$A$13:$CK$1019,F$7,FALSE),IF($F$5="Year",VLOOKUP($A77,'[1]INPUT_ASSUMPTIONS CALC'!$A$13:$CK$1019,F$7,FALSE),0)))))</f>
        <v>726000</v>
      </c>
      <c r="G77" s="137">
        <f>SUMIF('[1]INPUT_ASSUMPTIONS CALC'!A:A,'[1]Summary calculation'!A77,'[1]INPUT_ASSUMPTIONS CALC'!BU:BU)</f>
        <v>1</v>
      </c>
      <c r="H77" s="138">
        <f>IF($F$5="Year",F77*G77*'[1]INPUT_ASSUMPTIONS CALC'!$S$7,F77*G77)</f>
        <v>726000</v>
      </c>
      <c r="I77" s="138">
        <f>H77*VLOOKUP($A77,'[1]INPUT_ASSUMPTIONS CALC'!$A$13:$CK$1019,H$6,FALSE)*SUMIF('[1]INPUT_ASSUMPTIONS CALC'!$CL$15:$CL$17,'[1]Summary calculation'!E77,'[1]INPUT_ASSUMPTIONS CALC'!$CM$15:$CM$17)</f>
        <v>580800</v>
      </c>
      <c r="J77" s="139">
        <f>$I77*VLOOKUP($A77,'[1]INPUT_ASSUMPTIONS CALC'!$A$13:$CK$1019,I$6,FALSE)*VLOOKUP($A77,'[1]INPUT_ASSUMPTIONS CALC'!$A$13:$CK$1019,J$7,FALSE)</f>
        <v>551760</v>
      </c>
      <c r="K77" s="139">
        <f>$I77*VLOOKUP($A77,'[1]INPUT_ASSUMPTIONS CALC'!$A$13:$CK$1019,I$6,FALSE)*VLOOKUP($A77,'[1]INPUT_ASSUMPTIONS CALC'!$A$13:$CK$1019,K$7,FALSE)</f>
        <v>275880</v>
      </c>
      <c r="L77" s="139">
        <f>$I77*VLOOKUP($A77,'[1]INPUT_ASSUMPTIONS CALC'!$A$13:$CK$1019,I$6,FALSE)*VLOOKUP($A77,'[1]INPUT_ASSUMPTIONS CALC'!$A$13:$CK$1019,L$7,FALSE)</f>
        <v>220704</v>
      </c>
      <c r="M77" s="139">
        <f>$I77*VLOOKUP($A77,'[1]INPUT_ASSUMPTIONS CALC'!$A$13:$CK$1019,I$6,FALSE)*VLOOKUP($A77,'[1]INPUT_ASSUMPTIONS CALC'!$A$13:$CK$1019,M$7,FALSE)</f>
        <v>55175.999999999985</v>
      </c>
      <c r="N77" s="140">
        <f t="shared" si="7"/>
        <v>1103520</v>
      </c>
      <c r="O77" s="141">
        <f>H77*VLOOKUP($A77,'[1]INPUT_ASSUMPTIONS CALC'!$A$13:$CK$1019,H$6,FALSE)*SUMIF('[1]INPUT_ASSUMPTIONS CALC'!$CQ$15:$CQ$17,'[1]Summary calculation'!E77,'[1]INPUT_ASSUMPTIONS CALC'!$CR$15:$CR$17)</f>
        <v>72600</v>
      </c>
      <c r="P77" s="141">
        <f>H77*VLOOKUP($A77,'[1]INPUT_ASSUMPTIONS CALC'!$A$13:$CK$1019,H$6,FALSE)*SUMIF('[1]INPUT_ASSUMPTIONS CALC'!$CV$15:$CV$31,'[1]Summary calculation'!E77,'[1]INPUT_ASSUMPTIONS CALC'!$CW$15:$CW$31)</f>
        <v>72600</v>
      </c>
      <c r="Q77" s="141">
        <f>O77*VLOOKUP($A77,'[1]INPUT_ASSUMPTIONS CALC'!$A$13:$CK$1019,Q$7,FALSE)</f>
        <v>72600</v>
      </c>
      <c r="R77" s="141">
        <f>P77*VLOOKUP($A77,'[1]INPUT_ASSUMPTIONS CALC'!$A$13:$CK$1019,R$7,FALSE)</f>
        <v>72600</v>
      </c>
      <c r="S77" s="140">
        <f t="shared" si="5"/>
        <v>145200</v>
      </c>
      <c r="T77" s="142">
        <f t="shared" si="6"/>
        <v>1248720</v>
      </c>
      <c r="U77" s="61"/>
    </row>
    <row r="78" spans="1:21" x14ac:dyDescent="0.35">
      <c r="A78" s="125" t="str">
        <f t="shared" si="4"/>
        <v>70Q2</v>
      </c>
      <c r="B78" s="135">
        <v>70</v>
      </c>
      <c r="C78" s="61" t="str">
        <f>INDEX('[1]INPUT_ASSUMPTIONS CALC'!D:D,MATCH(A78,'[1]INPUT_ASSUMPTIONS CALC'!A:A,0))</f>
        <v>Yu Vitaliya</v>
      </c>
      <c r="D78" s="61" t="str">
        <f>INDEX('[1]INPUT_ASSUMPTIONS CALC'!I:I,MATCH(A78,'[1]INPUT_ASSUMPTIONS CALC'!A:A,0))</f>
        <v>Line 2 (big cities)</v>
      </c>
      <c r="E78" s="61" t="str">
        <f>INDEX('[1]INPUT_ASSUMPTIONS CALC'!E:E,MATCH(A78,'[1]INPUT_ASSUMPTIONS CALC'!A:A,0))</f>
        <v>Medical Representative</v>
      </c>
      <c r="F78" s="136">
        <f>IF($F$5="Q1",VLOOKUP($A78,'[1]INPUT_ASSUMPTIONS CALC'!$A$13:$CK$1019,F$7,FALSE),IF($F$5="Q2",VLOOKUP($A78,'[1]INPUT_ASSUMPTIONS CALC'!$A$13:$CK$1019,F$7,FALSE),IF($F$5="Q3",VLOOKUP($A78,'[1]INPUT_ASSUMPTIONS CALC'!$A$13:$CK$1019,F$7,FALSE),IF($F$5="Q4",VLOOKUP($A78,'[1]INPUT_ASSUMPTIONS CALC'!$A$13:$CK$1019,F$7,FALSE),IF($F$5="Year",VLOOKUP($A78,'[1]INPUT_ASSUMPTIONS CALC'!$A$13:$CK$1019,F$7,FALSE),0)))))</f>
        <v>395525</v>
      </c>
      <c r="G78" s="137">
        <f>SUMIF('[1]INPUT_ASSUMPTIONS CALC'!A:A,'[1]Summary calculation'!A78,'[1]INPUT_ASSUMPTIONS CALC'!BU:BU)</f>
        <v>1</v>
      </c>
      <c r="H78" s="138">
        <f>IF($F$5="Year",F78*G78*'[1]INPUT_ASSUMPTIONS CALC'!$S$7,F78*G78)</f>
        <v>395525</v>
      </c>
      <c r="I78" s="138">
        <f>H78*VLOOKUP($A78,'[1]INPUT_ASSUMPTIONS CALC'!$A$13:$CK$1019,H$6,FALSE)*SUMIF('[1]INPUT_ASSUMPTIONS CALC'!$CL$15:$CL$17,'[1]Summary calculation'!E78,'[1]INPUT_ASSUMPTIONS CALC'!$CM$15:$CM$17)</f>
        <v>316420</v>
      </c>
      <c r="J78" s="139">
        <f>$I78*VLOOKUP($A78,'[1]INPUT_ASSUMPTIONS CALC'!$A$13:$CK$1019,I$6,FALSE)*VLOOKUP($A78,'[1]INPUT_ASSUMPTIONS CALC'!$A$13:$CK$1019,J$7,FALSE)</f>
        <v>31642</v>
      </c>
      <c r="K78" s="139">
        <f>$I78*VLOOKUP($A78,'[1]INPUT_ASSUMPTIONS CALC'!$A$13:$CK$1019,I$6,FALSE)*VLOOKUP($A78,'[1]INPUT_ASSUMPTIONS CALC'!$A$13:$CK$1019,K$7,FALSE)</f>
        <v>94926</v>
      </c>
      <c r="L78" s="139">
        <f>$I78*VLOOKUP($A78,'[1]INPUT_ASSUMPTIONS CALC'!$A$13:$CK$1019,I$6,FALSE)*VLOOKUP($A78,'[1]INPUT_ASSUMPTIONS CALC'!$A$13:$CK$1019,L$7,FALSE)</f>
        <v>94926</v>
      </c>
      <c r="M78" s="139">
        <f>$I78*VLOOKUP($A78,'[1]INPUT_ASSUMPTIONS CALC'!$A$13:$CK$1019,I$6,FALSE)*VLOOKUP($A78,'[1]INPUT_ASSUMPTIONS CALC'!$A$13:$CK$1019,M$7,FALSE)</f>
        <v>94926.000000000029</v>
      </c>
      <c r="N78" s="140">
        <f t="shared" si="7"/>
        <v>316420</v>
      </c>
      <c r="O78" s="141">
        <f>H78*VLOOKUP($A78,'[1]INPUT_ASSUMPTIONS CALC'!$A$13:$CK$1019,H$6,FALSE)*SUMIF('[1]INPUT_ASSUMPTIONS CALC'!$CQ$15:$CQ$17,'[1]Summary calculation'!E78,'[1]INPUT_ASSUMPTIONS CALC'!$CR$15:$CR$17)</f>
        <v>79105</v>
      </c>
      <c r="P78" s="141">
        <f>H78*VLOOKUP($A78,'[1]INPUT_ASSUMPTIONS CALC'!$A$13:$CK$1019,H$6,FALSE)*SUMIF('[1]INPUT_ASSUMPTIONS CALC'!$CV$15:$CV$31,'[1]Summary calculation'!E78,'[1]INPUT_ASSUMPTIONS CALC'!$CW$15:$CW$31)</f>
        <v>0</v>
      </c>
      <c r="Q78" s="141">
        <f>O78*VLOOKUP($A78,'[1]INPUT_ASSUMPTIONS CALC'!$A$13:$CK$1019,Q$7,FALSE)</f>
        <v>79105</v>
      </c>
      <c r="R78" s="141">
        <f>P78*VLOOKUP($A78,'[1]INPUT_ASSUMPTIONS CALC'!$A$13:$CK$1019,R$7,FALSE)</f>
        <v>0</v>
      </c>
      <c r="S78" s="140">
        <f t="shared" si="5"/>
        <v>79105</v>
      </c>
      <c r="T78" s="142">
        <f t="shared" si="6"/>
        <v>395525</v>
      </c>
      <c r="U78" s="61"/>
    </row>
    <row r="79" spans="1:21" x14ac:dyDescent="0.35">
      <c r="A79" s="125" t="str">
        <f t="shared" si="4"/>
        <v>71Q2</v>
      </c>
      <c r="B79" s="135">
        <v>71</v>
      </c>
      <c r="C79" s="61" t="str">
        <f>INDEX('[1]INPUT_ASSUMPTIONS CALC'!D:D,MATCH(A79,'[1]INPUT_ASSUMPTIONS CALC'!A:A,0))</f>
        <v>Zhanabekova Kamshat</v>
      </c>
      <c r="D79" s="61" t="str">
        <f>INDEX('[1]INPUT_ASSUMPTIONS CALC'!I:I,MATCH(A79,'[1]INPUT_ASSUMPTIONS CALC'!A:A,0))</f>
        <v>Line 1</v>
      </c>
      <c r="E79" s="61" t="str">
        <f>INDEX('[1]INPUT_ASSUMPTIONS CALC'!E:E,MATCH(A79,'[1]INPUT_ASSUMPTIONS CALC'!A:A,0))</f>
        <v>Medical Representative</v>
      </c>
      <c r="F79" s="136">
        <f>IF($F$5="Q1",VLOOKUP($A79,'[1]INPUT_ASSUMPTIONS CALC'!$A$13:$CK$1019,F$7,FALSE),IF($F$5="Q2",VLOOKUP($A79,'[1]INPUT_ASSUMPTIONS CALC'!$A$13:$CK$1019,F$7,FALSE),IF($F$5="Q3",VLOOKUP($A79,'[1]INPUT_ASSUMPTIONS CALC'!$A$13:$CK$1019,F$7,FALSE),IF($F$5="Q4",VLOOKUP($A79,'[1]INPUT_ASSUMPTIONS CALC'!$A$13:$CK$1019,F$7,FALSE),IF($F$5="Year",VLOOKUP($A79,'[1]INPUT_ASSUMPTIONS CALC'!$A$13:$CK$1019,F$7,FALSE),0)))))</f>
        <v>395525</v>
      </c>
      <c r="G79" s="137">
        <f>SUMIF('[1]INPUT_ASSUMPTIONS CALC'!A:A,'[1]Summary calculation'!A79,'[1]INPUT_ASSUMPTIONS CALC'!BU:BU)</f>
        <v>1</v>
      </c>
      <c r="H79" s="138">
        <f>IF($F$5="Year",F79*G79*'[1]INPUT_ASSUMPTIONS CALC'!$S$7,F79*G79)</f>
        <v>395525</v>
      </c>
      <c r="I79" s="138">
        <f>H79*VLOOKUP($A79,'[1]INPUT_ASSUMPTIONS CALC'!$A$13:$CK$1019,H$6,FALSE)*SUMIF('[1]INPUT_ASSUMPTIONS CALC'!$CL$15:$CL$17,'[1]Summary calculation'!E79,'[1]INPUT_ASSUMPTIONS CALC'!$CM$15:$CM$17)</f>
        <v>316420</v>
      </c>
      <c r="J79" s="139">
        <f>$I79*VLOOKUP($A79,'[1]INPUT_ASSUMPTIONS CALC'!$A$13:$CK$1019,I$6,FALSE)*VLOOKUP($A79,'[1]INPUT_ASSUMPTIONS CALC'!$A$13:$CK$1019,J$7,FALSE)</f>
        <v>221494</v>
      </c>
      <c r="K79" s="139">
        <f>$I79*VLOOKUP($A79,'[1]INPUT_ASSUMPTIONS CALC'!$A$13:$CK$1019,I$6,FALSE)*VLOOKUP($A79,'[1]INPUT_ASSUMPTIONS CALC'!$A$13:$CK$1019,K$7,FALSE)</f>
        <v>155045.79999999999</v>
      </c>
      <c r="L79" s="139">
        <f>$I79*VLOOKUP($A79,'[1]INPUT_ASSUMPTIONS CALC'!$A$13:$CK$1019,I$6,FALSE)*VLOOKUP($A79,'[1]INPUT_ASSUMPTIONS CALC'!$A$13:$CK$1019,L$7,FALSE)</f>
        <v>44298.8</v>
      </c>
      <c r="M79" s="139">
        <f>$I79*VLOOKUP($A79,'[1]INPUT_ASSUMPTIONS CALC'!$A$13:$CK$1019,I$6,FALSE)*VLOOKUP($A79,'[1]INPUT_ASSUMPTIONS CALC'!$A$13:$CK$1019,M$7,FALSE)</f>
        <v>22149.400000000009</v>
      </c>
      <c r="N79" s="140">
        <f t="shared" si="7"/>
        <v>442988</v>
      </c>
      <c r="O79" s="141">
        <f>H79*VLOOKUP($A79,'[1]INPUT_ASSUMPTIONS CALC'!$A$13:$CK$1019,H$6,FALSE)*SUMIF('[1]INPUT_ASSUMPTIONS CALC'!$CQ$15:$CQ$17,'[1]Summary calculation'!E79,'[1]INPUT_ASSUMPTIONS CALC'!$CR$15:$CR$17)</f>
        <v>79105</v>
      </c>
      <c r="P79" s="141">
        <f>H79*VLOOKUP($A79,'[1]INPUT_ASSUMPTIONS CALC'!$A$13:$CK$1019,H$6,FALSE)*SUMIF('[1]INPUT_ASSUMPTIONS CALC'!$CV$15:$CV$31,'[1]Summary calculation'!E79,'[1]INPUT_ASSUMPTIONS CALC'!$CW$15:$CW$31)</f>
        <v>0</v>
      </c>
      <c r="Q79" s="141">
        <f>O79*VLOOKUP($A79,'[1]INPUT_ASSUMPTIONS CALC'!$A$13:$CK$1019,Q$7,FALSE)</f>
        <v>79105</v>
      </c>
      <c r="R79" s="141">
        <f>P79*VLOOKUP($A79,'[1]INPUT_ASSUMPTIONS CALC'!$A$13:$CK$1019,R$7,FALSE)</f>
        <v>0</v>
      </c>
      <c r="S79" s="140">
        <f t="shared" si="5"/>
        <v>79105</v>
      </c>
      <c r="T79" s="142">
        <f t="shared" si="6"/>
        <v>522093</v>
      </c>
      <c r="U79" s="61"/>
    </row>
    <row r="80" spans="1:21" x14ac:dyDescent="0.35">
      <c r="A80" s="125" t="str">
        <f t="shared" si="4"/>
        <v>72Q2</v>
      </c>
      <c r="B80" s="135">
        <v>72</v>
      </c>
      <c r="C80" s="61" t="str">
        <f>INDEX('[1]INPUT_ASSUMPTIONS CALC'!D:D,MATCH(A80,'[1]INPUT_ASSUMPTIONS CALC'!A:A,0))</f>
        <v>Zhazylbekova Aitolkyn</v>
      </c>
      <c r="D80" s="61" t="str">
        <f>INDEX('[1]INPUT_ASSUMPTIONS CALC'!I:I,MATCH(A80,'[1]INPUT_ASSUMPTIONS CALC'!A:A,0))</f>
        <v>Line 3 (big cities)</v>
      </c>
      <c r="E80" s="61" t="str">
        <f>INDEX('[1]INPUT_ASSUMPTIONS CALC'!E:E,MATCH(A80,'[1]INPUT_ASSUMPTIONS CALC'!A:A,0))</f>
        <v>Medical Representative</v>
      </c>
      <c r="F80" s="136">
        <f>IF($F$5="Q1",VLOOKUP($A80,'[1]INPUT_ASSUMPTIONS CALC'!$A$13:$CK$1019,F$7,FALSE),IF($F$5="Q2",VLOOKUP($A80,'[1]INPUT_ASSUMPTIONS CALC'!$A$13:$CK$1019,F$7,FALSE),IF($F$5="Q3",VLOOKUP($A80,'[1]INPUT_ASSUMPTIONS CALC'!$A$13:$CK$1019,F$7,FALSE),IF($F$5="Q4",VLOOKUP($A80,'[1]INPUT_ASSUMPTIONS CALC'!$A$13:$CK$1019,F$7,FALSE),IF($F$5="Year",VLOOKUP($A80,'[1]INPUT_ASSUMPTIONS CALC'!$A$13:$CK$1019,F$7,FALSE),0)))))</f>
        <v>395525</v>
      </c>
      <c r="G80" s="137">
        <f>SUMIF('[1]INPUT_ASSUMPTIONS CALC'!A:A,'[1]Summary calculation'!A80,'[1]INPUT_ASSUMPTIONS CALC'!BU:BU)</f>
        <v>1</v>
      </c>
      <c r="H80" s="138">
        <f>IF($F$5="Year",F80*G80*'[1]INPUT_ASSUMPTIONS CALC'!$S$7,F80*G80)</f>
        <v>395525</v>
      </c>
      <c r="I80" s="138">
        <f>H80*VLOOKUP($A80,'[1]INPUT_ASSUMPTIONS CALC'!$A$13:$CK$1019,H$6,FALSE)*SUMIF('[1]INPUT_ASSUMPTIONS CALC'!$CL$15:$CL$17,'[1]Summary calculation'!E80,'[1]INPUT_ASSUMPTIONS CALC'!$CM$15:$CM$17)</f>
        <v>316420</v>
      </c>
      <c r="J80" s="139">
        <f>$I80*VLOOKUP($A80,'[1]INPUT_ASSUMPTIONS CALC'!$A$13:$CK$1019,I$6,FALSE)*VLOOKUP($A80,'[1]INPUT_ASSUMPTIONS CALC'!$A$13:$CK$1019,J$7,FALSE)</f>
        <v>291897.45</v>
      </c>
      <c r="K80" s="139">
        <f>$I80*VLOOKUP($A80,'[1]INPUT_ASSUMPTIONS CALC'!$A$13:$CK$1019,I$6,FALSE)*VLOOKUP($A80,'[1]INPUT_ASSUMPTIONS CALC'!$A$13:$CK$1019,K$7,FALSE)</f>
        <v>162165.25</v>
      </c>
      <c r="L80" s="139">
        <f>$I80*VLOOKUP($A80,'[1]INPUT_ASSUMPTIONS CALC'!$A$13:$CK$1019,I$6,FALSE)*VLOOKUP($A80,'[1]INPUT_ASSUMPTIONS CALC'!$A$13:$CK$1019,L$7,FALSE)</f>
        <v>162165.25</v>
      </c>
      <c r="M80" s="139">
        <f>$I80*VLOOKUP($A80,'[1]INPUT_ASSUMPTIONS CALC'!$A$13:$CK$1019,I$6,FALSE)*VLOOKUP($A80,'[1]INPUT_ASSUMPTIONS CALC'!$A$13:$CK$1019,M$7,FALSE)</f>
        <v>32433.050000000028</v>
      </c>
      <c r="N80" s="140">
        <f t="shared" si="7"/>
        <v>648661</v>
      </c>
      <c r="O80" s="141">
        <f>H80*VLOOKUP($A80,'[1]INPUT_ASSUMPTIONS CALC'!$A$13:$CK$1019,H$6,FALSE)*SUMIF('[1]INPUT_ASSUMPTIONS CALC'!$CQ$15:$CQ$17,'[1]Summary calculation'!E80,'[1]INPUT_ASSUMPTIONS CALC'!$CR$15:$CR$17)</f>
        <v>79105</v>
      </c>
      <c r="P80" s="141">
        <f>H80*VLOOKUP($A80,'[1]INPUT_ASSUMPTIONS CALC'!$A$13:$CK$1019,H$6,FALSE)*SUMIF('[1]INPUT_ASSUMPTIONS CALC'!$CV$15:$CV$31,'[1]Summary calculation'!E80,'[1]INPUT_ASSUMPTIONS CALC'!$CW$15:$CW$31)</f>
        <v>0</v>
      </c>
      <c r="Q80" s="141">
        <f>O80*VLOOKUP($A80,'[1]INPUT_ASSUMPTIONS CALC'!$A$13:$CK$1019,Q$7,FALSE)</f>
        <v>79105</v>
      </c>
      <c r="R80" s="141">
        <f>P80*VLOOKUP($A80,'[1]INPUT_ASSUMPTIONS CALC'!$A$13:$CK$1019,R$7,FALSE)</f>
        <v>0</v>
      </c>
      <c r="S80" s="140">
        <f t="shared" si="5"/>
        <v>79105</v>
      </c>
      <c r="T80" s="142">
        <f t="shared" si="6"/>
        <v>727766</v>
      </c>
      <c r="U80" s="61"/>
    </row>
    <row r="81" spans="1:21" x14ac:dyDescent="0.35">
      <c r="A81" s="125" t="str">
        <f t="shared" si="4"/>
        <v>73Q2</v>
      </c>
      <c r="B81" s="135">
        <v>73</v>
      </c>
      <c r="C81" s="61" t="str">
        <f>INDEX('[1]INPUT_ASSUMPTIONS CALC'!D:D,MATCH(A81,'[1]INPUT_ASSUMPTIONS CALC'!A:A,0))</f>
        <v>Zhmailova Yelena</v>
      </c>
      <c r="D81" s="61" t="str">
        <f>INDEX('[1]INPUT_ASSUMPTIONS CALC'!I:I,MATCH(A81,'[1]INPUT_ASSUMPTIONS CALC'!A:A,0))</f>
        <v>Regional Manager-1</v>
      </c>
      <c r="E81" s="61" t="str">
        <f>INDEX('[1]INPUT_ASSUMPTIONS CALC'!E:E,MATCH(A81,'[1]INPUT_ASSUMPTIONS CALC'!A:A,0))</f>
        <v>Regional Manager</v>
      </c>
      <c r="F81" s="136">
        <f>IF($F$5="Q1",VLOOKUP($A81,'[1]INPUT_ASSUMPTIONS CALC'!$A$13:$CK$1019,F$7,FALSE),IF($F$5="Q2",VLOOKUP($A81,'[1]INPUT_ASSUMPTIONS CALC'!$A$13:$CK$1019,F$7,FALSE),IF($F$5="Q3",VLOOKUP($A81,'[1]INPUT_ASSUMPTIONS CALC'!$A$13:$CK$1019,F$7,FALSE),IF($F$5="Q4",VLOOKUP($A81,'[1]INPUT_ASSUMPTIONS CALC'!$A$13:$CK$1019,F$7,FALSE),IF($F$5="Year",VLOOKUP($A81,'[1]INPUT_ASSUMPTIONS CALC'!$A$13:$CK$1019,F$7,FALSE),0)))))</f>
        <v>726000</v>
      </c>
      <c r="G81" s="137">
        <f>SUMIF('[1]INPUT_ASSUMPTIONS CALC'!A:A,'[1]Summary calculation'!A81,'[1]INPUT_ASSUMPTIONS CALC'!BU:BU)</f>
        <v>1</v>
      </c>
      <c r="H81" s="138">
        <f>IF($F$5="Year",F81*G81*'[1]INPUT_ASSUMPTIONS CALC'!$S$7,F81*G81)</f>
        <v>726000</v>
      </c>
      <c r="I81" s="138">
        <f>H81*VLOOKUP($A81,'[1]INPUT_ASSUMPTIONS CALC'!$A$13:$CK$1019,H$6,FALSE)*SUMIF('[1]INPUT_ASSUMPTIONS CALC'!$CL$15:$CL$17,'[1]Summary calculation'!E81,'[1]INPUT_ASSUMPTIONS CALC'!$CM$15:$CM$17)</f>
        <v>580800</v>
      </c>
      <c r="J81" s="139">
        <f>$I81*VLOOKUP($A81,'[1]INPUT_ASSUMPTIONS CALC'!$A$13:$CK$1019,I$6,FALSE)*VLOOKUP($A81,'[1]INPUT_ASSUMPTIONS CALC'!$A$13:$CK$1019,J$7,FALSE)</f>
        <v>246840</v>
      </c>
      <c r="K81" s="139">
        <f>$I81*VLOOKUP($A81,'[1]INPUT_ASSUMPTIONS CALC'!$A$13:$CK$1019,I$6,FALSE)*VLOOKUP($A81,'[1]INPUT_ASSUMPTIONS CALC'!$A$13:$CK$1019,K$7,FALSE)</f>
        <v>123420</v>
      </c>
      <c r="L81" s="139">
        <f>$I81*VLOOKUP($A81,'[1]INPUT_ASSUMPTIONS CALC'!$A$13:$CK$1019,I$6,FALSE)*VLOOKUP($A81,'[1]INPUT_ASSUMPTIONS CALC'!$A$13:$CK$1019,L$7,FALSE)</f>
        <v>98736</v>
      </c>
      <c r="M81" s="139">
        <f>$I81*VLOOKUP($A81,'[1]INPUT_ASSUMPTIONS CALC'!$A$13:$CK$1019,I$6,FALSE)*VLOOKUP($A81,'[1]INPUT_ASSUMPTIONS CALC'!$A$13:$CK$1019,M$7,FALSE)</f>
        <v>24683.999999999993</v>
      </c>
      <c r="N81" s="140">
        <f t="shared" si="7"/>
        <v>493680</v>
      </c>
      <c r="O81" s="141">
        <f>H81*VLOOKUP($A81,'[1]INPUT_ASSUMPTIONS CALC'!$A$13:$CK$1019,H$6,FALSE)*SUMIF('[1]INPUT_ASSUMPTIONS CALC'!$CQ$15:$CQ$17,'[1]Summary calculation'!E81,'[1]INPUT_ASSUMPTIONS CALC'!$CR$15:$CR$17)</f>
        <v>72600</v>
      </c>
      <c r="P81" s="141">
        <f>H81*VLOOKUP($A81,'[1]INPUT_ASSUMPTIONS CALC'!$A$13:$CK$1019,H$6,FALSE)*SUMIF('[1]INPUT_ASSUMPTIONS CALC'!$CV$15:$CV$31,'[1]Summary calculation'!E81,'[1]INPUT_ASSUMPTIONS CALC'!$CW$15:$CW$31)</f>
        <v>72600</v>
      </c>
      <c r="Q81" s="141">
        <f>O81*VLOOKUP($A81,'[1]INPUT_ASSUMPTIONS CALC'!$A$13:$CK$1019,Q$7,FALSE)</f>
        <v>72600</v>
      </c>
      <c r="R81" s="141">
        <f>P81*VLOOKUP($A81,'[1]INPUT_ASSUMPTIONS CALC'!$A$13:$CK$1019,R$7,FALSE)</f>
        <v>72600</v>
      </c>
      <c r="S81" s="140">
        <f t="shared" si="5"/>
        <v>145200</v>
      </c>
      <c r="T81" s="142">
        <f t="shared" si="6"/>
        <v>638880</v>
      </c>
      <c r="U81" s="61"/>
    </row>
    <row r="82" spans="1:21" x14ac:dyDescent="0.35">
      <c r="A82" s="125" t="str">
        <f t="shared" si="4"/>
        <v>74Q2</v>
      </c>
      <c r="B82" s="135">
        <v>74</v>
      </c>
      <c r="C82" s="61" t="str">
        <f>INDEX('[1]INPUT_ASSUMPTIONS CALC'!D:D,MATCH(A82,'[1]INPUT_ASSUMPTIONS CALC'!A:A,0))</f>
        <v>Kaderov Nursultan</v>
      </c>
      <c r="D82" s="61" t="str">
        <f>INDEX('[1]INPUT_ASSUMPTIONS CALC'!I:I,MATCH(A82,'[1]INPUT_ASSUMPTIONS CALC'!A:A,0))</f>
        <v>Line 2</v>
      </c>
      <c r="E82" s="61" t="str">
        <f>INDEX('[1]INPUT_ASSUMPTIONS CALC'!E:E,MATCH(A82,'[1]INPUT_ASSUMPTIONS CALC'!A:A,0))</f>
        <v>Medical Representative</v>
      </c>
      <c r="F82" s="136">
        <f>IF($F$5="Q1",VLOOKUP($A82,'[1]INPUT_ASSUMPTIONS CALC'!$A$13:$CK$1019,F$7,FALSE),IF($F$5="Q2",VLOOKUP($A82,'[1]INPUT_ASSUMPTIONS CALC'!$A$13:$CK$1019,F$7,FALSE),IF($F$5="Q3",VLOOKUP($A82,'[1]INPUT_ASSUMPTIONS CALC'!$A$13:$CK$1019,F$7,FALSE),IF($F$5="Q4",VLOOKUP($A82,'[1]INPUT_ASSUMPTIONS CALC'!$A$13:$CK$1019,F$7,FALSE),IF($F$5="Year",VLOOKUP($A82,'[1]INPUT_ASSUMPTIONS CALC'!$A$13:$CK$1019,F$7,FALSE),0)))))</f>
        <v>395525</v>
      </c>
      <c r="G82" s="137">
        <f>SUMIF('[1]INPUT_ASSUMPTIONS CALC'!A:A,'[1]Summary calculation'!A82,'[1]INPUT_ASSUMPTIONS CALC'!BU:BU)</f>
        <v>1</v>
      </c>
      <c r="H82" s="138">
        <f>IF($F$5="Year",F82*G82*'[1]INPUT_ASSUMPTIONS CALC'!$S$7,F82*G82)</f>
        <v>395525</v>
      </c>
      <c r="I82" s="138">
        <f>H82*VLOOKUP($A82,'[1]INPUT_ASSUMPTIONS CALC'!$A$13:$CK$1019,H$6,FALSE)*SUMIF('[1]INPUT_ASSUMPTIONS CALC'!$CL$15:$CL$17,'[1]Summary calculation'!E82,'[1]INPUT_ASSUMPTIONS CALC'!$CM$15:$CM$17)</f>
        <v>316420</v>
      </c>
      <c r="J82" s="139">
        <f>$I82*VLOOKUP($A82,'[1]INPUT_ASSUMPTIONS CALC'!$A$13:$CK$1019,I$6,FALSE)*VLOOKUP($A82,'[1]INPUT_ASSUMPTIONS CALC'!$A$13:$CK$1019,J$7,FALSE)</f>
        <v>237315</v>
      </c>
      <c r="K82" s="139">
        <f>$I82*VLOOKUP($A82,'[1]INPUT_ASSUMPTIONS CALC'!$A$13:$CK$1019,I$6,FALSE)*VLOOKUP($A82,'[1]INPUT_ASSUMPTIONS CALC'!$A$13:$CK$1019,K$7,FALSE)</f>
        <v>197762.5</v>
      </c>
      <c r="L82" s="139">
        <f>$I82*VLOOKUP($A82,'[1]INPUT_ASSUMPTIONS CALC'!$A$13:$CK$1019,I$6,FALSE)*VLOOKUP($A82,'[1]INPUT_ASSUMPTIONS CALC'!$A$13:$CK$1019,L$7,FALSE)</f>
        <v>197762.5</v>
      </c>
      <c r="M82" s="139">
        <f>$I82*VLOOKUP($A82,'[1]INPUT_ASSUMPTIONS CALC'!$A$13:$CK$1019,I$6,FALSE)*VLOOKUP($A82,'[1]INPUT_ASSUMPTIONS CALC'!$A$13:$CK$1019,M$7,FALSE)</f>
        <v>158209.99999999997</v>
      </c>
      <c r="N82" s="140">
        <f t="shared" si="7"/>
        <v>791050</v>
      </c>
      <c r="O82" s="141">
        <f>H82*VLOOKUP($A82,'[1]INPUT_ASSUMPTIONS CALC'!$A$13:$CK$1019,H$6,FALSE)*SUMIF('[1]INPUT_ASSUMPTIONS CALC'!$CQ$15:$CQ$17,'[1]Summary calculation'!E82,'[1]INPUT_ASSUMPTIONS CALC'!$CR$15:$CR$17)</f>
        <v>79105</v>
      </c>
      <c r="P82" s="141">
        <f>H82*VLOOKUP($A82,'[1]INPUT_ASSUMPTIONS CALC'!$A$13:$CK$1019,H$6,FALSE)*SUMIF('[1]INPUT_ASSUMPTIONS CALC'!$CV$15:$CV$31,'[1]Summary calculation'!E82,'[1]INPUT_ASSUMPTIONS CALC'!$CW$15:$CW$31)</f>
        <v>0</v>
      </c>
      <c r="Q82" s="141">
        <f>O82*VLOOKUP($A82,'[1]INPUT_ASSUMPTIONS CALC'!$A$13:$CK$1019,Q$7,FALSE)</f>
        <v>79105</v>
      </c>
      <c r="R82" s="141">
        <f>P82*VLOOKUP($A82,'[1]INPUT_ASSUMPTIONS CALC'!$A$13:$CK$1019,R$7,FALSE)</f>
        <v>0</v>
      </c>
      <c r="S82" s="140">
        <f t="shared" si="5"/>
        <v>79105</v>
      </c>
      <c r="T82" s="142">
        <f t="shared" si="6"/>
        <v>870155</v>
      </c>
      <c r="U82" s="61"/>
    </row>
    <row r="83" spans="1:21" x14ac:dyDescent="0.35">
      <c r="A83" s="125" t="str">
        <f t="shared" si="4"/>
        <v>75Q2</v>
      </c>
      <c r="B83" s="135">
        <v>75</v>
      </c>
      <c r="C83" s="61" t="str">
        <f>INDEX('[1]INPUT_ASSUMPTIONS CALC'!D:D,MATCH(A83,'[1]INPUT_ASSUMPTIONS CALC'!A:A,0))</f>
        <v>Ospanova Zhumagul</v>
      </c>
      <c r="D83" s="61" t="str">
        <f>INDEX('[1]INPUT_ASSUMPTIONS CALC'!I:I,MATCH(A83,'[1]INPUT_ASSUMPTIONS CALC'!A:A,0))</f>
        <v>Line 2</v>
      </c>
      <c r="E83" s="61" t="str">
        <f>INDEX('[1]INPUT_ASSUMPTIONS CALC'!E:E,MATCH(A83,'[1]INPUT_ASSUMPTIONS CALC'!A:A,0))</f>
        <v>Medical Representative</v>
      </c>
      <c r="F83" s="136">
        <f>IF($F$5="Q1",VLOOKUP($A83,'[1]INPUT_ASSUMPTIONS CALC'!$A$13:$CK$1019,F$7,FALSE),IF($F$5="Q2",VLOOKUP($A83,'[1]INPUT_ASSUMPTIONS CALC'!$A$13:$CK$1019,F$7,FALSE),IF($F$5="Q3",VLOOKUP($A83,'[1]INPUT_ASSUMPTIONS CALC'!$A$13:$CK$1019,F$7,FALSE),IF($F$5="Q4",VLOOKUP($A83,'[1]INPUT_ASSUMPTIONS CALC'!$A$13:$CK$1019,F$7,FALSE),IF($F$5="Year",VLOOKUP($A83,'[1]INPUT_ASSUMPTIONS CALC'!$A$13:$CK$1019,F$7,FALSE),0)))))</f>
        <v>395525</v>
      </c>
      <c r="G83" s="137">
        <f>SUMIF('[1]INPUT_ASSUMPTIONS CALC'!A:A,'[1]Summary calculation'!A83,'[1]INPUT_ASSUMPTIONS CALC'!BU:BU)</f>
        <v>1</v>
      </c>
      <c r="H83" s="138">
        <f>IF($F$5="Year",F83*G83*'[1]INPUT_ASSUMPTIONS CALC'!$S$7,F83*G83)</f>
        <v>395525</v>
      </c>
      <c r="I83" s="138">
        <f>H83*VLOOKUP($A83,'[1]INPUT_ASSUMPTIONS CALC'!$A$13:$CK$1019,H$6,FALSE)*SUMIF('[1]INPUT_ASSUMPTIONS CALC'!$CL$15:$CL$17,'[1]Summary calculation'!E83,'[1]INPUT_ASSUMPTIONS CALC'!$CM$15:$CM$17)</f>
        <v>316420</v>
      </c>
      <c r="J83" s="139">
        <f>$I83*VLOOKUP($A83,'[1]INPUT_ASSUMPTIONS CALC'!$A$13:$CK$1019,I$6,FALSE)*VLOOKUP($A83,'[1]INPUT_ASSUMPTIONS CALC'!$A$13:$CK$1019,J$7,FALSE)</f>
        <v>199344.6</v>
      </c>
      <c r="K83" s="139">
        <f>$I83*VLOOKUP($A83,'[1]INPUT_ASSUMPTIONS CALC'!$A$13:$CK$1019,I$6,FALSE)*VLOOKUP($A83,'[1]INPUT_ASSUMPTIONS CALC'!$A$13:$CK$1019,K$7,FALSE)</f>
        <v>166120.5</v>
      </c>
      <c r="L83" s="139">
        <f>$I83*VLOOKUP($A83,'[1]INPUT_ASSUMPTIONS CALC'!$A$13:$CK$1019,I$6,FALSE)*VLOOKUP($A83,'[1]INPUT_ASSUMPTIONS CALC'!$A$13:$CK$1019,L$7,FALSE)</f>
        <v>166120.5</v>
      </c>
      <c r="M83" s="139">
        <f>$I83*VLOOKUP($A83,'[1]INPUT_ASSUMPTIONS CALC'!$A$13:$CK$1019,I$6,FALSE)*VLOOKUP($A83,'[1]INPUT_ASSUMPTIONS CALC'!$A$13:$CK$1019,M$7,FALSE)</f>
        <v>132896.39999999997</v>
      </c>
      <c r="N83" s="140">
        <f t="shared" si="7"/>
        <v>664482</v>
      </c>
      <c r="O83" s="141">
        <f>H83*VLOOKUP($A83,'[1]INPUT_ASSUMPTIONS CALC'!$A$13:$CK$1019,H$6,FALSE)*SUMIF('[1]INPUT_ASSUMPTIONS CALC'!$CQ$15:$CQ$17,'[1]Summary calculation'!E83,'[1]INPUT_ASSUMPTIONS CALC'!$CR$15:$CR$17)</f>
        <v>79105</v>
      </c>
      <c r="P83" s="141">
        <f>H83*VLOOKUP($A83,'[1]INPUT_ASSUMPTIONS CALC'!$A$13:$CK$1019,H$6,FALSE)*SUMIF('[1]INPUT_ASSUMPTIONS CALC'!$CV$15:$CV$31,'[1]Summary calculation'!E83,'[1]INPUT_ASSUMPTIONS CALC'!$CW$15:$CW$31)</f>
        <v>0</v>
      </c>
      <c r="Q83" s="141">
        <f>O83*VLOOKUP($A83,'[1]INPUT_ASSUMPTIONS CALC'!$A$13:$CK$1019,Q$7,FALSE)</f>
        <v>79105</v>
      </c>
      <c r="R83" s="141">
        <f>P83*VLOOKUP($A83,'[1]INPUT_ASSUMPTIONS CALC'!$A$13:$CK$1019,R$7,FALSE)</f>
        <v>0</v>
      </c>
      <c r="S83" s="140">
        <f t="shared" si="5"/>
        <v>79105</v>
      </c>
      <c r="T83" s="142">
        <f t="shared" si="6"/>
        <v>743587</v>
      </c>
      <c r="U83" s="61"/>
    </row>
    <row r="84" spans="1:21" x14ac:dyDescent="0.35">
      <c r="A84" s="125" t="str">
        <f t="shared" si="4"/>
        <v>76Q2</v>
      </c>
      <c r="B84" s="135">
        <v>76</v>
      </c>
      <c r="C84" s="61" t="str">
        <f>INDEX('[1]INPUT_ASSUMPTIONS CALC'!D:D,MATCH(A84,'[1]INPUT_ASSUMPTIONS CALC'!A:A,0))</f>
        <v>Zhanuzakova Gulbakyt</v>
      </c>
      <c r="D84" s="61" t="str">
        <f>INDEX('[1]INPUT_ASSUMPTIONS CALC'!I:I,MATCH(A84,'[1]INPUT_ASSUMPTIONS CALC'!A:A,0))</f>
        <v>Line 1</v>
      </c>
      <c r="E84" s="61" t="str">
        <f>INDEX('[1]INPUT_ASSUMPTIONS CALC'!E:E,MATCH(A84,'[1]INPUT_ASSUMPTIONS CALC'!A:A,0))</f>
        <v>Medical Representative</v>
      </c>
      <c r="F84" s="136">
        <f>IF($F$5="Q1",VLOOKUP($A84,'[1]INPUT_ASSUMPTIONS CALC'!$A$13:$CK$1019,F$7,FALSE),IF($F$5="Q2",VLOOKUP($A84,'[1]INPUT_ASSUMPTIONS CALC'!$A$13:$CK$1019,F$7,FALSE),IF($F$5="Q3",VLOOKUP($A84,'[1]INPUT_ASSUMPTIONS CALC'!$A$13:$CK$1019,F$7,FALSE),IF($F$5="Q4",VLOOKUP($A84,'[1]INPUT_ASSUMPTIONS CALC'!$A$13:$CK$1019,F$7,FALSE),IF($F$5="Year",VLOOKUP($A84,'[1]INPUT_ASSUMPTIONS CALC'!$A$13:$CK$1019,F$7,FALSE),0)))))</f>
        <v>395525</v>
      </c>
      <c r="G84" s="137">
        <f>SUMIF('[1]INPUT_ASSUMPTIONS CALC'!A:A,'[1]Summary calculation'!A84,'[1]INPUT_ASSUMPTIONS CALC'!BU:BU)</f>
        <v>1</v>
      </c>
      <c r="H84" s="138">
        <f>IF($F$5="Year",F84*G84*'[1]INPUT_ASSUMPTIONS CALC'!$S$7,F84*G84)</f>
        <v>395525</v>
      </c>
      <c r="I84" s="138">
        <f>H84*VLOOKUP($A84,'[1]INPUT_ASSUMPTIONS CALC'!$A$13:$CK$1019,H$6,FALSE)*SUMIF('[1]INPUT_ASSUMPTIONS CALC'!$CL$15:$CL$17,'[1]Summary calculation'!E84,'[1]INPUT_ASSUMPTIONS CALC'!$CM$15:$CM$17)</f>
        <v>0</v>
      </c>
      <c r="J84" s="139">
        <f>$I84*VLOOKUP($A84,'[1]INPUT_ASSUMPTIONS CALC'!$A$13:$CK$1019,I$6,FALSE)*VLOOKUP($A84,'[1]INPUT_ASSUMPTIONS CALC'!$A$13:$CK$1019,J$7,FALSE)</f>
        <v>0</v>
      </c>
      <c r="K84" s="139">
        <f>$I84*VLOOKUP($A84,'[1]INPUT_ASSUMPTIONS CALC'!$A$13:$CK$1019,I$6,FALSE)*VLOOKUP($A84,'[1]INPUT_ASSUMPTIONS CALC'!$A$13:$CK$1019,K$7,FALSE)</f>
        <v>0</v>
      </c>
      <c r="L84" s="139">
        <f>$I84*VLOOKUP($A84,'[1]INPUT_ASSUMPTIONS CALC'!$A$13:$CK$1019,I$6,FALSE)*VLOOKUP($A84,'[1]INPUT_ASSUMPTIONS CALC'!$A$13:$CK$1019,L$7,FALSE)</f>
        <v>0</v>
      </c>
      <c r="M84" s="139">
        <f>$I84*VLOOKUP($A84,'[1]INPUT_ASSUMPTIONS CALC'!$A$13:$CK$1019,I$6,FALSE)*VLOOKUP($A84,'[1]INPUT_ASSUMPTIONS CALC'!$A$13:$CK$1019,M$7,FALSE)</f>
        <v>0</v>
      </c>
      <c r="N84" s="140">
        <f t="shared" si="7"/>
        <v>0</v>
      </c>
      <c r="O84" s="141">
        <f>H84*VLOOKUP($A84,'[1]INPUT_ASSUMPTIONS CALC'!$A$13:$CK$1019,H$6,FALSE)*SUMIF('[1]INPUT_ASSUMPTIONS CALC'!$CQ$15:$CQ$17,'[1]Summary calculation'!E84,'[1]INPUT_ASSUMPTIONS CALC'!$CR$15:$CR$17)</f>
        <v>0</v>
      </c>
      <c r="P84" s="141">
        <f>H84*VLOOKUP($A84,'[1]INPUT_ASSUMPTIONS CALC'!$A$13:$CK$1019,H$6,FALSE)*SUMIF('[1]INPUT_ASSUMPTIONS CALC'!$CV$15:$CV$31,'[1]Summary calculation'!E84,'[1]INPUT_ASSUMPTIONS CALC'!$CW$15:$CW$31)</f>
        <v>0</v>
      </c>
      <c r="Q84" s="141">
        <f>O84*VLOOKUP($A84,'[1]INPUT_ASSUMPTIONS CALC'!$A$13:$CK$1019,Q$7,FALSE)</f>
        <v>0</v>
      </c>
      <c r="R84" s="141">
        <f>P84*VLOOKUP($A84,'[1]INPUT_ASSUMPTIONS CALC'!$A$13:$CK$1019,R$7,FALSE)</f>
        <v>0</v>
      </c>
      <c r="S84" s="140">
        <f t="shared" si="5"/>
        <v>0</v>
      </c>
      <c r="T84" s="142">
        <f t="shared" si="6"/>
        <v>0</v>
      </c>
      <c r="U84" s="61"/>
    </row>
    <row r="85" spans="1:21" x14ac:dyDescent="0.35">
      <c r="A85" s="125" t="str">
        <f t="shared" si="4"/>
        <v>77Q2</v>
      </c>
      <c r="B85" s="135">
        <v>77</v>
      </c>
      <c r="C85" s="61" t="str">
        <f>INDEX('[1]INPUT_ASSUMPTIONS CALC'!D:D,MATCH(A85,'[1]INPUT_ASSUMPTIONS CALC'!A:A,0))</f>
        <v>Nurikhanova Alissa</v>
      </c>
      <c r="D85" s="61" t="str">
        <f>INDEX('[1]INPUT_ASSUMPTIONS CALC'!I:I,MATCH(A85,'[1]INPUT_ASSUMPTIONS CALC'!A:A,0))</f>
        <v>Regional Manager-1</v>
      </c>
      <c r="E85" s="61" t="str">
        <f>INDEX('[1]INPUT_ASSUMPTIONS CALC'!E:E,MATCH(A85,'[1]INPUT_ASSUMPTIONS CALC'!A:A,0))</f>
        <v>Regional Manager</v>
      </c>
      <c r="F85" s="136">
        <f>IF($F$5="Q1",VLOOKUP($A85,'[1]INPUT_ASSUMPTIONS CALC'!$A$13:$CK$1019,F$7,FALSE),IF($F$5="Q2",VLOOKUP($A85,'[1]INPUT_ASSUMPTIONS CALC'!$A$13:$CK$1019,F$7,FALSE),IF($F$5="Q3",VLOOKUP($A85,'[1]INPUT_ASSUMPTIONS CALC'!$A$13:$CK$1019,F$7,FALSE),IF($F$5="Q4",VLOOKUP($A85,'[1]INPUT_ASSUMPTIONS CALC'!$A$13:$CK$1019,F$7,FALSE),IF($F$5="Year",VLOOKUP($A85,'[1]INPUT_ASSUMPTIONS CALC'!$A$13:$CK$1019,F$7,FALSE),0)))))</f>
        <v>726000</v>
      </c>
      <c r="G85" s="137">
        <f>SUMIF('[1]INPUT_ASSUMPTIONS CALC'!A:A,'[1]Summary calculation'!A85,'[1]INPUT_ASSUMPTIONS CALC'!BU:BU)</f>
        <v>1</v>
      </c>
      <c r="H85" s="138">
        <f>IF($F$5="Year",F85*G85*'[1]INPUT_ASSUMPTIONS CALC'!$S$7,F85*G85)</f>
        <v>726000</v>
      </c>
      <c r="I85" s="138">
        <f>H85*VLOOKUP($A85,'[1]INPUT_ASSUMPTIONS CALC'!$A$13:$CK$1019,H$6,FALSE)*SUMIF('[1]INPUT_ASSUMPTIONS CALC'!$CL$15:$CL$17,'[1]Summary calculation'!E85,'[1]INPUT_ASSUMPTIONS CALC'!$CM$15:$CM$17)</f>
        <v>580800</v>
      </c>
      <c r="J85" s="139">
        <f>$I85*VLOOKUP($A85,'[1]INPUT_ASSUMPTIONS CALC'!$A$13:$CK$1019,I$6,FALSE)*VLOOKUP($A85,'[1]INPUT_ASSUMPTIONS CALC'!$A$13:$CK$1019,J$7,FALSE)</f>
        <v>246840</v>
      </c>
      <c r="K85" s="139">
        <f>$I85*VLOOKUP($A85,'[1]INPUT_ASSUMPTIONS CALC'!$A$13:$CK$1019,I$6,FALSE)*VLOOKUP($A85,'[1]INPUT_ASSUMPTIONS CALC'!$A$13:$CK$1019,K$7,FALSE)</f>
        <v>123420</v>
      </c>
      <c r="L85" s="139">
        <f>$I85*VLOOKUP($A85,'[1]INPUT_ASSUMPTIONS CALC'!$A$13:$CK$1019,I$6,FALSE)*VLOOKUP($A85,'[1]INPUT_ASSUMPTIONS CALC'!$A$13:$CK$1019,L$7,FALSE)</f>
        <v>98736</v>
      </c>
      <c r="M85" s="139">
        <f>$I85*VLOOKUP($A85,'[1]INPUT_ASSUMPTIONS CALC'!$A$13:$CK$1019,I$6,FALSE)*VLOOKUP($A85,'[1]INPUT_ASSUMPTIONS CALC'!$A$13:$CK$1019,M$7,FALSE)</f>
        <v>24683.999999999993</v>
      </c>
      <c r="N85" s="140">
        <f t="shared" si="7"/>
        <v>493680</v>
      </c>
      <c r="O85" s="141">
        <f>H85*VLOOKUP($A85,'[1]INPUT_ASSUMPTIONS CALC'!$A$13:$CK$1019,H$6,FALSE)*SUMIF('[1]INPUT_ASSUMPTIONS CALC'!$CQ$15:$CQ$17,'[1]Summary calculation'!E85,'[1]INPUT_ASSUMPTIONS CALC'!$CR$15:$CR$17)</f>
        <v>72600</v>
      </c>
      <c r="P85" s="141">
        <f>H85*VLOOKUP($A85,'[1]INPUT_ASSUMPTIONS CALC'!$A$13:$CK$1019,H$6,FALSE)*SUMIF('[1]INPUT_ASSUMPTIONS CALC'!$CV$15:$CV$31,'[1]Summary calculation'!E85,'[1]INPUT_ASSUMPTIONS CALC'!$CW$15:$CW$31)</f>
        <v>72600</v>
      </c>
      <c r="Q85" s="141">
        <f>O85*VLOOKUP($A85,'[1]INPUT_ASSUMPTIONS CALC'!$A$13:$CK$1019,Q$7,FALSE)</f>
        <v>72600</v>
      </c>
      <c r="R85" s="141">
        <f>P85*VLOOKUP($A85,'[1]INPUT_ASSUMPTIONS CALC'!$A$13:$CK$1019,R$7,FALSE)</f>
        <v>0</v>
      </c>
      <c r="S85" s="140">
        <f t="shared" si="5"/>
        <v>72600</v>
      </c>
      <c r="T85" s="142">
        <f t="shared" si="6"/>
        <v>566280</v>
      </c>
      <c r="U85" s="61"/>
    </row>
    <row r="86" spans="1:21" x14ac:dyDescent="0.35">
      <c r="A86" s="125" t="str">
        <f t="shared" si="4"/>
        <v>78Q2</v>
      </c>
      <c r="B86" s="135">
        <v>78</v>
      </c>
      <c r="C86" s="61" t="str">
        <f>INDEX('[1]INPUT_ASSUMPTIONS CALC'!D:D,MATCH(A86,'[1]INPUT_ASSUMPTIONS CALC'!A:A,0))</f>
        <v>Konurub Roza</v>
      </c>
      <c r="D86" s="61" t="str">
        <f>INDEX('[1]INPUT_ASSUMPTIONS CALC'!I:I,MATCH(A86,'[1]INPUT_ASSUMPTIONS CALC'!A:A,0))</f>
        <v>Pharma line</v>
      </c>
      <c r="E86" s="61" t="str">
        <f>INDEX('[1]INPUT_ASSUMPTIONS CALC'!E:E,MATCH(A86,'[1]INPUT_ASSUMPTIONS CALC'!A:A,0))</f>
        <v>Medical Representative</v>
      </c>
      <c r="F86" s="136">
        <f>IF($F$5="Q1",VLOOKUP($A86,'[1]INPUT_ASSUMPTIONS CALC'!$A$13:$CK$1019,F$7,FALSE),IF($F$5="Q2",VLOOKUP($A86,'[1]INPUT_ASSUMPTIONS CALC'!$A$13:$CK$1019,F$7,FALSE),IF($F$5="Q3",VLOOKUP($A86,'[1]INPUT_ASSUMPTIONS CALC'!$A$13:$CK$1019,F$7,FALSE),IF($F$5="Q4",VLOOKUP($A86,'[1]INPUT_ASSUMPTIONS CALC'!$A$13:$CK$1019,F$7,FALSE),IF($F$5="Year",VLOOKUP($A86,'[1]INPUT_ASSUMPTIONS CALC'!$A$13:$CK$1019,F$7,FALSE),0)))))</f>
        <v>395525</v>
      </c>
      <c r="G86" s="137">
        <f>SUMIF('[1]INPUT_ASSUMPTIONS CALC'!A:A,'[1]Summary calculation'!A86,'[1]INPUT_ASSUMPTIONS CALC'!BU:BU)</f>
        <v>1</v>
      </c>
      <c r="H86" s="138">
        <f>IF($F$5="Year",F86*G86*'[1]INPUT_ASSUMPTIONS CALC'!$S$7,F86*G86)</f>
        <v>395525</v>
      </c>
      <c r="I86" s="138">
        <f>H86*VLOOKUP($A86,'[1]INPUT_ASSUMPTIONS CALC'!$A$13:$CK$1019,H$6,FALSE)*SUMIF('[1]INPUT_ASSUMPTIONS CALC'!$CL$15:$CL$17,'[1]Summary calculation'!E86,'[1]INPUT_ASSUMPTIONS CALC'!$CM$15:$CM$17)</f>
        <v>316420</v>
      </c>
      <c r="J86" s="139">
        <f>$I86*VLOOKUP($A86,'[1]INPUT_ASSUMPTIONS CALC'!$A$13:$CK$1019,I$6,FALSE)*VLOOKUP($A86,'[1]INPUT_ASSUMPTIONS CALC'!$A$13:$CK$1019,J$7,FALSE)</f>
        <v>242061.30000000002</v>
      </c>
      <c r="K86" s="139">
        <f>$I86*VLOOKUP($A86,'[1]INPUT_ASSUMPTIONS CALC'!$A$13:$CK$1019,I$6,FALSE)*VLOOKUP($A86,'[1]INPUT_ASSUMPTIONS CALC'!$A$13:$CK$1019,K$7,FALSE)</f>
        <v>161374.19999999998</v>
      </c>
      <c r="L86" s="139">
        <f>$I86*VLOOKUP($A86,'[1]INPUT_ASSUMPTIONS CALC'!$A$13:$CK$1019,I$6,FALSE)*VLOOKUP($A86,'[1]INPUT_ASSUMPTIONS CALC'!$A$13:$CK$1019,L$7,FALSE)</f>
        <v>80687.099999999991</v>
      </c>
      <c r="M86" s="139">
        <f>$I86*VLOOKUP($A86,'[1]INPUT_ASSUMPTIONS CALC'!$A$13:$CK$1019,I$6,FALSE)*VLOOKUP($A86,'[1]INPUT_ASSUMPTIONS CALC'!$A$13:$CK$1019,M$7,FALSE)</f>
        <v>53791.400000000031</v>
      </c>
      <c r="N86" s="140">
        <f t="shared" si="7"/>
        <v>537914</v>
      </c>
      <c r="O86" s="141">
        <f>H86*VLOOKUP($A86,'[1]INPUT_ASSUMPTIONS CALC'!$A$13:$CK$1019,H$6,FALSE)*SUMIF('[1]INPUT_ASSUMPTIONS CALC'!$CQ$15:$CQ$17,'[1]Summary calculation'!E86,'[1]INPUT_ASSUMPTIONS CALC'!$CR$15:$CR$17)</f>
        <v>79105</v>
      </c>
      <c r="P86" s="141">
        <f>H86*VLOOKUP($A86,'[1]INPUT_ASSUMPTIONS CALC'!$A$13:$CK$1019,H$6,FALSE)*SUMIF('[1]INPUT_ASSUMPTIONS CALC'!$CV$15:$CV$31,'[1]Summary calculation'!E86,'[1]INPUT_ASSUMPTIONS CALC'!$CW$15:$CW$31)</f>
        <v>0</v>
      </c>
      <c r="Q86" s="141">
        <f>O86*VLOOKUP($A86,'[1]INPUT_ASSUMPTIONS CALC'!$A$13:$CK$1019,Q$7,FALSE)</f>
        <v>79105</v>
      </c>
      <c r="R86" s="141">
        <f>P86*VLOOKUP($A86,'[1]INPUT_ASSUMPTIONS CALC'!$A$13:$CK$1019,R$7,FALSE)</f>
        <v>0</v>
      </c>
      <c r="S86" s="140">
        <f t="shared" si="5"/>
        <v>79105</v>
      </c>
      <c r="T86" s="142">
        <f t="shared" si="6"/>
        <v>617019</v>
      </c>
      <c r="U86" s="61"/>
    </row>
    <row r="87" spans="1:21" x14ac:dyDescent="0.35">
      <c r="A87" s="125" t="str">
        <f t="shared" si="4"/>
        <v>79Q2</v>
      </c>
      <c r="B87" s="135">
        <v>79</v>
      </c>
      <c r="C87" s="61" t="str">
        <f>INDEX('[1]INPUT_ASSUMPTIONS CALC'!D:D,MATCH(A87,'[1]INPUT_ASSUMPTIONS CALC'!A:A,0))</f>
        <v>Tulemyrzayeva Madina</v>
      </c>
      <c r="D87" s="61" t="str">
        <f>INDEX('[1]INPUT_ASSUMPTIONS CALC'!I:I,MATCH(A87,'[1]INPUT_ASSUMPTIONS CALC'!A:A,0))</f>
        <v>Regional Manager-1</v>
      </c>
      <c r="E87" s="61" t="str">
        <f>INDEX('[1]INPUT_ASSUMPTIONS CALC'!E:E,MATCH(A87,'[1]INPUT_ASSUMPTIONS CALC'!A:A,0))</f>
        <v>Regional Manager</v>
      </c>
      <c r="F87" s="136">
        <f>IF($F$5="Q1",VLOOKUP($A87,'[1]INPUT_ASSUMPTIONS CALC'!$A$13:$CK$1019,F$7,FALSE),IF($F$5="Q2",VLOOKUP($A87,'[1]INPUT_ASSUMPTIONS CALC'!$A$13:$CK$1019,F$7,FALSE),IF($F$5="Q3",VLOOKUP($A87,'[1]INPUT_ASSUMPTIONS CALC'!$A$13:$CK$1019,F$7,FALSE),IF($F$5="Q4",VLOOKUP($A87,'[1]INPUT_ASSUMPTIONS CALC'!$A$13:$CK$1019,F$7,FALSE),IF($F$5="Year",VLOOKUP($A87,'[1]INPUT_ASSUMPTIONS CALC'!$A$13:$CK$1019,F$7,FALSE),0)))))</f>
        <v>726000</v>
      </c>
      <c r="G87" s="137">
        <f>SUMIF('[1]INPUT_ASSUMPTIONS CALC'!A:A,'[1]Summary calculation'!A87,'[1]INPUT_ASSUMPTIONS CALC'!BU:BU)</f>
        <v>0</v>
      </c>
      <c r="H87" s="138">
        <f>IF($F$5="Year",F87*G87*'[1]INPUT_ASSUMPTIONS CALC'!$S$7,F87*G87)</f>
        <v>0</v>
      </c>
      <c r="I87" s="138">
        <f>H87*VLOOKUP($A87,'[1]INPUT_ASSUMPTIONS CALC'!$A$13:$CK$1019,H$6,FALSE)*SUMIF('[1]INPUT_ASSUMPTIONS CALC'!$CL$15:$CL$17,'[1]Summary calculation'!E87,'[1]INPUT_ASSUMPTIONS CALC'!$CM$15:$CM$17)</f>
        <v>0</v>
      </c>
      <c r="J87" s="139">
        <f>$I87*VLOOKUP($A87,'[1]INPUT_ASSUMPTIONS CALC'!$A$13:$CK$1019,I$6,FALSE)*VLOOKUP($A87,'[1]INPUT_ASSUMPTIONS CALC'!$A$13:$CK$1019,J$7,FALSE)</f>
        <v>0</v>
      </c>
      <c r="K87" s="139">
        <f>$I87*VLOOKUP($A87,'[1]INPUT_ASSUMPTIONS CALC'!$A$13:$CK$1019,I$6,FALSE)*VLOOKUP($A87,'[1]INPUT_ASSUMPTIONS CALC'!$A$13:$CK$1019,K$7,FALSE)</f>
        <v>0</v>
      </c>
      <c r="L87" s="139">
        <f>$I87*VLOOKUP($A87,'[1]INPUT_ASSUMPTIONS CALC'!$A$13:$CK$1019,I$6,FALSE)*VLOOKUP($A87,'[1]INPUT_ASSUMPTIONS CALC'!$A$13:$CK$1019,L$7,FALSE)</f>
        <v>0</v>
      </c>
      <c r="M87" s="139">
        <f>$I87*VLOOKUP($A87,'[1]INPUT_ASSUMPTIONS CALC'!$A$13:$CK$1019,I$6,FALSE)*VLOOKUP($A87,'[1]INPUT_ASSUMPTIONS CALC'!$A$13:$CK$1019,M$7,FALSE)</f>
        <v>0</v>
      </c>
      <c r="N87" s="140">
        <f t="shared" si="7"/>
        <v>0</v>
      </c>
      <c r="O87" s="141">
        <f>H87*VLOOKUP($A87,'[1]INPUT_ASSUMPTIONS CALC'!$A$13:$CK$1019,H$6,FALSE)*SUMIF('[1]INPUT_ASSUMPTIONS CALC'!$CQ$15:$CQ$17,'[1]Summary calculation'!E87,'[1]INPUT_ASSUMPTIONS CALC'!$CR$15:$CR$17)</f>
        <v>0</v>
      </c>
      <c r="P87" s="141">
        <f>H87*VLOOKUP($A87,'[1]INPUT_ASSUMPTIONS CALC'!$A$13:$CK$1019,H$6,FALSE)*SUMIF('[1]INPUT_ASSUMPTIONS CALC'!$CV$15:$CV$31,'[1]Summary calculation'!E87,'[1]INPUT_ASSUMPTIONS CALC'!$CW$15:$CW$31)</f>
        <v>0</v>
      </c>
      <c r="Q87" s="141">
        <f>O87*VLOOKUP($A87,'[1]INPUT_ASSUMPTIONS CALC'!$A$13:$CK$1019,Q$7,FALSE)</f>
        <v>0</v>
      </c>
      <c r="R87" s="141">
        <f>P87*VLOOKUP($A87,'[1]INPUT_ASSUMPTIONS CALC'!$A$13:$CK$1019,R$7,FALSE)</f>
        <v>0</v>
      </c>
      <c r="S87" s="140">
        <f t="shared" si="5"/>
        <v>0</v>
      </c>
      <c r="T87" s="142">
        <f t="shared" si="6"/>
        <v>0</v>
      </c>
      <c r="U87" s="61"/>
    </row>
    <row r="88" spans="1:21" x14ac:dyDescent="0.35">
      <c r="A88" s="125" t="str">
        <f t="shared" si="4"/>
        <v>80Q2</v>
      </c>
      <c r="B88" s="135">
        <v>80</v>
      </c>
      <c r="C88" s="61" t="str">
        <f>INDEX('[1]INPUT_ASSUMPTIONS CALC'!D:D,MATCH(A88,'[1]INPUT_ASSUMPTIONS CALC'!A:A,0))</f>
        <v>Kusmanova Shynar</v>
      </c>
      <c r="D88" s="61" t="str">
        <f>INDEX('[1]INPUT_ASSUMPTIONS CALC'!I:I,MATCH(A88,'[1]INPUT_ASSUMPTIONS CALC'!A:A,0))</f>
        <v>Pharma line</v>
      </c>
      <c r="E88" s="61" t="str">
        <f>INDEX('[1]INPUT_ASSUMPTIONS CALC'!E:E,MATCH(A88,'[1]INPUT_ASSUMPTIONS CALC'!A:A,0))</f>
        <v>Pharm Representative</v>
      </c>
      <c r="F88" s="136">
        <f>IF($F$5="Q1",VLOOKUP($A88,'[1]INPUT_ASSUMPTIONS CALC'!$A$13:$CK$1019,F$7,FALSE),IF($F$5="Q2",VLOOKUP($A88,'[1]INPUT_ASSUMPTIONS CALC'!$A$13:$CK$1019,F$7,FALSE),IF($F$5="Q3",VLOOKUP($A88,'[1]INPUT_ASSUMPTIONS CALC'!$A$13:$CK$1019,F$7,FALSE),IF($F$5="Q4",VLOOKUP($A88,'[1]INPUT_ASSUMPTIONS CALC'!$A$13:$CK$1019,F$7,FALSE),IF($F$5="Year",VLOOKUP($A88,'[1]INPUT_ASSUMPTIONS CALC'!$A$13:$CK$1019,F$7,FALSE),0)))))</f>
        <v>395525</v>
      </c>
      <c r="G88" s="137">
        <f>SUMIF('[1]INPUT_ASSUMPTIONS CALC'!A:A,'[1]Summary calculation'!A88,'[1]INPUT_ASSUMPTIONS CALC'!BU:BU)</f>
        <v>0.33333333333333331</v>
      </c>
      <c r="H88" s="138">
        <f>IF($F$5="Year",F88*G88*'[1]INPUT_ASSUMPTIONS CALC'!$S$7,F88*G88)</f>
        <v>131841.66666666666</v>
      </c>
      <c r="I88" s="138">
        <f>H88*VLOOKUP($A88,'[1]INPUT_ASSUMPTIONS CALC'!$A$13:$CK$1019,H$6,FALSE)*SUMIF('[1]INPUT_ASSUMPTIONS CALC'!$CL$15:$CL$17,'[1]Summary calculation'!E88,'[1]INPUT_ASSUMPTIONS CALC'!$CM$15:$CM$17)</f>
        <v>105473.33333333333</v>
      </c>
      <c r="J88" s="139">
        <f>$I88*VLOOKUP($A88,'[1]INPUT_ASSUMPTIONS CALC'!$A$13:$CK$1019,I$6,FALSE)*VLOOKUP($A88,'[1]INPUT_ASSUMPTIONS CALC'!$A$13:$CK$1019,J$7,FALSE)</f>
        <v>116284.35</v>
      </c>
      <c r="K88" s="139">
        <f>$I88*VLOOKUP($A88,'[1]INPUT_ASSUMPTIONS CALC'!$A$13:$CK$1019,I$6,FALSE)*VLOOKUP($A88,'[1]INPUT_ASSUMPTIONS CALC'!$A$13:$CK$1019,K$7,FALSE)</f>
        <v>77522.900000000009</v>
      </c>
      <c r="L88" s="139">
        <f>$I88*VLOOKUP($A88,'[1]INPUT_ASSUMPTIONS CALC'!$A$13:$CK$1019,I$6,FALSE)*VLOOKUP($A88,'[1]INPUT_ASSUMPTIONS CALC'!$A$13:$CK$1019,L$7,FALSE)</f>
        <v>38761.450000000004</v>
      </c>
      <c r="M88" s="139">
        <f>$I88*VLOOKUP($A88,'[1]INPUT_ASSUMPTIONS CALC'!$A$13:$CK$1019,I$6,FALSE)*VLOOKUP($A88,'[1]INPUT_ASSUMPTIONS CALC'!$A$13:$CK$1019,M$7,FALSE)</f>
        <v>25840.966666666685</v>
      </c>
      <c r="N88" s="140">
        <f t="shared" si="7"/>
        <v>258409.66666666669</v>
      </c>
      <c r="O88" s="141">
        <f>H88*VLOOKUP($A88,'[1]INPUT_ASSUMPTIONS CALC'!$A$13:$CK$1019,H$6,FALSE)*SUMIF('[1]INPUT_ASSUMPTIONS CALC'!$CQ$15:$CQ$17,'[1]Summary calculation'!E88,'[1]INPUT_ASSUMPTIONS CALC'!$CR$15:$CR$17)</f>
        <v>26368.333333333332</v>
      </c>
      <c r="P88" s="141">
        <f>H88*VLOOKUP($A88,'[1]INPUT_ASSUMPTIONS CALC'!$A$13:$CK$1019,H$6,FALSE)*SUMIF('[1]INPUT_ASSUMPTIONS CALC'!$CV$15:$CV$31,'[1]Summary calculation'!E88,'[1]INPUT_ASSUMPTIONS CALC'!$CW$15:$CW$31)</f>
        <v>0</v>
      </c>
      <c r="Q88" s="141">
        <f>O88*VLOOKUP($A88,'[1]INPUT_ASSUMPTIONS CALC'!$A$13:$CK$1019,Q$7,FALSE)</f>
        <v>0</v>
      </c>
      <c r="R88" s="141">
        <f>P88*VLOOKUP($A88,'[1]INPUT_ASSUMPTIONS CALC'!$A$13:$CK$1019,R$7,FALSE)</f>
        <v>0</v>
      </c>
      <c r="S88" s="140">
        <f t="shared" si="5"/>
        <v>0</v>
      </c>
      <c r="T88" s="142">
        <f t="shared" si="6"/>
        <v>258410</v>
      </c>
      <c r="U88" s="61"/>
    </row>
    <row r="89" spans="1:21" x14ac:dyDescent="0.35">
      <c r="A89" s="125" t="str">
        <f t="shared" si="4"/>
        <v>81Q2</v>
      </c>
      <c r="B89" s="135">
        <v>81</v>
      </c>
      <c r="C89" s="61" t="str">
        <f>INDEX('[1]INPUT_ASSUMPTIONS CALC'!D:D,MATCH(A89,'[1]INPUT_ASSUMPTIONS CALC'!A:A,0))</f>
        <v>Salikhova Akbota</v>
      </c>
      <c r="D89" s="61" t="str">
        <f>INDEX('[1]INPUT_ASSUMPTIONS CALC'!I:I,MATCH(A89,'[1]INPUT_ASSUMPTIONS CALC'!A:A,0))</f>
        <v>Line 2</v>
      </c>
      <c r="E89" s="61" t="str">
        <f>INDEX('[1]INPUT_ASSUMPTIONS CALC'!E:E,MATCH(A89,'[1]INPUT_ASSUMPTIONS CALC'!A:A,0))</f>
        <v>Medical Representative</v>
      </c>
      <c r="F89" s="136">
        <f>IF($F$5="Q1",VLOOKUP($A89,'[1]INPUT_ASSUMPTIONS CALC'!$A$13:$CK$1019,F$7,FALSE),IF($F$5="Q2",VLOOKUP($A89,'[1]INPUT_ASSUMPTIONS CALC'!$A$13:$CK$1019,F$7,FALSE),IF($F$5="Q3",VLOOKUP($A89,'[1]INPUT_ASSUMPTIONS CALC'!$A$13:$CK$1019,F$7,FALSE),IF($F$5="Q4",VLOOKUP($A89,'[1]INPUT_ASSUMPTIONS CALC'!$A$13:$CK$1019,F$7,FALSE),IF($F$5="Year",VLOOKUP($A89,'[1]INPUT_ASSUMPTIONS CALC'!$A$13:$CK$1019,F$7,FALSE),0)))))</f>
        <v>395525</v>
      </c>
      <c r="G89" s="137">
        <f>SUMIF('[1]INPUT_ASSUMPTIONS CALC'!A:A,'[1]Summary calculation'!A89,'[1]INPUT_ASSUMPTIONS CALC'!BU:BU)</f>
        <v>0.66666666666666663</v>
      </c>
      <c r="H89" s="138">
        <f>IF($F$5="Year",F89*G89*'[1]INPUT_ASSUMPTIONS CALC'!$S$7,F89*G89)</f>
        <v>263683.33333333331</v>
      </c>
      <c r="I89" s="138">
        <f>H89*VLOOKUP($A89,'[1]INPUT_ASSUMPTIONS CALC'!$A$13:$CK$1019,H$6,FALSE)*SUMIF('[1]INPUT_ASSUMPTIONS CALC'!$CL$15:$CL$17,'[1]Summary calculation'!E89,'[1]INPUT_ASSUMPTIONS CALC'!$CM$15:$CM$17)</f>
        <v>210946.66666666666</v>
      </c>
      <c r="J89" s="139">
        <f>$I89*VLOOKUP($A89,'[1]INPUT_ASSUMPTIONS CALC'!$A$13:$CK$1019,I$6,FALSE)*VLOOKUP($A89,'[1]INPUT_ASSUMPTIONS CALC'!$A$13:$CK$1019,J$7,FALSE)</f>
        <v>158209.99999999997</v>
      </c>
      <c r="K89" s="139">
        <f>$I89*VLOOKUP($A89,'[1]INPUT_ASSUMPTIONS CALC'!$A$13:$CK$1019,I$6,FALSE)*VLOOKUP($A89,'[1]INPUT_ASSUMPTIONS CALC'!$A$13:$CK$1019,K$7,FALSE)</f>
        <v>131841.66666666666</v>
      </c>
      <c r="L89" s="139">
        <f>$I89*VLOOKUP($A89,'[1]INPUT_ASSUMPTIONS CALC'!$A$13:$CK$1019,I$6,FALSE)*VLOOKUP($A89,'[1]INPUT_ASSUMPTIONS CALC'!$A$13:$CK$1019,L$7,FALSE)</f>
        <v>131841.66666666666</v>
      </c>
      <c r="M89" s="139">
        <f>$I89*VLOOKUP($A89,'[1]INPUT_ASSUMPTIONS CALC'!$A$13:$CK$1019,I$6,FALSE)*VLOOKUP($A89,'[1]INPUT_ASSUMPTIONS CALC'!$A$13:$CK$1019,M$7,FALSE)</f>
        <v>105473.3333333333</v>
      </c>
      <c r="N89" s="140">
        <f t="shared" si="7"/>
        <v>527366.66666666651</v>
      </c>
      <c r="O89" s="141">
        <f>H89*VLOOKUP($A89,'[1]INPUT_ASSUMPTIONS CALC'!$A$13:$CK$1019,H$6,FALSE)*SUMIF('[1]INPUT_ASSUMPTIONS CALC'!$CQ$15:$CQ$17,'[1]Summary calculation'!E89,'[1]INPUT_ASSUMPTIONS CALC'!$CR$15:$CR$17)</f>
        <v>52736.666666666664</v>
      </c>
      <c r="P89" s="141">
        <f>H89*VLOOKUP($A89,'[1]INPUT_ASSUMPTIONS CALC'!$A$13:$CK$1019,H$6,FALSE)*SUMIF('[1]INPUT_ASSUMPTIONS CALC'!$CV$15:$CV$31,'[1]Summary calculation'!E89,'[1]INPUT_ASSUMPTIONS CALC'!$CW$15:$CW$31)</f>
        <v>0</v>
      </c>
      <c r="Q89" s="141">
        <f>O89*VLOOKUP($A89,'[1]INPUT_ASSUMPTIONS CALC'!$A$13:$CK$1019,Q$7,FALSE)</f>
        <v>0</v>
      </c>
      <c r="R89" s="141">
        <f>P89*VLOOKUP($A89,'[1]INPUT_ASSUMPTIONS CALC'!$A$13:$CK$1019,R$7,FALSE)</f>
        <v>0</v>
      </c>
      <c r="S89" s="140">
        <f t="shared" si="5"/>
        <v>0</v>
      </c>
      <c r="T89" s="142">
        <f t="shared" si="6"/>
        <v>527367</v>
      </c>
      <c r="U89" s="61"/>
    </row>
    <row r="90" spans="1:21" x14ac:dyDescent="0.35">
      <c r="A90" s="125" t="str">
        <f t="shared" si="4"/>
        <v>82Q2</v>
      </c>
      <c r="B90" s="135">
        <v>82</v>
      </c>
      <c r="C90" s="61" t="str">
        <f>INDEX('[1]INPUT_ASSUMPTIONS CALC'!D:D,MATCH(A90,'[1]INPUT_ASSUMPTIONS CALC'!A:A,0))</f>
        <v>Turganbayeva Zhazira</v>
      </c>
      <c r="D90" s="61" t="str">
        <f>INDEX('[1]INPUT_ASSUMPTIONS CALC'!I:I,MATCH(A90,'[1]INPUT_ASSUMPTIONS CALC'!A:A,0))</f>
        <v>Line 3 (big cities)</v>
      </c>
      <c r="E90" s="61" t="str">
        <f>INDEX('[1]INPUT_ASSUMPTIONS CALC'!E:E,MATCH(A90,'[1]INPUT_ASSUMPTIONS CALC'!A:A,0))</f>
        <v>Medical Representative</v>
      </c>
      <c r="F90" s="136">
        <f>IF($F$5="Q1",VLOOKUP($A90,'[1]INPUT_ASSUMPTIONS CALC'!$A$13:$CK$1019,F$7,FALSE),IF($F$5="Q2",VLOOKUP($A90,'[1]INPUT_ASSUMPTIONS CALC'!$A$13:$CK$1019,F$7,FALSE),IF($F$5="Q3",VLOOKUP($A90,'[1]INPUT_ASSUMPTIONS CALC'!$A$13:$CK$1019,F$7,FALSE),IF($F$5="Q4",VLOOKUP($A90,'[1]INPUT_ASSUMPTIONS CALC'!$A$13:$CK$1019,F$7,FALSE),IF($F$5="Year",VLOOKUP($A90,'[1]INPUT_ASSUMPTIONS CALC'!$A$13:$CK$1019,F$7,FALSE),0)))))</f>
        <v>395525</v>
      </c>
      <c r="G90" s="137">
        <f>SUMIF('[1]INPUT_ASSUMPTIONS CALC'!A:A,'[1]Summary calculation'!A90,'[1]INPUT_ASSUMPTIONS CALC'!BU:BU)</f>
        <v>0.33333333333333331</v>
      </c>
      <c r="H90" s="138">
        <f>IF($F$5="Year",F90*G90*'[1]INPUT_ASSUMPTIONS CALC'!$S$7,F90*G90)</f>
        <v>131841.66666666666</v>
      </c>
      <c r="I90" s="138">
        <f>H90*VLOOKUP($A90,'[1]INPUT_ASSUMPTIONS CALC'!$A$13:$CK$1019,H$6,FALSE)*SUMIF('[1]INPUT_ASSUMPTIONS CALC'!$CL$15:$CL$17,'[1]Summary calculation'!E90,'[1]INPUT_ASSUMPTIONS CALC'!$CM$15:$CM$17)</f>
        <v>0</v>
      </c>
      <c r="J90" s="139">
        <f>$I90*VLOOKUP($A90,'[1]INPUT_ASSUMPTIONS CALC'!$A$13:$CK$1019,I$6,FALSE)*VLOOKUP($A90,'[1]INPUT_ASSUMPTIONS CALC'!$A$13:$CK$1019,J$7,FALSE)</f>
        <v>0</v>
      </c>
      <c r="K90" s="139">
        <f>$I90*VLOOKUP($A90,'[1]INPUT_ASSUMPTIONS CALC'!$A$13:$CK$1019,I$6,FALSE)*VLOOKUP($A90,'[1]INPUT_ASSUMPTIONS CALC'!$A$13:$CK$1019,K$7,FALSE)</f>
        <v>0</v>
      </c>
      <c r="L90" s="139">
        <f>$I90*VLOOKUP($A90,'[1]INPUT_ASSUMPTIONS CALC'!$A$13:$CK$1019,I$6,FALSE)*VLOOKUP($A90,'[1]INPUT_ASSUMPTIONS CALC'!$A$13:$CK$1019,L$7,FALSE)</f>
        <v>0</v>
      </c>
      <c r="M90" s="139">
        <f>$I90*VLOOKUP($A90,'[1]INPUT_ASSUMPTIONS CALC'!$A$13:$CK$1019,I$6,FALSE)*VLOOKUP($A90,'[1]INPUT_ASSUMPTIONS CALC'!$A$13:$CK$1019,M$7,FALSE)</f>
        <v>0</v>
      </c>
      <c r="N90" s="140">
        <f t="shared" si="7"/>
        <v>0</v>
      </c>
      <c r="O90" s="141">
        <f>H90*VLOOKUP($A90,'[1]INPUT_ASSUMPTIONS CALC'!$A$13:$CK$1019,H$6,FALSE)*SUMIF('[1]INPUT_ASSUMPTIONS CALC'!$CQ$15:$CQ$17,'[1]Summary calculation'!E90,'[1]INPUT_ASSUMPTIONS CALC'!$CR$15:$CR$17)</f>
        <v>0</v>
      </c>
      <c r="P90" s="141">
        <f>H90*VLOOKUP($A90,'[1]INPUT_ASSUMPTIONS CALC'!$A$13:$CK$1019,H$6,FALSE)*SUMIF('[1]INPUT_ASSUMPTIONS CALC'!$CV$15:$CV$31,'[1]Summary calculation'!E90,'[1]INPUT_ASSUMPTIONS CALC'!$CW$15:$CW$31)</f>
        <v>0</v>
      </c>
      <c r="Q90" s="141">
        <f>O90*VLOOKUP($A90,'[1]INPUT_ASSUMPTIONS CALC'!$A$13:$CK$1019,Q$7,FALSE)</f>
        <v>0</v>
      </c>
      <c r="R90" s="141">
        <f>P90*VLOOKUP($A90,'[1]INPUT_ASSUMPTIONS CALC'!$A$13:$CK$1019,R$7,FALSE)</f>
        <v>0</v>
      </c>
      <c r="S90" s="140">
        <f t="shared" si="5"/>
        <v>0</v>
      </c>
      <c r="T90" s="142">
        <f t="shared" si="6"/>
        <v>0</v>
      </c>
      <c r="U90" s="61"/>
    </row>
    <row r="91" spans="1:21" x14ac:dyDescent="0.35">
      <c r="A91" s="125" t="str">
        <f t="shared" si="4"/>
        <v>83Q2</v>
      </c>
      <c r="B91" s="135">
        <v>83</v>
      </c>
      <c r="C91" s="61" t="str">
        <f>INDEX('[1]INPUT_ASSUMPTIONS CALC'!D:D,MATCH(A91,'[1]INPUT_ASSUMPTIONS CALC'!A:A,0))</f>
        <v>Makenova Yuliya</v>
      </c>
      <c r="D91" s="61" t="str">
        <f>INDEX('[1]INPUT_ASSUMPTIONS CALC'!I:I,MATCH(A91,'[1]INPUT_ASSUMPTIONS CALC'!A:A,0))</f>
        <v>Line 3 (big cities)</v>
      </c>
      <c r="E91" s="61" t="str">
        <f>INDEX('[1]INPUT_ASSUMPTIONS CALC'!E:E,MATCH(A91,'[1]INPUT_ASSUMPTIONS CALC'!A:A,0))</f>
        <v>Medical Representative</v>
      </c>
      <c r="F91" s="136">
        <f>IF($F$5="Q1",VLOOKUP($A91,'[1]INPUT_ASSUMPTIONS CALC'!$A$13:$CK$1019,F$7,FALSE),IF($F$5="Q2",VLOOKUP($A91,'[1]INPUT_ASSUMPTIONS CALC'!$A$13:$CK$1019,F$7,FALSE),IF($F$5="Q3",VLOOKUP($A91,'[1]INPUT_ASSUMPTIONS CALC'!$A$13:$CK$1019,F$7,FALSE),IF($F$5="Q4",VLOOKUP($A91,'[1]INPUT_ASSUMPTIONS CALC'!$A$13:$CK$1019,F$7,FALSE),IF($F$5="Year",VLOOKUP($A91,'[1]INPUT_ASSUMPTIONS CALC'!$A$13:$CK$1019,F$7,FALSE),0)))))</f>
        <v>395525</v>
      </c>
      <c r="G91" s="137">
        <f>SUMIF('[1]INPUT_ASSUMPTIONS CALC'!A:A,'[1]Summary calculation'!A91,'[1]INPUT_ASSUMPTIONS CALC'!BU:BU)</f>
        <v>0.33333333333333331</v>
      </c>
      <c r="H91" s="138">
        <f>IF($F$5="Year",F91*G91*'[1]INPUT_ASSUMPTIONS CALC'!$S$7,F91*G91)</f>
        <v>131841.66666666666</v>
      </c>
      <c r="I91" s="138">
        <f>H91*VLOOKUP($A91,'[1]INPUT_ASSUMPTIONS CALC'!$A$13:$CK$1019,H$6,FALSE)*SUMIF('[1]INPUT_ASSUMPTIONS CALC'!$CL$15:$CL$17,'[1]Summary calculation'!E91,'[1]INPUT_ASSUMPTIONS CALC'!$CM$15:$CM$17)</f>
        <v>105473.33333333333</v>
      </c>
      <c r="J91" s="139">
        <f>$I91*VLOOKUP($A91,'[1]INPUT_ASSUMPTIONS CALC'!$A$13:$CK$1019,I$6,FALSE)*VLOOKUP($A91,'[1]INPUT_ASSUMPTIONS CALC'!$A$13:$CK$1019,J$7,FALSE)</f>
        <v>94926</v>
      </c>
      <c r="K91" s="139">
        <f>$I91*VLOOKUP($A91,'[1]INPUT_ASSUMPTIONS CALC'!$A$13:$CK$1019,I$6,FALSE)*VLOOKUP($A91,'[1]INPUT_ASSUMPTIONS CALC'!$A$13:$CK$1019,K$7,FALSE)</f>
        <v>52736.666666666664</v>
      </c>
      <c r="L91" s="139">
        <f>$I91*VLOOKUP($A91,'[1]INPUT_ASSUMPTIONS CALC'!$A$13:$CK$1019,I$6,FALSE)*VLOOKUP($A91,'[1]INPUT_ASSUMPTIONS CALC'!$A$13:$CK$1019,L$7,FALSE)</f>
        <v>52736.666666666664</v>
      </c>
      <c r="M91" s="139">
        <f>$I91*VLOOKUP($A91,'[1]INPUT_ASSUMPTIONS CALC'!$A$13:$CK$1019,I$6,FALSE)*VLOOKUP($A91,'[1]INPUT_ASSUMPTIONS CALC'!$A$13:$CK$1019,M$7,FALSE)</f>
        <v>10547.333333333343</v>
      </c>
      <c r="N91" s="140">
        <f t="shared" si="7"/>
        <v>210946.66666666666</v>
      </c>
      <c r="O91" s="141">
        <f>H91*VLOOKUP($A91,'[1]INPUT_ASSUMPTIONS CALC'!$A$13:$CK$1019,H$6,FALSE)*SUMIF('[1]INPUT_ASSUMPTIONS CALC'!$CQ$15:$CQ$17,'[1]Summary calculation'!E91,'[1]INPUT_ASSUMPTIONS CALC'!$CR$15:$CR$17)</f>
        <v>26368.333333333332</v>
      </c>
      <c r="P91" s="141">
        <f>H91*VLOOKUP($A91,'[1]INPUT_ASSUMPTIONS CALC'!$A$13:$CK$1019,H$6,FALSE)*SUMIF('[1]INPUT_ASSUMPTIONS CALC'!$CV$15:$CV$31,'[1]Summary calculation'!E91,'[1]INPUT_ASSUMPTIONS CALC'!$CW$15:$CW$31)</f>
        <v>0</v>
      </c>
      <c r="Q91" s="141">
        <f>O91*VLOOKUP($A91,'[1]INPUT_ASSUMPTIONS CALC'!$A$13:$CK$1019,Q$7,FALSE)</f>
        <v>13184.166666666666</v>
      </c>
      <c r="R91" s="141">
        <f>P91*VLOOKUP($A91,'[1]INPUT_ASSUMPTIONS CALC'!$A$13:$CK$1019,R$7,FALSE)</f>
        <v>0</v>
      </c>
      <c r="S91" s="140">
        <f t="shared" si="5"/>
        <v>13184.166666666666</v>
      </c>
      <c r="T91" s="142">
        <f t="shared" si="6"/>
        <v>224131</v>
      </c>
      <c r="U91" s="61"/>
    </row>
    <row r="92" spans="1:21" x14ac:dyDescent="0.35">
      <c r="A92" s="125" t="str">
        <f t="shared" si="4"/>
        <v>84Q2</v>
      </c>
      <c r="B92" s="135">
        <v>84</v>
      </c>
      <c r="C92" s="61" t="str">
        <f>INDEX('[1]INPUT_ASSUMPTIONS CALC'!D:D,MATCH(A92,'[1]INPUT_ASSUMPTIONS CALC'!A:A,0))</f>
        <v>Sarbassova Dina (Astana)</v>
      </c>
      <c r="D92" s="61" t="str">
        <f>INDEX('[1]INPUT_ASSUMPTIONS CALC'!I:I,MATCH(A92,'[1]INPUT_ASSUMPTIONS CALC'!A:A,0))</f>
        <v>Line 2 (big cities)</v>
      </c>
      <c r="E92" s="61" t="str">
        <f>INDEX('[1]INPUT_ASSUMPTIONS CALC'!E:E,MATCH(A92,'[1]INPUT_ASSUMPTIONS CALC'!A:A,0))</f>
        <v>Medical Representative</v>
      </c>
      <c r="F92" s="136">
        <f>IF($F$5="Q1",VLOOKUP($A92,'[1]INPUT_ASSUMPTIONS CALC'!$A$13:$CK$1019,F$7,FALSE),IF($F$5="Q2",VLOOKUP($A92,'[1]INPUT_ASSUMPTIONS CALC'!$A$13:$CK$1019,F$7,FALSE),IF($F$5="Q3",VLOOKUP($A92,'[1]INPUT_ASSUMPTIONS CALC'!$A$13:$CK$1019,F$7,FALSE),IF($F$5="Q4",VLOOKUP($A92,'[1]INPUT_ASSUMPTIONS CALC'!$A$13:$CK$1019,F$7,FALSE),IF($F$5="Year",VLOOKUP($A92,'[1]INPUT_ASSUMPTIONS CALC'!$A$13:$CK$1019,F$7,FALSE),0)))))</f>
        <v>395525</v>
      </c>
      <c r="G92" s="137">
        <f>SUMIF('[1]INPUT_ASSUMPTIONS CALC'!A:A,'[1]Summary calculation'!A92,'[1]INPUT_ASSUMPTIONS CALC'!BU:BU)</f>
        <v>0.33333333333333331</v>
      </c>
      <c r="H92" s="138">
        <f>IF($F$5="Year",F92*G92*'[1]INPUT_ASSUMPTIONS CALC'!$S$7,F92*G92)</f>
        <v>131841.66666666666</v>
      </c>
      <c r="I92" s="138">
        <f>H92*VLOOKUP($A92,'[1]INPUT_ASSUMPTIONS CALC'!$A$13:$CK$1019,H$6,FALSE)*SUMIF('[1]INPUT_ASSUMPTIONS CALC'!$CL$15:$CL$17,'[1]Summary calculation'!E92,'[1]INPUT_ASSUMPTIONS CALC'!$CM$15:$CM$17)</f>
        <v>105473.33333333333</v>
      </c>
      <c r="J92" s="139">
        <f>$I92*VLOOKUP($A92,'[1]INPUT_ASSUMPTIONS CALC'!$A$13:$CK$1019,I$6,FALSE)*VLOOKUP($A92,'[1]INPUT_ASSUMPTIONS CALC'!$A$13:$CK$1019,J$7,FALSE)</f>
        <v>10125.44</v>
      </c>
      <c r="K92" s="139">
        <f>$I92*VLOOKUP($A92,'[1]INPUT_ASSUMPTIONS CALC'!$A$13:$CK$1019,I$6,FALSE)*VLOOKUP($A92,'[1]INPUT_ASSUMPTIONS CALC'!$A$13:$CK$1019,K$7,FALSE)</f>
        <v>30376.319999999996</v>
      </c>
      <c r="L92" s="139">
        <f>$I92*VLOOKUP($A92,'[1]INPUT_ASSUMPTIONS CALC'!$A$13:$CK$1019,I$6,FALSE)*VLOOKUP($A92,'[1]INPUT_ASSUMPTIONS CALC'!$A$13:$CK$1019,L$7,FALSE)</f>
        <v>30376.319999999996</v>
      </c>
      <c r="M92" s="139">
        <f>$I92*VLOOKUP($A92,'[1]INPUT_ASSUMPTIONS CALC'!$A$13:$CK$1019,I$6,FALSE)*VLOOKUP($A92,'[1]INPUT_ASSUMPTIONS CALC'!$A$13:$CK$1019,M$7,FALSE)</f>
        <v>30376.320000000007</v>
      </c>
      <c r="N92" s="140">
        <f t="shared" si="7"/>
        <v>101254.39999999999</v>
      </c>
      <c r="O92" s="141">
        <f>H92*VLOOKUP($A92,'[1]INPUT_ASSUMPTIONS CALC'!$A$13:$CK$1019,H$6,FALSE)*SUMIF('[1]INPUT_ASSUMPTIONS CALC'!$CQ$15:$CQ$17,'[1]Summary calculation'!E92,'[1]INPUT_ASSUMPTIONS CALC'!$CR$15:$CR$17)</f>
        <v>26368.333333333332</v>
      </c>
      <c r="P92" s="141">
        <f>H92*VLOOKUP($A92,'[1]INPUT_ASSUMPTIONS CALC'!$A$13:$CK$1019,H$6,FALSE)*SUMIF('[1]INPUT_ASSUMPTIONS CALC'!$CV$15:$CV$31,'[1]Summary calculation'!E92,'[1]INPUT_ASSUMPTIONS CALC'!$CW$15:$CW$31)</f>
        <v>0</v>
      </c>
      <c r="Q92" s="141">
        <f>O92*VLOOKUP($A92,'[1]INPUT_ASSUMPTIONS CALC'!$A$13:$CK$1019,Q$7,FALSE)</f>
        <v>0</v>
      </c>
      <c r="R92" s="141">
        <f>P92*VLOOKUP($A92,'[1]INPUT_ASSUMPTIONS CALC'!$A$13:$CK$1019,R$7,FALSE)</f>
        <v>0</v>
      </c>
      <c r="S92" s="140">
        <f t="shared" si="5"/>
        <v>0</v>
      </c>
      <c r="T92" s="142">
        <f t="shared" si="6"/>
        <v>101254</v>
      </c>
      <c r="U92" s="61"/>
    </row>
    <row r="93" spans="1:21" x14ac:dyDescent="0.35">
      <c r="A93" s="125" t="str">
        <f t="shared" si="4"/>
        <v>85Q2</v>
      </c>
      <c r="B93" s="135">
        <v>85</v>
      </c>
      <c r="C93" s="61" t="str">
        <f>INDEX('[1]INPUT_ASSUMPTIONS CALC'!D:D,MATCH(A93,'[1]INPUT_ASSUMPTIONS CALC'!A:A,0))</f>
        <v>Zhakenova Botagoz (замещение Калдыбаевой Н.)</v>
      </c>
      <c r="D93" s="61" t="str">
        <f>INDEX('[1]INPUT_ASSUMPTIONS CALC'!I:I,MATCH(A93,'[1]INPUT_ASSUMPTIONS CALC'!A:A,0))</f>
        <v>Line 1</v>
      </c>
      <c r="E93" s="61" t="str">
        <f>INDEX('[1]INPUT_ASSUMPTIONS CALC'!E:E,MATCH(A93,'[1]INPUT_ASSUMPTIONS CALC'!A:A,0))</f>
        <v>Medical Representative</v>
      </c>
      <c r="F93" s="136">
        <f>IF($F$5="Q1",VLOOKUP($A93,'[1]INPUT_ASSUMPTIONS CALC'!$A$13:$CK$1019,F$7,FALSE),IF($F$5="Q2",VLOOKUP($A93,'[1]INPUT_ASSUMPTIONS CALC'!$A$13:$CK$1019,F$7,FALSE),IF($F$5="Q3",VLOOKUP($A93,'[1]INPUT_ASSUMPTIONS CALC'!$A$13:$CK$1019,F$7,FALSE),IF($F$5="Q4",VLOOKUP($A93,'[1]INPUT_ASSUMPTIONS CALC'!$A$13:$CK$1019,F$7,FALSE),IF($F$5="Year",VLOOKUP($A93,'[1]INPUT_ASSUMPTIONS CALC'!$A$13:$CK$1019,F$7,FALSE),0)))))</f>
        <v>395525</v>
      </c>
      <c r="G93" s="137">
        <f>SUMIF('[1]INPUT_ASSUMPTIONS CALC'!A:A,'[1]Summary calculation'!A93,'[1]INPUT_ASSUMPTIONS CALC'!BU:BU)</f>
        <v>0.66666666666666663</v>
      </c>
      <c r="H93" s="138">
        <f>IF($F$5="Year",F93*G93*'[1]INPUT_ASSUMPTIONS CALC'!$S$7,F93*G93)</f>
        <v>263683.33333333331</v>
      </c>
      <c r="I93" s="138">
        <f>H93*VLOOKUP($A93,'[1]INPUT_ASSUMPTIONS CALC'!$A$13:$CK$1019,H$6,FALSE)*SUMIF('[1]INPUT_ASSUMPTIONS CALC'!$CL$15:$CL$17,'[1]Summary calculation'!E93,'[1]INPUT_ASSUMPTIONS CALC'!$CM$15:$CM$17)</f>
        <v>210946.66666666666</v>
      </c>
      <c r="J93" s="139">
        <f>$I93*VLOOKUP($A93,'[1]INPUT_ASSUMPTIONS CALC'!$A$13:$CK$1019,I$6,FALSE)*VLOOKUP($A93,'[1]INPUT_ASSUMPTIONS CALC'!$A$13:$CK$1019,J$7,FALSE)</f>
        <v>73831.333333333328</v>
      </c>
      <c r="K93" s="139">
        <f>$I93*VLOOKUP($A93,'[1]INPUT_ASSUMPTIONS CALC'!$A$13:$CK$1019,I$6,FALSE)*VLOOKUP($A93,'[1]INPUT_ASSUMPTIONS CALC'!$A$13:$CK$1019,K$7,FALSE)</f>
        <v>51681.933333333327</v>
      </c>
      <c r="L93" s="139">
        <f>$I93*VLOOKUP($A93,'[1]INPUT_ASSUMPTIONS CALC'!$A$13:$CK$1019,I$6,FALSE)*VLOOKUP($A93,'[1]INPUT_ASSUMPTIONS CALC'!$A$13:$CK$1019,L$7,FALSE)</f>
        <v>14766.266666666666</v>
      </c>
      <c r="M93" s="139">
        <f>$I93*VLOOKUP($A93,'[1]INPUT_ASSUMPTIONS CALC'!$A$13:$CK$1019,I$6,FALSE)*VLOOKUP($A93,'[1]INPUT_ASSUMPTIONS CALC'!$A$13:$CK$1019,M$7,FALSE)</f>
        <v>7383.133333333335</v>
      </c>
      <c r="N93" s="140">
        <f t="shared" si="7"/>
        <v>147662.66666666666</v>
      </c>
      <c r="O93" s="141">
        <f>H93*VLOOKUP($A93,'[1]INPUT_ASSUMPTIONS CALC'!$A$13:$CK$1019,H$6,FALSE)*SUMIF('[1]INPUT_ASSUMPTIONS CALC'!$CQ$15:$CQ$17,'[1]Summary calculation'!E93,'[1]INPUT_ASSUMPTIONS CALC'!$CR$15:$CR$17)</f>
        <v>52736.666666666664</v>
      </c>
      <c r="P93" s="141">
        <f>H93*VLOOKUP($A93,'[1]INPUT_ASSUMPTIONS CALC'!$A$13:$CK$1019,H$6,FALSE)*SUMIF('[1]INPUT_ASSUMPTIONS CALC'!$CV$15:$CV$31,'[1]Summary calculation'!E93,'[1]INPUT_ASSUMPTIONS CALC'!$CW$15:$CW$31)</f>
        <v>0</v>
      </c>
      <c r="Q93" s="141">
        <f>O93*VLOOKUP($A93,'[1]INPUT_ASSUMPTIONS CALC'!$A$13:$CK$1019,Q$7,FALSE)</f>
        <v>26368.333333333332</v>
      </c>
      <c r="R93" s="141">
        <f>P93*VLOOKUP($A93,'[1]INPUT_ASSUMPTIONS CALC'!$A$13:$CK$1019,R$7,FALSE)</f>
        <v>0</v>
      </c>
      <c r="S93" s="140">
        <f t="shared" si="5"/>
        <v>26368.333333333332</v>
      </c>
      <c r="T93" s="142">
        <f t="shared" si="6"/>
        <v>174031</v>
      </c>
      <c r="U93" s="61"/>
    </row>
    <row r="94" spans="1:21" x14ac:dyDescent="0.35">
      <c r="A94" s="125" t="str">
        <f t="shared" si="4"/>
        <v>86Q2</v>
      </c>
      <c r="B94" s="135">
        <v>86</v>
      </c>
      <c r="C94" s="61" t="str">
        <f>INDEX('[1]INPUT_ASSUMPTIONS CALC'!D:D,MATCH(A94,'[1]INPUT_ASSUMPTIONS CALC'!A:A,0))</f>
        <v>Dikambayev Zhiger</v>
      </c>
      <c r="D94" s="61" t="str">
        <f>INDEX('[1]INPUT_ASSUMPTIONS CALC'!I:I,MATCH(A94,'[1]INPUT_ASSUMPTIONS CALC'!A:A,0))</f>
        <v>Line 2</v>
      </c>
      <c r="E94" s="61" t="str">
        <f>INDEX('[1]INPUT_ASSUMPTIONS CALC'!E:E,MATCH(A94,'[1]INPUT_ASSUMPTIONS CALC'!A:A,0))</f>
        <v>Medical Representative</v>
      </c>
      <c r="F94" s="136">
        <f>IF($F$5="Q1",VLOOKUP($A94,'[1]INPUT_ASSUMPTIONS CALC'!$A$13:$CK$1019,F$7,FALSE),IF($F$5="Q2",VLOOKUP($A94,'[1]INPUT_ASSUMPTIONS CALC'!$A$13:$CK$1019,F$7,FALSE),IF($F$5="Q3",VLOOKUP($A94,'[1]INPUT_ASSUMPTIONS CALC'!$A$13:$CK$1019,F$7,FALSE),IF($F$5="Q4",VLOOKUP($A94,'[1]INPUT_ASSUMPTIONS CALC'!$A$13:$CK$1019,F$7,FALSE),IF($F$5="Year",VLOOKUP($A94,'[1]INPUT_ASSUMPTIONS CALC'!$A$13:$CK$1019,F$7,FALSE),0)))))</f>
        <v>395525</v>
      </c>
      <c r="G94" s="137">
        <f>SUMIF('[1]INPUT_ASSUMPTIONS CALC'!A:A,'[1]Summary calculation'!A94,'[1]INPUT_ASSUMPTIONS CALC'!BU:BU)</f>
        <v>0</v>
      </c>
      <c r="H94" s="138">
        <f>IF($F$5="Year",F94*G94*'[1]INPUT_ASSUMPTIONS CALC'!$S$7,F94*G94)</f>
        <v>0</v>
      </c>
      <c r="I94" s="138">
        <f>H94*VLOOKUP($A94,'[1]INPUT_ASSUMPTIONS CALC'!$A$13:$CK$1019,H$6,FALSE)*SUMIF('[1]INPUT_ASSUMPTIONS CALC'!$CL$15:$CL$17,'[1]Summary calculation'!E94,'[1]INPUT_ASSUMPTIONS CALC'!$CM$15:$CM$17)</f>
        <v>0</v>
      </c>
      <c r="J94" s="139">
        <f>$I94*VLOOKUP($A94,'[1]INPUT_ASSUMPTIONS CALC'!$A$13:$CK$1019,I$6,FALSE)*VLOOKUP($A94,'[1]INPUT_ASSUMPTIONS CALC'!$A$13:$CK$1019,J$7,FALSE)</f>
        <v>0</v>
      </c>
      <c r="K94" s="139">
        <f>$I94*VLOOKUP($A94,'[1]INPUT_ASSUMPTIONS CALC'!$A$13:$CK$1019,I$6,FALSE)*VLOOKUP($A94,'[1]INPUT_ASSUMPTIONS CALC'!$A$13:$CK$1019,K$7,FALSE)</f>
        <v>0</v>
      </c>
      <c r="L94" s="139">
        <f>$I94*VLOOKUP($A94,'[1]INPUT_ASSUMPTIONS CALC'!$A$13:$CK$1019,I$6,FALSE)*VLOOKUP($A94,'[1]INPUT_ASSUMPTIONS CALC'!$A$13:$CK$1019,L$7,FALSE)</f>
        <v>0</v>
      </c>
      <c r="M94" s="139">
        <f>$I94*VLOOKUP($A94,'[1]INPUT_ASSUMPTIONS CALC'!$A$13:$CK$1019,I$6,FALSE)*VLOOKUP($A94,'[1]INPUT_ASSUMPTIONS CALC'!$A$13:$CK$1019,M$7,FALSE)</f>
        <v>0</v>
      </c>
      <c r="N94" s="140">
        <f t="shared" si="7"/>
        <v>0</v>
      </c>
      <c r="O94" s="141">
        <f>H94*VLOOKUP($A94,'[1]INPUT_ASSUMPTIONS CALC'!$A$13:$CK$1019,H$6,FALSE)*SUMIF('[1]INPUT_ASSUMPTIONS CALC'!$CQ$15:$CQ$17,'[1]Summary calculation'!E94,'[1]INPUT_ASSUMPTIONS CALC'!$CR$15:$CR$17)</f>
        <v>0</v>
      </c>
      <c r="P94" s="141">
        <f>H94*VLOOKUP($A94,'[1]INPUT_ASSUMPTIONS CALC'!$A$13:$CK$1019,H$6,FALSE)*SUMIF('[1]INPUT_ASSUMPTIONS CALC'!$CV$15:$CV$31,'[1]Summary calculation'!E94,'[1]INPUT_ASSUMPTIONS CALC'!$CW$15:$CW$31)</f>
        <v>0</v>
      </c>
      <c r="Q94" s="141">
        <f>O94*VLOOKUP($A94,'[1]INPUT_ASSUMPTIONS CALC'!$A$13:$CK$1019,Q$7,FALSE)</f>
        <v>0</v>
      </c>
      <c r="R94" s="141">
        <f>P94*VLOOKUP($A94,'[1]INPUT_ASSUMPTIONS CALC'!$A$13:$CK$1019,R$7,FALSE)</f>
        <v>0</v>
      </c>
      <c r="S94" s="140">
        <f t="shared" si="5"/>
        <v>0</v>
      </c>
      <c r="T94" s="142">
        <f t="shared" si="6"/>
        <v>0</v>
      </c>
      <c r="U94" s="61"/>
    </row>
    <row r="95" spans="1:21" x14ac:dyDescent="0.35">
      <c r="A95" s="125" t="str">
        <f t="shared" si="4"/>
        <v>87Q2</v>
      </c>
      <c r="B95" s="135">
        <v>87</v>
      </c>
      <c r="C95" s="61" t="str">
        <f>INDEX('[1]INPUT_ASSUMPTIONS CALC'!D:D,MATCH(A95,'[1]INPUT_ASSUMPTIONS CALC'!A:A,0))</f>
        <v>Dubova Yevgeniya</v>
      </c>
      <c r="D95" s="61" t="str">
        <f>INDEX('[1]INPUT_ASSUMPTIONS CALC'!I:I,MATCH(A95,'[1]INPUT_ASSUMPTIONS CALC'!A:A,0))</f>
        <v>Line 2</v>
      </c>
      <c r="E95" s="61" t="str">
        <f>INDEX('[1]INPUT_ASSUMPTIONS CALC'!E:E,MATCH(A95,'[1]INPUT_ASSUMPTIONS CALC'!A:A,0))</f>
        <v>Medical Representative</v>
      </c>
      <c r="F95" s="136">
        <f>IF($F$5="Q1",VLOOKUP($A95,'[1]INPUT_ASSUMPTIONS CALC'!$A$13:$CK$1019,F$7,FALSE),IF($F$5="Q2",VLOOKUP($A95,'[1]INPUT_ASSUMPTIONS CALC'!$A$13:$CK$1019,F$7,FALSE),IF($F$5="Q3",VLOOKUP($A95,'[1]INPUT_ASSUMPTIONS CALC'!$A$13:$CK$1019,F$7,FALSE),IF($F$5="Q4",VLOOKUP($A95,'[1]INPUT_ASSUMPTIONS CALC'!$A$13:$CK$1019,F$7,FALSE),IF($F$5="Year",VLOOKUP($A95,'[1]INPUT_ASSUMPTIONS CALC'!$A$13:$CK$1019,F$7,FALSE),0)))))</f>
        <v>395525</v>
      </c>
      <c r="G95" s="137">
        <f>SUMIF('[1]INPUT_ASSUMPTIONS CALC'!A:A,'[1]Summary calculation'!A95,'[1]INPUT_ASSUMPTIONS CALC'!BU:BU)</f>
        <v>0.5</v>
      </c>
      <c r="H95" s="138">
        <f>IF($F$5="Year",F95*G95*'[1]INPUT_ASSUMPTIONS CALC'!$S$7,F95*G95)</f>
        <v>197762.5</v>
      </c>
      <c r="I95" s="138">
        <f>H95*VLOOKUP($A95,'[1]INPUT_ASSUMPTIONS CALC'!$A$13:$CK$1019,H$6,FALSE)*SUMIF('[1]INPUT_ASSUMPTIONS CALC'!$CL$15:$CL$17,'[1]Summary calculation'!E95,'[1]INPUT_ASSUMPTIONS CALC'!$CM$15:$CM$17)</f>
        <v>158210</v>
      </c>
      <c r="J95" s="139">
        <f>$I95*VLOOKUP($A95,'[1]INPUT_ASSUMPTIONS CALC'!$A$13:$CK$1019,I$6,FALSE)*VLOOKUP($A95,'[1]INPUT_ASSUMPTIONS CALC'!$A$13:$CK$1019,J$7,FALSE)</f>
        <v>118657.5</v>
      </c>
      <c r="K95" s="139">
        <f>$I95*VLOOKUP($A95,'[1]INPUT_ASSUMPTIONS CALC'!$A$13:$CK$1019,I$6,FALSE)*VLOOKUP($A95,'[1]INPUT_ASSUMPTIONS CALC'!$A$13:$CK$1019,K$7,FALSE)</f>
        <v>98881.25</v>
      </c>
      <c r="L95" s="139">
        <f>$I95*VLOOKUP($A95,'[1]INPUT_ASSUMPTIONS CALC'!$A$13:$CK$1019,I$6,FALSE)*VLOOKUP($A95,'[1]INPUT_ASSUMPTIONS CALC'!$A$13:$CK$1019,L$7,FALSE)</f>
        <v>98881.25</v>
      </c>
      <c r="M95" s="139">
        <f>$I95*VLOOKUP($A95,'[1]INPUT_ASSUMPTIONS CALC'!$A$13:$CK$1019,I$6,FALSE)*VLOOKUP($A95,'[1]INPUT_ASSUMPTIONS CALC'!$A$13:$CK$1019,M$7,FALSE)</f>
        <v>79104.999999999985</v>
      </c>
      <c r="N95" s="140">
        <f t="shared" si="7"/>
        <v>395525</v>
      </c>
      <c r="O95" s="141">
        <f>H95*VLOOKUP($A95,'[1]INPUT_ASSUMPTIONS CALC'!$A$13:$CK$1019,H$6,FALSE)*SUMIF('[1]INPUT_ASSUMPTIONS CALC'!$CQ$15:$CQ$17,'[1]Summary calculation'!E95,'[1]INPUT_ASSUMPTIONS CALC'!$CR$15:$CR$17)</f>
        <v>39552.5</v>
      </c>
      <c r="P95" s="141">
        <f>H95*VLOOKUP($A95,'[1]INPUT_ASSUMPTIONS CALC'!$A$13:$CK$1019,H$6,FALSE)*SUMIF('[1]INPUT_ASSUMPTIONS CALC'!$CV$15:$CV$31,'[1]Summary calculation'!E95,'[1]INPUT_ASSUMPTIONS CALC'!$CW$15:$CW$31)</f>
        <v>0</v>
      </c>
      <c r="Q95" s="141">
        <f>O95*VLOOKUP($A95,'[1]INPUT_ASSUMPTIONS CALC'!$A$13:$CK$1019,Q$7,FALSE)</f>
        <v>39552.5</v>
      </c>
      <c r="R95" s="141">
        <f>P95*VLOOKUP($A95,'[1]INPUT_ASSUMPTIONS CALC'!$A$13:$CK$1019,R$7,FALSE)</f>
        <v>0</v>
      </c>
      <c r="S95" s="140">
        <f t="shared" si="5"/>
        <v>39552.5</v>
      </c>
      <c r="T95" s="142">
        <f t="shared" si="6"/>
        <v>435078</v>
      </c>
      <c r="U95" s="61"/>
    </row>
    <row r="96" spans="1:21" x14ac:dyDescent="0.35">
      <c r="A96" s="125" t="str">
        <f t="shared" si="4"/>
        <v>88Q2</v>
      </c>
      <c r="B96" s="135">
        <v>88</v>
      </c>
      <c r="C96" s="61" t="str">
        <f>INDEX('[1]INPUT_ASSUMPTIONS CALC'!D:D,MATCH(A96,'[1]INPUT_ASSUMPTIONS CALC'!A:A,0))</f>
        <v>Kalacheva Larissa</v>
      </c>
      <c r="D96" s="61" t="str">
        <f>INDEX('[1]INPUT_ASSUMPTIONS CALC'!I:I,MATCH(A96,'[1]INPUT_ASSUMPTIONS CALC'!A:A,0))</f>
        <v>Pharma line</v>
      </c>
      <c r="E96" s="61" t="str">
        <f>INDEX('[1]INPUT_ASSUMPTIONS CALC'!E:E,MATCH(A96,'[1]INPUT_ASSUMPTIONS CALC'!A:A,0))</f>
        <v>Medical Representative</v>
      </c>
      <c r="F96" s="136">
        <f>IF($F$5="Q1",VLOOKUP($A96,'[1]INPUT_ASSUMPTIONS CALC'!$A$13:$CK$1019,F$7,FALSE),IF($F$5="Q2",VLOOKUP($A96,'[1]INPUT_ASSUMPTIONS CALC'!$A$13:$CK$1019,F$7,FALSE),IF($F$5="Q3",VLOOKUP($A96,'[1]INPUT_ASSUMPTIONS CALC'!$A$13:$CK$1019,F$7,FALSE),IF($F$5="Q4",VLOOKUP($A96,'[1]INPUT_ASSUMPTIONS CALC'!$A$13:$CK$1019,F$7,FALSE),IF($F$5="Year",VLOOKUP($A96,'[1]INPUT_ASSUMPTIONS CALC'!$A$13:$CK$1019,F$7,FALSE),0)))))</f>
        <v>395525</v>
      </c>
      <c r="G96" s="137">
        <f>SUMIF('[1]INPUT_ASSUMPTIONS CALC'!A:A,'[1]Summary calculation'!A96,'[1]INPUT_ASSUMPTIONS CALC'!BU:BU)</f>
        <v>0</v>
      </c>
      <c r="H96" s="138">
        <f>IF($F$5="Year",F96*G96*'[1]INPUT_ASSUMPTIONS CALC'!$S$7,F96*G96)</f>
        <v>0</v>
      </c>
      <c r="I96" s="138">
        <f>H96*VLOOKUP($A96,'[1]INPUT_ASSUMPTIONS CALC'!$A$13:$CK$1019,H$6,FALSE)*SUMIF('[1]INPUT_ASSUMPTIONS CALC'!$CL$15:$CL$17,'[1]Summary calculation'!E96,'[1]INPUT_ASSUMPTIONS CALC'!$CM$15:$CM$17)</f>
        <v>0</v>
      </c>
      <c r="J96" s="139">
        <f>$I96*VLOOKUP($A96,'[1]INPUT_ASSUMPTIONS CALC'!$A$13:$CK$1019,I$6,FALSE)*VLOOKUP($A96,'[1]INPUT_ASSUMPTIONS CALC'!$A$13:$CK$1019,J$7,FALSE)</f>
        <v>0</v>
      </c>
      <c r="K96" s="139">
        <f>$I96*VLOOKUP($A96,'[1]INPUT_ASSUMPTIONS CALC'!$A$13:$CK$1019,I$6,FALSE)*VLOOKUP($A96,'[1]INPUT_ASSUMPTIONS CALC'!$A$13:$CK$1019,K$7,FALSE)</f>
        <v>0</v>
      </c>
      <c r="L96" s="139">
        <f>$I96*VLOOKUP($A96,'[1]INPUT_ASSUMPTIONS CALC'!$A$13:$CK$1019,I$6,FALSE)*VLOOKUP($A96,'[1]INPUT_ASSUMPTIONS CALC'!$A$13:$CK$1019,L$7,FALSE)</f>
        <v>0</v>
      </c>
      <c r="M96" s="139">
        <f>$I96*VLOOKUP($A96,'[1]INPUT_ASSUMPTIONS CALC'!$A$13:$CK$1019,I$6,FALSE)*VLOOKUP($A96,'[1]INPUT_ASSUMPTIONS CALC'!$A$13:$CK$1019,M$7,FALSE)</f>
        <v>0</v>
      </c>
      <c r="N96" s="140">
        <f t="shared" si="7"/>
        <v>0</v>
      </c>
      <c r="O96" s="141">
        <f>H96*VLOOKUP($A96,'[1]INPUT_ASSUMPTIONS CALC'!$A$13:$CK$1019,H$6,FALSE)*SUMIF('[1]INPUT_ASSUMPTIONS CALC'!$CQ$15:$CQ$17,'[1]Summary calculation'!E96,'[1]INPUT_ASSUMPTIONS CALC'!$CR$15:$CR$17)</f>
        <v>0</v>
      </c>
      <c r="P96" s="141">
        <f>H96*VLOOKUP($A96,'[1]INPUT_ASSUMPTIONS CALC'!$A$13:$CK$1019,H$6,FALSE)*SUMIF('[1]INPUT_ASSUMPTIONS CALC'!$CV$15:$CV$31,'[1]Summary calculation'!E96,'[1]INPUT_ASSUMPTIONS CALC'!$CW$15:$CW$31)</f>
        <v>0</v>
      </c>
      <c r="Q96" s="141">
        <f>O96*VLOOKUP($A96,'[1]INPUT_ASSUMPTIONS CALC'!$A$13:$CK$1019,Q$7,FALSE)</f>
        <v>0</v>
      </c>
      <c r="R96" s="141">
        <f>P96*VLOOKUP($A96,'[1]INPUT_ASSUMPTIONS CALC'!$A$13:$CK$1019,R$7,FALSE)</f>
        <v>0</v>
      </c>
      <c r="S96" s="140">
        <f t="shared" si="5"/>
        <v>0</v>
      </c>
      <c r="T96" s="142">
        <f t="shared" si="6"/>
        <v>0</v>
      </c>
      <c r="U96" s="61"/>
    </row>
    <row r="97" spans="1:21" x14ac:dyDescent="0.35">
      <c r="A97" s="125" t="str">
        <f t="shared" si="4"/>
        <v>89Q2</v>
      </c>
      <c r="B97" s="135">
        <v>89</v>
      </c>
      <c r="C97" s="61" t="str">
        <f>INDEX('[1]INPUT_ASSUMPTIONS CALC'!D:D,MATCH(A97,'[1]INPUT_ASSUMPTIONS CALC'!A:A,0))</f>
        <v>Kalen Temirlan</v>
      </c>
      <c r="D97" s="61" t="str">
        <f>INDEX('[1]INPUT_ASSUMPTIONS CALC'!I:I,MATCH(A97,'[1]INPUT_ASSUMPTIONS CALC'!A:A,0))</f>
        <v>Line 2</v>
      </c>
      <c r="E97" s="61" t="str">
        <f>INDEX('[1]INPUT_ASSUMPTIONS CALC'!E:E,MATCH(A97,'[1]INPUT_ASSUMPTIONS CALC'!A:A,0))</f>
        <v>Medical Representative</v>
      </c>
      <c r="F97" s="136">
        <f>IF($F$5="Q1",VLOOKUP($A97,'[1]INPUT_ASSUMPTIONS CALC'!$A$13:$CK$1019,F$7,FALSE),IF($F$5="Q2",VLOOKUP($A97,'[1]INPUT_ASSUMPTIONS CALC'!$A$13:$CK$1019,F$7,FALSE),IF($F$5="Q3",VLOOKUP($A97,'[1]INPUT_ASSUMPTIONS CALC'!$A$13:$CK$1019,F$7,FALSE),IF($F$5="Q4",VLOOKUP($A97,'[1]INPUT_ASSUMPTIONS CALC'!$A$13:$CK$1019,F$7,FALSE),IF($F$5="Year",VLOOKUP($A97,'[1]INPUT_ASSUMPTIONS CALC'!$A$13:$CK$1019,F$7,FALSE),0)))))</f>
        <v>395525</v>
      </c>
      <c r="G97" s="137">
        <f>SUMIF('[1]INPUT_ASSUMPTIONS CALC'!A:A,'[1]Summary calculation'!A97,'[1]INPUT_ASSUMPTIONS CALC'!BU:BU)</f>
        <v>0</v>
      </c>
      <c r="H97" s="138">
        <f>IF($F$5="Year",F97*G97*'[1]INPUT_ASSUMPTIONS CALC'!$S$7,F97*G97)</f>
        <v>0</v>
      </c>
      <c r="I97" s="138">
        <f>H97*VLOOKUP($A97,'[1]INPUT_ASSUMPTIONS CALC'!$A$13:$CK$1019,H$6,FALSE)*SUMIF('[1]INPUT_ASSUMPTIONS CALC'!$CL$15:$CL$17,'[1]Summary calculation'!E97,'[1]INPUT_ASSUMPTIONS CALC'!$CM$15:$CM$17)</f>
        <v>0</v>
      </c>
      <c r="J97" s="139">
        <f>$I97*VLOOKUP($A97,'[1]INPUT_ASSUMPTIONS CALC'!$A$13:$CK$1019,I$6,FALSE)*VLOOKUP($A97,'[1]INPUT_ASSUMPTIONS CALC'!$A$13:$CK$1019,J$7,FALSE)</f>
        <v>0</v>
      </c>
      <c r="K97" s="139">
        <f>$I97*VLOOKUP($A97,'[1]INPUT_ASSUMPTIONS CALC'!$A$13:$CK$1019,I$6,FALSE)*VLOOKUP($A97,'[1]INPUT_ASSUMPTIONS CALC'!$A$13:$CK$1019,K$7,FALSE)</f>
        <v>0</v>
      </c>
      <c r="L97" s="139">
        <f>$I97*VLOOKUP($A97,'[1]INPUT_ASSUMPTIONS CALC'!$A$13:$CK$1019,I$6,FALSE)*VLOOKUP($A97,'[1]INPUT_ASSUMPTIONS CALC'!$A$13:$CK$1019,L$7,FALSE)</f>
        <v>0</v>
      </c>
      <c r="M97" s="139">
        <f>$I97*VLOOKUP($A97,'[1]INPUT_ASSUMPTIONS CALC'!$A$13:$CK$1019,I$6,FALSE)*VLOOKUP($A97,'[1]INPUT_ASSUMPTIONS CALC'!$A$13:$CK$1019,M$7,FALSE)</f>
        <v>0</v>
      </c>
      <c r="N97" s="140">
        <f t="shared" si="7"/>
        <v>0</v>
      </c>
      <c r="O97" s="141">
        <f>H97*VLOOKUP($A97,'[1]INPUT_ASSUMPTIONS CALC'!$A$13:$CK$1019,H$6,FALSE)*SUMIF('[1]INPUT_ASSUMPTIONS CALC'!$CQ$15:$CQ$17,'[1]Summary calculation'!E97,'[1]INPUT_ASSUMPTIONS CALC'!$CR$15:$CR$17)</f>
        <v>0</v>
      </c>
      <c r="P97" s="141">
        <f>H97*VLOOKUP($A97,'[1]INPUT_ASSUMPTIONS CALC'!$A$13:$CK$1019,H$6,FALSE)*SUMIF('[1]INPUT_ASSUMPTIONS CALC'!$CV$15:$CV$31,'[1]Summary calculation'!E97,'[1]INPUT_ASSUMPTIONS CALC'!$CW$15:$CW$31)</f>
        <v>0</v>
      </c>
      <c r="Q97" s="141">
        <f>O97*VLOOKUP($A97,'[1]INPUT_ASSUMPTIONS CALC'!$A$13:$CK$1019,Q$7,FALSE)</f>
        <v>0</v>
      </c>
      <c r="R97" s="141">
        <f>P97*VLOOKUP($A97,'[1]INPUT_ASSUMPTIONS CALC'!$A$13:$CK$1019,R$7,FALSE)</f>
        <v>0</v>
      </c>
      <c r="S97" s="140">
        <f t="shared" si="5"/>
        <v>0</v>
      </c>
      <c r="T97" s="142">
        <f t="shared" si="6"/>
        <v>0</v>
      </c>
      <c r="U97" s="61"/>
    </row>
    <row r="98" spans="1:21" x14ac:dyDescent="0.35">
      <c r="A98" s="125" t="str">
        <f t="shared" si="4"/>
        <v>90Q2</v>
      </c>
      <c r="B98" s="135">
        <v>90</v>
      </c>
      <c r="C98" s="61" t="str">
        <f>INDEX('[1]INPUT_ASSUMPTIONS CALC'!D:D,MATCH(A98,'[1]INPUT_ASSUMPTIONS CALC'!A:A,0))</f>
        <v>Kassanova Elmira</v>
      </c>
      <c r="D98" s="61" t="str">
        <f>INDEX('[1]INPUT_ASSUMPTIONS CALC'!I:I,MATCH(A98,'[1]INPUT_ASSUMPTIONS CALC'!A:A,0))</f>
        <v>Line 1</v>
      </c>
      <c r="E98" s="61" t="str">
        <f>INDEX('[1]INPUT_ASSUMPTIONS CALC'!E:E,MATCH(A98,'[1]INPUT_ASSUMPTIONS CALC'!A:A,0))</f>
        <v>Medical Representative</v>
      </c>
      <c r="F98" s="136">
        <f>IF($F$5="Q1",VLOOKUP($A98,'[1]INPUT_ASSUMPTIONS CALC'!$A$13:$CK$1019,F$7,FALSE),IF($F$5="Q2",VLOOKUP($A98,'[1]INPUT_ASSUMPTIONS CALC'!$A$13:$CK$1019,F$7,FALSE),IF($F$5="Q3",VLOOKUP($A98,'[1]INPUT_ASSUMPTIONS CALC'!$A$13:$CK$1019,F$7,FALSE),IF($F$5="Q4",VLOOKUP($A98,'[1]INPUT_ASSUMPTIONS CALC'!$A$13:$CK$1019,F$7,FALSE),IF($F$5="Year",VLOOKUP($A98,'[1]INPUT_ASSUMPTIONS CALC'!$A$13:$CK$1019,F$7,FALSE),0)))))</f>
        <v>395525</v>
      </c>
      <c r="G98" s="137">
        <f>SUMIF('[1]INPUT_ASSUMPTIONS CALC'!A:A,'[1]Summary calculation'!A98,'[1]INPUT_ASSUMPTIONS CALC'!BU:BU)</f>
        <v>0.66666666666666663</v>
      </c>
      <c r="H98" s="138">
        <f>IF($F$5="Year",F98*G98*'[1]INPUT_ASSUMPTIONS CALC'!$S$7,F98*G98)</f>
        <v>263683.33333333331</v>
      </c>
      <c r="I98" s="138">
        <f>H98*VLOOKUP($A98,'[1]INPUT_ASSUMPTIONS CALC'!$A$13:$CK$1019,H$6,FALSE)*SUMIF('[1]INPUT_ASSUMPTIONS CALC'!$CL$15:$CL$17,'[1]Summary calculation'!E98,'[1]INPUT_ASSUMPTIONS CALC'!$CM$15:$CM$17)</f>
        <v>210946.66666666666</v>
      </c>
      <c r="J98" s="139">
        <f>$I98*VLOOKUP($A98,'[1]INPUT_ASSUMPTIONS CALC'!$A$13:$CK$1019,I$6,FALSE)*VLOOKUP($A98,'[1]INPUT_ASSUMPTIONS CALC'!$A$13:$CK$1019,J$7,FALSE)</f>
        <v>158210</v>
      </c>
      <c r="K98" s="139">
        <f>$I98*VLOOKUP($A98,'[1]INPUT_ASSUMPTIONS CALC'!$A$13:$CK$1019,I$6,FALSE)*VLOOKUP($A98,'[1]INPUT_ASSUMPTIONS CALC'!$A$13:$CK$1019,K$7,FALSE)</f>
        <v>110747</v>
      </c>
      <c r="L98" s="139">
        <f>$I98*VLOOKUP($A98,'[1]INPUT_ASSUMPTIONS CALC'!$A$13:$CK$1019,I$6,FALSE)*VLOOKUP($A98,'[1]INPUT_ASSUMPTIONS CALC'!$A$13:$CK$1019,L$7,FALSE)</f>
        <v>31642</v>
      </c>
      <c r="M98" s="139">
        <f>$I98*VLOOKUP($A98,'[1]INPUT_ASSUMPTIONS CALC'!$A$13:$CK$1019,I$6,FALSE)*VLOOKUP($A98,'[1]INPUT_ASSUMPTIONS CALC'!$A$13:$CK$1019,M$7,FALSE)</f>
        <v>15821.000000000005</v>
      </c>
      <c r="N98" s="140">
        <f t="shared" si="7"/>
        <v>316420</v>
      </c>
      <c r="O98" s="141">
        <f>H98*VLOOKUP($A98,'[1]INPUT_ASSUMPTIONS CALC'!$A$13:$CK$1019,H$6,FALSE)*SUMIF('[1]INPUT_ASSUMPTIONS CALC'!$CQ$15:$CQ$17,'[1]Summary calculation'!E98,'[1]INPUT_ASSUMPTIONS CALC'!$CR$15:$CR$17)</f>
        <v>52736.666666666664</v>
      </c>
      <c r="P98" s="141">
        <f>H98*VLOOKUP($A98,'[1]INPUT_ASSUMPTIONS CALC'!$A$13:$CK$1019,H$6,FALSE)*SUMIF('[1]INPUT_ASSUMPTIONS CALC'!$CV$15:$CV$31,'[1]Summary calculation'!E98,'[1]INPUT_ASSUMPTIONS CALC'!$CW$15:$CW$31)</f>
        <v>0</v>
      </c>
      <c r="Q98" s="141">
        <f>O98*VLOOKUP($A98,'[1]INPUT_ASSUMPTIONS CALC'!$A$13:$CK$1019,Q$7,FALSE)</f>
        <v>26368.333333333332</v>
      </c>
      <c r="R98" s="141">
        <f>P98*VLOOKUP($A98,'[1]INPUT_ASSUMPTIONS CALC'!$A$13:$CK$1019,R$7,FALSE)</f>
        <v>0</v>
      </c>
      <c r="S98" s="140">
        <f t="shared" si="5"/>
        <v>26368.333333333332</v>
      </c>
      <c r="T98" s="142">
        <f t="shared" si="6"/>
        <v>342788</v>
      </c>
      <c r="U98" s="61"/>
    </row>
    <row r="99" spans="1:21" x14ac:dyDescent="0.35">
      <c r="A99" s="125" t="str">
        <f t="shared" si="4"/>
        <v>91Q2</v>
      </c>
      <c r="B99" s="135">
        <v>91</v>
      </c>
      <c r="C99" s="61" t="str">
        <f>INDEX('[1]INPUT_ASSUMPTIONS CALC'!D:D,MATCH(A99,'[1]INPUT_ASSUMPTIONS CALC'!A:A,0))</f>
        <v>Nassyrov Farukh</v>
      </c>
      <c r="D99" s="61" t="str">
        <f>INDEX('[1]INPUT_ASSUMPTIONS CALC'!I:I,MATCH(A99,'[1]INPUT_ASSUMPTIONS CALC'!A:A,0))</f>
        <v>Pharma line</v>
      </c>
      <c r="E99" s="61" t="str">
        <f>INDEX('[1]INPUT_ASSUMPTIONS CALC'!E:E,MATCH(A99,'[1]INPUT_ASSUMPTIONS CALC'!A:A,0))</f>
        <v>Pharm Representative</v>
      </c>
      <c r="F99" s="136">
        <f>IF($F$5="Q1",VLOOKUP($A99,'[1]INPUT_ASSUMPTIONS CALC'!$A$13:$CK$1019,F$7,FALSE),IF($F$5="Q2",VLOOKUP($A99,'[1]INPUT_ASSUMPTIONS CALC'!$A$13:$CK$1019,F$7,FALSE),IF($F$5="Q3",VLOOKUP($A99,'[1]INPUT_ASSUMPTIONS CALC'!$A$13:$CK$1019,F$7,FALSE),IF($F$5="Q4",VLOOKUP($A99,'[1]INPUT_ASSUMPTIONS CALC'!$A$13:$CK$1019,F$7,FALSE),IF($F$5="Year",VLOOKUP($A99,'[1]INPUT_ASSUMPTIONS CALC'!$A$13:$CK$1019,F$7,FALSE),0)))))</f>
        <v>395525</v>
      </c>
      <c r="G99" s="137">
        <f>SUMIF('[1]INPUT_ASSUMPTIONS CALC'!A:A,'[1]Summary calculation'!A99,'[1]INPUT_ASSUMPTIONS CALC'!BU:BU)</f>
        <v>0</v>
      </c>
      <c r="H99" s="138">
        <f>IF($F$5="Year",F99*G99*'[1]INPUT_ASSUMPTIONS CALC'!$S$7,F99*G99)</f>
        <v>0</v>
      </c>
      <c r="I99" s="138">
        <f>H99*VLOOKUP($A99,'[1]INPUT_ASSUMPTIONS CALC'!$A$13:$CK$1019,H$6,FALSE)*SUMIF('[1]INPUT_ASSUMPTIONS CALC'!$CL$15:$CL$17,'[1]Summary calculation'!E99,'[1]INPUT_ASSUMPTIONS CALC'!$CM$15:$CM$17)</f>
        <v>0</v>
      </c>
      <c r="J99" s="139">
        <f>$I99*VLOOKUP($A99,'[1]INPUT_ASSUMPTIONS CALC'!$A$13:$CK$1019,I$6,FALSE)*VLOOKUP($A99,'[1]INPUT_ASSUMPTIONS CALC'!$A$13:$CK$1019,J$7,FALSE)</f>
        <v>0</v>
      </c>
      <c r="K99" s="139">
        <f>$I99*VLOOKUP($A99,'[1]INPUT_ASSUMPTIONS CALC'!$A$13:$CK$1019,I$6,FALSE)*VLOOKUP($A99,'[1]INPUT_ASSUMPTIONS CALC'!$A$13:$CK$1019,K$7,FALSE)</f>
        <v>0</v>
      </c>
      <c r="L99" s="139">
        <f>$I99*VLOOKUP($A99,'[1]INPUT_ASSUMPTIONS CALC'!$A$13:$CK$1019,I$6,FALSE)*VLOOKUP($A99,'[1]INPUT_ASSUMPTIONS CALC'!$A$13:$CK$1019,L$7,FALSE)</f>
        <v>0</v>
      </c>
      <c r="M99" s="139">
        <f>$I99*VLOOKUP($A99,'[1]INPUT_ASSUMPTIONS CALC'!$A$13:$CK$1019,I$6,FALSE)*VLOOKUP($A99,'[1]INPUT_ASSUMPTIONS CALC'!$A$13:$CK$1019,M$7,FALSE)</f>
        <v>0</v>
      </c>
      <c r="N99" s="140">
        <f t="shared" si="7"/>
        <v>0</v>
      </c>
      <c r="O99" s="141">
        <f>H99*VLOOKUP($A99,'[1]INPUT_ASSUMPTIONS CALC'!$A$13:$CK$1019,H$6,FALSE)*SUMIF('[1]INPUT_ASSUMPTIONS CALC'!$CQ$15:$CQ$17,'[1]Summary calculation'!E99,'[1]INPUT_ASSUMPTIONS CALC'!$CR$15:$CR$17)</f>
        <v>0</v>
      </c>
      <c r="P99" s="141">
        <f>H99*VLOOKUP($A99,'[1]INPUT_ASSUMPTIONS CALC'!$A$13:$CK$1019,H$6,FALSE)*SUMIF('[1]INPUT_ASSUMPTIONS CALC'!$CV$15:$CV$31,'[1]Summary calculation'!E99,'[1]INPUT_ASSUMPTIONS CALC'!$CW$15:$CW$31)</f>
        <v>0</v>
      </c>
      <c r="Q99" s="141">
        <f>O99*VLOOKUP($A99,'[1]INPUT_ASSUMPTIONS CALC'!$A$13:$CK$1019,Q$7,FALSE)</f>
        <v>0</v>
      </c>
      <c r="R99" s="141">
        <f>P99*VLOOKUP($A99,'[1]INPUT_ASSUMPTIONS CALC'!$A$13:$CK$1019,R$7,FALSE)</f>
        <v>0</v>
      </c>
      <c r="S99" s="140">
        <f t="shared" si="5"/>
        <v>0</v>
      </c>
      <c r="T99" s="142">
        <f t="shared" si="6"/>
        <v>0</v>
      </c>
      <c r="U99" s="61"/>
    </row>
    <row r="100" spans="1:21" x14ac:dyDescent="0.35">
      <c r="A100" s="125" t="str">
        <f t="shared" si="4"/>
        <v>92Q2</v>
      </c>
      <c r="B100" s="135">
        <v>92</v>
      </c>
      <c r="C100" s="61" t="str">
        <f>INDEX('[1]INPUT_ASSUMPTIONS CALC'!D:D,MATCH(A100,'[1]INPUT_ASSUMPTIONS CALC'!A:A,0))</f>
        <v>Volkova Svetlana</v>
      </c>
      <c r="D100" s="61" t="str">
        <f>INDEX('[1]INPUT_ASSUMPTIONS CALC'!I:I,MATCH(A100,'[1]INPUT_ASSUMPTIONS CALC'!A:A,0))</f>
        <v>Line 1</v>
      </c>
      <c r="E100" s="61" t="str">
        <f>INDEX('[1]INPUT_ASSUMPTIONS CALC'!E:E,MATCH(A100,'[1]INPUT_ASSUMPTIONS CALC'!A:A,0))</f>
        <v>Medical Representative</v>
      </c>
      <c r="F100" s="136">
        <f>IF($F$5="Q1",VLOOKUP($A100,'[1]INPUT_ASSUMPTIONS CALC'!$A$13:$CK$1019,F$7,FALSE),IF($F$5="Q2",VLOOKUP($A100,'[1]INPUT_ASSUMPTIONS CALC'!$A$13:$CK$1019,F$7,FALSE),IF($F$5="Q3",VLOOKUP($A100,'[1]INPUT_ASSUMPTIONS CALC'!$A$13:$CK$1019,F$7,FALSE),IF($F$5="Q4",VLOOKUP($A100,'[1]INPUT_ASSUMPTIONS CALC'!$A$13:$CK$1019,F$7,FALSE),IF($F$5="Year",VLOOKUP($A100,'[1]INPUT_ASSUMPTIONS CALC'!$A$13:$CK$1019,F$7,FALSE),0)))))</f>
        <v>395525</v>
      </c>
      <c r="G100" s="137">
        <f>SUMIF('[1]INPUT_ASSUMPTIONS CALC'!A:A,'[1]Summary calculation'!A100,'[1]INPUT_ASSUMPTIONS CALC'!BU:BU)</f>
        <v>0</v>
      </c>
      <c r="H100" s="138">
        <f>IF($F$5="Year",F100*G100*'[1]INPUT_ASSUMPTIONS CALC'!$S$7,F100*G100)</f>
        <v>0</v>
      </c>
      <c r="I100" s="138">
        <f>H100*VLOOKUP($A100,'[1]INPUT_ASSUMPTIONS CALC'!$A$13:$CK$1019,H$6,FALSE)*SUMIF('[1]INPUT_ASSUMPTIONS CALC'!$CL$15:$CL$17,'[1]Summary calculation'!E100,'[1]INPUT_ASSUMPTIONS CALC'!$CM$15:$CM$17)</f>
        <v>0</v>
      </c>
      <c r="J100" s="139">
        <f>$I100*VLOOKUP($A100,'[1]INPUT_ASSUMPTIONS CALC'!$A$13:$CK$1019,I$6,FALSE)*VLOOKUP($A100,'[1]INPUT_ASSUMPTIONS CALC'!$A$13:$CK$1019,J$7,FALSE)</f>
        <v>0</v>
      </c>
      <c r="K100" s="139">
        <f>$I100*VLOOKUP($A100,'[1]INPUT_ASSUMPTIONS CALC'!$A$13:$CK$1019,I$6,FALSE)*VLOOKUP($A100,'[1]INPUT_ASSUMPTIONS CALC'!$A$13:$CK$1019,K$7,FALSE)</f>
        <v>0</v>
      </c>
      <c r="L100" s="139">
        <f>$I100*VLOOKUP($A100,'[1]INPUT_ASSUMPTIONS CALC'!$A$13:$CK$1019,I$6,FALSE)*VLOOKUP($A100,'[1]INPUT_ASSUMPTIONS CALC'!$A$13:$CK$1019,L$7,FALSE)</f>
        <v>0</v>
      </c>
      <c r="M100" s="139">
        <f>$I100*VLOOKUP($A100,'[1]INPUT_ASSUMPTIONS CALC'!$A$13:$CK$1019,I$6,FALSE)*VLOOKUP($A100,'[1]INPUT_ASSUMPTIONS CALC'!$A$13:$CK$1019,M$7,FALSE)</f>
        <v>0</v>
      </c>
      <c r="N100" s="140">
        <f t="shared" si="7"/>
        <v>0</v>
      </c>
      <c r="O100" s="141">
        <f>H100*VLOOKUP($A100,'[1]INPUT_ASSUMPTIONS CALC'!$A$13:$CK$1019,H$6,FALSE)*SUMIF('[1]INPUT_ASSUMPTIONS CALC'!$CQ$15:$CQ$17,'[1]Summary calculation'!E100,'[1]INPUT_ASSUMPTIONS CALC'!$CR$15:$CR$17)</f>
        <v>0</v>
      </c>
      <c r="P100" s="141">
        <f>H100*VLOOKUP($A100,'[1]INPUT_ASSUMPTIONS CALC'!$A$13:$CK$1019,H$6,FALSE)*SUMIF('[1]INPUT_ASSUMPTIONS CALC'!$CV$15:$CV$31,'[1]Summary calculation'!E100,'[1]INPUT_ASSUMPTIONS CALC'!$CW$15:$CW$31)</f>
        <v>0</v>
      </c>
      <c r="Q100" s="141">
        <f>O100*VLOOKUP($A100,'[1]INPUT_ASSUMPTIONS CALC'!$A$13:$CK$1019,Q$7,FALSE)</f>
        <v>0</v>
      </c>
      <c r="R100" s="141">
        <f>P100*VLOOKUP($A100,'[1]INPUT_ASSUMPTIONS CALC'!$A$13:$CK$1019,R$7,FALSE)</f>
        <v>0</v>
      </c>
      <c r="S100" s="140">
        <f t="shared" si="5"/>
        <v>0</v>
      </c>
      <c r="T100" s="142">
        <f t="shared" si="6"/>
        <v>0</v>
      </c>
      <c r="U100" s="61"/>
    </row>
    <row r="101" spans="1:21" x14ac:dyDescent="0.35">
      <c r="A101" s="125" t="str">
        <f t="shared" si="4"/>
        <v>93Q2</v>
      </c>
      <c r="B101" s="135">
        <v>93</v>
      </c>
      <c r="C101" s="61" t="str">
        <f>INDEX('[1]INPUT_ASSUMPTIONS CALC'!D:D,MATCH(A101,'[1]INPUT_ASSUMPTIONS CALC'!A:A,0))</f>
        <v/>
      </c>
      <c r="D101" s="61" t="str">
        <f>INDEX('[1]INPUT_ASSUMPTIONS CALC'!I:I,MATCH(A101,'[1]INPUT_ASSUMPTIONS CALC'!A:A,0))</f>
        <v/>
      </c>
      <c r="E101" s="61" t="str">
        <f>INDEX('[1]INPUT_ASSUMPTIONS CALC'!E:E,MATCH(A101,'[1]INPUT_ASSUMPTIONS CALC'!A:A,0))</f>
        <v/>
      </c>
      <c r="F101" s="136">
        <f>IF($F$5="Q1",VLOOKUP($A101,'[1]INPUT_ASSUMPTIONS CALC'!$A$13:$CK$1019,F$7,FALSE),IF($F$5="Q2",VLOOKUP($A101,'[1]INPUT_ASSUMPTIONS CALC'!$A$13:$CK$1019,F$7,FALSE),IF($F$5="Q3",VLOOKUP($A101,'[1]INPUT_ASSUMPTIONS CALC'!$A$13:$CK$1019,F$7,FALSE),IF($F$5="Q4",VLOOKUP($A101,'[1]INPUT_ASSUMPTIONS CALC'!$A$13:$CK$1019,F$7,FALSE),IF($F$5="Year",VLOOKUP($A101,'[1]INPUT_ASSUMPTIONS CALC'!$A$13:$CK$1019,F$7,FALSE),0)))))</f>
        <v>0</v>
      </c>
      <c r="G101" s="137">
        <f>SUMIF('[1]INPUT_ASSUMPTIONS CALC'!A:A,'[1]Summary calculation'!A101,'[1]INPUT_ASSUMPTIONS CALC'!BU:BU)</f>
        <v>0</v>
      </c>
      <c r="H101" s="138">
        <f>IF($F$5="Year",F101*G101*'[1]INPUT_ASSUMPTIONS CALC'!$S$7,F101*G101)</f>
        <v>0</v>
      </c>
      <c r="I101" s="138">
        <f>H101*VLOOKUP($A101,'[1]INPUT_ASSUMPTIONS CALC'!$A$13:$CK$1019,H$6,FALSE)*SUMIF('[1]INPUT_ASSUMPTIONS CALC'!$CL$15:$CL$17,'[1]Summary calculation'!E101,'[1]INPUT_ASSUMPTIONS CALC'!$CM$15:$CM$17)</f>
        <v>0</v>
      </c>
      <c r="J101" s="139">
        <f>$I101*VLOOKUP($A101,'[1]INPUT_ASSUMPTIONS CALC'!$A$13:$CK$1019,I$6,FALSE)*VLOOKUP($A101,'[1]INPUT_ASSUMPTIONS CALC'!$A$13:$CK$1019,J$7,FALSE)</f>
        <v>0</v>
      </c>
      <c r="K101" s="139">
        <f>$I101*VLOOKUP($A101,'[1]INPUT_ASSUMPTIONS CALC'!$A$13:$CK$1019,I$6,FALSE)*VLOOKUP($A101,'[1]INPUT_ASSUMPTIONS CALC'!$A$13:$CK$1019,K$7,FALSE)</f>
        <v>0</v>
      </c>
      <c r="L101" s="139">
        <f>$I101*VLOOKUP($A101,'[1]INPUT_ASSUMPTIONS CALC'!$A$13:$CK$1019,I$6,FALSE)*VLOOKUP($A101,'[1]INPUT_ASSUMPTIONS CALC'!$A$13:$CK$1019,L$7,FALSE)</f>
        <v>0</v>
      </c>
      <c r="M101" s="139">
        <f>$I101*VLOOKUP($A101,'[1]INPUT_ASSUMPTIONS CALC'!$A$13:$CK$1019,I$6,FALSE)*VLOOKUP($A101,'[1]INPUT_ASSUMPTIONS CALC'!$A$13:$CK$1019,M$7,FALSE)</f>
        <v>0</v>
      </c>
      <c r="N101" s="140">
        <f t="shared" si="7"/>
        <v>0</v>
      </c>
      <c r="O101" s="141">
        <f>H101*VLOOKUP($A101,'[1]INPUT_ASSUMPTIONS CALC'!$A$13:$CK$1019,H$6,FALSE)*SUMIF('[1]INPUT_ASSUMPTIONS CALC'!$CQ$15:$CQ$17,'[1]Summary calculation'!E101,'[1]INPUT_ASSUMPTIONS CALC'!$CR$15:$CR$17)</f>
        <v>0</v>
      </c>
      <c r="P101" s="141">
        <f>H101*VLOOKUP($A101,'[1]INPUT_ASSUMPTIONS CALC'!$A$13:$CK$1019,H$6,FALSE)*SUMIF('[1]INPUT_ASSUMPTIONS CALC'!$CV$15:$CV$31,'[1]Summary calculation'!E101,'[1]INPUT_ASSUMPTIONS CALC'!$CW$15:$CW$31)</f>
        <v>0</v>
      </c>
      <c r="Q101" s="141">
        <f>O101*VLOOKUP($A101,'[1]INPUT_ASSUMPTIONS CALC'!$A$13:$CK$1019,Q$7,FALSE)</f>
        <v>0</v>
      </c>
      <c r="R101" s="141">
        <f>P101*VLOOKUP($A101,'[1]INPUT_ASSUMPTIONS CALC'!$A$13:$CK$1019,R$7,FALSE)</f>
        <v>0</v>
      </c>
      <c r="S101" s="140">
        <f t="shared" si="5"/>
        <v>0</v>
      </c>
      <c r="T101" s="142">
        <f t="shared" si="6"/>
        <v>0</v>
      </c>
      <c r="U101" s="61"/>
    </row>
    <row r="102" spans="1:21" x14ac:dyDescent="0.35">
      <c r="A102" s="125" t="str">
        <f t="shared" si="4"/>
        <v>94Q2</v>
      </c>
      <c r="B102" s="135">
        <v>94</v>
      </c>
      <c r="C102" s="61" t="str">
        <f>INDEX('[1]INPUT_ASSUMPTIONS CALC'!D:D,MATCH(A102,'[1]INPUT_ASSUMPTIONS CALC'!A:A,0))</f>
        <v/>
      </c>
      <c r="D102" s="61" t="str">
        <f>INDEX('[1]INPUT_ASSUMPTIONS CALC'!I:I,MATCH(A102,'[1]INPUT_ASSUMPTIONS CALC'!A:A,0))</f>
        <v/>
      </c>
      <c r="E102" s="61" t="str">
        <f>INDEX('[1]INPUT_ASSUMPTIONS CALC'!E:E,MATCH(A102,'[1]INPUT_ASSUMPTIONS CALC'!A:A,0))</f>
        <v/>
      </c>
      <c r="F102" s="136">
        <f>IF($F$5="Q1",VLOOKUP($A102,'[1]INPUT_ASSUMPTIONS CALC'!$A$13:$CK$1019,F$7,FALSE),IF($F$5="Q2",VLOOKUP($A102,'[1]INPUT_ASSUMPTIONS CALC'!$A$13:$CK$1019,F$7,FALSE),IF($F$5="Q3",VLOOKUP($A102,'[1]INPUT_ASSUMPTIONS CALC'!$A$13:$CK$1019,F$7,FALSE),IF($F$5="Q4",VLOOKUP($A102,'[1]INPUT_ASSUMPTIONS CALC'!$A$13:$CK$1019,F$7,FALSE),IF($F$5="Year",VLOOKUP($A102,'[1]INPUT_ASSUMPTIONS CALC'!$A$13:$CK$1019,F$7,FALSE),0)))))</f>
        <v>0</v>
      </c>
      <c r="G102" s="137">
        <f>SUMIF('[1]INPUT_ASSUMPTIONS CALC'!A:A,'[1]Summary calculation'!A102,'[1]INPUT_ASSUMPTIONS CALC'!BU:BU)</f>
        <v>0</v>
      </c>
      <c r="H102" s="138">
        <f>IF($F$5="Year",F102*G102*'[1]INPUT_ASSUMPTIONS CALC'!$S$7,F102*G102)</f>
        <v>0</v>
      </c>
      <c r="I102" s="138">
        <f>H102*VLOOKUP($A102,'[1]INPUT_ASSUMPTIONS CALC'!$A$13:$CK$1019,H$6,FALSE)*SUMIF('[1]INPUT_ASSUMPTIONS CALC'!$CL$15:$CL$17,'[1]Summary calculation'!E102,'[1]INPUT_ASSUMPTIONS CALC'!$CM$15:$CM$17)</f>
        <v>0</v>
      </c>
      <c r="J102" s="139">
        <f>$I102*VLOOKUP($A102,'[1]INPUT_ASSUMPTIONS CALC'!$A$13:$CK$1019,I$6,FALSE)*VLOOKUP($A102,'[1]INPUT_ASSUMPTIONS CALC'!$A$13:$CK$1019,J$7,FALSE)</f>
        <v>0</v>
      </c>
      <c r="K102" s="139">
        <f>$I102*VLOOKUP($A102,'[1]INPUT_ASSUMPTIONS CALC'!$A$13:$CK$1019,I$6,FALSE)*VLOOKUP($A102,'[1]INPUT_ASSUMPTIONS CALC'!$A$13:$CK$1019,K$7,FALSE)</f>
        <v>0</v>
      </c>
      <c r="L102" s="139">
        <f>$I102*VLOOKUP($A102,'[1]INPUT_ASSUMPTIONS CALC'!$A$13:$CK$1019,I$6,FALSE)*VLOOKUP($A102,'[1]INPUT_ASSUMPTIONS CALC'!$A$13:$CK$1019,L$7,FALSE)</f>
        <v>0</v>
      </c>
      <c r="M102" s="139">
        <f>$I102*VLOOKUP($A102,'[1]INPUT_ASSUMPTIONS CALC'!$A$13:$CK$1019,I$6,FALSE)*VLOOKUP($A102,'[1]INPUT_ASSUMPTIONS CALC'!$A$13:$CK$1019,M$7,FALSE)</f>
        <v>0</v>
      </c>
      <c r="N102" s="140">
        <f t="shared" si="7"/>
        <v>0</v>
      </c>
      <c r="O102" s="141">
        <f>H102*VLOOKUP($A102,'[1]INPUT_ASSUMPTIONS CALC'!$A$13:$CK$1019,H$6,FALSE)*SUMIF('[1]INPUT_ASSUMPTIONS CALC'!$CQ$15:$CQ$17,'[1]Summary calculation'!E102,'[1]INPUT_ASSUMPTIONS CALC'!$CR$15:$CR$17)</f>
        <v>0</v>
      </c>
      <c r="P102" s="141">
        <f>H102*VLOOKUP($A102,'[1]INPUT_ASSUMPTIONS CALC'!$A$13:$CK$1019,H$6,FALSE)*SUMIF('[1]INPUT_ASSUMPTIONS CALC'!$CV$15:$CV$31,'[1]Summary calculation'!E102,'[1]INPUT_ASSUMPTIONS CALC'!$CW$15:$CW$31)</f>
        <v>0</v>
      </c>
      <c r="Q102" s="141">
        <f>O102*VLOOKUP($A102,'[1]INPUT_ASSUMPTIONS CALC'!$A$13:$CK$1019,Q$7,FALSE)</f>
        <v>0</v>
      </c>
      <c r="R102" s="141">
        <f>P102*VLOOKUP($A102,'[1]INPUT_ASSUMPTIONS CALC'!$A$13:$CK$1019,R$7,FALSE)</f>
        <v>0</v>
      </c>
      <c r="S102" s="140">
        <f t="shared" si="5"/>
        <v>0</v>
      </c>
      <c r="T102" s="142">
        <f t="shared" si="6"/>
        <v>0</v>
      </c>
      <c r="U102" s="61"/>
    </row>
    <row r="103" spans="1:21" x14ac:dyDescent="0.35">
      <c r="A103" s="125" t="str">
        <f t="shared" si="4"/>
        <v>95Q2</v>
      </c>
      <c r="B103" s="135">
        <v>95</v>
      </c>
      <c r="C103" s="61" t="str">
        <f>INDEX('[1]INPUT_ASSUMPTIONS CALC'!D:D,MATCH(A103,'[1]INPUT_ASSUMPTIONS CALC'!A:A,0))</f>
        <v/>
      </c>
      <c r="D103" s="61" t="str">
        <f>INDEX('[1]INPUT_ASSUMPTIONS CALC'!I:I,MATCH(A103,'[1]INPUT_ASSUMPTIONS CALC'!A:A,0))</f>
        <v/>
      </c>
      <c r="E103" s="61" t="str">
        <f>INDEX('[1]INPUT_ASSUMPTIONS CALC'!E:E,MATCH(A103,'[1]INPUT_ASSUMPTIONS CALC'!A:A,0))</f>
        <v/>
      </c>
      <c r="F103" s="136">
        <f>IF($F$5="Q1",VLOOKUP($A103,'[1]INPUT_ASSUMPTIONS CALC'!$A$13:$CK$1019,F$7,FALSE),IF($F$5="Q2",VLOOKUP($A103,'[1]INPUT_ASSUMPTIONS CALC'!$A$13:$CK$1019,F$7,FALSE),IF($F$5="Q3",VLOOKUP($A103,'[1]INPUT_ASSUMPTIONS CALC'!$A$13:$CK$1019,F$7,FALSE),IF($F$5="Q4",VLOOKUP($A103,'[1]INPUT_ASSUMPTIONS CALC'!$A$13:$CK$1019,F$7,FALSE),IF($F$5="Year",VLOOKUP($A103,'[1]INPUT_ASSUMPTIONS CALC'!$A$13:$CK$1019,F$7,FALSE),0)))))</f>
        <v>0</v>
      </c>
      <c r="G103" s="137">
        <f>SUMIF('[1]INPUT_ASSUMPTIONS CALC'!A:A,'[1]Summary calculation'!A103,'[1]INPUT_ASSUMPTIONS CALC'!BU:BU)</f>
        <v>0</v>
      </c>
      <c r="H103" s="138">
        <f>IF($F$5="Year",F103*G103*'[1]INPUT_ASSUMPTIONS CALC'!$S$7,F103*G103)</f>
        <v>0</v>
      </c>
      <c r="I103" s="138">
        <f>H103*VLOOKUP($A103,'[1]INPUT_ASSUMPTIONS CALC'!$A$13:$CK$1019,H$6,FALSE)*SUMIF('[1]INPUT_ASSUMPTIONS CALC'!$CL$15:$CL$17,'[1]Summary calculation'!E103,'[1]INPUT_ASSUMPTIONS CALC'!$CM$15:$CM$17)</f>
        <v>0</v>
      </c>
      <c r="J103" s="139">
        <f>$I103*VLOOKUP($A103,'[1]INPUT_ASSUMPTIONS CALC'!$A$13:$CK$1019,I$6,FALSE)*VLOOKUP($A103,'[1]INPUT_ASSUMPTIONS CALC'!$A$13:$CK$1019,J$7,FALSE)</f>
        <v>0</v>
      </c>
      <c r="K103" s="139">
        <f>$I103*VLOOKUP($A103,'[1]INPUT_ASSUMPTIONS CALC'!$A$13:$CK$1019,I$6,FALSE)*VLOOKUP($A103,'[1]INPUT_ASSUMPTIONS CALC'!$A$13:$CK$1019,K$7,FALSE)</f>
        <v>0</v>
      </c>
      <c r="L103" s="139">
        <f>$I103*VLOOKUP($A103,'[1]INPUT_ASSUMPTIONS CALC'!$A$13:$CK$1019,I$6,FALSE)*VLOOKUP($A103,'[1]INPUT_ASSUMPTIONS CALC'!$A$13:$CK$1019,L$7,FALSE)</f>
        <v>0</v>
      </c>
      <c r="M103" s="139">
        <f>$I103*VLOOKUP($A103,'[1]INPUT_ASSUMPTIONS CALC'!$A$13:$CK$1019,I$6,FALSE)*VLOOKUP($A103,'[1]INPUT_ASSUMPTIONS CALC'!$A$13:$CK$1019,M$7,FALSE)</f>
        <v>0</v>
      </c>
      <c r="N103" s="140">
        <f t="shared" si="7"/>
        <v>0</v>
      </c>
      <c r="O103" s="141">
        <f>H103*VLOOKUP($A103,'[1]INPUT_ASSUMPTIONS CALC'!$A$13:$CK$1019,H$6,FALSE)*SUMIF('[1]INPUT_ASSUMPTIONS CALC'!$CQ$15:$CQ$17,'[1]Summary calculation'!E103,'[1]INPUT_ASSUMPTIONS CALC'!$CR$15:$CR$17)</f>
        <v>0</v>
      </c>
      <c r="P103" s="141">
        <f>H103*VLOOKUP($A103,'[1]INPUT_ASSUMPTIONS CALC'!$A$13:$CK$1019,H$6,FALSE)*SUMIF('[1]INPUT_ASSUMPTIONS CALC'!$CV$15:$CV$31,'[1]Summary calculation'!E103,'[1]INPUT_ASSUMPTIONS CALC'!$CW$15:$CW$31)</f>
        <v>0</v>
      </c>
      <c r="Q103" s="141">
        <f>O103*VLOOKUP($A103,'[1]INPUT_ASSUMPTIONS CALC'!$A$13:$CK$1019,Q$7,FALSE)</f>
        <v>0</v>
      </c>
      <c r="R103" s="141">
        <f>P103*VLOOKUP($A103,'[1]INPUT_ASSUMPTIONS CALC'!$A$13:$CK$1019,R$7,FALSE)</f>
        <v>0</v>
      </c>
      <c r="S103" s="140">
        <f t="shared" si="5"/>
        <v>0</v>
      </c>
      <c r="T103" s="142">
        <f t="shared" si="6"/>
        <v>0</v>
      </c>
      <c r="U103" s="61"/>
    </row>
    <row r="104" spans="1:21" x14ac:dyDescent="0.35">
      <c r="A104" s="125" t="str">
        <f t="shared" si="4"/>
        <v>96Q2</v>
      </c>
      <c r="B104" s="135">
        <v>96</v>
      </c>
      <c r="C104" s="61" t="str">
        <f>INDEX('[1]INPUT_ASSUMPTIONS CALC'!D:D,MATCH(A104,'[1]INPUT_ASSUMPTIONS CALC'!A:A,0))</f>
        <v/>
      </c>
      <c r="D104" s="61" t="str">
        <f>INDEX('[1]INPUT_ASSUMPTIONS CALC'!I:I,MATCH(A104,'[1]INPUT_ASSUMPTIONS CALC'!A:A,0))</f>
        <v/>
      </c>
      <c r="E104" s="61" t="str">
        <f>INDEX('[1]INPUT_ASSUMPTIONS CALC'!E:E,MATCH(A104,'[1]INPUT_ASSUMPTIONS CALC'!A:A,0))</f>
        <v/>
      </c>
      <c r="F104" s="136">
        <f>IF($F$5="Q1",VLOOKUP($A104,'[1]INPUT_ASSUMPTIONS CALC'!$A$13:$CK$1019,F$7,FALSE),IF($F$5="Q2",VLOOKUP($A104,'[1]INPUT_ASSUMPTIONS CALC'!$A$13:$CK$1019,F$7,FALSE),IF($F$5="Q3",VLOOKUP($A104,'[1]INPUT_ASSUMPTIONS CALC'!$A$13:$CK$1019,F$7,FALSE),IF($F$5="Q4",VLOOKUP($A104,'[1]INPUT_ASSUMPTIONS CALC'!$A$13:$CK$1019,F$7,FALSE),IF($F$5="Year",VLOOKUP($A104,'[1]INPUT_ASSUMPTIONS CALC'!$A$13:$CK$1019,F$7,FALSE),0)))))</f>
        <v>0</v>
      </c>
      <c r="G104" s="137">
        <f>SUMIF('[1]INPUT_ASSUMPTIONS CALC'!A:A,'[1]Summary calculation'!A104,'[1]INPUT_ASSUMPTIONS CALC'!BU:BU)</f>
        <v>0</v>
      </c>
      <c r="H104" s="138">
        <f>IF($F$5="Year",F104*G104*'[1]INPUT_ASSUMPTIONS CALC'!$S$7,F104*G104)</f>
        <v>0</v>
      </c>
      <c r="I104" s="138">
        <f>H104*VLOOKUP($A104,'[1]INPUT_ASSUMPTIONS CALC'!$A$13:$CK$1019,H$6,FALSE)*SUMIF('[1]INPUT_ASSUMPTIONS CALC'!$CL$15:$CL$17,'[1]Summary calculation'!E104,'[1]INPUT_ASSUMPTIONS CALC'!$CM$15:$CM$17)</f>
        <v>0</v>
      </c>
      <c r="J104" s="139">
        <f>$I104*VLOOKUP($A104,'[1]INPUT_ASSUMPTIONS CALC'!$A$13:$CK$1019,I$6,FALSE)*VLOOKUP($A104,'[1]INPUT_ASSUMPTIONS CALC'!$A$13:$CK$1019,J$7,FALSE)</f>
        <v>0</v>
      </c>
      <c r="K104" s="139">
        <f>$I104*VLOOKUP($A104,'[1]INPUT_ASSUMPTIONS CALC'!$A$13:$CK$1019,I$6,FALSE)*VLOOKUP($A104,'[1]INPUT_ASSUMPTIONS CALC'!$A$13:$CK$1019,K$7,FALSE)</f>
        <v>0</v>
      </c>
      <c r="L104" s="139">
        <f>$I104*VLOOKUP($A104,'[1]INPUT_ASSUMPTIONS CALC'!$A$13:$CK$1019,I$6,FALSE)*VLOOKUP($A104,'[1]INPUT_ASSUMPTIONS CALC'!$A$13:$CK$1019,L$7,FALSE)</f>
        <v>0</v>
      </c>
      <c r="M104" s="139">
        <f>$I104*VLOOKUP($A104,'[1]INPUT_ASSUMPTIONS CALC'!$A$13:$CK$1019,I$6,FALSE)*VLOOKUP($A104,'[1]INPUT_ASSUMPTIONS CALC'!$A$13:$CK$1019,M$7,FALSE)</f>
        <v>0</v>
      </c>
      <c r="N104" s="140">
        <f t="shared" si="7"/>
        <v>0</v>
      </c>
      <c r="O104" s="141">
        <f>H104*VLOOKUP($A104,'[1]INPUT_ASSUMPTIONS CALC'!$A$13:$CK$1019,H$6,FALSE)*SUMIF('[1]INPUT_ASSUMPTIONS CALC'!$CQ$15:$CQ$17,'[1]Summary calculation'!E104,'[1]INPUT_ASSUMPTIONS CALC'!$CR$15:$CR$17)</f>
        <v>0</v>
      </c>
      <c r="P104" s="141">
        <f>H104*VLOOKUP($A104,'[1]INPUT_ASSUMPTIONS CALC'!$A$13:$CK$1019,H$6,FALSE)*SUMIF('[1]INPUT_ASSUMPTIONS CALC'!$CV$15:$CV$31,'[1]Summary calculation'!E104,'[1]INPUT_ASSUMPTIONS CALC'!$CW$15:$CW$31)</f>
        <v>0</v>
      </c>
      <c r="Q104" s="141">
        <f>O104*VLOOKUP($A104,'[1]INPUT_ASSUMPTIONS CALC'!$A$13:$CK$1019,Q$7,FALSE)</f>
        <v>0</v>
      </c>
      <c r="R104" s="141">
        <f>P104*VLOOKUP($A104,'[1]INPUT_ASSUMPTIONS CALC'!$A$13:$CK$1019,R$7,FALSE)</f>
        <v>0</v>
      </c>
      <c r="S104" s="140">
        <f t="shared" si="5"/>
        <v>0</v>
      </c>
      <c r="T104" s="142">
        <f t="shared" si="6"/>
        <v>0</v>
      </c>
      <c r="U104" s="61"/>
    </row>
    <row r="105" spans="1:21" x14ac:dyDescent="0.35">
      <c r="A105" s="125" t="str">
        <f t="shared" si="4"/>
        <v>97Q2</v>
      </c>
      <c r="B105" s="135">
        <v>97</v>
      </c>
      <c r="C105" s="61" t="str">
        <f>INDEX('[1]INPUT_ASSUMPTIONS CALC'!D:D,MATCH(A105,'[1]INPUT_ASSUMPTIONS CALC'!A:A,0))</f>
        <v/>
      </c>
      <c r="D105" s="61" t="str">
        <f>INDEX('[1]INPUT_ASSUMPTIONS CALC'!I:I,MATCH(A105,'[1]INPUT_ASSUMPTIONS CALC'!A:A,0))</f>
        <v/>
      </c>
      <c r="E105" s="61" t="str">
        <f>INDEX('[1]INPUT_ASSUMPTIONS CALC'!E:E,MATCH(A105,'[1]INPUT_ASSUMPTIONS CALC'!A:A,0))</f>
        <v/>
      </c>
      <c r="F105" s="136">
        <f>IF($F$5="Q1",VLOOKUP($A105,'[1]INPUT_ASSUMPTIONS CALC'!$A$13:$CK$1019,F$7,FALSE),IF($F$5="Q2",VLOOKUP($A105,'[1]INPUT_ASSUMPTIONS CALC'!$A$13:$CK$1019,F$7,FALSE),IF($F$5="Q3",VLOOKUP($A105,'[1]INPUT_ASSUMPTIONS CALC'!$A$13:$CK$1019,F$7,FALSE),IF($F$5="Q4",VLOOKUP($A105,'[1]INPUT_ASSUMPTIONS CALC'!$A$13:$CK$1019,F$7,FALSE),IF($F$5="Year",VLOOKUP($A105,'[1]INPUT_ASSUMPTIONS CALC'!$A$13:$CK$1019,F$7,FALSE),0)))))</f>
        <v>0</v>
      </c>
      <c r="G105" s="137">
        <f>SUMIF('[1]INPUT_ASSUMPTIONS CALC'!A:A,'[1]Summary calculation'!A105,'[1]INPUT_ASSUMPTIONS CALC'!BU:BU)</f>
        <v>0</v>
      </c>
      <c r="H105" s="138">
        <f>IF($F$5="Year",F105*G105*'[1]INPUT_ASSUMPTIONS CALC'!$S$7,F105*G105)</f>
        <v>0</v>
      </c>
      <c r="I105" s="138">
        <f>H105*VLOOKUP($A105,'[1]INPUT_ASSUMPTIONS CALC'!$A$13:$CK$1019,H$6,FALSE)*SUMIF('[1]INPUT_ASSUMPTIONS CALC'!$CL$15:$CL$17,'[1]Summary calculation'!E105,'[1]INPUT_ASSUMPTIONS CALC'!$CM$15:$CM$17)</f>
        <v>0</v>
      </c>
      <c r="J105" s="139">
        <f>$I105*VLOOKUP($A105,'[1]INPUT_ASSUMPTIONS CALC'!$A$13:$CK$1019,I$6,FALSE)*VLOOKUP($A105,'[1]INPUT_ASSUMPTIONS CALC'!$A$13:$CK$1019,J$7,FALSE)</f>
        <v>0</v>
      </c>
      <c r="K105" s="139">
        <f>$I105*VLOOKUP($A105,'[1]INPUT_ASSUMPTIONS CALC'!$A$13:$CK$1019,I$6,FALSE)*VLOOKUP($A105,'[1]INPUT_ASSUMPTIONS CALC'!$A$13:$CK$1019,K$7,FALSE)</f>
        <v>0</v>
      </c>
      <c r="L105" s="139">
        <f>$I105*VLOOKUP($A105,'[1]INPUT_ASSUMPTIONS CALC'!$A$13:$CK$1019,I$6,FALSE)*VLOOKUP($A105,'[1]INPUT_ASSUMPTIONS CALC'!$A$13:$CK$1019,L$7,FALSE)</f>
        <v>0</v>
      </c>
      <c r="M105" s="139">
        <f>$I105*VLOOKUP($A105,'[1]INPUT_ASSUMPTIONS CALC'!$A$13:$CK$1019,I$6,FALSE)*VLOOKUP($A105,'[1]INPUT_ASSUMPTIONS CALC'!$A$13:$CK$1019,M$7,FALSE)</f>
        <v>0</v>
      </c>
      <c r="N105" s="140">
        <f t="shared" si="7"/>
        <v>0</v>
      </c>
      <c r="O105" s="141">
        <f>H105*VLOOKUP($A105,'[1]INPUT_ASSUMPTIONS CALC'!$A$13:$CK$1019,H$6,FALSE)*SUMIF('[1]INPUT_ASSUMPTIONS CALC'!$CQ$15:$CQ$17,'[1]Summary calculation'!E105,'[1]INPUT_ASSUMPTIONS CALC'!$CR$15:$CR$17)</f>
        <v>0</v>
      </c>
      <c r="P105" s="141">
        <f>H105*VLOOKUP($A105,'[1]INPUT_ASSUMPTIONS CALC'!$A$13:$CK$1019,H$6,FALSE)*SUMIF('[1]INPUT_ASSUMPTIONS CALC'!$CV$15:$CV$31,'[1]Summary calculation'!E105,'[1]INPUT_ASSUMPTIONS CALC'!$CW$15:$CW$31)</f>
        <v>0</v>
      </c>
      <c r="Q105" s="141">
        <f>O105*VLOOKUP($A105,'[1]INPUT_ASSUMPTIONS CALC'!$A$13:$CK$1019,Q$7,FALSE)</f>
        <v>0</v>
      </c>
      <c r="R105" s="141">
        <f>P105*VLOOKUP($A105,'[1]INPUT_ASSUMPTIONS CALC'!$A$13:$CK$1019,R$7,FALSE)</f>
        <v>0</v>
      </c>
      <c r="S105" s="140">
        <f t="shared" si="5"/>
        <v>0</v>
      </c>
      <c r="T105" s="142">
        <f t="shared" si="6"/>
        <v>0</v>
      </c>
      <c r="U105" s="61"/>
    </row>
    <row r="106" spans="1:21" x14ac:dyDescent="0.35">
      <c r="A106" s="125" t="str">
        <f t="shared" si="4"/>
        <v>98Q2</v>
      </c>
      <c r="B106" s="135">
        <v>98</v>
      </c>
      <c r="C106" s="61" t="str">
        <f>INDEX('[1]INPUT_ASSUMPTIONS CALC'!D:D,MATCH(A106,'[1]INPUT_ASSUMPTIONS CALC'!A:A,0))</f>
        <v/>
      </c>
      <c r="D106" s="61" t="str">
        <f>INDEX('[1]INPUT_ASSUMPTIONS CALC'!I:I,MATCH(A106,'[1]INPUT_ASSUMPTIONS CALC'!A:A,0))</f>
        <v/>
      </c>
      <c r="E106" s="61" t="str">
        <f>INDEX('[1]INPUT_ASSUMPTIONS CALC'!E:E,MATCH(A106,'[1]INPUT_ASSUMPTIONS CALC'!A:A,0))</f>
        <v/>
      </c>
      <c r="F106" s="136">
        <f>IF($F$5="Q1",VLOOKUP($A106,'[1]INPUT_ASSUMPTIONS CALC'!$A$13:$CK$1019,F$7,FALSE),IF($F$5="Q2",VLOOKUP($A106,'[1]INPUT_ASSUMPTIONS CALC'!$A$13:$CK$1019,F$7,FALSE),IF($F$5="Q3",VLOOKUP($A106,'[1]INPUT_ASSUMPTIONS CALC'!$A$13:$CK$1019,F$7,FALSE),IF($F$5="Q4",VLOOKUP($A106,'[1]INPUT_ASSUMPTIONS CALC'!$A$13:$CK$1019,F$7,FALSE),IF($F$5="Year",VLOOKUP($A106,'[1]INPUT_ASSUMPTIONS CALC'!$A$13:$CK$1019,F$7,FALSE),0)))))</f>
        <v>0</v>
      </c>
      <c r="G106" s="137">
        <f>SUMIF('[1]INPUT_ASSUMPTIONS CALC'!A:A,'[1]Summary calculation'!A106,'[1]INPUT_ASSUMPTIONS CALC'!BU:BU)</f>
        <v>0</v>
      </c>
      <c r="H106" s="138">
        <f>IF($F$5="Year",F106*G106*'[1]INPUT_ASSUMPTIONS CALC'!$S$7,F106*G106)</f>
        <v>0</v>
      </c>
      <c r="I106" s="138">
        <f>H106*VLOOKUP($A106,'[1]INPUT_ASSUMPTIONS CALC'!$A$13:$CK$1019,H$6,FALSE)*SUMIF('[1]INPUT_ASSUMPTIONS CALC'!$CL$15:$CL$17,'[1]Summary calculation'!E106,'[1]INPUT_ASSUMPTIONS CALC'!$CM$15:$CM$17)</f>
        <v>0</v>
      </c>
      <c r="J106" s="139">
        <f>$I106*VLOOKUP($A106,'[1]INPUT_ASSUMPTIONS CALC'!$A$13:$CK$1019,I$6,FALSE)*VLOOKUP($A106,'[1]INPUT_ASSUMPTIONS CALC'!$A$13:$CK$1019,J$7,FALSE)</f>
        <v>0</v>
      </c>
      <c r="K106" s="139">
        <f>$I106*VLOOKUP($A106,'[1]INPUT_ASSUMPTIONS CALC'!$A$13:$CK$1019,I$6,FALSE)*VLOOKUP($A106,'[1]INPUT_ASSUMPTIONS CALC'!$A$13:$CK$1019,K$7,FALSE)</f>
        <v>0</v>
      </c>
      <c r="L106" s="139">
        <f>$I106*VLOOKUP($A106,'[1]INPUT_ASSUMPTIONS CALC'!$A$13:$CK$1019,I$6,FALSE)*VLOOKUP($A106,'[1]INPUT_ASSUMPTIONS CALC'!$A$13:$CK$1019,L$7,FALSE)</f>
        <v>0</v>
      </c>
      <c r="M106" s="139">
        <f>$I106*VLOOKUP($A106,'[1]INPUT_ASSUMPTIONS CALC'!$A$13:$CK$1019,I$6,FALSE)*VLOOKUP($A106,'[1]INPUT_ASSUMPTIONS CALC'!$A$13:$CK$1019,M$7,FALSE)</f>
        <v>0</v>
      </c>
      <c r="N106" s="140">
        <f t="shared" si="7"/>
        <v>0</v>
      </c>
      <c r="O106" s="141">
        <f>H106*VLOOKUP($A106,'[1]INPUT_ASSUMPTIONS CALC'!$A$13:$CK$1019,H$6,FALSE)*SUMIF('[1]INPUT_ASSUMPTIONS CALC'!$CQ$15:$CQ$17,'[1]Summary calculation'!E106,'[1]INPUT_ASSUMPTIONS CALC'!$CR$15:$CR$17)</f>
        <v>0</v>
      </c>
      <c r="P106" s="141">
        <f>H106*VLOOKUP($A106,'[1]INPUT_ASSUMPTIONS CALC'!$A$13:$CK$1019,H$6,FALSE)*SUMIF('[1]INPUT_ASSUMPTIONS CALC'!$CV$15:$CV$31,'[1]Summary calculation'!E106,'[1]INPUT_ASSUMPTIONS CALC'!$CW$15:$CW$31)</f>
        <v>0</v>
      </c>
      <c r="Q106" s="141">
        <f>O106*VLOOKUP($A106,'[1]INPUT_ASSUMPTIONS CALC'!$A$13:$CK$1019,Q$7,FALSE)</f>
        <v>0</v>
      </c>
      <c r="R106" s="141">
        <f>P106*VLOOKUP($A106,'[1]INPUT_ASSUMPTIONS CALC'!$A$13:$CK$1019,R$7,FALSE)</f>
        <v>0</v>
      </c>
      <c r="S106" s="140">
        <f t="shared" si="5"/>
        <v>0</v>
      </c>
      <c r="T106" s="142">
        <f t="shared" si="6"/>
        <v>0</v>
      </c>
      <c r="U106" s="61"/>
    </row>
    <row r="107" spans="1:21" x14ac:dyDescent="0.35">
      <c r="A107" s="125" t="str">
        <f t="shared" si="4"/>
        <v>99Q2</v>
      </c>
      <c r="B107" s="135">
        <v>99</v>
      </c>
      <c r="C107" s="61" t="str">
        <f>INDEX('[1]INPUT_ASSUMPTIONS CALC'!D:D,MATCH(A107,'[1]INPUT_ASSUMPTIONS CALC'!A:A,0))</f>
        <v/>
      </c>
      <c r="D107" s="61" t="str">
        <f>INDEX('[1]INPUT_ASSUMPTIONS CALC'!I:I,MATCH(A107,'[1]INPUT_ASSUMPTIONS CALC'!A:A,0))</f>
        <v/>
      </c>
      <c r="E107" s="61" t="str">
        <f>INDEX('[1]INPUT_ASSUMPTIONS CALC'!E:E,MATCH(A107,'[1]INPUT_ASSUMPTIONS CALC'!A:A,0))</f>
        <v/>
      </c>
      <c r="F107" s="136">
        <f>IF($F$5="Q1",VLOOKUP($A107,'[1]INPUT_ASSUMPTIONS CALC'!$A$13:$CK$1019,F$7,FALSE),IF($F$5="Q2",VLOOKUP($A107,'[1]INPUT_ASSUMPTIONS CALC'!$A$13:$CK$1019,F$7,FALSE),IF($F$5="Q3",VLOOKUP($A107,'[1]INPUT_ASSUMPTIONS CALC'!$A$13:$CK$1019,F$7,FALSE),IF($F$5="Q4",VLOOKUP($A107,'[1]INPUT_ASSUMPTIONS CALC'!$A$13:$CK$1019,F$7,FALSE),IF($F$5="Year",VLOOKUP($A107,'[1]INPUT_ASSUMPTIONS CALC'!$A$13:$CK$1019,F$7,FALSE),0)))))</f>
        <v>0</v>
      </c>
      <c r="G107" s="137">
        <f>SUMIF('[1]INPUT_ASSUMPTIONS CALC'!A:A,'[1]Summary calculation'!A107,'[1]INPUT_ASSUMPTIONS CALC'!BU:BU)</f>
        <v>0</v>
      </c>
      <c r="H107" s="138">
        <f>IF($F$5="Year",F107*G107*'[1]INPUT_ASSUMPTIONS CALC'!$S$7,F107*G107)</f>
        <v>0</v>
      </c>
      <c r="I107" s="138">
        <f>H107*VLOOKUP($A107,'[1]INPUT_ASSUMPTIONS CALC'!$A$13:$CK$1019,H$6,FALSE)*SUMIF('[1]INPUT_ASSUMPTIONS CALC'!$CL$15:$CL$17,'[1]Summary calculation'!E107,'[1]INPUT_ASSUMPTIONS CALC'!$CM$15:$CM$17)</f>
        <v>0</v>
      </c>
      <c r="J107" s="139">
        <f>$I107*VLOOKUP($A107,'[1]INPUT_ASSUMPTIONS CALC'!$A$13:$CK$1019,I$6,FALSE)*VLOOKUP($A107,'[1]INPUT_ASSUMPTIONS CALC'!$A$13:$CK$1019,J$7,FALSE)</f>
        <v>0</v>
      </c>
      <c r="K107" s="139">
        <f>$I107*VLOOKUP($A107,'[1]INPUT_ASSUMPTIONS CALC'!$A$13:$CK$1019,I$6,FALSE)*VLOOKUP($A107,'[1]INPUT_ASSUMPTIONS CALC'!$A$13:$CK$1019,K$7,FALSE)</f>
        <v>0</v>
      </c>
      <c r="L107" s="139">
        <f>$I107*VLOOKUP($A107,'[1]INPUT_ASSUMPTIONS CALC'!$A$13:$CK$1019,I$6,FALSE)*VLOOKUP($A107,'[1]INPUT_ASSUMPTIONS CALC'!$A$13:$CK$1019,L$7,FALSE)</f>
        <v>0</v>
      </c>
      <c r="M107" s="139">
        <f>$I107*VLOOKUP($A107,'[1]INPUT_ASSUMPTIONS CALC'!$A$13:$CK$1019,I$6,FALSE)*VLOOKUP($A107,'[1]INPUT_ASSUMPTIONS CALC'!$A$13:$CK$1019,M$7,FALSE)</f>
        <v>0</v>
      </c>
      <c r="N107" s="140">
        <f t="shared" si="7"/>
        <v>0</v>
      </c>
      <c r="O107" s="141">
        <f>H107*VLOOKUP($A107,'[1]INPUT_ASSUMPTIONS CALC'!$A$13:$CK$1019,H$6,FALSE)*SUMIF('[1]INPUT_ASSUMPTIONS CALC'!$CQ$15:$CQ$17,'[1]Summary calculation'!E107,'[1]INPUT_ASSUMPTIONS CALC'!$CR$15:$CR$17)</f>
        <v>0</v>
      </c>
      <c r="P107" s="141">
        <f>H107*VLOOKUP($A107,'[1]INPUT_ASSUMPTIONS CALC'!$A$13:$CK$1019,H$6,FALSE)*SUMIF('[1]INPUT_ASSUMPTIONS CALC'!$CV$15:$CV$31,'[1]Summary calculation'!E107,'[1]INPUT_ASSUMPTIONS CALC'!$CW$15:$CW$31)</f>
        <v>0</v>
      </c>
      <c r="Q107" s="141">
        <f>O107*VLOOKUP($A107,'[1]INPUT_ASSUMPTIONS CALC'!$A$13:$CK$1019,Q$7,FALSE)</f>
        <v>0</v>
      </c>
      <c r="R107" s="141">
        <f>P107*VLOOKUP($A107,'[1]INPUT_ASSUMPTIONS CALC'!$A$13:$CK$1019,R$7,FALSE)</f>
        <v>0</v>
      </c>
      <c r="S107" s="140">
        <f t="shared" si="5"/>
        <v>0</v>
      </c>
      <c r="T107" s="142">
        <f t="shared" si="6"/>
        <v>0</v>
      </c>
      <c r="U107" s="61"/>
    </row>
    <row r="108" spans="1:21" x14ac:dyDescent="0.35">
      <c r="A108" s="125" t="str">
        <f t="shared" si="4"/>
        <v>100Q2</v>
      </c>
      <c r="B108" s="135">
        <v>100</v>
      </c>
      <c r="C108" s="61" t="str">
        <f>INDEX('[1]INPUT_ASSUMPTIONS CALC'!D:D,MATCH(A108,'[1]INPUT_ASSUMPTIONS CALC'!A:A,0))</f>
        <v/>
      </c>
      <c r="D108" s="61" t="str">
        <f>INDEX('[1]INPUT_ASSUMPTIONS CALC'!I:I,MATCH(A108,'[1]INPUT_ASSUMPTIONS CALC'!A:A,0))</f>
        <v/>
      </c>
      <c r="E108" s="61" t="str">
        <f>INDEX('[1]INPUT_ASSUMPTIONS CALC'!E:E,MATCH(A108,'[1]INPUT_ASSUMPTIONS CALC'!A:A,0))</f>
        <v/>
      </c>
      <c r="F108" s="136">
        <f>IF($F$5="Q1",VLOOKUP($A108,'[1]INPUT_ASSUMPTIONS CALC'!$A$13:$CK$1019,F$7,FALSE),IF($F$5="Q2",VLOOKUP($A108,'[1]INPUT_ASSUMPTIONS CALC'!$A$13:$CK$1019,F$7,FALSE),IF($F$5="Q3",VLOOKUP($A108,'[1]INPUT_ASSUMPTIONS CALC'!$A$13:$CK$1019,F$7,FALSE),IF($F$5="Q4",VLOOKUP($A108,'[1]INPUT_ASSUMPTIONS CALC'!$A$13:$CK$1019,F$7,FALSE),IF($F$5="Year",VLOOKUP($A108,'[1]INPUT_ASSUMPTIONS CALC'!$A$13:$CK$1019,F$7,FALSE),0)))))</f>
        <v>0</v>
      </c>
      <c r="G108" s="137">
        <f>SUMIF('[1]INPUT_ASSUMPTIONS CALC'!A:A,'[1]Summary calculation'!A108,'[1]INPUT_ASSUMPTIONS CALC'!BU:BU)</f>
        <v>0</v>
      </c>
      <c r="H108" s="138">
        <f>IF($F$5="Year",F108*G108*'[1]INPUT_ASSUMPTIONS CALC'!$S$7,F108*G108)</f>
        <v>0</v>
      </c>
      <c r="I108" s="138">
        <f>H108*VLOOKUP($A108,'[1]INPUT_ASSUMPTIONS CALC'!$A$13:$CK$1019,H$6,FALSE)*SUMIF('[1]INPUT_ASSUMPTIONS CALC'!$CL$15:$CL$17,'[1]Summary calculation'!E108,'[1]INPUT_ASSUMPTIONS CALC'!$CM$15:$CM$17)</f>
        <v>0</v>
      </c>
      <c r="J108" s="139">
        <f>$I108*VLOOKUP($A108,'[1]INPUT_ASSUMPTIONS CALC'!$A$13:$CK$1019,I$6,FALSE)*VLOOKUP($A108,'[1]INPUT_ASSUMPTIONS CALC'!$A$13:$CK$1019,J$7,FALSE)</f>
        <v>0</v>
      </c>
      <c r="K108" s="139">
        <f>$I108*VLOOKUP($A108,'[1]INPUT_ASSUMPTIONS CALC'!$A$13:$CK$1019,I$6,FALSE)*VLOOKUP($A108,'[1]INPUT_ASSUMPTIONS CALC'!$A$13:$CK$1019,K$7,FALSE)</f>
        <v>0</v>
      </c>
      <c r="L108" s="139">
        <f>$I108*VLOOKUP($A108,'[1]INPUT_ASSUMPTIONS CALC'!$A$13:$CK$1019,I$6,FALSE)*VLOOKUP($A108,'[1]INPUT_ASSUMPTIONS CALC'!$A$13:$CK$1019,L$7,FALSE)</f>
        <v>0</v>
      </c>
      <c r="M108" s="139">
        <f>$I108*VLOOKUP($A108,'[1]INPUT_ASSUMPTIONS CALC'!$A$13:$CK$1019,I$6,FALSE)*VLOOKUP($A108,'[1]INPUT_ASSUMPTIONS CALC'!$A$13:$CK$1019,M$7,FALSE)</f>
        <v>0</v>
      </c>
      <c r="N108" s="140">
        <f t="shared" si="7"/>
        <v>0</v>
      </c>
      <c r="O108" s="141">
        <f>H108*VLOOKUP($A108,'[1]INPUT_ASSUMPTIONS CALC'!$A$13:$CK$1019,H$6,FALSE)*SUMIF('[1]INPUT_ASSUMPTIONS CALC'!$CQ$15:$CQ$17,'[1]Summary calculation'!E108,'[1]INPUT_ASSUMPTIONS CALC'!$CR$15:$CR$17)</f>
        <v>0</v>
      </c>
      <c r="P108" s="141">
        <f>H108*VLOOKUP($A108,'[1]INPUT_ASSUMPTIONS CALC'!$A$13:$CK$1019,H$6,FALSE)*SUMIF('[1]INPUT_ASSUMPTIONS CALC'!$CV$15:$CV$31,'[1]Summary calculation'!E108,'[1]INPUT_ASSUMPTIONS CALC'!$CW$15:$CW$31)</f>
        <v>0</v>
      </c>
      <c r="Q108" s="141">
        <f>O108*VLOOKUP($A108,'[1]INPUT_ASSUMPTIONS CALC'!$A$13:$CK$1019,Q$7,FALSE)</f>
        <v>0</v>
      </c>
      <c r="R108" s="141">
        <f>P108*VLOOKUP($A108,'[1]INPUT_ASSUMPTIONS CALC'!$A$13:$CK$1019,R$7,FALSE)</f>
        <v>0</v>
      </c>
      <c r="S108" s="140">
        <f t="shared" si="5"/>
        <v>0</v>
      </c>
      <c r="T108" s="142">
        <f t="shared" si="6"/>
        <v>0</v>
      </c>
      <c r="U108" s="61"/>
    </row>
    <row r="109" spans="1:21" x14ac:dyDescent="0.35">
      <c r="A109" s="125" t="str">
        <f t="shared" si="4"/>
        <v>101Q2</v>
      </c>
      <c r="B109" s="135">
        <v>101</v>
      </c>
      <c r="C109" s="61" t="str">
        <f>INDEX('[1]INPUT_ASSUMPTIONS CALC'!D:D,MATCH(A109,'[1]INPUT_ASSUMPTIONS CALC'!A:A,0))</f>
        <v/>
      </c>
      <c r="D109" s="61" t="str">
        <f>INDEX('[1]INPUT_ASSUMPTIONS CALC'!I:I,MATCH(A109,'[1]INPUT_ASSUMPTIONS CALC'!A:A,0))</f>
        <v/>
      </c>
      <c r="E109" s="61" t="str">
        <f>INDEX('[1]INPUT_ASSUMPTIONS CALC'!E:E,MATCH(A109,'[1]INPUT_ASSUMPTIONS CALC'!A:A,0))</f>
        <v/>
      </c>
      <c r="F109" s="136">
        <f>IF($F$5="Q1",VLOOKUP($A109,'[1]INPUT_ASSUMPTIONS CALC'!$A$13:$CK$1019,F$7,FALSE),IF($F$5="Q2",VLOOKUP($A109,'[1]INPUT_ASSUMPTIONS CALC'!$A$13:$CK$1019,F$7,FALSE),IF($F$5="Q3",VLOOKUP($A109,'[1]INPUT_ASSUMPTIONS CALC'!$A$13:$CK$1019,F$7,FALSE),IF($F$5="Q4",VLOOKUP($A109,'[1]INPUT_ASSUMPTIONS CALC'!$A$13:$CK$1019,F$7,FALSE),IF($F$5="Year",VLOOKUP($A109,'[1]INPUT_ASSUMPTIONS CALC'!$A$13:$CK$1019,F$7,FALSE),0)))))</f>
        <v>0</v>
      </c>
      <c r="G109" s="137">
        <f>SUMIF('[1]INPUT_ASSUMPTIONS CALC'!A:A,'[1]Summary calculation'!A109,'[1]INPUT_ASSUMPTIONS CALC'!BU:BU)</f>
        <v>0</v>
      </c>
      <c r="H109" s="138">
        <f>IF($F$5="Year",F109*G109*'[1]INPUT_ASSUMPTIONS CALC'!$S$7,F109*G109)</f>
        <v>0</v>
      </c>
      <c r="I109" s="138">
        <f>H109*VLOOKUP($A109,'[1]INPUT_ASSUMPTIONS CALC'!$A$13:$CK$1019,H$6,FALSE)*SUMIF('[1]INPUT_ASSUMPTIONS CALC'!$CL$15:$CL$17,'[1]Summary calculation'!E109,'[1]INPUT_ASSUMPTIONS CALC'!$CM$15:$CM$17)</f>
        <v>0</v>
      </c>
      <c r="J109" s="139">
        <f>$I109*VLOOKUP($A109,'[1]INPUT_ASSUMPTIONS CALC'!$A$13:$CK$1019,I$6,FALSE)*VLOOKUP($A109,'[1]INPUT_ASSUMPTIONS CALC'!$A$13:$CK$1019,J$7,FALSE)</f>
        <v>0</v>
      </c>
      <c r="K109" s="139">
        <f>$I109*VLOOKUP($A109,'[1]INPUT_ASSUMPTIONS CALC'!$A$13:$CK$1019,I$6,FALSE)*VLOOKUP($A109,'[1]INPUT_ASSUMPTIONS CALC'!$A$13:$CK$1019,K$7,FALSE)</f>
        <v>0</v>
      </c>
      <c r="L109" s="139">
        <f>$I109*VLOOKUP($A109,'[1]INPUT_ASSUMPTIONS CALC'!$A$13:$CK$1019,I$6,FALSE)*VLOOKUP($A109,'[1]INPUT_ASSUMPTIONS CALC'!$A$13:$CK$1019,L$7,FALSE)</f>
        <v>0</v>
      </c>
      <c r="M109" s="139">
        <f>$I109*VLOOKUP($A109,'[1]INPUT_ASSUMPTIONS CALC'!$A$13:$CK$1019,I$6,FALSE)*VLOOKUP($A109,'[1]INPUT_ASSUMPTIONS CALC'!$A$13:$CK$1019,M$7,FALSE)</f>
        <v>0</v>
      </c>
      <c r="N109" s="140">
        <f t="shared" si="7"/>
        <v>0</v>
      </c>
      <c r="O109" s="141">
        <f>H109*VLOOKUP($A109,'[1]INPUT_ASSUMPTIONS CALC'!$A$13:$CK$1019,H$6,FALSE)*SUMIF('[1]INPUT_ASSUMPTIONS CALC'!$CQ$15:$CQ$17,'[1]Summary calculation'!E109,'[1]INPUT_ASSUMPTIONS CALC'!$CR$15:$CR$17)</f>
        <v>0</v>
      </c>
      <c r="P109" s="141">
        <f>H109*VLOOKUP($A109,'[1]INPUT_ASSUMPTIONS CALC'!$A$13:$CK$1019,H$6,FALSE)*SUMIF('[1]INPUT_ASSUMPTIONS CALC'!$CV$15:$CV$31,'[1]Summary calculation'!E109,'[1]INPUT_ASSUMPTIONS CALC'!$CW$15:$CW$31)</f>
        <v>0</v>
      </c>
      <c r="Q109" s="141">
        <f>O109*VLOOKUP($A109,'[1]INPUT_ASSUMPTIONS CALC'!$A$13:$CK$1019,Q$7,FALSE)</f>
        <v>0</v>
      </c>
      <c r="R109" s="141">
        <f>P109*VLOOKUP($A109,'[1]INPUT_ASSUMPTIONS CALC'!$A$13:$CK$1019,R$7,FALSE)</f>
        <v>0</v>
      </c>
      <c r="S109" s="140">
        <f t="shared" si="5"/>
        <v>0</v>
      </c>
      <c r="T109" s="142">
        <f t="shared" si="6"/>
        <v>0</v>
      </c>
      <c r="U109" s="61"/>
    </row>
    <row r="110" spans="1:21" x14ac:dyDescent="0.35">
      <c r="A110" s="125" t="str">
        <f t="shared" si="4"/>
        <v>102Q2</v>
      </c>
      <c r="B110" s="135">
        <v>102</v>
      </c>
      <c r="C110" s="61" t="str">
        <f>INDEX('[1]INPUT_ASSUMPTIONS CALC'!D:D,MATCH(A110,'[1]INPUT_ASSUMPTIONS CALC'!A:A,0))</f>
        <v/>
      </c>
      <c r="D110" s="61" t="str">
        <f>INDEX('[1]INPUT_ASSUMPTIONS CALC'!I:I,MATCH(A110,'[1]INPUT_ASSUMPTIONS CALC'!A:A,0))</f>
        <v/>
      </c>
      <c r="E110" s="61" t="str">
        <f>INDEX('[1]INPUT_ASSUMPTIONS CALC'!E:E,MATCH(A110,'[1]INPUT_ASSUMPTIONS CALC'!A:A,0))</f>
        <v/>
      </c>
      <c r="F110" s="136">
        <f>IF($F$5="Q1",VLOOKUP($A110,'[1]INPUT_ASSUMPTIONS CALC'!$A$13:$CK$1019,F$7,FALSE),IF($F$5="Q2",VLOOKUP($A110,'[1]INPUT_ASSUMPTIONS CALC'!$A$13:$CK$1019,F$7,FALSE),IF($F$5="Q3",VLOOKUP($A110,'[1]INPUT_ASSUMPTIONS CALC'!$A$13:$CK$1019,F$7,FALSE),IF($F$5="Q4",VLOOKUP($A110,'[1]INPUT_ASSUMPTIONS CALC'!$A$13:$CK$1019,F$7,FALSE),IF($F$5="Year",VLOOKUP($A110,'[1]INPUT_ASSUMPTIONS CALC'!$A$13:$CK$1019,F$7,FALSE),0)))))</f>
        <v>0</v>
      </c>
      <c r="G110" s="137">
        <f>SUMIF('[1]INPUT_ASSUMPTIONS CALC'!A:A,'[1]Summary calculation'!A110,'[1]INPUT_ASSUMPTIONS CALC'!BU:BU)</f>
        <v>0</v>
      </c>
      <c r="H110" s="138">
        <f>IF($F$5="Year",F110*G110*'[1]INPUT_ASSUMPTIONS CALC'!$S$7,F110*G110)</f>
        <v>0</v>
      </c>
      <c r="I110" s="138">
        <f>H110*VLOOKUP($A110,'[1]INPUT_ASSUMPTIONS CALC'!$A$13:$CK$1019,H$6,FALSE)*SUMIF('[1]INPUT_ASSUMPTIONS CALC'!$CL$15:$CL$17,'[1]Summary calculation'!E110,'[1]INPUT_ASSUMPTIONS CALC'!$CM$15:$CM$17)</f>
        <v>0</v>
      </c>
      <c r="J110" s="139">
        <f>$I110*VLOOKUP($A110,'[1]INPUT_ASSUMPTIONS CALC'!$A$13:$CK$1019,I$6,FALSE)*VLOOKUP($A110,'[1]INPUT_ASSUMPTIONS CALC'!$A$13:$CK$1019,J$7,FALSE)</f>
        <v>0</v>
      </c>
      <c r="K110" s="139">
        <f>$I110*VLOOKUP($A110,'[1]INPUT_ASSUMPTIONS CALC'!$A$13:$CK$1019,I$6,FALSE)*VLOOKUP($A110,'[1]INPUT_ASSUMPTIONS CALC'!$A$13:$CK$1019,K$7,FALSE)</f>
        <v>0</v>
      </c>
      <c r="L110" s="139">
        <f>$I110*VLOOKUP($A110,'[1]INPUT_ASSUMPTIONS CALC'!$A$13:$CK$1019,I$6,FALSE)*VLOOKUP($A110,'[1]INPUT_ASSUMPTIONS CALC'!$A$13:$CK$1019,L$7,FALSE)</f>
        <v>0</v>
      </c>
      <c r="M110" s="139">
        <f>$I110*VLOOKUP($A110,'[1]INPUT_ASSUMPTIONS CALC'!$A$13:$CK$1019,I$6,FALSE)*VLOOKUP($A110,'[1]INPUT_ASSUMPTIONS CALC'!$A$13:$CK$1019,M$7,FALSE)</f>
        <v>0</v>
      </c>
      <c r="N110" s="140">
        <f t="shared" si="7"/>
        <v>0</v>
      </c>
      <c r="O110" s="141">
        <f>H110*VLOOKUP($A110,'[1]INPUT_ASSUMPTIONS CALC'!$A$13:$CK$1019,H$6,FALSE)*SUMIF('[1]INPUT_ASSUMPTIONS CALC'!$CQ$15:$CQ$17,'[1]Summary calculation'!E110,'[1]INPUT_ASSUMPTIONS CALC'!$CR$15:$CR$17)</f>
        <v>0</v>
      </c>
      <c r="P110" s="141">
        <f>H110*VLOOKUP($A110,'[1]INPUT_ASSUMPTIONS CALC'!$A$13:$CK$1019,H$6,FALSE)*SUMIF('[1]INPUT_ASSUMPTIONS CALC'!$CV$15:$CV$31,'[1]Summary calculation'!E110,'[1]INPUT_ASSUMPTIONS CALC'!$CW$15:$CW$31)</f>
        <v>0</v>
      </c>
      <c r="Q110" s="141">
        <f>O110*VLOOKUP($A110,'[1]INPUT_ASSUMPTIONS CALC'!$A$13:$CK$1019,Q$7,FALSE)</f>
        <v>0</v>
      </c>
      <c r="R110" s="141">
        <f>P110*VLOOKUP($A110,'[1]INPUT_ASSUMPTIONS CALC'!$A$13:$CK$1019,R$7,FALSE)</f>
        <v>0</v>
      </c>
      <c r="S110" s="140">
        <f t="shared" si="5"/>
        <v>0</v>
      </c>
      <c r="T110" s="142">
        <f t="shared" si="6"/>
        <v>0</v>
      </c>
      <c r="U110" s="61"/>
    </row>
    <row r="111" spans="1:21" x14ac:dyDescent="0.35">
      <c r="A111" s="125" t="str">
        <f t="shared" si="4"/>
        <v>103Q2</v>
      </c>
      <c r="B111" s="135">
        <v>103</v>
      </c>
      <c r="C111" s="61" t="str">
        <f>INDEX('[1]INPUT_ASSUMPTIONS CALC'!D:D,MATCH(A111,'[1]INPUT_ASSUMPTIONS CALC'!A:A,0))</f>
        <v/>
      </c>
      <c r="D111" s="61" t="str">
        <f>INDEX('[1]INPUT_ASSUMPTIONS CALC'!I:I,MATCH(A111,'[1]INPUT_ASSUMPTIONS CALC'!A:A,0))</f>
        <v/>
      </c>
      <c r="E111" s="61" t="str">
        <f>INDEX('[1]INPUT_ASSUMPTIONS CALC'!E:E,MATCH(A111,'[1]INPUT_ASSUMPTIONS CALC'!A:A,0))</f>
        <v/>
      </c>
      <c r="F111" s="136">
        <f>IF($F$5="Q1",VLOOKUP($A111,'[1]INPUT_ASSUMPTIONS CALC'!$A$13:$CK$1019,F$7,FALSE),IF($F$5="Q2",VLOOKUP($A111,'[1]INPUT_ASSUMPTIONS CALC'!$A$13:$CK$1019,F$7,FALSE),IF($F$5="Q3",VLOOKUP($A111,'[1]INPUT_ASSUMPTIONS CALC'!$A$13:$CK$1019,F$7,FALSE),IF($F$5="Q4",VLOOKUP($A111,'[1]INPUT_ASSUMPTIONS CALC'!$A$13:$CK$1019,F$7,FALSE),IF($F$5="Year",VLOOKUP($A111,'[1]INPUT_ASSUMPTIONS CALC'!$A$13:$CK$1019,F$7,FALSE),0)))))</f>
        <v>0</v>
      </c>
      <c r="G111" s="137">
        <f>SUMIF('[1]INPUT_ASSUMPTIONS CALC'!A:A,'[1]Summary calculation'!A111,'[1]INPUT_ASSUMPTIONS CALC'!BU:BU)</f>
        <v>0</v>
      </c>
      <c r="H111" s="138">
        <f>IF($F$5="Year",F111*G111*'[1]INPUT_ASSUMPTIONS CALC'!$S$7,F111*G111)</f>
        <v>0</v>
      </c>
      <c r="I111" s="138">
        <f>H111*VLOOKUP($A111,'[1]INPUT_ASSUMPTIONS CALC'!$A$13:$CK$1019,H$6,FALSE)*SUMIF('[1]INPUT_ASSUMPTIONS CALC'!$CL$15:$CL$17,'[1]Summary calculation'!E111,'[1]INPUT_ASSUMPTIONS CALC'!$CM$15:$CM$17)</f>
        <v>0</v>
      </c>
      <c r="J111" s="139">
        <f>$I111*VLOOKUP($A111,'[1]INPUT_ASSUMPTIONS CALC'!$A$13:$CK$1019,I$6,FALSE)*VLOOKUP($A111,'[1]INPUT_ASSUMPTIONS CALC'!$A$13:$CK$1019,J$7,FALSE)</f>
        <v>0</v>
      </c>
      <c r="K111" s="139">
        <f>$I111*VLOOKUP($A111,'[1]INPUT_ASSUMPTIONS CALC'!$A$13:$CK$1019,I$6,FALSE)*VLOOKUP($A111,'[1]INPUT_ASSUMPTIONS CALC'!$A$13:$CK$1019,K$7,FALSE)</f>
        <v>0</v>
      </c>
      <c r="L111" s="139">
        <f>$I111*VLOOKUP($A111,'[1]INPUT_ASSUMPTIONS CALC'!$A$13:$CK$1019,I$6,FALSE)*VLOOKUP($A111,'[1]INPUT_ASSUMPTIONS CALC'!$A$13:$CK$1019,L$7,FALSE)</f>
        <v>0</v>
      </c>
      <c r="M111" s="139">
        <f>$I111*VLOOKUP($A111,'[1]INPUT_ASSUMPTIONS CALC'!$A$13:$CK$1019,I$6,FALSE)*VLOOKUP($A111,'[1]INPUT_ASSUMPTIONS CALC'!$A$13:$CK$1019,M$7,FALSE)</f>
        <v>0</v>
      </c>
      <c r="N111" s="140">
        <f t="shared" si="7"/>
        <v>0</v>
      </c>
      <c r="O111" s="141">
        <f>H111*VLOOKUP($A111,'[1]INPUT_ASSUMPTIONS CALC'!$A$13:$CK$1019,H$6,FALSE)*SUMIF('[1]INPUT_ASSUMPTIONS CALC'!$CQ$15:$CQ$17,'[1]Summary calculation'!E111,'[1]INPUT_ASSUMPTIONS CALC'!$CR$15:$CR$17)</f>
        <v>0</v>
      </c>
      <c r="P111" s="141">
        <f>H111*VLOOKUP($A111,'[1]INPUT_ASSUMPTIONS CALC'!$A$13:$CK$1019,H$6,FALSE)*SUMIF('[1]INPUT_ASSUMPTIONS CALC'!$CV$15:$CV$31,'[1]Summary calculation'!E111,'[1]INPUT_ASSUMPTIONS CALC'!$CW$15:$CW$31)</f>
        <v>0</v>
      </c>
      <c r="Q111" s="141">
        <f>O111*VLOOKUP($A111,'[1]INPUT_ASSUMPTIONS CALC'!$A$13:$CK$1019,Q$7,FALSE)</f>
        <v>0</v>
      </c>
      <c r="R111" s="141">
        <f>P111*VLOOKUP($A111,'[1]INPUT_ASSUMPTIONS CALC'!$A$13:$CK$1019,R$7,FALSE)</f>
        <v>0</v>
      </c>
      <c r="S111" s="140">
        <f t="shared" si="5"/>
        <v>0</v>
      </c>
      <c r="T111" s="142">
        <f t="shared" si="6"/>
        <v>0</v>
      </c>
      <c r="U111" s="61"/>
    </row>
    <row r="112" spans="1:21" x14ac:dyDescent="0.35">
      <c r="A112" s="125" t="str">
        <f t="shared" si="4"/>
        <v>104Q2</v>
      </c>
      <c r="B112" s="135">
        <v>104</v>
      </c>
      <c r="C112" s="61" t="str">
        <f>INDEX('[1]INPUT_ASSUMPTIONS CALC'!D:D,MATCH(A112,'[1]INPUT_ASSUMPTIONS CALC'!A:A,0))</f>
        <v/>
      </c>
      <c r="D112" s="61" t="str">
        <f>INDEX('[1]INPUT_ASSUMPTIONS CALC'!I:I,MATCH(A112,'[1]INPUT_ASSUMPTIONS CALC'!A:A,0))</f>
        <v/>
      </c>
      <c r="E112" s="61" t="str">
        <f>INDEX('[1]INPUT_ASSUMPTIONS CALC'!E:E,MATCH(A112,'[1]INPUT_ASSUMPTIONS CALC'!A:A,0))</f>
        <v/>
      </c>
      <c r="F112" s="136">
        <f>IF($F$5="Q1",VLOOKUP($A112,'[1]INPUT_ASSUMPTIONS CALC'!$A$13:$CK$1019,F$7,FALSE),IF($F$5="Q2",VLOOKUP($A112,'[1]INPUT_ASSUMPTIONS CALC'!$A$13:$CK$1019,F$7,FALSE),IF($F$5="Q3",VLOOKUP($A112,'[1]INPUT_ASSUMPTIONS CALC'!$A$13:$CK$1019,F$7,FALSE),IF($F$5="Q4",VLOOKUP($A112,'[1]INPUT_ASSUMPTIONS CALC'!$A$13:$CK$1019,F$7,FALSE),IF($F$5="Year",VLOOKUP($A112,'[1]INPUT_ASSUMPTIONS CALC'!$A$13:$CK$1019,F$7,FALSE),0)))))</f>
        <v>0</v>
      </c>
      <c r="G112" s="137">
        <f>SUMIF('[1]INPUT_ASSUMPTIONS CALC'!A:A,'[1]Summary calculation'!A112,'[1]INPUT_ASSUMPTIONS CALC'!BU:BU)</f>
        <v>0</v>
      </c>
      <c r="H112" s="138">
        <f>IF($F$5="Year",F112*G112*'[1]INPUT_ASSUMPTIONS CALC'!$S$7,F112*G112)</f>
        <v>0</v>
      </c>
      <c r="I112" s="138">
        <f>H112*VLOOKUP($A112,'[1]INPUT_ASSUMPTIONS CALC'!$A$13:$CK$1019,H$6,FALSE)*SUMIF('[1]INPUT_ASSUMPTIONS CALC'!$CL$15:$CL$17,'[1]Summary calculation'!E112,'[1]INPUT_ASSUMPTIONS CALC'!$CM$15:$CM$17)</f>
        <v>0</v>
      </c>
      <c r="J112" s="139">
        <f>$I112*VLOOKUP($A112,'[1]INPUT_ASSUMPTIONS CALC'!$A$13:$CK$1019,I$6,FALSE)*VLOOKUP($A112,'[1]INPUT_ASSUMPTIONS CALC'!$A$13:$CK$1019,J$7,FALSE)</f>
        <v>0</v>
      </c>
      <c r="K112" s="139">
        <f>$I112*VLOOKUP($A112,'[1]INPUT_ASSUMPTIONS CALC'!$A$13:$CK$1019,I$6,FALSE)*VLOOKUP($A112,'[1]INPUT_ASSUMPTIONS CALC'!$A$13:$CK$1019,K$7,FALSE)</f>
        <v>0</v>
      </c>
      <c r="L112" s="139">
        <f>$I112*VLOOKUP($A112,'[1]INPUT_ASSUMPTIONS CALC'!$A$13:$CK$1019,I$6,FALSE)*VLOOKUP($A112,'[1]INPUT_ASSUMPTIONS CALC'!$A$13:$CK$1019,L$7,FALSE)</f>
        <v>0</v>
      </c>
      <c r="M112" s="139">
        <f>$I112*VLOOKUP($A112,'[1]INPUT_ASSUMPTIONS CALC'!$A$13:$CK$1019,I$6,FALSE)*VLOOKUP($A112,'[1]INPUT_ASSUMPTIONS CALC'!$A$13:$CK$1019,M$7,FALSE)</f>
        <v>0</v>
      </c>
      <c r="N112" s="140">
        <f t="shared" si="7"/>
        <v>0</v>
      </c>
      <c r="O112" s="141">
        <f>H112*VLOOKUP($A112,'[1]INPUT_ASSUMPTIONS CALC'!$A$13:$CK$1019,H$6,FALSE)*SUMIF('[1]INPUT_ASSUMPTIONS CALC'!$CQ$15:$CQ$17,'[1]Summary calculation'!E112,'[1]INPUT_ASSUMPTIONS CALC'!$CR$15:$CR$17)</f>
        <v>0</v>
      </c>
      <c r="P112" s="141">
        <f>H112*VLOOKUP($A112,'[1]INPUT_ASSUMPTIONS CALC'!$A$13:$CK$1019,H$6,FALSE)*SUMIF('[1]INPUT_ASSUMPTIONS CALC'!$CV$15:$CV$31,'[1]Summary calculation'!E112,'[1]INPUT_ASSUMPTIONS CALC'!$CW$15:$CW$31)</f>
        <v>0</v>
      </c>
      <c r="Q112" s="141">
        <f>O112*VLOOKUP($A112,'[1]INPUT_ASSUMPTIONS CALC'!$A$13:$CK$1019,Q$7,FALSE)</f>
        <v>0</v>
      </c>
      <c r="R112" s="141">
        <f>P112*VLOOKUP($A112,'[1]INPUT_ASSUMPTIONS CALC'!$A$13:$CK$1019,R$7,FALSE)</f>
        <v>0</v>
      </c>
      <c r="S112" s="140">
        <f t="shared" si="5"/>
        <v>0</v>
      </c>
      <c r="T112" s="142">
        <f t="shared" si="6"/>
        <v>0</v>
      </c>
      <c r="U112" s="61"/>
    </row>
    <row r="113" spans="1:21" x14ac:dyDescent="0.35">
      <c r="A113" s="125" t="str">
        <f t="shared" si="4"/>
        <v>105Q2</v>
      </c>
      <c r="B113" s="135">
        <v>105</v>
      </c>
      <c r="C113" s="61" t="str">
        <f>INDEX('[1]INPUT_ASSUMPTIONS CALC'!D:D,MATCH(A113,'[1]INPUT_ASSUMPTIONS CALC'!A:A,0))</f>
        <v/>
      </c>
      <c r="D113" s="61" t="str">
        <f>INDEX('[1]INPUT_ASSUMPTIONS CALC'!I:I,MATCH(A113,'[1]INPUT_ASSUMPTIONS CALC'!A:A,0))</f>
        <v/>
      </c>
      <c r="E113" s="61" t="str">
        <f>INDEX('[1]INPUT_ASSUMPTIONS CALC'!E:E,MATCH(A113,'[1]INPUT_ASSUMPTIONS CALC'!A:A,0))</f>
        <v/>
      </c>
      <c r="F113" s="136">
        <f>IF($F$5="Q1",VLOOKUP($A113,'[1]INPUT_ASSUMPTIONS CALC'!$A$13:$CK$1019,F$7,FALSE),IF($F$5="Q2",VLOOKUP($A113,'[1]INPUT_ASSUMPTIONS CALC'!$A$13:$CK$1019,F$7,FALSE),IF($F$5="Q3",VLOOKUP($A113,'[1]INPUT_ASSUMPTIONS CALC'!$A$13:$CK$1019,F$7,FALSE),IF($F$5="Q4",VLOOKUP($A113,'[1]INPUT_ASSUMPTIONS CALC'!$A$13:$CK$1019,F$7,FALSE),IF($F$5="Year",VLOOKUP($A113,'[1]INPUT_ASSUMPTIONS CALC'!$A$13:$CK$1019,F$7,FALSE),0)))))</f>
        <v>0</v>
      </c>
      <c r="G113" s="137">
        <f>SUMIF('[1]INPUT_ASSUMPTIONS CALC'!A:A,'[1]Summary calculation'!A113,'[1]INPUT_ASSUMPTIONS CALC'!BU:BU)</f>
        <v>0</v>
      </c>
      <c r="H113" s="138">
        <f>IF($F$5="Year",F113*G113*'[1]INPUT_ASSUMPTIONS CALC'!$S$7,F113*G113)</f>
        <v>0</v>
      </c>
      <c r="I113" s="138">
        <f>H113*VLOOKUP($A113,'[1]INPUT_ASSUMPTIONS CALC'!$A$13:$CK$1019,H$6,FALSE)*SUMIF('[1]INPUT_ASSUMPTIONS CALC'!$CL$15:$CL$17,'[1]Summary calculation'!E113,'[1]INPUT_ASSUMPTIONS CALC'!$CM$15:$CM$17)</f>
        <v>0</v>
      </c>
      <c r="J113" s="139">
        <f>$I113*VLOOKUP($A113,'[1]INPUT_ASSUMPTIONS CALC'!$A$13:$CK$1019,I$6,FALSE)*VLOOKUP($A113,'[1]INPUT_ASSUMPTIONS CALC'!$A$13:$CK$1019,J$7,FALSE)</f>
        <v>0</v>
      </c>
      <c r="K113" s="139">
        <f>$I113*VLOOKUP($A113,'[1]INPUT_ASSUMPTIONS CALC'!$A$13:$CK$1019,I$6,FALSE)*VLOOKUP($A113,'[1]INPUT_ASSUMPTIONS CALC'!$A$13:$CK$1019,K$7,FALSE)</f>
        <v>0</v>
      </c>
      <c r="L113" s="139">
        <f>$I113*VLOOKUP($A113,'[1]INPUT_ASSUMPTIONS CALC'!$A$13:$CK$1019,I$6,FALSE)*VLOOKUP($A113,'[1]INPUT_ASSUMPTIONS CALC'!$A$13:$CK$1019,L$7,FALSE)</f>
        <v>0</v>
      </c>
      <c r="M113" s="139">
        <f>$I113*VLOOKUP($A113,'[1]INPUT_ASSUMPTIONS CALC'!$A$13:$CK$1019,I$6,FALSE)*VLOOKUP($A113,'[1]INPUT_ASSUMPTIONS CALC'!$A$13:$CK$1019,M$7,FALSE)</f>
        <v>0</v>
      </c>
      <c r="N113" s="140">
        <f t="shared" si="7"/>
        <v>0</v>
      </c>
      <c r="O113" s="141">
        <f>H113*VLOOKUP($A113,'[1]INPUT_ASSUMPTIONS CALC'!$A$13:$CK$1019,H$6,FALSE)*SUMIF('[1]INPUT_ASSUMPTIONS CALC'!$CQ$15:$CQ$17,'[1]Summary calculation'!E113,'[1]INPUT_ASSUMPTIONS CALC'!$CR$15:$CR$17)</f>
        <v>0</v>
      </c>
      <c r="P113" s="141">
        <f>H113*VLOOKUP($A113,'[1]INPUT_ASSUMPTIONS CALC'!$A$13:$CK$1019,H$6,FALSE)*SUMIF('[1]INPUT_ASSUMPTIONS CALC'!$CV$15:$CV$31,'[1]Summary calculation'!E113,'[1]INPUT_ASSUMPTIONS CALC'!$CW$15:$CW$31)</f>
        <v>0</v>
      </c>
      <c r="Q113" s="141">
        <f>O113*VLOOKUP($A113,'[1]INPUT_ASSUMPTIONS CALC'!$A$13:$CK$1019,Q$7,FALSE)</f>
        <v>0</v>
      </c>
      <c r="R113" s="141">
        <f>P113*VLOOKUP($A113,'[1]INPUT_ASSUMPTIONS CALC'!$A$13:$CK$1019,R$7,FALSE)</f>
        <v>0</v>
      </c>
      <c r="S113" s="140">
        <f t="shared" si="5"/>
        <v>0</v>
      </c>
      <c r="T113" s="142">
        <f t="shared" si="6"/>
        <v>0</v>
      </c>
      <c r="U113" s="61"/>
    </row>
    <row r="114" spans="1:21" x14ac:dyDescent="0.35">
      <c r="A114" s="125" t="str">
        <f t="shared" si="4"/>
        <v>106Q2</v>
      </c>
      <c r="B114" s="135">
        <v>106</v>
      </c>
      <c r="C114" s="61" t="str">
        <f>INDEX('[1]INPUT_ASSUMPTIONS CALC'!D:D,MATCH(A114,'[1]INPUT_ASSUMPTIONS CALC'!A:A,0))</f>
        <v/>
      </c>
      <c r="D114" s="61" t="str">
        <f>INDEX('[1]INPUT_ASSUMPTIONS CALC'!I:I,MATCH(A114,'[1]INPUT_ASSUMPTIONS CALC'!A:A,0))</f>
        <v/>
      </c>
      <c r="E114" s="61" t="str">
        <f>INDEX('[1]INPUT_ASSUMPTIONS CALC'!E:E,MATCH(A114,'[1]INPUT_ASSUMPTIONS CALC'!A:A,0))</f>
        <v/>
      </c>
      <c r="F114" s="136">
        <f>IF($F$5="Q1",VLOOKUP($A114,'[1]INPUT_ASSUMPTIONS CALC'!$A$13:$CK$1019,F$7,FALSE),IF($F$5="Q2",VLOOKUP($A114,'[1]INPUT_ASSUMPTIONS CALC'!$A$13:$CK$1019,F$7,FALSE),IF($F$5="Q3",VLOOKUP($A114,'[1]INPUT_ASSUMPTIONS CALC'!$A$13:$CK$1019,F$7,FALSE),IF($F$5="Q4",VLOOKUP($A114,'[1]INPUT_ASSUMPTIONS CALC'!$A$13:$CK$1019,F$7,FALSE),IF($F$5="Year",VLOOKUP($A114,'[1]INPUT_ASSUMPTIONS CALC'!$A$13:$CK$1019,F$7,FALSE),0)))))</f>
        <v>0</v>
      </c>
      <c r="G114" s="137">
        <f>SUMIF('[1]INPUT_ASSUMPTIONS CALC'!A:A,'[1]Summary calculation'!A114,'[1]INPUT_ASSUMPTIONS CALC'!BU:BU)</f>
        <v>0</v>
      </c>
      <c r="H114" s="138">
        <f>IF($F$5="Year",F114*G114*'[1]INPUT_ASSUMPTIONS CALC'!$S$7,F114*G114)</f>
        <v>0</v>
      </c>
      <c r="I114" s="138">
        <f>H114*VLOOKUP($A114,'[1]INPUT_ASSUMPTIONS CALC'!$A$13:$CK$1019,H$6,FALSE)*SUMIF('[1]INPUT_ASSUMPTIONS CALC'!$CL$15:$CL$17,'[1]Summary calculation'!E114,'[1]INPUT_ASSUMPTIONS CALC'!$CM$15:$CM$17)</f>
        <v>0</v>
      </c>
      <c r="J114" s="139">
        <f>$I114*VLOOKUP($A114,'[1]INPUT_ASSUMPTIONS CALC'!$A$13:$CK$1019,I$6,FALSE)*VLOOKUP($A114,'[1]INPUT_ASSUMPTIONS CALC'!$A$13:$CK$1019,J$7,FALSE)</f>
        <v>0</v>
      </c>
      <c r="K114" s="139">
        <f>$I114*VLOOKUP($A114,'[1]INPUT_ASSUMPTIONS CALC'!$A$13:$CK$1019,I$6,FALSE)*VLOOKUP($A114,'[1]INPUT_ASSUMPTIONS CALC'!$A$13:$CK$1019,K$7,FALSE)</f>
        <v>0</v>
      </c>
      <c r="L114" s="139">
        <f>$I114*VLOOKUP($A114,'[1]INPUT_ASSUMPTIONS CALC'!$A$13:$CK$1019,I$6,FALSE)*VLOOKUP($A114,'[1]INPUT_ASSUMPTIONS CALC'!$A$13:$CK$1019,L$7,FALSE)</f>
        <v>0</v>
      </c>
      <c r="M114" s="139">
        <f>$I114*VLOOKUP($A114,'[1]INPUT_ASSUMPTIONS CALC'!$A$13:$CK$1019,I$6,FALSE)*VLOOKUP($A114,'[1]INPUT_ASSUMPTIONS CALC'!$A$13:$CK$1019,M$7,FALSE)</f>
        <v>0</v>
      </c>
      <c r="N114" s="140">
        <f t="shared" si="7"/>
        <v>0</v>
      </c>
      <c r="O114" s="141">
        <f>H114*VLOOKUP($A114,'[1]INPUT_ASSUMPTIONS CALC'!$A$13:$CK$1019,H$6,FALSE)*SUMIF('[1]INPUT_ASSUMPTIONS CALC'!$CQ$15:$CQ$17,'[1]Summary calculation'!E114,'[1]INPUT_ASSUMPTIONS CALC'!$CR$15:$CR$17)</f>
        <v>0</v>
      </c>
      <c r="P114" s="141">
        <f>H114*VLOOKUP($A114,'[1]INPUT_ASSUMPTIONS CALC'!$A$13:$CK$1019,H$6,FALSE)*SUMIF('[1]INPUT_ASSUMPTIONS CALC'!$CV$15:$CV$31,'[1]Summary calculation'!E114,'[1]INPUT_ASSUMPTIONS CALC'!$CW$15:$CW$31)</f>
        <v>0</v>
      </c>
      <c r="Q114" s="141">
        <f>O114*VLOOKUP($A114,'[1]INPUT_ASSUMPTIONS CALC'!$A$13:$CK$1019,Q$7,FALSE)</f>
        <v>0</v>
      </c>
      <c r="R114" s="141">
        <f>P114*VLOOKUP($A114,'[1]INPUT_ASSUMPTIONS CALC'!$A$13:$CK$1019,R$7,FALSE)</f>
        <v>0</v>
      </c>
      <c r="S114" s="140">
        <f t="shared" si="5"/>
        <v>0</v>
      </c>
      <c r="T114" s="142">
        <f t="shared" si="6"/>
        <v>0</v>
      </c>
      <c r="U114" s="61"/>
    </row>
    <row r="115" spans="1:21" x14ac:dyDescent="0.35">
      <c r="A115" s="125" t="str">
        <f t="shared" si="4"/>
        <v>107Q2</v>
      </c>
      <c r="B115" s="135">
        <v>107</v>
      </c>
      <c r="C115" s="61" t="str">
        <f>INDEX('[1]INPUT_ASSUMPTIONS CALC'!D:D,MATCH(A115,'[1]INPUT_ASSUMPTIONS CALC'!A:A,0))</f>
        <v/>
      </c>
      <c r="D115" s="61" t="str">
        <f>INDEX('[1]INPUT_ASSUMPTIONS CALC'!I:I,MATCH(A115,'[1]INPUT_ASSUMPTIONS CALC'!A:A,0))</f>
        <v/>
      </c>
      <c r="E115" s="61" t="str">
        <f>INDEX('[1]INPUT_ASSUMPTIONS CALC'!E:E,MATCH(A115,'[1]INPUT_ASSUMPTIONS CALC'!A:A,0))</f>
        <v/>
      </c>
      <c r="F115" s="136">
        <f>IF($F$5="Q1",VLOOKUP($A115,'[1]INPUT_ASSUMPTIONS CALC'!$A$13:$CK$1019,F$7,FALSE),IF($F$5="Q2",VLOOKUP($A115,'[1]INPUT_ASSUMPTIONS CALC'!$A$13:$CK$1019,F$7,FALSE),IF($F$5="Q3",VLOOKUP($A115,'[1]INPUT_ASSUMPTIONS CALC'!$A$13:$CK$1019,F$7,FALSE),IF($F$5="Q4",VLOOKUP($A115,'[1]INPUT_ASSUMPTIONS CALC'!$A$13:$CK$1019,F$7,FALSE),IF($F$5="Year",VLOOKUP($A115,'[1]INPUT_ASSUMPTIONS CALC'!$A$13:$CK$1019,F$7,FALSE),0)))))</f>
        <v>0</v>
      </c>
      <c r="G115" s="137">
        <f>SUMIF('[1]INPUT_ASSUMPTIONS CALC'!A:A,'[1]Summary calculation'!A115,'[1]INPUT_ASSUMPTIONS CALC'!BU:BU)</f>
        <v>0</v>
      </c>
      <c r="H115" s="138">
        <f>IF($F$5="Year",F115*G115*'[1]INPUT_ASSUMPTIONS CALC'!$S$7,F115*G115)</f>
        <v>0</v>
      </c>
      <c r="I115" s="138">
        <f>H115*VLOOKUP($A115,'[1]INPUT_ASSUMPTIONS CALC'!$A$13:$CK$1019,H$6,FALSE)*SUMIF('[1]INPUT_ASSUMPTIONS CALC'!$CL$15:$CL$17,'[1]Summary calculation'!E115,'[1]INPUT_ASSUMPTIONS CALC'!$CM$15:$CM$17)</f>
        <v>0</v>
      </c>
      <c r="J115" s="139">
        <f>$I115*VLOOKUP($A115,'[1]INPUT_ASSUMPTIONS CALC'!$A$13:$CK$1019,I$6,FALSE)*VLOOKUP($A115,'[1]INPUT_ASSUMPTIONS CALC'!$A$13:$CK$1019,J$7,FALSE)</f>
        <v>0</v>
      </c>
      <c r="K115" s="139">
        <f>$I115*VLOOKUP($A115,'[1]INPUT_ASSUMPTIONS CALC'!$A$13:$CK$1019,I$6,FALSE)*VLOOKUP($A115,'[1]INPUT_ASSUMPTIONS CALC'!$A$13:$CK$1019,K$7,FALSE)</f>
        <v>0</v>
      </c>
      <c r="L115" s="139">
        <f>$I115*VLOOKUP($A115,'[1]INPUT_ASSUMPTIONS CALC'!$A$13:$CK$1019,I$6,FALSE)*VLOOKUP($A115,'[1]INPUT_ASSUMPTIONS CALC'!$A$13:$CK$1019,L$7,FALSE)</f>
        <v>0</v>
      </c>
      <c r="M115" s="139">
        <f>$I115*VLOOKUP($A115,'[1]INPUT_ASSUMPTIONS CALC'!$A$13:$CK$1019,I$6,FALSE)*VLOOKUP($A115,'[1]INPUT_ASSUMPTIONS CALC'!$A$13:$CK$1019,M$7,FALSE)</f>
        <v>0</v>
      </c>
      <c r="N115" s="140">
        <f t="shared" si="7"/>
        <v>0</v>
      </c>
      <c r="O115" s="141">
        <f>H115*VLOOKUP($A115,'[1]INPUT_ASSUMPTIONS CALC'!$A$13:$CK$1019,H$6,FALSE)*SUMIF('[1]INPUT_ASSUMPTIONS CALC'!$CQ$15:$CQ$17,'[1]Summary calculation'!E115,'[1]INPUT_ASSUMPTIONS CALC'!$CR$15:$CR$17)</f>
        <v>0</v>
      </c>
      <c r="P115" s="141">
        <f>H115*VLOOKUP($A115,'[1]INPUT_ASSUMPTIONS CALC'!$A$13:$CK$1019,H$6,FALSE)*SUMIF('[1]INPUT_ASSUMPTIONS CALC'!$CV$15:$CV$31,'[1]Summary calculation'!E115,'[1]INPUT_ASSUMPTIONS CALC'!$CW$15:$CW$31)</f>
        <v>0</v>
      </c>
      <c r="Q115" s="141">
        <f>O115*VLOOKUP($A115,'[1]INPUT_ASSUMPTIONS CALC'!$A$13:$CK$1019,Q$7,FALSE)</f>
        <v>0</v>
      </c>
      <c r="R115" s="141">
        <f>P115*VLOOKUP($A115,'[1]INPUT_ASSUMPTIONS CALC'!$A$13:$CK$1019,R$7,FALSE)</f>
        <v>0</v>
      </c>
      <c r="S115" s="140">
        <f t="shared" si="5"/>
        <v>0</v>
      </c>
      <c r="T115" s="142">
        <f t="shared" si="6"/>
        <v>0</v>
      </c>
      <c r="U115" s="61"/>
    </row>
    <row r="116" spans="1:21" x14ac:dyDescent="0.35">
      <c r="A116" s="125" t="str">
        <f t="shared" si="4"/>
        <v>108Q2</v>
      </c>
      <c r="B116" s="135">
        <v>108</v>
      </c>
      <c r="C116" s="61" t="str">
        <f>INDEX('[1]INPUT_ASSUMPTIONS CALC'!D:D,MATCH(A116,'[1]INPUT_ASSUMPTIONS CALC'!A:A,0))</f>
        <v/>
      </c>
      <c r="D116" s="61" t="str">
        <f>INDEX('[1]INPUT_ASSUMPTIONS CALC'!I:I,MATCH(A116,'[1]INPUT_ASSUMPTIONS CALC'!A:A,0))</f>
        <v/>
      </c>
      <c r="E116" s="61" t="str">
        <f>INDEX('[1]INPUT_ASSUMPTIONS CALC'!E:E,MATCH(A116,'[1]INPUT_ASSUMPTIONS CALC'!A:A,0))</f>
        <v/>
      </c>
      <c r="F116" s="136">
        <f>IF($F$5="Q1",VLOOKUP($A116,'[1]INPUT_ASSUMPTIONS CALC'!$A$13:$CK$1019,F$7,FALSE),IF($F$5="Q2",VLOOKUP($A116,'[1]INPUT_ASSUMPTIONS CALC'!$A$13:$CK$1019,F$7,FALSE),IF($F$5="Q3",VLOOKUP($A116,'[1]INPUT_ASSUMPTIONS CALC'!$A$13:$CK$1019,F$7,FALSE),IF($F$5="Q4",VLOOKUP($A116,'[1]INPUT_ASSUMPTIONS CALC'!$A$13:$CK$1019,F$7,FALSE),IF($F$5="Year",VLOOKUP($A116,'[1]INPUT_ASSUMPTIONS CALC'!$A$13:$CK$1019,F$7,FALSE),0)))))</f>
        <v>0</v>
      </c>
      <c r="G116" s="137">
        <f>SUMIF('[1]INPUT_ASSUMPTIONS CALC'!A:A,'[1]Summary calculation'!A116,'[1]INPUT_ASSUMPTIONS CALC'!BU:BU)</f>
        <v>0</v>
      </c>
      <c r="H116" s="138">
        <f>IF($F$5="Year",F116*G116*'[1]INPUT_ASSUMPTIONS CALC'!$S$7,F116*G116)</f>
        <v>0</v>
      </c>
      <c r="I116" s="138">
        <f>H116*VLOOKUP($A116,'[1]INPUT_ASSUMPTIONS CALC'!$A$13:$CK$1019,H$6,FALSE)*SUMIF('[1]INPUT_ASSUMPTIONS CALC'!$CL$15:$CL$17,'[1]Summary calculation'!E116,'[1]INPUT_ASSUMPTIONS CALC'!$CM$15:$CM$17)</f>
        <v>0</v>
      </c>
      <c r="J116" s="139">
        <f>$I116*VLOOKUP($A116,'[1]INPUT_ASSUMPTIONS CALC'!$A$13:$CK$1019,I$6,FALSE)*VLOOKUP($A116,'[1]INPUT_ASSUMPTIONS CALC'!$A$13:$CK$1019,J$7,FALSE)</f>
        <v>0</v>
      </c>
      <c r="K116" s="139">
        <f>$I116*VLOOKUP($A116,'[1]INPUT_ASSUMPTIONS CALC'!$A$13:$CK$1019,I$6,FALSE)*VLOOKUP($A116,'[1]INPUT_ASSUMPTIONS CALC'!$A$13:$CK$1019,K$7,FALSE)</f>
        <v>0</v>
      </c>
      <c r="L116" s="139">
        <f>$I116*VLOOKUP($A116,'[1]INPUT_ASSUMPTIONS CALC'!$A$13:$CK$1019,I$6,FALSE)*VLOOKUP($A116,'[1]INPUT_ASSUMPTIONS CALC'!$A$13:$CK$1019,L$7,FALSE)</f>
        <v>0</v>
      </c>
      <c r="M116" s="139">
        <f>$I116*VLOOKUP($A116,'[1]INPUT_ASSUMPTIONS CALC'!$A$13:$CK$1019,I$6,FALSE)*VLOOKUP($A116,'[1]INPUT_ASSUMPTIONS CALC'!$A$13:$CK$1019,M$7,FALSE)</f>
        <v>0</v>
      </c>
      <c r="N116" s="140">
        <f t="shared" si="7"/>
        <v>0</v>
      </c>
      <c r="O116" s="141">
        <f>H116*VLOOKUP($A116,'[1]INPUT_ASSUMPTIONS CALC'!$A$13:$CK$1019,H$6,FALSE)*SUMIF('[1]INPUT_ASSUMPTIONS CALC'!$CQ$15:$CQ$17,'[1]Summary calculation'!E116,'[1]INPUT_ASSUMPTIONS CALC'!$CR$15:$CR$17)</f>
        <v>0</v>
      </c>
      <c r="P116" s="141">
        <f>H116*VLOOKUP($A116,'[1]INPUT_ASSUMPTIONS CALC'!$A$13:$CK$1019,H$6,FALSE)*SUMIF('[1]INPUT_ASSUMPTIONS CALC'!$CV$15:$CV$31,'[1]Summary calculation'!E116,'[1]INPUT_ASSUMPTIONS CALC'!$CW$15:$CW$31)</f>
        <v>0</v>
      </c>
      <c r="Q116" s="141">
        <f>O116*VLOOKUP($A116,'[1]INPUT_ASSUMPTIONS CALC'!$A$13:$CK$1019,Q$7,FALSE)</f>
        <v>0</v>
      </c>
      <c r="R116" s="141">
        <f>P116*VLOOKUP($A116,'[1]INPUT_ASSUMPTIONS CALC'!$A$13:$CK$1019,R$7,FALSE)</f>
        <v>0</v>
      </c>
      <c r="S116" s="140">
        <f t="shared" si="5"/>
        <v>0</v>
      </c>
      <c r="T116" s="142">
        <f t="shared" si="6"/>
        <v>0</v>
      </c>
      <c r="U116" s="61"/>
    </row>
    <row r="117" spans="1:21" x14ac:dyDescent="0.35">
      <c r="A117" s="125" t="str">
        <f t="shared" si="4"/>
        <v>109Q2</v>
      </c>
      <c r="B117" s="135">
        <v>109</v>
      </c>
      <c r="C117" s="61" t="str">
        <f>INDEX('[1]INPUT_ASSUMPTIONS CALC'!D:D,MATCH(A117,'[1]INPUT_ASSUMPTIONS CALC'!A:A,0))</f>
        <v/>
      </c>
      <c r="D117" s="61" t="str">
        <f>INDEX('[1]INPUT_ASSUMPTIONS CALC'!I:I,MATCH(A117,'[1]INPUT_ASSUMPTIONS CALC'!A:A,0))</f>
        <v/>
      </c>
      <c r="E117" s="61" t="str">
        <f>INDEX('[1]INPUT_ASSUMPTIONS CALC'!E:E,MATCH(A117,'[1]INPUT_ASSUMPTIONS CALC'!A:A,0))</f>
        <v/>
      </c>
      <c r="F117" s="136">
        <f>IF($F$5="Q1",VLOOKUP($A117,'[1]INPUT_ASSUMPTIONS CALC'!$A$13:$CK$1019,F$7,FALSE),IF($F$5="Q2",VLOOKUP($A117,'[1]INPUT_ASSUMPTIONS CALC'!$A$13:$CK$1019,F$7,FALSE),IF($F$5="Q3",VLOOKUP($A117,'[1]INPUT_ASSUMPTIONS CALC'!$A$13:$CK$1019,F$7,FALSE),IF($F$5="Q4",VLOOKUP($A117,'[1]INPUT_ASSUMPTIONS CALC'!$A$13:$CK$1019,F$7,FALSE),IF($F$5="Year",VLOOKUP($A117,'[1]INPUT_ASSUMPTIONS CALC'!$A$13:$CK$1019,F$7,FALSE),0)))))</f>
        <v>0</v>
      </c>
      <c r="G117" s="137">
        <f>SUMIF('[1]INPUT_ASSUMPTIONS CALC'!A:A,'[1]Summary calculation'!A117,'[1]INPUT_ASSUMPTIONS CALC'!BU:BU)</f>
        <v>0</v>
      </c>
      <c r="H117" s="138">
        <f>IF($F$5="Year",F117*G117*'[1]INPUT_ASSUMPTIONS CALC'!$S$7,F117*G117)</f>
        <v>0</v>
      </c>
      <c r="I117" s="138">
        <f>H117*VLOOKUP($A117,'[1]INPUT_ASSUMPTIONS CALC'!$A$13:$CK$1019,H$6,FALSE)*SUMIF('[1]INPUT_ASSUMPTIONS CALC'!$CL$15:$CL$17,'[1]Summary calculation'!E117,'[1]INPUT_ASSUMPTIONS CALC'!$CM$15:$CM$17)</f>
        <v>0</v>
      </c>
      <c r="J117" s="139">
        <f>$I117*VLOOKUP($A117,'[1]INPUT_ASSUMPTIONS CALC'!$A$13:$CK$1019,I$6,FALSE)*VLOOKUP($A117,'[1]INPUT_ASSUMPTIONS CALC'!$A$13:$CK$1019,J$7,FALSE)</f>
        <v>0</v>
      </c>
      <c r="K117" s="139">
        <f>$I117*VLOOKUP($A117,'[1]INPUT_ASSUMPTIONS CALC'!$A$13:$CK$1019,I$6,FALSE)*VLOOKUP($A117,'[1]INPUT_ASSUMPTIONS CALC'!$A$13:$CK$1019,K$7,FALSE)</f>
        <v>0</v>
      </c>
      <c r="L117" s="139">
        <f>$I117*VLOOKUP($A117,'[1]INPUT_ASSUMPTIONS CALC'!$A$13:$CK$1019,I$6,FALSE)*VLOOKUP($A117,'[1]INPUT_ASSUMPTIONS CALC'!$A$13:$CK$1019,L$7,FALSE)</f>
        <v>0</v>
      </c>
      <c r="M117" s="139">
        <f>$I117*VLOOKUP($A117,'[1]INPUT_ASSUMPTIONS CALC'!$A$13:$CK$1019,I$6,FALSE)*VLOOKUP($A117,'[1]INPUT_ASSUMPTIONS CALC'!$A$13:$CK$1019,M$7,FALSE)</f>
        <v>0</v>
      </c>
      <c r="N117" s="140">
        <f t="shared" si="7"/>
        <v>0</v>
      </c>
      <c r="O117" s="141">
        <f>H117*VLOOKUP($A117,'[1]INPUT_ASSUMPTIONS CALC'!$A$13:$CK$1019,H$6,FALSE)*SUMIF('[1]INPUT_ASSUMPTIONS CALC'!$CQ$15:$CQ$17,'[1]Summary calculation'!E117,'[1]INPUT_ASSUMPTIONS CALC'!$CR$15:$CR$17)</f>
        <v>0</v>
      </c>
      <c r="P117" s="141">
        <f>H117*VLOOKUP($A117,'[1]INPUT_ASSUMPTIONS CALC'!$A$13:$CK$1019,H$6,FALSE)*SUMIF('[1]INPUT_ASSUMPTIONS CALC'!$CV$15:$CV$31,'[1]Summary calculation'!E117,'[1]INPUT_ASSUMPTIONS CALC'!$CW$15:$CW$31)</f>
        <v>0</v>
      </c>
      <c r="Q117" s="141">
        <f>O117*VLOOKUP($A117,'[1]INPUT_ASSUMPTIONS CALC'!$A$13:$CK$1019,Q$7,FALSE)</f>
        <v>0</v>
      </c>
      <c r="R117" s="141">
        <f>P117*VLOOKUP($A117,'[1]INPUT_ASSUMPTIONS CALC'!$A$13:$CK$1019,R$7,FALSE)</f>
        <v>0</v>
      </c>
      <c r="S117" s="140">
        <f t="shared" si="5"/>
        <v>0</v>
      </c>
      <c r="T117" s="142">
        <f t="shared" si="6"/>
        <v>0</v>
      </c>
      <c r="U117" s="61"/>
    </row>
    <row r="118" spans="1:21" x14ac:dyDescent="0.35">
      <c r="A118" s="125" t="str">
        <f t="shared" si="4"/>
        <v>110Q2</v>
      </c>
      <c r="B118" s="135">
        <v>110</v>
      </c>
      <c r="C118" s="61" t="str">
        <f>INDEX('[1]INPUT_ASSUMPTIONS CALC'!D:D,MATCH(A118,'[1]INPUT_ASSUMPTIONS CALC'!A:A,0))</f>
        <v/>
      </c>
      <c r="D118" s="61" t="str">
        <f>INDEX('[1]INPUT_ASSUMPTIONS CALC'!I:I,MATCH(A118,'[1]INPUT_ASSUMPTIONS CALC'!A:A,0))</f>
        <v/>
      </c>
      <c r="E118" s="61" t="str">
        <f>INDEX('[1]INPUT_ASSUMPTIONS CALC'!E:E,MATCH(A118,'[1]INPUT_ASSUMPTIONS CALC'!A:A,0))</f>
        <v/>
      </c>
      <c r="F118" s="136">
        <f>IF($F$5="Q1",VLOOKUP($A118,'[1]INPUT_ASSUMPTIONS CALC'!$A$13:$CK$1019,F$7,FALSE),IF($F$5="Q2",VLOOKUP($A118,'[1]INPUT_ASSUMPTIONS CALC'!$A$13:$CK$1019,F$7,FALSE),IF($F$5="Q3",VLOOKUP($A118,'[1]INPUT_ASSUMPTIONS CALC'!$A$13:$CK$1019,F$7,FALSE),IF($F$5="Q4",VLOOKUP($A118,'[1]INPUT_ASSUMPTIONS CALC'!$A$13:$CK$1019,F$7,FALSE),IF($F$5="Year",VLOOKUP($A118,'[1]INPUT_ASSUMPTIONS CALC'!$A$13:$CK$1019,F$7,FALSE),0)))))</f>
        <v>0</v>
      </c>
      <c r="G118" s="137">
        <f>SUMIF('[1]INPUT_ASSUMPTIONS CALC'!A:A,'[1]Summary calculation'!A118,'[1]INPUT_ASSUMPTIONS CALC'!BU:BU)</f>
        <v>0</v>
      </c>
      <c r="H118" s="138">
        <f>IF($F$5="Year",F118*G118*'[1]INPUT_ASSUMPTIONS CALC'!$S$7,F118*G118)</f>
        <v>0</v>
      </c>
      <c r="I118" s="138">
        <f>H118*VLOOKUP($A118,'[1]INPUT_ASSUMPTIONS CALC'!$A$13:$CK$1019,H$6,FALSE)*SUMIF('[1]INPUT_ASSUMPTIONS CALC'!$CL$15:$CL$17,'[1]Summary calculation'!E118,'[1]INPUT_ASSUMPTIONS CALC'!$CM$15:$CM$17)</f>
        <v>0</v>
      </c>
      <c r="J118" s="139">
        <f>$I118*VLOOKUP($A118,'[1]INPUT_ASSUMPTIONS CALC'!$A$13:$CK$1019,I$6,FALSE)*VLOOKUP($A118,'[1]INPUT_ASSUMPTIONS CALC'!$A$13:$CK$1019,J$7,FALSE)</f>
        <v>0</v>
      </c>
      <c r="K118" s="139">
        <f>$I118*VLOOKUP($A118,'[1]INPUT_ASSUMPTIONS CALC'!$A$13:$CK$1019,I$6,FALSE)*VLOOKUP($A118,'[1]INPUT_ASSUMPTIONS CALC'!$A$13:$CK$1019,K$7,FALSE)</f>
        <v>0</v>
      </c>
      <c r="L118" s="139">
        <f>$I118*VLOOKUP($A118,'[1]INPUT_ASSUMPTIONS CALC'!$A$13:$CK$1019,I$6,FALSE)*VLOOKUP($A118,'[1]INPUT_ASSUMPTIONS CALC'!$A$13:$CK$1019,L$7,FALSE)</f>
        <v>0</v>
      </c>
      <c r="M118" s="139">
        <f>$I118*VLOOKUP($A118,'[1]INPUT_ASSUMPTIONS CALC'!$A$13:$CK$1019,I$6,FALSE)*VLOOKUP($A118,'[1]INPUT_ASSUMPTIONS CALC'!$A$13:$CK$1019,M$7,FALSE)</f>
        <v>0</v>
      </c>
      <c r="N118" s="140">
        <f t="shared" si="7"/>
        <v>0</v>
      </c>
      <c r="O118" s="141">
        <f>H118*VLOOKUP($A118,'[1]INPUT_ASSUMPTIONS CALC'!$A$13:$CK$1019,H$6,FALSE)*SUMIF('[1]INPUT_ASSUMPTIONS CALC'!$CQ$15:$CQ$17,'[1]Summary calculation'!E118,'[1]INPUT_ASSUMPTIONS CALC'!$CR$15:$CR$17)</f>
        <v>0</v>
      </c>
      <c r="P118" s="141">
        <f>H118*VLOOKUP($A118,'[1]INPUT_ASSUMPTIONS CALC'!$A$13:$CK$1019,H$6,FALSE)*SUMIF('[1]INPUT_ASSUMPTIONS CALC'!$CV$15:$CV$31,'[1]Summary calculation'!E118,'[1]INPUT_ASSUMPTIONS CALC'!$CW$15:$CW$31)</f>
        <v>0</v>
      </c>
      <c r="Q118" s="141">
        <f>O118*VLOOKUP($A118,'[1]INPUT_ASSUMPTIONS CALC'!$A$13:$CK$1019,Q$7,FALSE)</f>
        <v>0</v>
      </c>
      <c r="R118" s="141">
        <f>P118*VLOOKUP($A118,'[1]INPUT_ASSUMPTIONS CALC'!$A$13:$CK$1019,R$7,FALSE)</f>
        <v>0</v>
      </c>
      <c r="S118" s="140">
        <f t="shared" si="5"/>
        <v>0</v>
      </c>
      <c r="T118" s="142">
        <f t="shared" si="6"/>
        <v>0</v>
      </c>
      <c r="U118" s="61"/>
    </row>
    <row r="119" spans="1:21" x14ac:dyDescent="0.35">
      <c r="A119" s="125" t="str">
        <f t="shared" si="4"/>
        <v>111Q2</v>
      </c>
      <c r="B119" s="135">
        <v>111</v>
      </c>
      <c r="C119" s="61" t="str">
        <f>INDEX('[1]INPUT_ASSUMPTIONS CALC'!D:D,MATCH(A119,'[1]INPUT_ASSUMPTIONS CALC'!A:A,0))</f>
        <v/>
      </c>
      <c r="D119" s="61" t="str">
        <f>INDEX('[1]INPUT_ASSUMPTIONS CALC'!I:I,MATCH(A119,'[1]INPUT_ASSUMPTIONS CALC'!A:A,0))</f>
        <v/>
      </c>
      <c r="E119" s="61" t="str">
        <f>INDEX('[1]INPUT_ASSUMPTIONS CALC'!E:E,MATCH(A119,'[1]INPUT_ASSUMPTIONS CALC'!A:A,0))</f>
        <v/>
      </c>
      <c r="F119" s="136">
        <f>IF($F$5="Q1",VLOOKUP($A119,'[1]INPUT_ASSUMPTIONS CALC'!$A$13:$CK$1019,F$7,FALSE),IF($F$5="Q2",VLOOKUP($A119,'[1]INPUT_ASSUMPTIONS CALC'!$A$13:$CK$1019,F$7,FALSE),IF($F$5="Q3",VLOOKUP($A119,'[1]INPUT_ASSUMPTIONS CALC'!$A$13:$CK$1019,F$7,FALSE),IF($F$5="Q4",VLOOKUP($A119,'[1]INPUT_ASSUMPTIONS CALC'!$A$13:$CK$1019,F$7,FALSE),IF($F$5="Year",VLOOKUP($A119,'[1]INPUT_ASSUMPTIONS CALC'!$A$13:$CK$1019,F$7,FALSE),0)))))</f>
        <v>0</v>
      </c>
      <c r="G119" s="137">
        <f>SUMIF('[1]INPUT_ASSUMPTIONS CALC'!A:A,'[1]Summary calculation'!A119,'[1]INPUT_ASSUMPTIONS CALC'!BU:BU)</f>
        <v>0</v>
      </c>
      <c r="H119" s="138">
        <f>IF($F$5="Year",F119*G119*'[1]INPUT_ASSUMPTIONS CALC'!$S$7,F119*G119)</f>
        <v>0</v>
      </c>
      <c r="I119" s="138">
        <f>H119*VLOOKUP($A119,'[1]INPUT_ASSUMPTIONS CALC'!$A$13:$CK$1019,H$6,FALSE)*SUMIF('[1]INPUT_ASSUMPTIONS CALC'!$CL$15:$CL$17,'[1]Summary calculation'!E119,'[1]INPUT_ASSUMPTIONS CALC'!$CM$15:$CM$17)</f>
        <v>0</v>
      </c>
      <c r="J119" s="139">
        <f>$I119*VLOOKUP($A119,'[1]INPUT_ASSUMPTIONS CALC'!$A$13:$CK$1019,I$6,FALSE)*VLOOKUP($A119,'[1]INPUT_ASSUMPTIONS CALC'!$A$13:$CK$1019,J$7,FALSE)</f>
        <v>0</v>
      </c>
      <c r="K119" s="139">
        <f>$I119*VLOOKUP($A119,'[1]INPUT_ASSUMPTIONS CALC'!$A$13:$CK$1019,I$6,FALSE)*VLOOKUP($A119,'[1]INPUT_ASSUMPTIONS CALC'!$A$13:$CK$1019,K$7,FALSE)</f>
        <v>0</v>
      </c>
      <c r="L119" s="139">
        <f>$I119*VLOOKUP($A119,'[1]INPUT_ASSUMPTIONS CALC'!$A$13:$CK$1019,I$6,FALSE)*VLOOKUP($A119,'[1]INPUT_ASSUMPTIONS CALC'!$A$13:$CK$1019,L$7,FALSE)</f>
        <v>0</v>
      </c>
      <c r="M119" s="139">
        <f>$I119*VLOOKUP($A119,'[1]INPUT_ASSUMPTIONS CALC'!$A$13:$CK$1019,I$6,FALSE)*VLOOKUP($A119,'[1]INPUT_ASSUMPTIONS CALC'!$A$13:$CK$1019,M$7,FALSE)</f>
        <v>0</v>
      </c>
      <c r="N119" s="140">
        <f t="shared" si="7"/>
        <v>0</v>
      </c>
      <c r="O119" s="141">
        <f>H119*VLOOKUP($A119,'[1]INPUT_ASSUMPTIONS CALC'!$A$13:$CK$1019,H$6,FALSE)*SUMIF('[1]INPUT_ASSUMPTIONS CALC'!$CQ$15:$CQ$17,'[1]Summary calculation'!E119,'[1]INPUT_ASSUMPTIONS CALC'!$CR$15:$CR$17)</f>
        <v>0</v>
      </c>
      <c r="P119" s="141">
        <f>H119*VLOOKUP($A119,'[1]INPUT_ASSUMPTIONS CALC'!$A$13:$CK$1019,H$6,FALSE)*SUMIF('[1]INPUT_ASSUMPTIONS CALC'!$CV$15:$CV$31,'[1]Summary calculation'!E119,'[1]INPUT_ASSUMPTIONS CALC'!$CW$15:$CW$31)</f>
        <v>0</v>
      </c>
      <c r="Q119" s="141">
        <f>O119*VLOOKUP($A119,'[1]INPUT_ASSUMPTIONS CALC'!$A$13:$CK$1019,Q$7,FALSE)</f>
        <v>0</v>
      </c>
      <c r="R119" s="141">
        <f>P119*VLOOKUP($A119,'[1]INPUT_ASSUMPTIONS CALC'!$A$13:$CK$1019,R$7,FALSE)</f>
        <v>0</v>
      </c>
      <c r="S119" s="140">
        <f t="shared" si="5"/>
        <v>0</v>
      </c>
      <c r="T119" s="142">
        <f t="shared" si="6"/>
        <v>0</v>
      </c>
      <c r="U119" s="61"/>
    </row>
    <row r="120" spans="1:21" x14ac:dyDescent="0.35">
      <c r="A120" s="125" t="str">
        <f t="shared" si="4"/>
        <v>112Q2</v>
      </c>
      <c r="B120" s="135">
        <v>112</v>
      </c>
      <c r="C120" s="61" t="str">
        <f>INDEX('[1]INPUT_ASSUMPTIONS CALC'!D:D,MATCH(A120,'[1]INPUT_ASSUMPTIONS CALC'!A:A,0))</f>
        <v/>
      </c>
      <c r="D120" s="61" t="str">
        <f>INDEX('[1]INPUT_ASSUMPTIONS CALC'!I:I,MATCH(A120,'[1]INPUT_ASSUMPTIONS CALC'!A:A,0))</f>
        <v/>
      </c>
      <c r="E120" s="61" t="str">
        <f>INDEX('[1]INPUT_ASSUMPTIONS CALC'!E:E,MATCH(A120,'[1]INPUT_ASSUMPTIONS CALC'!A:A,0))</f>
        <v/>
      </c>
      <c r="F120" s="136">
        <f>IF($F$5="Q1",VLOOKUP($A120,'[1]INPUT_ASSUMPTIONS CALC'!$A$13:$CK$1019,F$7,FALSE),IF($F$5="Q2",VLOOKUP($A120,'[1]INPUT_ASSUMPTIONS CALC'!$A$13:$CK$1019,F$7,FALSE),IF($F$5="Q3",VLOOKUP($A120,'[1]INPUT_ASSUMPTIONS CALC'!$A$13:$CK$1019,F$7,FALSE),IF($F$5="Q4",VLOOKUP($A120,'[1]INPUT_ASSUMPTIONS CALC'!$A$13:$CK$1019,F$7,FALSE),IF($F$5="Year",VLOOKUP($A120,'[1]INPUT_ASSUMPTIONS CALC'!$A$13:$CK$1019,F$7,FALSE),0)))))</f>
        <v>0</v>
      </c>
      <c r="G120" s="137">
        <f>SUMIF('[1]INPUT_ASSUMPTIONS CALC'!A:A,'[1]Summary calculation'!A120,'[1]INPUT_ASSUMPTIONS CALC'!BU:BU)</f>
        <v>0</v>
      </c>
      <c r="H120" s="138">
        <f>IF($F$5="Year",F120*G120*'[1]INPUT_ASSUMPTIONS CALC'!$S$7,F120*G120)</f>
        <v>0</v>
      </c>
      <c r="I120" s="138">
        <f>H120*VLOOKUP($A120,'[1]INPUT_ASSUMPTIONS CALC'!$A$13:$CK$1019,H$6,FALSE)*SUMIF('[1]INPUT_ASSUMPTIONS CALC'!$CL$15:$CL$17,'[1]Summary calculation'!E120,'[1]INPUT_ASSUMPTIONS CALC'!$CM$15:$CM$17)</f>
        <v>0</v>
      </c>
      <c r="J120" s="139">
        <f>$I120*VLOOKUP($A120,'[1]INPUT_ASSUMPTIONS CALC'!$A$13:$CK$1019,I$6,FALSE)*VLOOKUP($A120,'[1]INPUT_ASSUMPTIONS CALC'!$A$13:$CK$1019,J$7,FALSE)</f>
        <v>0</v>
      </c>
      <c r="K120" s="139">
        <f>$I120*VLOOKUP($A120,'[1]INPUT_ASSUMPTIONS CALC'!$A$13:$CK$1019,I$6,FALSE)*VLOOKUP($A120,'[1]INPUT_ASSUMPTIONS CALC'!$A$13:$CK$1019,K$7,FALSE)</f>
        <v>0</v>
      </c>
      <c r="L120" s="139">
        <f>$I120*VLOOKUP($A120,'[1]INPUT_ASSUMPTIONS CALC'!$A$13:$CK$1019,I$6,FALSE)*VLOOKUP($A120,'[1]INPUT_ASSUMPTIONS CALC'!$A$13:$CK$1019,L$7,FALSE)</f>
        <v>0</v>
      </c>
      <c r="M120" s="139">
        <f>$I120*VLOOKUP($A120,'[1]INPUT_ASSUMPTIONS CALC'!$A$13:$CK$1019,I$6,FALSE)*VLOOKUP($A120,'[1]INPUT_ASSUMPTIONS CALC'!$A$13:$CK$1019,M$7,FALSE)</f>
        <v>0</v>
      </c>
      <c r="N120" s="140">
        <f t="shared" si="7"/>
        <v>0</v>
      </c>
      <c r="O120" s="141">
        <f>H120*VLOOKUP($A120,'[1]INPUT_ASSUMPTIONS CALC'!$A$13:$CK$1019,H$6,FALSE)*SUMIF('[1]INPUT_ASSUMPTIONS CALC'!$CQ$15:$CQ$17,'[1]Summary calculation'!E120,'[1]INPUT_ASSUMPTIONS CALC'!$CR$15:$CR$17)</f>
        <v>0</v>
      </c>
      <c r="P120" s="141">
        <f>H120*VLOOKUP($A120,'[1]INPUT_ASSUMPTIONS CALC'!$A$13:$CK$1019,H$6,FALSE)*SUMIF('[1]INPUT_ASSUMPTIONS CALC'!$CV$15:$CV$31,'[1]Summary calculation'!E120,'[1]INPUT_ASSUMPTIONS CALC'!$CW$15:$CW$31)</f>
        <v>0</v>
      </c>
      <c r="Q120" s="141">
        <f>O120*VLOOKUP($A120,'[1]INPUT_ASSUMPTIONS CALC'!$A$13:$CK$1019,Q$7,FALSE)</f>
        <v>0</v>
      </c>
      <c r="R120" s="141">
        <f>P120*VLOOKUP($A120,'[1]INPUT_ASSUMPTIONS CALC'!$A$13:$CK$1019,R$7,FALSE)</f>
        <v>0</v>
      </c>
      <c r="S120" s="140">
        <f t="shared" si="5"/>
        <v>0</v>
      </c>
      <c r="T120" s="142">
        <f t="shared" si="6"/>
        <v>0</v>
      </c>
      <c r="U120" s="61"/>
    </row>
    <row r="121" spans="1:21" x14ac:dyDescent="0.35">
      <c r="A121" s="125" t="str">
        <f t="shared" si="4"/>
        <v>113Q2</v>
      </c>
      <c r="B121" s="135">
        <v>113</v>
      </c>
      <c r="C121" s="61" t="str">
        <f>INDEX('[1]INPUT_ASSUMPTIONS CALC'!D:D,MATCH(A121,'[1]INPUT_ASSUMPTIONS CALC'!A:A,0))</f>
        <v/>
      </c>
      <c r="D121" s="61" t="str">
        <f>INDEX('[1]INPUT_ASSUMPTIONS CALC'!I:I,MATCH(A121,'[1]INPUT_ASSUMPTIONS CALC'!A:A,0))</f>
        <v/>
      </c>
      <c r="E121" s="61" t="str">
        <f>INDEX('[1]INPUT_ASSUMPTIONS CALC'!E:E,MATCH(A121,'[1]INPUT_ASSUMPTIONS CALC'!A:A,0))</f>
        <v/>
      </c>
      <c r="F121" s="136">
        <f>IF($F$5="Q1",VLOOKUP($A121,'[1]INPUT_ASSUMPTIONS CALC'!$A$13:$CK$1019,F$7,FALSE),IF($F$5="Q2",VLOOKUP($A121,'[1]INPUT_ASSUMPTIONS CALC'!$A$13:$CK$1019,F$7,FALSE),IF($F$5="Q3",VLOOKUP($A121,'[1]INPUT_ASSUMPTIONS CALC'!$A$13:$CK$1019,F$7,FALSE),IF($F$5="Q4",VLOOKUP($A121,'[1]INPUT_ASSUMPTIONS CALC'!$A$13:$CK$1019,F$7,FALSE),IF($F$5="Year",VLOOKUP($A121,'[1]INPUT_ASSUMPTIONS CALC'!$A$13:$CK$1019,F$7,FALSE),0)))))</f>
        <v>0</v>
      </c>
      <c r="G121" s="137">
        <f>SUMIF('[1]INPUT_ASSUMPTIONS CALC'!A:A,'[1]Summary calculation'!A121,'[1]INPUT_ASSUMPTIONS CALC'!BU:BU)</f>
        <v>0</v>
      </c>
      <c r="H121" s="138">
        <f>IF($F$5="Year",F121*G121*'[1]INPUT_ASSUMPTIONS CALC'!$S$7,F121*G121)</f>
        <v>0</v>
      </c>
      <c r="I121" s="138">
        <f>H121*VLOOKUP($A121,'[1]INPUT_ASSUMPTIONS CALC'!$A$13:$CK$1019,H$6,FALSE)*SUMIF('[1]INPUT_ASSUMPTIONS CALC'!$CL$15:$CL$17,'[1]Summary calculation'!E121,'[1]INPUT_ASSUMPTIONS CALC'!$CM$15:$CM$17)</f>
        <v>0</v>
      </c>
      <c r="J121" s="139">
        <f>$I121*VLOOKUP($A121,'[1]INPUT_ASSUMPTIONS CALC'!$A$13:$CK$1019,I$6,FALSE)*VLOOKUP($A121,'[1]INPUT_ASSUMPTIONS CALC'!$A$13:$CK$1019,J$7,FALSE)</f>
        <v>0</v>
      </c>
      <c r="K121" s="139">
        <f>$I121*VLOOKUP($A121,'[1]INPUT_ASSUMPTIONS CALC'!$A$13:$CK$1019,I$6,FALSE)*VLOOKUP($A121,'[1]INPUT_ASSUMPTIONS CALC'!$A$13:$CK$1019,K$7,FALSE)</f>
        <v>0</v>
      </c>
      <c r="L121" s="139">
        <f>$I121*VLOOKUP($A121,'[1]INPUT_ASSUMPTIONS CALC'!$A$13:$CK$1019,I$6,FALSE)*VLOOKUP($A121,'[1]INPUT_ASSUMPTIONS CALC'!$A$13:$CK$1019,L$7,FALSE)</f>
        <v>0</v>
      </c>
      <c r="M121" s="139">
        <f>$I121*VLOOKUP($A121,'[1]INPUT_ASSUMPTIONS CALC'!$A$13:$CK$1019,I$6,FALSE)*VLOOKUP($A121,'[1]INPUT_ASSUMPTIONS CALC'!$A$13:$CK$1019,M$7,FALSE)</f>
        <v>0</v>
      </c>
      <c r="N121" s="140">
        <f t="shared" si="7"/>
        <v>0</v>
      </c>
      <c r="O121" s="141">
        <f>H121*VLOOKUP($A121,'[1]INPUT_ASSUMPTIONS CALC'!$A$13:$CK$1019,H$6,FALSE)*SUMIF('[1]INPUT_ASSUMPTIONS CALC'!$CQ$15:$CQ$17,'[1]Summary calculation'!E121,'[1]INPUT_ASSUMPTIONS CALC'!$CR$15:$CR$17)</f>
        <v>0</v>
      </c>
      <c r="P121" s="141">
        <f>H121*VLOOKUP($A121,'[1]INPUT_ASSUMPTIONS CALC'!$A$13:$CK$1019,H$6,FALSE)*SUMIF('[1]INPUT_ASSUMPTIONS CALC'!$CV$15:$CV$31,'[1]Summary calculation'!E121,'[1]INPUT_ASSUMPTIONS CALC'!$CW$15:$CW$31)</f>
        <v>0</v>
      </c>
      <c r="Q121" s="141">
        <f>O121*VLOOKUP($A121,'[1]INPUT_ASSUMPTIONS CALC'!$A$13:$CK$1019,Q$7,FALSE)</f>
        <v>0</v>
      </c>
      <c r="R121" s="141">
        <f>P121*VLOOKUP($A121,'[1]INPUT_ASSUMPTIONS CALC'!$A$13:$CK$1019,R$7,FALSE)</f>
        <v>0</v>
      </c>
      <c r="S121" s="140">
        <f t="shared" si="5"/>
        <v>0</v>
      </c>
      <c r="T121" s="142">
        <f t="shared" si="6"/>
        <v>0</v>
      </c>
      <c r="U121" s="61"/>
    </row>
    <row r="122" spans="1:21" x14ac:dyDescent="0.35">
      <c r="A122" s="125" t="str">
        <f t="shared" si="4"/>
        <v>114Q2</v>
      </c>
      <c r="B122" s="135">
        <v>114</v>
      </c>
      <c r="C122" s="61" t="str">
        <f>INDEX('[1]INPUT_ASSUMPTIONS CALC'!D:D,MATCH(A122,'[1]INPUT_ASSUMPTIONS CALC'!A:A,0))</f>
        <v/>
      </c>
      <c r="D122" s="61" t="str">
        <f>INDEX('[1]INPUT_ASSUMPTIONS CALC'!I:I,MATCH(A122,'[1]INPUT_ASSUMPTIONS CALC'!A:A,0))</f>
        <v/>
      </c>
      <c r="E122" s="61" t="str">
        <f>INDEX('[1]INPUT_ASSUMPTIONS CALC'!E:E,MATCH(A122,'[1]INPUT_ASSUMPTIONS CALC'!A:A,0))</f>
        <v/>
      </c>
      <c r="F122" s="136">
        <f>IF($F$5="Q1",VLOOKUP($A122,'[1]INPUT_ASSUMPTIONS CALC'!$A$13:$CK$1019,F$7,FALSE),IF($F$5="Q2",VLOOKUP($A122,'[1]INPUT_ASSUMPTIONS CALC'!$A$13:$CK$1019,F$7,FALSE),IF($F$5="Q3",VLOOKUP($A122,'[1]INPUT_ASSUMPTIONS CALC'!$A$13:$CK$1019,F$7,FALSE),IF($F$5="Q4",VLOOKUP($A122,'[1]INPUT_ASSUMPTIONS CALC'!$A$13:$CK$1019,F$7,FALSE),IF($F$5="Year",VLOOKUP($A122,'[1]INPUT_ASSUMPTIONS CALC'!$A$13:$CK$1019,F$7,FALSE),0)))))</f>
        <v>0</v>
      </c>
      <c r="G122" s="137">
        <f>SUMIF('[1]INPUT_ASSUMPTIONS CALC'!A:A,'[1]Summary calculation'!A122,'[1]INPUT_ASSUMPTIONS CALC'!BU:BU)</f>
        <v>0</v>
      </c>
      <c r="H122" s="138">
        <f>IF($F$5="Year",F122*G122*'[1]INPUT_ASSUMPTIONS CALC'!$S$7,F122*G122)</f>
        <v>0</v>
      </c>
      <c r="I122" s="138">
        <f>H122*VLOOKUP($A122,'[1]INPUT_ASSUMPTIONS CALC'!$A$13:$CK$1019,H$6,FALSE)*SUMIF('[1]INPUT_ASSUMPTIONS CALC'!$CL$15:$CL$17,'[1]Summary calculation'!E122,'[1]INPUT_ASSUMPTIONS CALC'!$CM$15:$CM$17)</f>
        <v>0</v>
      </c>
      <c r="J122" s="139">
        <f>$I122*VLOOKUP($A122,'[1]INPUT_ASSUMPTIONS CALC'!$A$13:$CK$1019,I$6,FALSE)*VLOOKUP($A122,'[1]INPUT_ASSUMPTIONS CALC'!$A$13:$CK$1019,J$7,FALSE)</f>
        <v>0</v>
      </c>
      <c r="K122" s="139">
        <f>$I122*VLOOKUP($A122,'[1]INPUT_ASSUMPTIONS CALC'!$A$13:$CK$1019,I$6,FALSE)*VLOOKUP($A122,'[1]INPUT_ASSUMPTIONS CALC'!$A$13:$CK$1019,K$7,FALSE)</f>
        <v>0</v>
      </c>
      <c r="L122" s="139">
        <f>$I122*VLOOKUP($A122,'[1]INPUT_ASSUMPTIONS CALC'!$A$13:$CK$1019,I$6,FALSE)*VLOOKUP($A122,'[1]INPUT_ASSUMPTIONS CALC'!$A$13:$CK$1019,L$7,FALSE)</f>
        <v>0</v>
      </c>
      <c r="M122" s="139">
        <f>$I122*VLOOKUP($A122,'[1]INPUT_ASSUMPTIONS CALC'!$A$13:$CK$1019,I$6,FALSE)*VLOOKUP($A122,'[1]INPUT_ASSUMPTIONS CALC'!$A$13:$CK$1019,M$7,FALSE)</f>
        <v>0</v>
      </c>
      <c r="N122" s="140">
        <f t="shared" si="7"/>
        <v>0</v>
      </c>
      <c r="O122" s="141">
        <f>H122*VLOOKUP($A122,'[1]INPUT_ASSUMPTIONS CALC'!$A$13:$CK$1019,H$6,FALSE)*SUMIF('[1]INPUT_ASSUMPTIONS CALC'!$CQ$15:$CQ$17,'[1]Summary calculation'!E122,'[1]INPUT_ASSUMPTIONS CALC'!$CR$15:$CR$17)</f>
        <v>0</v>
      </c>
      <c r="P122" s="141">
        <f>H122*VLOOKUP($A122,'[1]INPUT_ASSUMPTIONS CALC'!$A$13:$CK$1019,H$6,FALSE)*SUMIF('[1]INPUT_ASSUMPTIONS CALC'!$CV$15:$CV$31,'[1]Summary calculation'!E122,'[1]INPUT_ASSUMPTIONS CALC'!$CW$15:$CW$31)</f>
        <v>0</v>
      </c>
      <c r="Q122" s="141">
        <f>O122*VLOOKUP($A122,'[1]INPUT_ASSUMPTIONS CALC'!$A$13:$CK$1019,Q$7,FALSE)</f>
        <v>0</v>
      </c>
      <c r="R122" s="141">
        <f>P122*VLOOKUP($A122,'[1]INPUT_ASSUMPTIONS CALC'!$A$13:$CK$1019,R$7,FALSE)</f>
        <v>0</v>
      </c>
      <c r="S122" s="140">
        <f t="shared" si="5"/>
        <v>0</v>
      </c>
      <c r="T122" s="142">
        <f t="shared" si="6"/>
        <v>0</v>
      </c>
      <c r="U122" s="61"/>
    </row>
    <row r="123" spans="1:21" x14ac:dyDescent="0.35">
      <c r="A123" s="125" t="str">
        <f t="shared" si="4"/>
        <v>115Q2</v>
      </c>
      <c r="B123" s="135">
        <v>115</v>
      </c>
      <c r="C123" s="61" t="str">
        <f>INDEX('[1]INPUT_ASSUMPTIONS CALC'!D:D,MATCH(A123,'[1]INPUT_ASSUMPTIONS CALC'!A:A,0))</f>
        <v/>
      </c>
      <c r="D123" s="61" t="str">
        <f>INDEX('[1]INPUT_ASSUMPTIONS CALC'!I:I,MATCH(A123,'[1]INPUT_ASSUMPTIONS CALC'!A:A,0))</f>
        <v/>
      </c>
      <c r="E123" s="61" t="str">
        <f>INDEX('[1]INPUT_ASSUMPTIONS CALC'!E:E,MATCH(A123,'[1]INPUT_ASSUMPTIONS CALC'!A:A,0))</f>
        <v/>
      </c>
      <c r="F123" s="136">
        <f>IF($F$5="Q1",VLOOKUP($A123,'[1]INPUT_ASSUMPTIONS CALC'!$A$13:$CK$1019,F$7,FALSE),IF($F$5="Q2",VLOOKUP($A123,'[1]INPUT_ASSUMPTIONS CALC'!$A$13:$CK$1019,F$7,FALSE),IF($F$5="Q3",VLOOKUP($A123,'[1]INPUT_ASSUMPTIONS CALC'!$A$13:$CK$1019,F$7,FALSE),IF($F$5="Q4",VLOOKUP($A123,'[1]INPUT_ASSUMPTIONS CALC'!$A$13:$CK$1019,F$7,FALSE),IF($F$5="Year",VLOOKUP($A123,'[1]INPUT_ASSUMPTIONS CALC'!$A$13:$CK$1019,F$7,FALSE),0)))))</f>
        <v>0</v>
      </c>
      <c r="G123" s="137">
        <f>SUMIF('[1]INPUT_ASSUMPTIONS CALC'!A:A,'[1]Summary calculation'!A123,'[1]INPUT_ASSUMPTIONS CALC'!BU:BU)</f>
        <v>0</v>
      </c>
      <c r="H123" s="138">
        <f>IF($F$5="Year",F123*G123*'[1]INPUT_ASSUMPTIONS CALC'!$S$7,F123*G123)</f>
        <v>0</v>
      </c>
      <c r="I123" s="138">
        <f>H123*VLOOKUP($A123,'[1]INPUT_ASSUMPTIONS CALC'!$A$13:$CK$1019,H$6,FALSE)*SUMIF('[1]INPUT_ASSUMPTIONS CALC'!$CL$15:$CL$17,'[1]Summary calculation'!E123,'[1]INPUT_ASSUMPTIONS CALC'!$CM$15:$CM$17)</f>
        <v>0</v>
      </c>
      <c r="J123" s="139">
        <f>$I123*VLOOKUP($A123,'[1]INPUT_ASSUMPTIONS CALC'!$A$13:$CK$1019,I$6,FALSE)*VLOOKUP($A123,'[1]INPUT_ASSUMPTIONS CALC'!$A$13:$CK$1019,J$7,FALSE)</f>
        <v>0</v>
      </c>
      <c r="K123" s="139">
        <f>$I123*VLOOKUP($A123,'[1]INPUT_ASSUMPTIONS CALC'!$A$13:$CK$1019,I$6,FALSE)*VLOOKUP($A123,'[1]INPUT_ASSUMPTIONS CALC'!$A$13:$CK$1019,K$7,FALSE)</f>
        <v>0</v>
      </c>
      <c r="L123" s="139">
        <f>$I123*VLOOKUP($A123,'[1]INPUT_ASSUMPTIONS CALC'!$A$13:$CK$1019,I$6,FALSE)*VLOOKUP($A123,'[1]INPUT_ASSUMPTIONS CALC'!$A$13:$CK$1019,L$7,FALSE)</f>
        <v>0</v>
      </c>
      <c r="M123" s="139">
        <f>$I123*VLOOKUP($A123,'[1]INPUT_ASSUMPTIONS CALC'!$A$13:$CK$1019,I$6,FALSE)*VLOOKUP($A123,'[1]INPUT_ASSUMPTIONS CALC'!$A$13:$CK$1019,M$7,FALSE)</f>
        <v>0</v>
      </c>
      <c r="N123" s="140">
        <f t="shared" si="7"/>
        <v>0</v>
      </c>
      <c r="O123" s="141">
        <f>H123*VLOOKUP($A123,'[1]INPUT_ASSUMPTIONS CALC'!$A$13:$CK$1019,H$6,FALSE)*SUMIF('[1]INPUT_ASSUMPTIONS CALC'!$CQ$15:$CQ$17,'[1]Summary calculation'!E123,'[1]INPUT_ASSUMPTIONS CALC'!$CR$15:$CR$17)</f>
        <v>0</v>
      </c>
      <c r="P123" s="141">
        <f>H123*VLOOKUP($A123,'[1]INPUT_ASSUMPTIONS CALC'!$A$13:$CK$1019,H$6,FALSE)*SUMIF('[1]INPUT_ASSUMPTIONS CALC'!$CV$15:$CV$31,'[1]Summary calculation'!E123,'[1]INPUT_ASSUMPTIONS CALC'!$CW$15:$CW$31)</f>
        <v>0</v>
      </c>
      <c r="Q123" s="141">
        <f>O123*VLOOKUP($A123,'[1]INPUT_ASSUMPTIONS CALC'!$A$13:$CK$1019,Q$7,FALSE)</f>
        <v>0</v>
      </c>
      <c r="R123" s="141">
        <f>P123*VLOOKUP($A123,'[1]INPUT_ASSUMPTIONS CALC'!$A$13:$CK$1019,R$7,FALSE)</f>
        <v>0</v>
      </c>
      <c r="S123" s="140">
        <f t="shared" si="5"/>
        <v>0</v>
      </c>
      <c r="T123" s="142">
        <f t="shared" si="6"/>
        <v>0</v>
      </c>
      <c r="U123" s="61"/>
    </row>
    <row r="124" spans="1:21" x14ac:dyDescent="0.35">
      <c r="A124" s="125" t="str">
        <f t="shared" si="4"/>
        <v>116Q2</v>
      </c>
      <c r="B124" s="135">
        <v>116</v>
      </c>
      <c r="C124" s="61" t="str">
        <f>INDEX('[1]INPUT_ASSUMPTIONS CALC'!D:D,MATCH(A124,'[1]INPUT_ASSUMPTIONS CALC'!A:A,0))</f>
        <v/>
      </c>
      <c r="D124" s="61" t="str">
        <f>INDEX('[1]INPUT_ASSUMPTIONS CALC'!I:I,MATCH(A124,'[1]INPUT_ASSUMPTIONS CALC'!A:A,0))</f>
        <v/>
      </c>
      <c r="E124" s="61" t="str">
        <f>INDEX('[1]INPUT_ASSUMPTIONS CALC'!E:E,MATCH(A124,'[1]INPUT_ASSUMPTIONS CALC'!A:A,0))</f>
        <v/>
      </c>
      <c r="F124" s="136">
        <f>IF($F$5="Q1",VLOOKUP($A124,'[1]INPUT_ASSUMPTIONS CALC'!$A$13:$CK$1019,F$7,FALSE),IF($F$5="Q2",VLOOKUP($A124,'[1]INPUT_ASSUMPTIONS CALC'!$A$13:$CK$1019,F$7,FALSE),IF($F$5="Q3",VLOOKUP($A124,'[1]INPUT_ASSUMPTIONS CALC'!$A$13:$CK$1019,F$7,FALSE),IF($F$5="Q4",VLOOKUP($A124,'[1]INPUT_ASSUMPTIONS CALC'!$A$13:$CK$1019,F$7,FALSE),IF($F$5="Year",VLOOKUP($A124,'[1]INPUT_ASSUMPTIONS CALC'!$A$13:$CK$1019,F$7,FALSE),0)))))</f>
        <v>0</v>
      </c>
      <c r="G124" s="137">
        <f>SUMIF('[1]INPUT_ASSUMPTIONS CALC'!A:A,'[1]Summary calculation'!A124,'[1]INPUT_ASSUMPTIONS CALC'!BU:BU)</f>
        <v>0</v>
      </c>
      <c r="H124" s="138">
        <f>IF($F$5="Year",F124*G124*'[1]INPUT_ASSUMPTIONS CALC'!$S$7,F124*G124)</f>
        <v>0</v>
      </c>
      <c r="I124" s="138">
        <f>H124*VLOOKUP($A124,'[1]INPUT_ASSUMPTIONS CALC'!$A$13:$CK$1019,H$6,FALSE)*SUMIF('[1]INPUT_ASSUMPTIONS CALC'!$CL$15:$CL$17,'[1]Summary calculation'!E124,'[1]INPUT_ASSUMPTIONS CALC'!$CM$15:$CM$17)</f>
        <v>0</v>
      </c>
      <c r="J124" s="139">
        <f>$I124*VLOOKUP($A124,'[1]INPUT_ASSUMPTIONS CALC'!$A$13:$CK$1019,I$6,FALSE)*VLOOKUP($A124,'[1]INPUT_ASSUMPTIONS CALC'!$A$13:$CK$1019,J$7,FALSE)</f>
        <v>0</v>
      </c>
      <c r="K124" s="139">
        <f>$I124*VLOOKUP($A124,'[1]INPUT_ASSUMPTIONS CALC'!$A$13:$CK$1019,I$6,FALSE)*VLOOKUP($A124,'[1]INPUT_ASSUMPTIONS CALC'!$A$13:$CK$1019,K$7,FALSE)</f>
        <v>0</v>
      </c>
      <c r="L124" s="139">
        <f>$I124*VLOOKUP($A124,'[1]INPUT_ASSUMPTIONS CALC'!$A$13:$CK$1019,I$6,FALSE)*VLOOKUP($A124,'[1]INPUT_ASSUMPTIONS CALC'!$A$13:$CK$1019,L$7,FALSE)</f>
        <v>0</v>
      </c>
      <c r="M124" s="139">
        <f>$I124*VLOOKUP($A124,'[1]INPUT_ASSUMPTIONS CALC'!$A$13:$CK$1019,I$6,FALSE)*VLOOKUP($A124,'[1]INPUT_ASSUMPTIONS CALC'!$A$13:$CK$1019,M$7,FALSE)</f>
        <v>0</v>
      </c>
      <c r="N124" s="140">
        <f t="shared" si="7"/>
        <v>0</v>
      </c>
      <c r="O124" s="141">
        <f>H124*VLOOKUP($A124,'[1]INPUT_ASSUMPTIONS CALC'!$A$13:$CK$1019,H$6,FALSE)*SUMIF('[1]INPUT_ASSUMPTIONS CALC'!$CQ$15:$CQ$17,'[1]Summary calculation'!E124,'[1]INPUT_ASSUMPTIONS CALC'!$CR$15:$CR$17)</f>
        <v>0</v>
      </c>
      <c r="P124" s="141">
        <f>H124*VLOOKUP($A124,'[1]INPUT_ASSUMPTIONS CALC'!$A$13:$CK$1019,H$6,FALSE)*SUMIF('[1]INPUT_ASSUMPTIONS CALC'!$CV$15:$CV$31,'[1]Summary calculation'!E124,'[1]INPUT_ASSUMPTIONS CALC'!$CW$15:$CW$31)</f>
        <v>0</v>
      </c>
      <c r="Q124" s="141">
        <f>O124*VLOOKUP($A124,'[1]INPUT_ASSUMPTIONS CALC'!$A$13:$CK$1019,Q$7,FALSE)</f>
        <v>0</v>
      </c>
      <c r="R124" s="141">
        <f>P124*VLOOKUP($A124,'[1]INPUT_ASSUMPTIONS CALC'!$A$13:$CK$1019,R$7,FALSE)</f>
        <v>0</v>
      </c>
      <c r="S124" s="140">
        <f t="shared" si="5"/>
        <v>0</v>
      </c>
      <c r="T124" s="142">
        <f t="shared" si="6"/>
        <v>0</v>
      </c>
      <c r="U124" s="61"/>
    </row>
    <row r="125" spans="1:21" x14ac:dyDescent="0.35">
      <c r="A125" s="125" t="str">
        <f t="shared" si="4"/>
        <v>117Q2</v>
      </c>
      <c r="B125" s="135">
        <v>117</v>
      </c>
      <c r="C125" s="61" t="str">
        <f>INDEX('[1]INPUT_ASSUMPTIONS CALC'!D:D,MATCH(A125,'[1]INPUT_ASSUMPTIONS CALC'!A:A,0))</f>
        <v/>
      </c>
      <c r="D125" s="61" t="str">
        <f>INDEX('[1]INPUT_ASSUMPTIONS CALC'!I:I,MATCH(A125,'[1]INPUT_ASSUMPTIONS CALC'!A:A,0))</f>
        <v/>
      </c>
      <c r="E125" s="61" t="str">
        <f>INDEX('[1]INPUT_ASSUMPTIONS CALC'!E:E,MATCH(A125,'[1]INPUT_ASSUMPTIONS CALC'!A:A,0))</f>
        <v/>
      </c>
      <c r="F125" s="136">
        <f>IF($F$5="Q1",VLOOKUP($A125,'[1]INPUT_ASSUMPTIONS CALC'!$A$13:$CK$1019,F$7,FALSE),IF($F$5="Q2",VLOOKUP($A125,'[1]INPUT_ASSUMPTIONS CALC'!$A$13:$CK$1019,F$7,FALSE),IF($F$5="Q3",VLOOKUP($A125,'[1]INPUT_ASSUMPTIONS CALC'!$A$13:$CK$1019,F$7,FALSE),IF($F$5="Q4",VLOOKUP($A125,'[1]INPUT_ASSUMPTIONS CALC'!$A$13:$CK$1019,F$7,FALSE),IF($F$5="Year",VLOOKUP($A125,'[1]INPUT_ASSUMPTIONS CALC'!$A$13:$CK$1019,F$7,FALSE),0)))))</f>
        <v>0</v>
      </c>
      <c r="G125" s="137">
        <f>SUMIF('[1]INPUT_ASSUMPTIONS CALC'!A:A,'[1]Summary calculation'!A125,'[1]INPUT_ASSUMPTIONS CALC'!BU:BU)</f>
        <v>0</v>
      </c>
      <c r="H125" s="138">
        <f>IF($F$5="Year",F125*G125*'[1]INPUT_ASSUMPTIONS CALC'!$S$7,F125*G125)</f>
        <v>0</v>
      </c>
      <c r="I125" s="138">
        <f>H125*VLOOKUP($A125,'[1]INPUT_ASSUMPTIONS CALC'!$A$13:$CK$1019,H$6,FALSE)*SUMIF('[1]INPUT_ASSUMPTIONS CALC'!$CL$15:$CL$17,'[1]Summary calculation'!E125,'[1]INPUT_ASSUMPTIONS CALC'!$CM$15:$CM$17)</f>
        <v>0</v>
      </c>
      <c r="J125" s="139">
        <f>$I125*VLOOKUP($A125,'[1]INPUT_ASSUMPTIONS CALC'!$A$13:$CK$1019,I$6,FALSE)*VLOOKUP($A125,'[1]INPUT_ASSUMPTIONS CALC'!$A$13:$CK$1019,J$7,FALSE)</f>
        <v>0</v>
      </c>
      <c r="K125" s="139">
        <f>$I125*VLOOKUP($A125,'[1]INPUT_ASSUMPTIONS CALC'!$A$13:$CK$1019,I$6,FALSE)*VLOOKUP($A125,'[1]INPUT_ASSUMPTIONS CALC'!$A$13:$CK$1019,K$7,FALSE)</f>
        <v>0</v>
      </c>
      <c r="L125" s="139">
        <f>$I125*VLOOKUP($A125,'[1]INPUT_ASSUMPTIONS CALC'!$A$13:$CK$1019,I$6,FALSE)*VLOOKUP($A125,'[1]INPUT_ASSUMPTIONS CALC'!$A$13:$CK$1019,L$7,FALSE)</f>
        <v>0</v>
      </c>
      <c r="M125" s="139">
        <f>$I125*VLOOKUP($A125,'[1]INPUT_ASSUMPTIONS CALC'!$A$13:$CK$1019,I$6,FALSE)*VLOOKUP($A125,'[1]INPUT_ASSUMPTIONS CALC'!$A$13:$CK$1019,M$7,FALSE)</f>
        <v>0</v>
      </c>
      <c r="N125" s="140">
        <f t="shared" si="7"/>
        <v>0</v>
      </c>
      <c r="O125" s="141">
        <f>H125*VLOOKUP($A125,'[1]INPUT_ASSUMPTIONS CALC'!$A$13:$CK$1019,H$6,FALSE)*SUMIF('[1]INPUT_ASSUMPTIONS CALC'!$CQ$15:$CQ$17,'[1]Summary calculation'!E125,'[1]INPUT_ASSUMPTIONS CALC'!$CR$15:$CR$17)</f>
        <v>0</v>
      </c>
      <c r="P125" s="141">
        <f>H125*VLOOKUP($A125,'[1]INPUT_ASSUMPTIONS CALC'!$A$13:$CK$1019,H$6,FALSE)*SUMIF('[1]INPUT_ASSUMPTIONS CALC'!$CV$15:$CV$31,'[1]Summary calculation'!E125,'[1]INPUT_ASSUMPTIONS CALC'!$CW$15:$CW$31)</f>
        <v>0</v>
      </c>
      <c r="Q125" s="141">
        <f>O125*VLOOKUP($A125,'[1]INPUT_ASSUMPTIONS CALC'!$A$13:$CK$1019,Q$7,FALSE)</f>
        <v>0</v>
      </c>
      <c r="R125" s="141">
        <f>P125*VLOOKUP($A125,'[1]INPUT_ASSUMPTIONS CALC'!$A$13:$CK$1019,R$7,FALSE)</f>
        <v>0</v>
      </c>
      <c r="S125" s="140">
        <f t="shared" si="5"/>
        <v>0</v>
      </c>
      <c r="T125" s="142">
        <f t="shared" si="6"/>
        <v>0</v>
      </c>
      <c r="U125" s="61"/>
    </row>
    <row r="126" spans="1:21" x14ac:dyDescent="0.35">
      <c r="A126" s="125" t="str">
        <f t="shared" si="4"/>
        <v>118Q2</v>
      </c>
      <c r="B126" s="135">
        <v>118</v>
      </c>
      <c r="C126" s="61" t="str">
        <f>INDEX('[1]INPUT_ASSUMPTIONS CALC'!D:D,MATCH(A126,'[1]INPUT_ASSUMPTIONS CALC'!A:A,0))</f>
        <v/>
      </c>
      <c r="D126" s="61" t="str">
        <f>INDEX('[1]INPUT_ASSUMPTIONS CALC'!I:I,MATCH(A126,'[1]INPUT_ASSUMPTIONS CALC'!A:A,0))</f>
        <v/>
      </c>
      <c r="E126" s="61" t="str">
        <f>INDEX('[1]INPUT_ASSUMPTIONS CALC'!E:E,MATCH(A126,'[1]INPUT_ASSUMPTIONS CALC'!A:A,0))</f>
        <v/>
      </c>
      <c r="F126" s="136">
        <f>IF($F$5="Q1",VLOOKUP($A126,'[1]INPUT_ASSUMPTIONS CALC'!$A$13:$CK$1019,F$7,FALSE),IF($F$5="Q2",VLOOKUP($A126,'[1]INPUT_ASSUMPTIONS CALC'!$A$13:$CK$1019,F$7,FALSE),IF($F$5="Q3",VLOOKUP($A126,'[1]INPUT_ASSUMPTIONS CALC'!$A$13:$CK$1019,F$7,FALSE),IF($F$5="Q4",VLOOKUP($A126,'[1]INPUT_ASSUMPTIONS CALC'!$A$13:$CK$1019,F$7,FALSE),IF($F$5="Year",VLOOKUP($A126,'[1]INPUT_ASSUMPTIONS CALC'!$A$13:$CK$1019,F$7,FALSE),0)))))</f>
        <v>0</v>
      </c>
      <c r="G126" s="137">
        <f>SUMIF('[1]INPUT_ASSUMPTIONS CALC'!A:A,'[1]Summary calculation'!A126,'[1]INPUT_ASSUMPTIONS CALC'!BU:BU)</f>
        <v>0</v>
      </c>
      <c r="H126" s="138">
        <f>IF($F$5="Year",F126*G126*'[1]INPUT_ASSUMPTIONS CALC'!$S$7,F126*G126)</f>
        <v>0</v>
      </c>
      <c r="I126" s="138">
        <f>H126*VLOOKUP($A126,'[1]INPUT_ASSUMPTIONS CALC'!$A$13:$CK$1019,H$6,FALSE)*SUMIF('[1]INPUT_ASSUMPTIONS CALC'!$CL$15:$CL$17,'[1]Summary calculation'!E126,'[1]INPUT_ASSUMPTIONS CALC'!$CM$15:$CM$17)</f>
        <v>0</v>
      </c>
      <c r="J126" s="139">
        <f>$I126*VLOOKUP($A126,'[1]INPUT_ASSUMPTIONS CALC'!$A$13:$CK$1019,I$6,FALSE)*VLOOKUP($A126,'[1]INPUT_ASSUMPTIONS CALC'!$A$13:$CK$1019,J$7,FALSE)</f>
        <v>0</v>
      </c>
      <c r="K126" s="139">
        <f>$I126*VLOOKUP($A126,'[1]INPUT_ASSUMPTIONS CALC'!$A$13:$CK$1019,I$6,FALSE)*VLOOKUP($A126,'[1]INPUT_ASSUMPTIONS CALC'!$A$13:$CK$1019,K$7,FALSE)</f>
        <v>0</v>
      </c>
      <c r="L126" s="139">
        <f>$I126*VLOOKUP($A126,'[1]INPUT_ASSUMPTIONS CALC'!$A$13:$CK$1019,I$6,FALSE)*VLOOKUP($A126,'[1]INPUT_ASSUMPTIONS CALC'!$A$13:$CK$1019,L$7,FALSE)</f>
        <v>0</v>
      </c>
      <c r="M126" s="139">
        <f>$I126*VLOOKUP($A126,'[1]INPUT_ASSUMPTIONS CALC'!$A$13:$CK$1019,I$6,FALSE)*VLOOKUP($A126,'[1]INPUT_ASSUMPTIONS CALC'!$A$13:$CK$1019,M$7,FALSE)</f>
        <v>0</v>
      </c>
      <c r="N126" s="140">
        <f t="shared" si="7"/>
        <v>0</v>
      </c>
      <c r="O126" s="141">
        <f>H126*VLOOKUP($A126,'[1]INPUT_ASSUMPTIONS CALC'!$A$13:$CK$1019,H$6,FALSE)*SUMIF('[1]INPUT_ASSUMPTIONS CALC'!$CQ$15:$CQ$17,'[1]Summary calculation'!E126,'[1]INPUT_ASSUMPTIONS CALC'!$CR$15:$CR$17)</f>
        <v>0</v>
      </c>
      <c r="P126" s="141">
        <f>H126*VLOOKUP($A126,'[1]INPUT_ASSUMPTIONS CALC'!$A$13:$CK$1019,H$6,FALSE)*SUMIF('[1]INPUT_ASSUMPTIONS CALC'!$CV$15:$CV$31,'[1]Summary calculation'!E126,'[1]INPUT_ASSUMPTIONS CALC'!$CW$15:$CW$31)</f>
        <v>0</v>
      </c>
      <c r="Q126" s="141">
        <f>O126*VLOOKUP($A126,'[1]INPUT_ASSUMPTIONS CALC'!$A$13:$CK$1019,Q$7,FALSE)</f>
        <v>0</v>
      </c>
      <c r="R126" s="141">
        <f>P126*VLOOKUP($A126,'[1]INPUT_ASSUMPTIONS CALC'!$A$13:$CK$1019,R$7,FALSE)</f>
        <v>0</v>
      </c>
      <c r="S126" s="140">
        <f t="shared" si="5"/>
        <v>0</v>
      </c>
      <c r="T126" s="142">
        <f t="shared" si="6"/>
        <v>0</v>
      </c>
      <c r="U126" s="61"/>
    </row>
    <row r="127" spans="1:21" x14ac:dyDescent="0.35">
      <c r="A127" s="125" t="str">
        <f t="shared" si="4"/>
        <v>119Q2</v>
      </c>
      <c r="B127" s="135">
        <v>119</v>
      </c>
      <c r="C127" s="61" t="str">
        <f>INDEX('[1]INPUT_ASSUMPTIONS CALC'!D:D,MATCH(A127,'[1]INPUT_ASSUMPTIONS CALC'!A:A,0))</f>
        <v/>
      </c>
      <c r="D127" s="61" t="str">
        <f>INDEX('[1]INPUT_ASSUMPTIONS CALC'!I:I,MATCH(A127,'[1]INPUT_ASSUMPTIONS CALC'!A:A,0))</f>
        <v/>
      </c>
      <c r="E127" s="61" t="str">
        <f>INDEX('[1]INPUT_ASSUMPTIONS CALC'!E:E,MATCH(A127,'[1]INPUT_ASSUMPTIONS CALC'!A:A,0))</f>
        <v/>
      </c>
      <c r="F127" s="136">
        <f>IF($F$5="Q1",VLOOKUP($A127,'[1]INPUT_ASSUMPTIONS CALC'!$A$13:$CK$1019,F$7,FALSE),IF($F$5="Q2",VLOOKUP($A127,'[1]INPUT_ASSUMPTIONS CALC'!$A$13:$CK$1019,F$7,FALSE),IF($F$5="Q3",VLOOKUP($A127,'[1]INPUT_ASSUMPTIONS CALC'!$A$13:$CK$1019,F$7,FALSE),IF($F$5="Q4",VLOOKUP($A127,'[1]INPUT_ASSUMPTIONS CALC'!$A$13:$CK$1019,F$7,FALSE),IF($F$5="Year",VLOOKUP($A127,'[1]INPUT_ASSUMPTIONS CALC'!$A$13:$CK$1019,F$7,FALSE),0)))))</f>
        <v>0</v>
      </c>
      <c r="G127" s="137">
        <f>SUMIF('[1]INPUT_ASSUMPTIONS CALC'!A:A,'[1]Summary calculation'!A127,'[1]INPUT_ASSUMPTIONS CALC'!BU:BU)</f>
        <v>0</v>
      </c>
      <c r="H127" s="138">
        <f>IF($F$5="Year",F127*G127*'[1]INPUT_ASSUMPTIONS CALC'!$S$7,F127*G127)</f>
        <v>0</v>
      </c>
      <c r="I127" s="138">
        <f>H127*VLOOKUP($A127,'[1]INPUT_ASSUMPTIONS CALC'!$A$13:$CK$1019,H$6,FALSE)*SUMIF('[1]INPUT_ASSUMPTIONS CALC'!$CL$15:$CL$17,'[1]Summary calculation'!E127,'[1]INPUT_ASSUMPTIONS CALC'!$CM$15:$CM$17)</f>
        <v>0</v>
      </c>
      <c r="J127" s="139">
        <f>$I127*VLOOKUP($A127,'[1]INPUT_ASSUMPTIONS CALC'!$A$13:$CK$1019,I$6,FALSE)*VLOOKUP($A127,'[1]INPUT_ASSUMPTIONS CALC'!$A$13:$CK$1019,J$7,FALSE)</f>
        <v>0</v>
      </c>
      <c r="K127" s="139">
        <f>$I127*VLOOKUP($A127,'[1]INPUT_ASSUMPTIONS CALC'!$A$13:$CK$1019,I$6,FALSE)*VLOOKUP($A127,'[1]INPUT_ASSUMPTIONS CALC'!$A$13:$CK$1019,K$7,FALSE)</f>
        <v>0</v>
      </c>
      <c r="L127" s="139">
        <f>$I127*VLOOKUP($A127,'[1]INPUT_ASSUMPTIONS CALC'!$A$13:$CK$1019,I$6,FALSE)*VLOOKUP($A127,'[1]INPUT_ASSUMPTIONS CALC'!$A$13:$CK$1019,L$7,FALSE)</f>
        <v>0</v>
      </c>
      <c r="M127" s="139">
        <f>$I127*VLOOKUP($A127,'[1]INPUT_ASSUMPTIONS CALC'!$A$13:$CK$1019,I$6,FALSE)*VLOOKUP($A127,'[1]INPUT_ASSUMPTIONS CALC'!$A$13:$CK$1019,M$7,FALSE)</f>
        <v>0</v>
      </c>
      <c r="N127" s="140">
        <f t="shared" si="7"/>
        <v>0</v>
      </c>
      <c r="O127" s="141">
        <f>H127*VLOOKUP($A127,'[1]INPUT_ASSUMPTIONS CALC'!$A$13:$CK$1019,H$6,FALSE)*SUMIF('[1]INPUT_ASSUMPTIONS CALC'!$CQ$15:$CQ$17,'[1]Summary calculation'!E127,'[1]INPUT_ASSUMPTIONS CALC'!$CR$15:$CR$17)</f>
        <v>0</v>
      </c>
      <c r="P127" s="141">
        <f>H127*VLOOKUP($A127,'[1]INPUT_ASSUMPTIONS CALC'!$A$13:$CK$1019,H$6,FALSE)*SUMIF('[1]INPUT_ASSUMPTIONS CALC'!$CV$15:$CV$31,'[1]Summary calculation'!E127,'[1]INPUT_ASSUMPTIONS CALC'!$CW$15:$CW$31)</f>
        <v>0</v>
      </c>
      <c r="Q127" s="141">
        <f>O127*VLOOKUP($A127,'[1]INPUT_ASSUMPTIONS CALC'!$A$13:$CK$1019,Q$7,FALSE)</f>
        <v>0</v>
      </c>
      <c r="R127" s="141">
        <f>P127*VLOOKUP($A127,'[1]INPUT_ASSUMPTIONS CALC'!$A$13:$CK$1019,R$7,FALSE)</f>
        <v>0</v>
      </c>
      <c r="S127" s="140">
        <f t="shared" si="5"/>
        <v>0</v>
      </c>
      <c r="T127" s="142">
        <f t="shared" si="6"/>
        <v>0</v>
      </c>
      <c r="U127" s="61"/>
    </row>
    <row r="128" spans="1:21" x14ac:dyDescent="0.35">
      <c r="A128" s="125" t="str">
        <f t="shared" si="4"/>
        <v>120Q2</v>
      </c>
      <c r="B128" s="135">
        <v>120</v>
      </c>
      <c r="C128" s="61" t="str">
        <f>INDEX('[1]INPUT_ASSUMPTIONS CALC'!D:D,MATCH(A128,'[1]INPUT_ASSUMPTIONS CALC'!A:A,0))</f>
        <v/>
      </c>
      <c r="D128" s="61" t="str">
        <f>INDEX('[1]INPUT_ASSUMPTIONS CALC'!I:I,MATCH(A128,'[1]INPUT_ASSUMPTIONS CALC'!A:A,0))</f>
        <v/>
      </c>
      <c r="E128" s="61" t="str">
        <f>INDEX('[1]INPUT_ASSUMPTIONS CALC'!E:E,MATCH(A128,'[1]INPUT_ASSUMPTIONS CALC'!A:A,0))</f>
        <v/>
      </c>
      <c r="F128" s="136">
        <f>IF($F$5="Q1",VLOOKUP($A128,'[1]INPUT_ASSUMPTIONS CALC'!$A$13:$CK$1019,F$7,FALSE),IF($F$5="Q2",VLOOKUP($A128,'[1]INPUT_ASSUMPTIONS CALC'!$A$13:$CK$1019,F$7,FALSE),IF($F$5="Q3",VLOOKUP($A128,'[1]INPUT_ASSUMPTIONS CALC'!$A$13:$CK$1019,F$7,FALSE),IF($F$5="Q4",VLOOKUP($A128,'[1]INPUT_ASSUMPTIONS CALC'!$A$13:$CK$1019,F$7,FALSE),IF($F$5="Year",VLOOKUP($A128,'[1]INPUT_ASSUMPTIONS CALC'!$A$13:$CK$1019,F$7,FALSE),0)))))</f>
        <v>0</v>
      </c>
      <c r="G128" s="137">
        <f>SUMIF('[1]INPUT_ASSUMPTIONS CALC'!A:A,'[1]Summary calculation'!A128,'[1]INPUT_ASSUMPTIONS CALC'!BU:BU)</f>
        <v>0</v>
      </c>
      <c r="H128" s="138">
        <f>IF($F$5="Year",F128*G128*'[1]INPUT_ASSUMPTIONS CALC'!$S$7,F128*G128)</f>
        <v>0</v>
      </c>
      <c r="I128" s="138">
        <f>H128*VLOOKUP($A128,'[1]INPUT_ASSUMPTIONS CALC'!$A$13:$CK$1019,H$6,FALSE)*SUMIF('[1]INPUT_ASSUMPTIONS CALC'!$CL$15:$CL$17,'[1]Summary calculation'!E128,'[1]INPUT_ASSUMPTIONS CALC'!$CM$15:$CM$17)</f>
        <v>0</v>
      </c>
      <c r="J128" s="139">
        <f>$I128*VLOOKUP($A128,'[1]INPUT_ASSUMPTIONS CALC'!$A$13:$CK$1019,I$6,FALSE)*VLOOKUP($A128,'[1]INPUT_ASSUMPTIONS CALC'!$A$13:$CK$1019,J$7,FALSE)</f>
        <v>0</v>
      </c>
      <c r="K128" s="139">
        <f>$I128*VLOOKUP($A128,'[1]INPUT_ASSUMPTIONS CALC'!$A$13:$CK$1019,I$6,FALSE)*VLOOKUP($A128,'[1]INPUT_ASSUMPTIONS CALC'!$A$13:$CK$1019,K$7,FALSE)</f>
        <v>0</v>
      </c>
      <c r="L128" s="139">
        <f>$I128*VLOOKUP($A128,'[1]INPUT_ASSUMPTIONS CALC'!$A$13:$CK$1019,I$6,FALSE)*VLOOKUP($A128,'[1]INPUT_ASSUMPTIONS CALC'!$A$13:$CK$1019,L$7,FALSE)</f>
        <v>0</v>
      </c>
      <c r="M128" s="139">
        <f>$I128*VLOOKUP($A128,'[1]INPUT_ASSUMPTIONS CALC'!$A$13:$CK$1019,I$6,FALSE)*VLOOKUP($A128,'[1]INPUT_ASSUMPTIONS CALC'!$A$13:$CK$1019,M$7,FALSE)</f>
        <v>0</v>
      </c>
      <c r="N128" s="140">
        <f t="shared" si="7"/>
        <v>0</v>
      </c>
      <c r="O128" s="141">
        <f>H128*VLOOKUP($A128,'[1]INPUT_ASSUMPTIONS CALC'!$A$13:$CK$1019,H$6,FALSE)*SUMIF('[1]INPUT_ASSUMPTIONS CALC'!$CQ$15:$CQ$17,'[1]Summary calculation'!E128,'[1]INPUT_ASSUMPTIONS CALC'!$CR$15:$CR$17)</f>
        <v>0</v>
      </c>
      <c r="P128" s="141">
        <f>H128*VLOOKUP($A128,'[1]INPUT_ASSUMPTIONS CALC'!$A$13:$CK$1019,H$6,FALSE)*SUMIF('[1]INPUT_ASSUMPTIONS CALC'!$CV$15:$CV$31,'[1]Summary calculation'!E128,'[1]INPUT_ASSUMPTIONS CALC'!$CW$15:$CW$31)</f>
        <v>0</v>
      </c>
      <c r="Q128" s="141">
        <f>O128*VLOOKUP($A128,'[1]INPUT_ASSUMPTIONS CALC'!$A$13:$CK$1019,Q$7,FALSE)</f>
        <v>0</v>
      </c>
      <c r="R128" s="141">
        <f>P128*VLOOKUP($A128,'[1]INPUT_ASSUMPTIONS CALC'!$A$13:$CK$1019,R$7,FALSE)</f>
        <v>0</v>
      </c>
      <c r="S128" s="140">
        <f t="shared" si="5"/>
        <v>0</v>
      </c>
      <c r="T128" s="142">
        <f t="shared" si="6"/>
        <v>0</v>
      </c>
      <c r="U128" s="61"/>
    </row>
    <row r="129" spans="1:21" x14ac:dyDescent="0.35">
      <c r="A129" s="125" t="str">
        <f t="shared" si="4"/>
        <v>121Q2</v>
      </c>
      <c r="B129" s="135">
        <v>121</v>
      </c>
      <c r="C129" s="61" t="str">
        <f>INDEX('[1]INPUT_ASSUMPTIONS CALC'!D:D,MATCH(A129,'[1]INPUT_ASSUMPTIONS CALC'!A:A,0))</f>
        <v/>
      </c>
      <c r="D129" s="61" t="str">
        <f>INDEX('[1]INPUT_ASSUMPTIONS CALC'!I:I,MATCH(A129,'[1]INPUT_ASSUMPTIONS CALC'!A:A,0))</f>
        <v/>
      </c>
      <c r="E129" s="61" t="str">
        <f>INDEX('[1]INPUT_ASSUMPTIONS CALC'!E:E,MATCH(A129,'[1]INPUT_ASSUMPTIONS CALC'!A:A,0))</f>
        <v/>
      </c>
      <c r="F129" s="136">
        <f>IF($F$5="Q1",VLOOKUP($A129,'[1]INPUT_ASSUMPTIONS CALC'!$A$13:$CK$1019,F$7,FALSE),IF($F$5="Q2",VLOOKUP($A129,'[1]INPUT_ASSUMPTIONS CALC'!$A$13:$CK$1019,F$7,FALSE),IF($F$5="Q3",VLOOKUP($A129,'[1]INPUT_ASSUMPTIONS CALC'!$A$13:$CK$1019,F$7,FALSE),IF($F$5="Q4",VLOOKUP($A129,'[1]INPUT_ASSUMPTIONS CALC'!$A$13:$CK$1019,F$7,FALSE),IF($F$5="Year",VLOOKUP($A129,'[1]INPUT_ASSUMPTIONS CALC'!$A$13:$CK$1019,F$7,FALSE),0)))))</f>
        <v>0</v>
      </c>
      <c r="G129" s="137">
        <f>SUMIF('[1]INPUT_ASSUMPTIONS CALC'!A:A,'[1]Summary calculation'!A129,'[1]INPUT_ASSUMPTIONS CALC'!BU:BU)</f>
        <v>0</v>
      </c>
      <c r="H129" s="138">
        <f>IF($F$5="Year",F129*G129*'[1]INPUT_ASSUMPTIONS CALC'!$S$7,F129*G129)</f>
        <v>0</v>
      </c>
      <c r="I129" s="138">
        <f>H129*VLOOKUP($A129,'[1]INPUT_ASSUMPTIONS CALC'!$A$13:$CK$1019,H$6,FALSE)*SUMIF('[1]INPUT_ASSUMPTIONS CALC'!$CL$15:$CL$17,'[1]Summary calculation'!E129,'[1]INPUT_ASSUMPTIONS CALC'!$CM$15:$CM$17)</f>
        <v>0</v>
      </c>
      <c r="J129" s="139">
        <f>$I129*VLOOKUP($A129,'[1]INPUT_ASSUMPTIONS CALC'!$A$13:$CK$1019,I$6,FALSE)*VLOOKUP($A129,'[1]INPUT_ASSUMPTIONS CALC'!$A$13:$CK$1019,J$7,FALSE)</f>
        <v>0</v>
      </c>
      <c r="K129" s="139">
        <f>$I129*VLOOKUP($A129,'[1]INPUT_ASSUMPTIONS CALC'!$A$13:$CK$1019,I$6,FALSE)*VLOOKUP($A129,'[1]INPUT_ASSUMPTIONS CALC'!$A$13:$CK$1019,K$7,FALSE)</f>
        <v>0</v>
      </c>
      <c r="L129" s="139">
        <f>$I129*VLOOKUP($A129,'[1]INPUT_ASSUMPTIONS CALC'!$A$13:$CK$1019,I$6,FALSE)*VLOOKUP($A129,'[1]INPUT_ASSUMPTIONS CALC'!$A$13:$CK$1019,L$7,FALSE)</f>
        <v>0</v>
      </c>
      <c r="M129" s="139">
        <f>$I129*VLOOKUP($A129,'[1]INPUT_ASSUMPTIONS CALC'!$A$13:$CK$1019,I$6,FALSE)*VLOOKUP($A129,'[1]INPUT_ASSUMPTIONS CALC'!$A$13:$CK$1019,M$7,FALSE)</f>
        <v>0</v>
      </c>
      <c r="N129" s="140">
        <f t="shared" si="7"/>
        <v>0</v>
      </c>
      <c r="O129" s="141">
        <f>H129*VLOOKUP($A129,'[1]INPUT_ASSUMPTIONS CALC'!$A$13:$CK$1019,H$6,FALSE)*SUMIF('[1]INPUT_ASSUMPTIONS CALC'!$CQ$15:$CQ$17,'[1]Summary calculation'!E129,'[1]INPUT_ASSUMPTIONS CALC'!$CR$15:$CR$17)</f>
        <v>0</v>
      </c>
      <c r="P129" s="141">
        <f>H129*VLOOKUP($A129,'[1]INPUT_ASSUMPTIONS CALC'!$A$13:$CK$1019,H$6,FALSE)*SUMIF('[1]INPUT_ASSUMPTIONS CALC'!$CV$15:$CV$31,'[1]Summary calculation'!E129,'[1]INPUT_ASSUMPTIONS CALC'!$CW$15:$CW$31)</f>
        <v>0</v>
      </c>
      <c r="Q129" s="141">
        <f>O129*VLOOKUP($A129,'[1]INPUT_ASSUMPTIONS CALC'!$A$13:$CK$1019,Q$7,FALSE)</f>
        <v>0</v>
      </c>
      <c r="R129" s="141">
        <f>P129*VLOOKUP($A129,'[1]INPUT_ASSUMPTIONS CALC'!$A$13:$CK$1019,R$7,FALSE)</f>
        <v>0</v>
      </c>
      <c r="S129" s="140">
        <f t="shared" si="5"/>
        <v>0</v>
      </c>
      <c r="T129" s="142">
        <f t="shared" si="6"/>
        <v>0</v>
      </c>
      <c r="U129" s="61"/>
    </row>
    <row r="130" spans="1:21" x14ac:dyDescent="0.35">
      <c r="A130" s="125" t="str">
        <f t="shared" si="4"/>
        <v>122Q2</v>
      </c>
      <c r="B130" s="135">
        <v>122</v>
      </c>
      <c r="C130" s="61" t="str">
        <f>INDEX('[1]INPUT_ASSUMPTIONS CALC'!D:D,MATCH(A130,'[1]INPUT_ASSUMPTIONS CALC'!A:A,0))</f>
        <v/>
      </c>
      <c r="D130" s="61" t="str">
        <f>INDEX('[1]INPUT_ASSUMPTIONS CALC'!I:I,MATCH(A130,'[1]INPUT_ASSUMPTIONS CALC'!A:A,0))</f>
        <v/>
      </c>
      <c r="E130" s="61" t="str">
        <f>INDEX('[1]INPUT_ASSUMPTIONS CALC'!E:E,MATCH(A130,'[1]INPUT_ASSUMPTIONS CALC'!A:A,0))</f>
        <v/>
      </c>
      <c r="F130" s="136">
        <f>IF($F$5="Q1",VLOOKUP($A130,'[1]INPUT_ASSUMPTIONS CALC'!$A$13:$CK$1019,F$7,FALSE),IF($F$5="Q2",VLOOKUP($A130,'[1]INPUT_ASSUMPTIONS CALC'!$A$13:$CK$1019,F$7,FALSE),IF($F$5="Q3",VLOOKUP($A130,'[1]INPUT_ASSUMPTIONS CALC'!$A$13:$CK$1019,F$7,FALSE),IF($F$5="Q4",VLOOKUP($A130,'[1]INPUT_ASSUMPTIONS CALC'!$A$13:$CK$1019,F$7,FALSE),IF($F$5="Year",VLOOKUP($A130,'[1]INPUT_ASSUMPTIONS CALC'!$A$13:$CK$1019,F$7,FALSE),0)))))</f>
        <v>0</v>
      </c>
      <c r="G130" s="137">
        <f>SUMIF('[1]INPUT_ASSUMPTIONS CALC'!A:A,'[1]Summary calculation'!A130,'[1]INPUT_ASSUMPTIONS CALC'!BU:BU)</f>
        <v>0</v>
      </c>
      <c r="H130" s="138">
        <f>IF($F$5="Year",F130*G130*'[1]INPUT_ASSUMPTIONS CALC'!$S$7,F130*G130)</f>
        <v>0</v>
      </c>
      <c r="I130" s="138">
        <f>H130*VLOOKUP($A130,'[1]INPUT_ASSUMPTIONS CALC'!$A$13:$CK$1019,H$6,FALSE)*SUMIF('[1]INPUT_ASSUMPTIONS CALC'!$CL$15:$CL$17,'[1]Summary calculation'!E130,'[1]INPUT_ASSUMPTIONS CALC'!$CM$15:$CM$17)</f>
        <v>0</v>
      </c>
      <c r="J130" s="139">
        <f>$I130*VLOOKUP($A130,'[1]INPUT_ASSUMPTIONS CALC'!$A$13:$CK$1019,I$6,FALSE)*VLOOKUP($A130,'[1]INPUT_ASSUMPTIONS CALC'!$A$13:$CK$1019,J$7,FALSE)</f>
        <v>0</v>
      </c>
      <c r="K130" s="139">
        <f>$I130*VLOOKUP($A130,'[1]INPUT_ASSUMPTIONS CALC'!$A$13:$CK$1019,I$6,FALSE)*VLOOKUP($A130,'[1]INPUT_ASSUMPTIONS CALC'!$A$13:$CK$1019,K$7,FALSE)</f>
        <v>0</v>
      </c>
      <c r="L130" s="139">
        <f>$I130*VLOOKUP($A130,'[1]INPUT_ASSUMPTIONS CALC'!$A$13:$CK$1019,I$6,FALSE)*VLOOKUP($A130,'[1]INPUT_ASSUMPTIONS CALC'!$A$13:$CK$1019,L$7,FALSE)</f>
        <v>0</v>
      </c>
      <c r="M130" s="139">
        <f>$I130*VLOOKUP($A130,'[1]INPUT_ASSUMPTIONS CALC'!$A$13:$CK$1019,I$6,FALSE)*VLOOKUP($A130,'[1]INPUT_ASSUMPTIONS CALC'!$A$13:$CK$1019,M$7,FALSE)</f>
        <v>0</v>
      </c>
      <c r="N130" s="140">
        <f t="shared" si="7"/>
        <v>0</v>
      </c>
      <c r="O130" s="141">
        <f>H130*VLOOKUP($A130,'[1]INPUT_ASSUMPTIONS CALC'!$A$13:$CK$1019,H$6,FALSE)*SUMIF('[1]INPUT_ASSUMPTIONS CALC'!$CQ$15:$CQ$17,'[1]Summary calculation'!E130,'[1]INPUT_ASSUMPTIONS CALC'!$CR$15:$CR$17)</f>
        <v>0</v>
      </c>
      <c r="P130" s="141">
        <f>H130*VLOOKUP($A130,'[1]INPUT_ASSUMPTIONS CALC'!$A$13:$CK$1019,H$6,FALSE)*SUMIF('[1]INPUT_ASSUMPTIONS CALC'!$CV$15:$CV$31,'[1]Summary calculation'!E130,'[1]INPUT_ASSUMPTIONS CALC'!$CW$15:$CW$31)</f>
        <v>0</v>
      </c>
      <c r="Q130" s="141">
        <f>O130*VLOOKUP($A130,'[1]INPUT_ASSUMPTIONS CALC'!$A$13:$CK$1019,Q$7,FALSE)</f>
        <v>0</v>
      </c>
      <c r="R130" s="141">
        <f>P130*VLOOKUP($A130,'[1]INPUT_ASSUMPTIONS CALC'!$A$13:$CK$1019,R$7,FALSE)</f>
        <v>0</v>
      </c>
      <c r="S130" s="140">
        <f t="shared" si="5"/>
        <v>0</v>
      </c>
      <c r="T130" s="142">
        <f t="shared" si="6"/>
        <v>0</v>
      </c>
      <c r="U130" s="61"/>
    </row>
    <row r="131" spans="1:21" x14ac:dyDescent="0.35">
      <c r="A131" s="125" t="str">
        <f t="shared" si="4"/>
        <v>123Q2</v>
      </c>
      <c r="B131" s="135">
        <v>123</v>
      </c>
      <c r="C131" s="61" t="str">
        <f>INDEX('[1]INPUT_ASSUMPTIONS CALC'!D:D,MATCH(A131,'[1]INPUT_ASSUMPTIONS CALC'!A:A,0))</f>
        <v/>
      </c>
      <c r="D131" s="61" t="str">
        <f>INDEX('[1]INPUT_ASSUMPTIONS CALC'!I:I,MATCH(A131,'[1]INPUT_ASSUMPTIONS CALC'!A:A,0))</f>
        <v/>
      </c>
      <c r="E131" s="61" t="str">
        <f>INDEX('[1]INPUT_ASSUMPTIONS CALC'!E:E,MATCH(A131,'[1]INPUT_ASSUMPTIONS CALC'!A:A,0))</f>
        <v/>
      </c>
      <c r="F131" s="136">
        <f>IF($F$5="Q1",VLOOKUP($A131,'[1]INPUT_ASSUMPTIONS CALC'!$A$13:$CK$1019,F$7,FALSE),IF($F$5="Q2",VLOOKUP($A131,'[1]INPUT_ASSUMPTIONS CALC'!$A$13:$CK$1019,F$7,FALSE),IF($F$5="Q3",VLOOKUP($A131,'[1]INPUT_ASSUMPTIONS CALC'!$A$13:$CK$1019,F$7,FALSE),IF($F$5="Q4",VLOOKUP($A131,'[1]INPUT_ASSUMPTIONS CALC'!$A$13:$CK$1019,F$7,FALSE),IF($F$5="Year",VLOOKUP($A131,'[1]INPUT_ASSUMPTIONS CALC'!$A$13:$CK$1019,F$7,FALSE),0)))))</f>
        <v>0</v>
      </c>
      <c r="G131" s="137">
        <f>SUMIF('[1]INPUT_ASSUMPTIONS CALC'!A:A,'[1]Summary calculation'!A131,'[1]INPUT_ASSUMPTIONS CALC'!BU:BU)</f>
        <v>0</v>
      </c>
      <c r="H131" s="138">
        <f>IF($F$5="Year",F131*G131*'[1]INPUT_ASSUMPTIONS CALC'!$S$7,F131*G131)</f>
        <v>0</v>
      </c>
      <c r="I131" s="138">
        <f>H131*VLOOKUP($A131,'[1]INPUT_ASSUMPTIONS CALC'!$A$13:$CK$1019,H$6,FALSE)*SUMIF('[1]INPUT_ASSUMPTIONS CALC'!$CL$15:$CL$17,'[1]Summary calculation'!E131,'[1]INPUT_ASSUMPTIONS CALC'!$CM$15:$CM$17)</f>
        <v>0</v>
      </c>
      <c r="J131" s="139">
        <f>$I131*VLOOKUP($A131,'[1]INPUT_ASSUMPTIONS CALC'!$A$13:$CK$1019,I$6,FALSE)*VLOOKUP($A131,'[1]INPUT_ASSUMPTIONS CALC'!$A$13:$CK$1019,J$7,FALSE)</f>
        <v>0</v>
      </c>
      <c r="K131" s="139">
        <f>$I131*VLOOKUP($A131,'[1]INPUT_ASSUMPTIONS CALC'!$A$13:$CK$1019,I$6,FALSE)*VLOOKUP($A131,'[1]INPUT_ASSUMPTIONS CALC'!$A$13:$CK$1019,K$7,FALSE)</f>
        <v>0</v>
      </c>
      <c r="L131" s="139">
        <f>$I131*VLOOKUP($A131,'[1]INPUT_ASSUMPTIONS CALC'!$A$13:$CK$1019,I$6,FALSE)*VLOOKUP($A131,'[1]INPUT_ASSUMPTIONS CALC'!$A$13:$CK$1019,L$7,FALSE)</f>
        <v>0</v>
      </c>
      <c r="M131" s="139">
        <f>$I131*VLOOKUP($A131,'[1]INPUT_ASSUMPTIONS CALC'!$A$13:$CK$1019,I$6,FALSE)*VLOOKUP($A131,'[1]INPUT_ASSUMPTIONS CALC'!$A$13:$CK$1019,M$7,FALSE)</f>
        <v>0</v>
      </c>
      <c r="N131" s="140">
        <f t="shared" si="7"/>
        <v>0</v>
      </c>
      <c r="O131" s="141">
        <f>H131*VLOOKUP($A131,'[1]INPUT_ASSUMPTIONS CALC'!$A$13:$CK$1019,H$6,FALSE)*SUMIF('[1]INPUT_ASSUMPTIONS CALC'!$CQ$15:$CQ$17,'[1]Summary calculation'!E131,'[1]INPUT_ASSUMPTIONS CALC'!$CR$15:$CR$17)</f>
        <v>0</v>
      </c>
      <c r="P131" s="141">
        <f>H131*VLOOKUP($A131,'[1]INPUT_ASSUMPTIONS CALC'!$A$13:$CK$1019,H$6,FALSE)*SUMIF('[1]INPUT_ASSUMPTIONS CALC'!$CV$15:$CV$31,'[1]Summary calculation'!E131,'[1]INPUT_ASSUMPTIONS CALC'!$CW$15:$CW$31)</f>
        <v>0</v>
      </c>
      <c r="Q131" s="141">
        <f>O131*VLOOKUP($A131,'[1]INPUT_ASSUMPTIONS CALC'!$A$13:$CK$1019,Q$7,FALSE)</f>
        <v>0</v>
      </c>
      <c r="R131" s="141">
        <f>P131*VLOOKUP($A131,'[1]INPUT_ASSUMPTIONS CALC'!$A$13:$CK$1019,R$7,FALSE)</f>
        <v>0</v>
      </c>
      <c r="S131" s="140">
        <f t="shared" si="5"/>
        <v>0</v>
      </c>
      <c r="T131" s="142">
        <f t="shared" si="6"/>
        <v>0</v>
      </c>
      <c r="U131" s="61"/>
    </row>
    <row r="132" spans="1:21" x14ac:dyDescent="0.35">
      <c r="A132" s="125" t="str">
        <f t="shared" si="4"/>
        <v>124Q2</v>
      </c>
      <c r="B132" s="135">
        <v>124</v>
      </c>
      <c r="C132" s="61" t="str">
        <f>INDEX('[1]INPUT_ASSUMPTIONS CALC'!D:D,MATCH(A132,'[1]INPUT_ASSUMPTIONS CALC'!A:A,0))</f>
        <v/>
      </c>
      <c r="D132" s="61" t="str">
        <f>INDEX('[1]INPUT_ASSUMPTIONS CALC'!I:I,MATCH(A132,'[1]INPUT_ASSUMPTIONS CALC'!A:A,0))</f>
        <v/>
      </c>
      <c r="E132" s="61" t="str">
        <f>INDEX('[1]INPUT_ASSUMPTIONS CALC'!E:E,MATCH(A132,'[1]INPUT_ASSUMPTIONS CALC'!A:A,0))</f>
        <v/>
      </c>
      <c r="F132" s="136">
        <f>IF($F$5="Q1",VLOOKUP($A132,'[1]INPUT_ASSUMPTIONS CALC'!$A$13:$CK$1019,F$7,FALSE),IF($F$5="Q2",VLOOKUP($A132,'[1]INPUT_ASSUMPTIONS CALC'!$A$13:$CK$1019,F$7,FALSE),IF($F$5="Q3",VLOOKUP($A132,'[1]INPUT_ASSUMPTIONS CALC'!$A$13:$CK$1019,F$7,FALSE),IF($F$5="Q4",VLOOKUP($A132,'[1]INPUT_ASSUMPTIONS CALC'!$A$13:$CK$1019,F$7,FALSE),IF($F$5="Year",VLOOKUP($A132,'[1]INPUT_ASSUMPTIONS CALC'!$A$13:$CK$1019,F$7,FALSE),0)))))</f>
        <v>0</v>
      </c>
      <c r="G132" s="137">
        <f>SUMIF('[1]INPUT_ASSUMPTIONS CALC'!A:A,'[1]Summary calculation'!A132,'[1]INPUT_ASSUMPTIONS CALC'!BU:BU)</f>
        <v>0</v>
      </c>
      <c r="H132" s="138">
        <f>IF($F$5="Year",F132*G132*'[1]INPUT_ASSUMPTIONS CALC'!$S$7,F132*G132)</f>
        <v>0</v>
      </c>
      <c r="I132" s="138">
        <f>H132*VLOOKUP($A132,'[1]INPUT_ASSUMPTIONS CALC'!$A$13:$CK$1019,H$6,FALSE)*SUMIF('[1]INPUT_ASSUMPTIONS CALC'!$CL$15:$CL$17,'[1]Summary calculation'!E132,'[1]INPUT_ASSUMPTIONS CALC'!$CM$15:$CM$17)</f>
        <v>0</v>
      </c>
      <c r="J132" s="139">
        <f>$I132*VLOOKUP($A132,'[1]INPUT_ASSUMPTIONS CALC'!$A$13:$CK$1019,I$6,FALSE)*VLOOKUP($A132,'[1]INPUT_ASSUMPTIONS CALC'!$A$13:$CK$1019,J$7,FALSE)</f>
        <v>0</v>
      </c>
      <c r="K132" s="139">
        <f>$I132*VLOOKUP($A132,'[1]INPUT_ASSUMPTIONS CALC'!$A$13:$CK$1019,I$6,FALSE)*VLOOKUP($A132,'[1]INPUT_ASSUMPTIONS CALC'!$A$13:$CK$1019,K$7,FALSE)</f>
        <v>0</v>
      </c>
      <c r="L132" s="139">
        <f>$I132*VLOOKUP($A132,'[1]INPUT_ASSUMPTIONS CALC'!$A$13:$CK$1019,I$6,FALSE)*VLOOKUP($A132,'[1]INPUT_ASSUMPTIONS CALC'!$A$13:$CK$1019,L$7,FALSE)</f>
        <v>0</v>
      </c>
      <c r="M132" s="139">
        <f>$I132*VLOOKUP($A132,'[1]INPUT_ASSUMPTIONS CALC'!$A$13:$CK$1019,I$6,FALSE)*VLOOKUP($A132,'[1]INPUT_ASSUMPTIONS CALC'!$A$13:$CK$1019,M$7,FALSE)</f>
        <v>0</v>
      </c>
      <c r="N132" s="140">
        <f t="shared" si="7"/>
        <v>0</v>
      </c>
      <c r="O132" s="141">
        <f>H132*VLOOKUP($A132,'[1]INPUT_ASSUMPTIONS CALC'!$A$13:$CK$1019,H$6,FALSE)*SUMIF('[1]INPUT_ASSUMPTIONS CALC'!$CQ$15:$CQ$17,'[1]Summary calculation'!E132,'[1]INPUT_ASSUMPTIONS CALC'!$CR$15:$CR$17)</f>
        <v>0</v>
      </c>
      <c r="P132" s="141">
        <f>H132*VLOOKUP($A132,'[1]INPUT_ASSUMPTIONS CALC'!$A$13:$CK$1019,H$6,FALSE)*SUMIF('[1]INPUT_ASSUMPTIONS CALC'!$CV$15:$CV$31,'[1]Summary calculation'!E132,'[1]INPUT_ASSUMPTIONS CALC'!$CW$15:$CW$31)</f>
        <v>0</v>
      </c>
      <c r="Q132" s="141">
        <f>O132*VLOOKUP($A132,'[1]INPUT_ASSUMPTIONS CALC'!$A$13:$CK$1019,Q$7,FALSE)</f>
        <v>0</v>
      </c>
      <c r="R132" s="141">
        <f>P132*VLOOKUP($A132,'[1]INPUT_ASSUMPTIONS CALC'!$A$13:$CK$1019,R$7,FALSE)</f>
        <v>0</v>
      </c>
      <c r="S132" s="140">
        <f t="shared" si="5"/>
        <v>0</v>
      </c>
      <c r="T132" s="142">
        <f t="shared" si="6"/>
        <v>0</v>
      </c>
      <c r="U132" s="61"/>
    </row>
    <row r="133" spans="1:21" x14ac:dyDescent="0.35">
      <c r="A133" s="125" t="str">
        <f t="shared" si="4"/>
        <v>125Q2</v>
      </c>
      <c r="B133" s="135">
        <v>125</v>
      </c>
      <c r="C133" s="61" t="str">
        <f>INDEX('[1]INPUT_ASSUMPTIONS CALC'!D:D,MATCH(A133,'[1]INPUT_ASSUMPTIONS CALC'!A:A,0))</f>
        <v/>
      </c>
      <c r="D133" s="61" t="str">
        <f>INDEX('[1]INPUT_ASSUMPTIONS CALC'!I:I,MATCH(A133,'[1]INPUT_ASSUMPTIONS CALC'!A:A,0))</f>
        <v/>
      </c>
      <c r="E133" s="61" t="str">
        <f>INDEX('[1]INPUT_ASSUMPTIONS CALC'!E:E,MATCH(A133,'[1]INPUT_ASSUMPTIONS CALC'!A:A,0))</f>
        <v/>
      </c>
      <c r="F133" s="136">
        <f>IF($F$5="Q1",VLOOKUP($A133,'[1]INPUT_ASSUMPTIONS CALC'!$A$13:$CK$1019,F$7,FALSE),IF($F$5="Q2",VLOOKUP($A133,'[1]INPUT_ASSUMPTIONS CALC'!$A$13:$CK$1019,F$7,FALSE),IF($F$5="Q3",VLOOKUP($A133,'[1]INPUT_ASSUMPTIONS CALC'!$A$13:$CK$1019,F$7,FALSE),IF($F$5="Q4",VLOOKUP($A133,'[1]INPUT_ASSUMPTIONS CALC'!$A$13:$CK$1019,F$7,FALSE),IF($F$5="Year",VLOOKUP($A133,'[1]INPUT_ASSUMPTIONS CALC'!$A$13:$CK$1019,F$7,FALSE),0)))))</f>
        <v>0</v>
      </c>
      <c r="G133" s="137">
        <f>SUMIF('[1]INPUT_ASSUMPTIONS CALC'!A:A,'[1]Summary calculation'!A133,'[1]INPUT_ASSUMPTIONS CALC'!BU:BU)</f>
        <v>0</v>
      </c>
      <c r="H133" s="138">
        <f>IF($F$5="Year",F133*G133*'[1]INPUT_ASSUMPTIONS CALC'!$S$7,F133*G133)</f>
        <v>0</v>
      </c>
      <c r="I133" s="138">
        <f>H133*VLOOKUP($A133,'[1]INPUT_ASSUMPTIONS CALC'!$A$13:$CK$1019,H$6,FALSE)*SUMIF('[1]INPUT_ASSUMPTIONS CALC'!$CL$15:$CL$17,'[1]Summary calculation'!E133,'[1]INPUT_ASSUMPTIONS CALC'!$CM$15:$CM$17)</f>
        <v>0</v>
      </c>
      <c r="J133" s="139">
        <f>$I133*VLOOKUP($A133,'[1]INPUT_ASSUMPTIONS CALC'!$A$13:$CK$1019,I$6,FALSE)*VLOOKUP($A133,'[1]INPUT_ASSUMPTIONS CALC'!$A$13:$CK$1019,J$7,FALSE)</f>
        <v>0</v>
      </c>
      <c r="K133" s="139">
        <f>$I133*VLOOKUP($A133,'[1]INPUT_ASSUMPTIONS CALC'!$A$13:$CK$1019,I$6,FALSE)*VLOOKUP($A133,'[1]INPUT_ASSUMPTIONS CALC'!$A$13:$CK$1019,K$7,FALSE)</f>
        <v>0</v>
      </c>
      <c r="L133" s="139">
        <f>$I133*VLOOKUP($A133,'[1]INPUT_ASSUMPTIONS CALC'!$A$13:$CK$1019,I$6,FALSE)*VLOOKUP($A133,'[1]INPUT_ASSUMPTIONS CALC'!$A$13:$CK$1019,L$7,FALSE)</f>
        <v>0</v>
      </c>
      <c r="M133" s="139">
        <f>$I133*VLOOKUP($A133,'[1]INPUT_ASSUMPTIONS CALC'!$A$13:$CK$1019,I$6,FALSE)*VLOOKUP($A133,'[1]INPUT_ASSUMPTIONS CALC'!$A$13:$CK$1019,M$7,FALSE)</f>
        <v>0</v>
      </c>
      <c r="N133" s="140">
        <f t="shared" si="7"/>
        <v>0</v>
      </c>
      <c r="O133" s="141">
        <f>H133*VLOOKUP($A133,'[1]INPUT_ASSUMPTIONS CALC'!$A$13:$CK$1019,H$6,FALSE)*SUMIF('[1]INPUT_ASSUMPTIONS CALC'!$CQ$15:$CQ$17,'[1]Summary calculation'!E133,'[1]INPUT_ASSUMPTIONS CALC'!$CR$15:$CR$17)</f>
        <v>0</v>
      </c>
      <c r="P133" s="141">
        <f>H133*VLOOKUP($A133,'[1]INPUT_ASSUMPTIONS CALC'!$A$13:$CK$1019,H$6,FALSE)*SUMIF('[1]INPUT_ASSUMPTIONS CALC'!$CV$15:$CV$31,'[1]Summary calculation'!E133,'[1]INPUT_ASSUMPTIONS CALC'!$CW$15:$CW$31)</f>
        <v>0</v>
      </c>
      <c r="Q133" s="141">
        <f>O133*VLOOKUP($A133,'[1]INPUT_ASSUMPTIONS CALC'!$A$13:$CK$1019,Q$7,FALSE)</f>
        <v>0</v>
      </c>
      <c r="R133" s="141">
        <f>P133*VLOOKUP($A133,'[1]INPUT_ASSUMPTIONS CALC'!$A$13:$CK$1019,R$7,FALSE)</f>
        <v>0</v>
      </c>
      <c r="S133" s="140">
        <f t="shared" si="5"/>
        <v>0</v>
      </c>
      <c r="T133" s="142">
        <f t="shared" si="6"/>
        <v>0</v>
      </c>
      <c r="U133" s="61"/>
    </row>
    <row r="134" spans="1:21" x14ac:dyDescent="0.35">
      <c r="A134" s="125" t="str">
        <f t="shared" si="4"/>
        <v>126Q2</v>
      </c>
      <c r="B134" s="135">
        <v>126</v>
      </c>
      <c r="C134" s="61" t="str">
        <f>INDEX('[1]INPUT_ASSUMPTIONS CALC'!D:D,MATCH(A134,'[1]INPUT_ASSUMPTIONS CALC'!A:A,0))</f>
        <v/>
      </c>
      <c r="D134" s="61" t="str">
        <f>INDEX('[1]INPUT_ASSUMPTIONS CALC'!I:I,MATCH(A134,'[1]INPUT_ASSUMPTIONS CALC'!A:A,0))</f>
        <v/>
      </c>
      <c r="E134" s="61" t="str">
        <f>INDEX('[1]INPUT_ASSUMPTIONS CALC'!E:E,MATCH(A134,'[1]INPUT_ASSUMPTIONS CALC'!A:A,0))</f>
        <v/>
      </c>
      <c r="F134" s="136">
        <f>IF($F$5="Q1",VLOOKUP($A134,'[1]INPUT_ASSUMPTIONS CALC'!$A$13:$CK$1019,F$7,FALSE),IF($F$5="Q2",VLOOKUP($A134,'[1]INPUT_ASSUMPTIONS CALC'!$A$13:$CK$1019,F$7,FALSE),IF($F$5="Q3",VLOOKUP($A134,'[1]INPUT_ASSUMPTIONS CALC'!$A$13:$CK$1019,F$7,FALSE),IF($F$5="Q4",VLOOKUP($A134,'[1]INPUT_ASSUMPTIONS CALC'!$A$13:$CK$1019,F$7,FALSE),IF($F$5="Year",VLOOKUP($A134,'[1]INPUT_ASSUMPTIONS CALC'!$A$13:$CK$1019,F$7,FALSE),0)))))</f>
        <v>0</v>
      </c>
      <c r="G134" s="137">
        <f>SUMIF('[1]INPUT_ASSUMPTIONS CALC'!A:A,'[1]Summary calculation'!A134,'[1]INPUT_ASSUMPTIONS CALC'!BU:BU)</f>
        <v>0</v>
      </c>
      <c r="H134" s="138">
        <f>IF($F$5="Year",F134*G134*'[1]INPUT_ASSUMPTIONS CALC'!$S$7,F134*G134)</f>
        <v>0</v>
      </c>
      <c r="I134" s="138">
        <f>H134*VLOOKUP($A134,'[1]INPUT_ASSUMPTIONS CALC'!$A$13:$CK$1019,H$6,FALSE)*SUMIF('[1]INPUT_ASSUMPTIONS CALC'!$CL$15:$CL$17,'[1]Summary calculation'!E134,'[1]INPUT_ASSUMPTIONS CALC'!$CM$15:$CM$17)</f>
        <v>0</v>
      </c>
      <c r="J134" s="139">
        <f>$I134*VLOOKUP($A134,'[1]INPUT_ASSUMPTIONS CALC'!$A$13:$CK$1019,I$6,FALSE)*VLOOKUP($A134,'[1]INPUT_ASSUMPTIONS CALC'!$A$13:$CK$1019,J$7,FALSE)</f>
        <v>0</v>
      </c>
      <c r="K134" s="139">
        <f>$I134*VLOOKUP($A134,'[1]INPUT_ASSUMPTIONS CALC'!$A$13:$CK$1019,I$6,FALSE)*VLOOKUP($A134,'[1]INPUT_ASSUMPTIONS CALC'!$A$13:$CK$1019,K$7,FALSE)</f>
        <v>0</v>
      </c>
      <c r="L134" s="139">
        <f>$I134*VLOOKUP($A134,'[1]INPUT_ASSUMPTIONS CALC'!$A$13:$CK$1019,I$6,FALSE)*VLOOKUP($A134,'[1]INPUT_ASSUMPTIONS CALC'!$A$13:$CK$1019,L$7,FALSE)</f>
        <v>0</v>
      </c>
      <c r="M134" s="139">
        <f>$I134*VLOOKUP($A134,'[1]INPUT_ASSUMPTIONS CALC'!$A$13:$CK$1019,I$6,FALSE)*VLOOKUP($A134,'[1]INPUT_ASSUMPTIONS CALC'!$A$13:$CK$1019,M$7,FALSE)</f>
        <v>0</v>
      </c>
      <c r="N134" s="140">
        <f t="shared" si="7"/>
        <v>0</v>
      </c>
      <c r="O134" s="141">
        <f>H134*VLOOKUP($A134,'[1]INPUT_ASSUMPTIONS CALC'!$A$13:$CK$1019,H$6,FALSE)*SUMIF('[1]INPUT_ASSUMPTIONS CALC'!$CQ$15:$CQ$17,'[1]Summary calculation'!E134,'[1]INPUT_ASSUMPTIONS CALC'!$CR$15:$CR$17)</f>
        <v>0</v>
      </c>
      <c r="P134" s="141">
        <f>H134*VLOOKUP($A134,'[1]INPUT_ASSUMPTIONS CALC'!$A$13:$CK$1019,H$6,FALSE)*SUMIF('[1]INPUT_ASSUMPTIONS CALC'!$CV$15:$CV$31,'[1]Summary calculation'!E134,'[1]INPUT_ASSUMPTIONS CALC'!$CW$15:$CW$31)</f>
        <v>0</v>
      </c>
      <c r="Q134" s="141">
        <f>O134*VLOOKUP($A134,'[1]INPUT_ASSUMPTIONS CALC'!$A$13:$CK$1019,Q$7,FALSE)</f>
        <v>0</v>
      </c>
      <c r="R134" s="141">
        <f>P134*VLOOKUP($A134,'[1]INPUT_ASSUMPTIONS CALC'!$A$13:$CK$1019,R$7,FALSE)</f>
        <v>0</v>
      </c>
      <c r="S134" s="140">
        <f t="shared" si="5"/>
        <v>0</v>
      </c>
      <c r="T134" s="142">
        <f t="shared" si="6"/>
        <v>0</v>
      </c>
      <c r="U134" s="61"/>
    </row>
    <row r="135" spans="1:21" x14ac:dyDescent="0.35">
      <c r="A135" s="125" t="str">
        <f t="shared" si="4"/>
        <v>127Q2</v>
      </c>
      <c r="B135" s="135">
        <v>127</v>
      </c>
      <c r="C135" s="61" t="str">
        <f>INDEX('[1]INPUT_ASSUMPTIONS CALC'!D:D,MATCH(A135,'[1]INPUT_ASSUMPTIONS CALC'!A:A,0))</f>
        <v/>
      </c>
      <c r="D135" s="61" t="str">
        <f>INDEX('[1]INPUT_ASSUMPTIONS CALC'!I:I,MATCH(A135,'[1]INPUT_ASSUMPTIONS CALC'!A:A,0))</f>
        <v/>
      </c>
      <c r="E135" s="61" t="str">
        <f>INDEX('[1]INPUT_ASSUMPTIONS CALC'!E:E,MATCH(A135,'[1]INPUT_ASSUMPTIONS CALC'!A:A,0))</f>
        <v/>
      </c>
      <c r="F135" s="136">
        <f>IF($F$5="Q1",VLOOKUP($A135,'[1]INPUT_ASSUMPTIONS CALC'!$A$13:$CK$1019,F$7,FALSE),IF($F$5="Q2",VLOOKUP($A135,'[1]INPUT_ASSUMPTIONS CALC'!$A$13:$CK$1019,F$7,FALSE),IF($F$5="Q3",VLOOKUP($A135,'[1]INPUT_ASSUMPTIONS CALC'!$A$13:$CK$1019,F$7,FALSE),IF($F$5="Q4",VLOOKUP($A135,'[1]INPUT_ASSUMPTIONS CALC'!$A$13:$CK$1019,F$7,FALSE),IF($F$5="Year",VLOOKUP($A135,'[1]INPUT_ASSUMPTIONS CALC'!$A$13:$CK$1019,F$7,FALSE),0)))))</f>
        <v>0</v>
      </c>
      <c r="G135" s="137">
        <f>SUMIF('[1]INPUT_ASSUMPTIONS CALC'!A:A,'[1]Summary calculation'!A135,'[1]INPUT_ASSUMPTIONS CALC'!BU:BU)</f>
        <v>0</v>
      </c>
      <c r="H135" s="138">
        <f>IF($F$5="Year",F135*G135*'[1]INPUT_ASSUMPTIONS CALC'!$S$7,F135*G135)</f>
        <v>0</v>
      </c>
      <c r="I135" s="138">
        <f>H135*VLOOKUP($A135,'[1]INPUT_ASSUMPTIONS CALC'!$A$13:$CK$1019,H$6,FALSE)*SUMIF('[1]INPUT_ASSUMPTIONS CALC'!$CL$15:$CL$17,'[1]Summary calculation'!E135,'[1]INPUT_ASSUMPTIONS CALC'!$CM$15:$CM$17)</f>
        <v>0</v>
      </c>
      <c r="J135" s="139">
        <f>$I135*VLOOKUP($A135,'[1]INPUT_ASSUMPTIONS CALC'!$A$13:$CK$1019,I$6,FALSE)*VLOOKUP($A135,'[1]INPUT_ASSUMPTIONS CALC'!$A$13:$CK$1019,J$7,FALSE)</f>
        <v>0</v>
      </c>
      <c r="K135" s="139">
        <f>$I135*VLOOKUP($A135,'[1]INPUT_ASSUMPTIONS CALC'!$A$13:$CK$1019,I$6,FALSE)*VLOOKUP($A135,'[1]INPUT_ASSUMPTIONS CALC'!$A$13:$CK$1019,K$7,FALSE)</f>
        <v>0</v>
      </c>
      <c r="L135" s="139">
        <f>$I135*VLOOKUP($A135,'[1]INPUT_ASSUMPTIONS CALC'!$A$13:$CK$1019,I$6,FALSE)*VLOOKUP($A135,'[1]INPUT_ASSUMPTIONS CALC'!$A$13:$CK$1019,L$7,FALSE)</f>
        <v>0</v>
      </c>
      <c r="M135" s="139">
        <f>$I135*VLOOKUP($A135,'[1]INPUT_ASSUMPTIONS CALC'!$A$13:$CK$1019,I$6,FALSE)*VLOOKUP($A135,'[1]INPUT_ASSUMPTIONS CALC'!$A$13:$CK$1019,M$7,FALSE)</f>
        <v>0</v>
      </c>
      <c r="N135" s="140">
        <f t="shared" si="7"/>
        <v>0</v>
      </c>
      <c r="O135" s="141">
        <f>H135*VLOOKUP($A135,'[1]INPUT_ASSUMPTIONS CALC'!$A$13:$CK$1019,H$6,FALSE)*SUMIF('[1]INPUT_ASSUMPTIONS CALC'!$CQ$15:$CQ$17,'[1]Summary calculation'!E135,'[1]INPUT_ASSUMPTIONS CALC'!$CR$15:$CR$17)</f>
        <v>0</v>
      </c>
      <c r="P135" s="141">
        <f>H135*VLOOKUP($A135,'[1]INPUT_ASSUMPTIONS CALC'!$A$13:$CK$1019,H$6,FALSE)*SUMIF('[1]INPUT_ASSUMPTIONS CALC'!$CV$15:$CV$31,'[1]Summary calculation'!E135,'[1]INPUT_ASSUMPTIONS CALC'!$CW$15:$CW$31)</f>
        <v>0</v>
      </c>
      <c r="Q135" s="141">
        <f>O135*VLOOKUP($A135,'[1]INPUT_ASSUMPTIONS CALC'!$A$13:$CK$1019,Q$7,FALSE)</f>
        <v>0</v>
      </c>
      <c r="R135" s="141">
        <f>P135*VLOOKUP($A135,'[1]INPUT_ASSUMPTIONS CALC'!$A$13:$CK$1019,R$7,FALSE)</f>
        <v>0</v>
      </c>
      <c r="S135" s="140">
        <f t="shared" si="5"/>
        <v>0</v>
      </c>
      <c r="T135" s="142">
        <f t="shared" si="6"/>
        <v>0</v>
      </c>
      <c r="U135" s="61"/>
    </row>
    <row r="136" spans="1:21" x14ac:dyDescent="0.35">
      <c r="A136" s="125" t="str">
        <f t="shared" si="4"/>
        <v>128Q2</v>
      </c>
      <c r="B136" s="135">
        <v>128</v>
      </c>
      <c r="C136" s="61" t="str">
        <f>INDEX('[1]INPUT_ASSUMPTIONS CALC'!D:D,MATCH(A136,'[1]INPUT_ASSUMPTIONS CALC'!A:A,0))</f>
        <v/>
      </c>
      <c r="D136" s="61" t="str">
        <f>INDEX('[1]INPUT_ASSUMPTIONS CALC'!I:I,MATCH(A136,'[1]INPUT_ASSUMPTIONS CALC'!A:A,0))</f>
        <v/>
      </c>
      <c r="E136" s="61" t="str">
        <f>INDEX('[1]INPUT_ASSUMPTIONS CALC'!E:E,MATCH(A136,'[1]INPUT_ASSUMPTIONS CALC'!A:A,0))</f>
        <v/>
      </c>
      <c r="F136" s="136">
        <f>IF($F$5="Q1",VLOOKUP($A136,'[1]INPUT_ASSUMPTIONS CALC'!$A$13:$CK$1019,F$7,FALSE),IF($F$5="Q2",VLOOKUP($A136,'[1]INPUT_ASSUMPTIONS CALC'!$A$13:$CK$1019,F$7,FALSE),IF($F$5="Q3",VLOOKUP($A136,'[1]INPUT_ASSUMPTIONS CALC'!$A$13:$CK$1019,F$7,FALSE),IF($F$5="Q4",VLOOKUP($A136,'[1]INPUT_ASSUMPTIONS CALC'!$A$13:$CK$1019,F$7,FALSE),IF($F$5="Year",VLOOKUP($A136,'[1]INPUT_ASSUMPTIONS CALC'!$A$13:$CK$1019,F$7,FALSE),0)))))</f>
        <v>0</v>
      </c>
      <c r="G136" s="137">
        <f>SUMIF('[1]INPUT_ASSUMPTIONS CALC'!A:A,'[1]Summary calculation'!A136,'[1]INPUT_ASSUMPTIONS CALC'!BU:BU)</f>
        <v>0</v>
      </c>
      <c r="H136" s="138">
        <f>IF($F$5="Year",F136*G136*'[1]INPUT_ASSUMPTIONS CALC'!$S$7,F136*G136)</f>
        <v>0</v>
      </c>
      <c r="I136" s="138">
        <f>H136*VLOOKUP($A136,'[1]INPUT_ASSUMPTIONS CALC'!$A$13:$CK$1019,H$6,FALSE)*SUMIF('[1]INPUT_ASSUMPTIONS CALC'!$CL$15:$CL$17,'[1]Summary calculation'!E136,'[1]INPUT_ASSUMPTIONS CALC'!$CM$15:$CM$17)</f>
        <v>0</v>
      </c>
      <c r="J136" s="139">
        <f>$I136*VLOOKUP($A136,'[1]INPUT_ASSUMPTIONS CALC'!$A$13:$CK$1019,I$6,FALSE)*VLOOKUP($A136,'[1]INPUT_ASSUMPTIONS CALC'!$A$13:$CK$1019,J$7,FALSE)</f>
        <v>0</v>
      </c>
      <c r="K136" s="139">
        <f>$I136*VLOOKUP($A136,'[1]INPUT_ASSUMPTIONS CALC'!$A$13:$CK$1019,I$6,FALSE)*VLOOKUP($A136,'[1]INPUT_ASSUMPTIONS CALC'!$A$13:$CK$1019,K$7,FALSE)</f>
        <v>0</v>
      </c>
      <c r="L136" s="139">
        <f>$I136*VLOOKUP($A136,'[1]INPUT_ASSUMPTIONS CALC'!$A$13:$CK$1019,I$6,FALSE)*VLOOKUP($A136,'[1]INPUT_ASSUMPTIONS CALC'!$A$13:$CK$1019,L$7,FALSE)</f>
        <v>0</v>
      </c>
      <c r="M136" s="139">
        <f>$I136*VLOOKUP($A136,'[1]INPUT_ASSUMPTIONS CALC'!$A$13:$CK$1019,I$6,FALSE)*VLOOKUP($A136,'[1]INPUT_ASSUMPTIONS CALC'!$A$13:$CK$1019,M$7,FALSE)</f>
        <v>0</v>
      </c>
      <c r="N136" s="140">
        <f t="shared" si="7"/>
        <v>0</v>
      </c>
      <c r="O136" s="141">
        <f>H136*VLOOKUP($A136,'[1]INPUT_ASSUMPTIONS CALC'!$A$13:$CK$1019,H$6,FALSE)*SUMIF('[1]INPUT_ASSUMPTIONS CALC'!$CQ$15:$CQ$17,'[1]Summary calculation'!E136,'[1]INPUT_ASSUMPTIONS CALC'!$CR$15:$CR$17)</f>
        <v>0</v>
      </c>
      <c r="P136" s="141">
        <f>H136*VLOOKUP($A136,'[1]INPUT_ASSUMPTIONS CALC'!$A$13:$CK$1019,H$6,FALSE)*SUMIF('[1]INPUT_ASSUMPTIONS CALC'!$CV$15:$CV$31,'[1]Summary calculation'!E136,'[1]INPUT_ASSUMPTIONS CALC'!$CW$15:$CW$31)</f>
        <v>0</v>
      </c>
      <c r="Q136" s="141">
        <f>O136*VLOOKUP($A136,'[1]INPUT_ASSUMPTIONS CALC'!$A$13:$CK$1019,Q$7,FALSE)</f>
        <v>0</v>
      </c>
      <c r="R136" s="141">
        <f>P136*VLOOKUP($A136,'[1]INPUT_ASSUMPTIONS CALC'!$A$13:$CK$1019,R$7,FALSE)</f>
        <v>0</v>
      </c>
      <c r="S136" s="140">
        <f t="shared" si="5"/>
        <v>0</v>
      </c>
      <c r="T136" s="142">
        <f t="shared" si="6"/>
        <v>0</v>
      </c>
      <c r="U136" s="61"/>
    </row>
    <row r="137" spans="1:21" x14ac:dyDescent="0.35">
      <c r="A137" s="125" t="str">
        <f t="shared" ref="A137:A200" si="8">CONCATENATE(B137,$F$5)</f>
        <v>129Q2</v>
      </c>
      <c r="B137" s="135">
        <v>129</v>
      </c>
      <c r="C137" s="61" t="str">
        <f>INDEX('[1]INPUT_ASSUMPTIONS CALC'!D:D,MATCH(A137,'[1]INPUT_ASSUMPTIONS CALC'!A:A,0))</f>
        <v/>
      </c>
      <c r="D137" s="61" t="str">
        <f>INDEX('[1]INPUT_ASSUMPTIONS CALC'!I:I,MATCH(A137,'[1]INPUT_ASSUMPTIONS CALC'!A:A,0))</f>
        <v/>
      </c>
      <c r="E137" s="61" t="str">
        <f>INDEX('[1]INPUT_ASSUMPTIONS CALC'!E:E,MATCH(A137,'[1]INPUT_ASSUMPTIONS CALC'!A:A,0))</f>
        <v/>
      </c>
      <c r="F137" s="136">
        <f>IF($F$5="Q1",VLOOKUP($A137,'[1]INPUT_ASSUMPTIONS CALC'!$A$13:$CK$1019,F$7,FALSE),IF($F$5="Q2",VLOOKUP($A137,'[1]INPUT_ASSUMPTIONS CALC'!$A$13:$CK$1019,F$7,FALSE),IF($F$5="Q3",VLOOKUP($A137,'[1]INPUT_ASSUMPTIONS CALC'!$A$13:$CK$1019,F$7,FALSE),IF($F$5="Q4",VLOOKUP($A137,'[1]INPUT_ASSUMPTIONS CALC'!$A$13:$CK$1019,F$7,FALSE),IF($F$5="Year",VLOOKUP($A137,'[1]INPUT_ASSUMPTIONS CALC'!$A$13:$CK$1019,F$7,FALSE),0)))))</f>
        <v>0</v>
      </c>
      <c r="G137" s="137">
        <f>SUMIF('[1]INPUT_ASSUMPTIONS CALC'!A:A,'[1]Summary calculation'!A137,'[1]INPUT_ASSUMPTIONS CALC'!BU:BU)</f>
        <v>0</v>
      </c>
      <c r="H137" s="138">
        <f>IF($F$5="Year",F137*G137*'[1]INPUT_ASSUMPTIONS CALC'!$S$7,F137*G137)</f>
        <v>0</v>
      </c>
      <c r="I137" s="138">
        <f>H137*VLOOKUP($A137,'[1]INPUT_ASSUMPTIONS CALC'!$A$13:$CK$1019,H$6,FALSE)*SUMIF('[1]INPUT_ASSUMPTIONS CALC'!$CL$15:$CL$17,'[1]Summary calculation'!E137,'[1]INPUT_ASSUMPTIONS CALC'!$CM$15:$CM$17)</f>
        <v>0</v>
      </c>
      <c r="J137" s="139">
        <f>$I137*VLOOKUP($A137,'[1]INPUT_ASSUMPTIONS CALC'!$A$13:$CK$1019,I$6,FALSE)*VLOOKUP($A137,'[1]INPUT_ASSUMPTIONS CALC'!$A$13:$CK$1019,J$7,FALSE)</f>
        <v>0</v>
      </c>
      <c r="K137" s="139">
        <f>$I137*VLOOKUP($A137,'[1]INPUT_ASSUMPTIONS CALC'!$A$13:$CK$1019,I$6,FALSE)*VLOOKUP($A137,'[1]INPUT_ASSUMPTIONS CALC'!$A$13:$CK$1019,K$7,FALSE)</f>
        <v>0</v>
      </c>
      <c r="L137" s="139">
        <f>$I137*VLOOKUP($A137,'[1]INPUT_ASSUMPTIONS CALC'!$A$13:$CK$1019,I$6,FALSE)*VLOOKUP($A137,'[1]INPUT_ASSUMPTIONS CALC'!$A$13:$CK$1019,L$7,FALSE)</f>
        <v>0</v>
      </c>
      <c r="M137" s="139">
        <f>$I137*VLOOKUP($A137,'[1]INPUT_ASSUMPTIONS CALC'!$A$13:$CK$1019,I$6,FALSE)*VLOOKUP($A137,'[1]INPUT_ASSUMPTIONS CALC'!$A$13:$CK$1019,M$7,FALSE)</f>
        <v>0</v>
      </c>
      <c r="N137" s="140">
        <f t="shared" si="7"/>
        <v>0</v>
      </c>
      <c r="O137" s="141">
        <f>H137*VLOOKUP($A137,'[1]INPUT_ASSUMPTIONS CALC'!$A$13:$CK$1019,H$6,FALSE)*SUMIF('[1]INPUT_ASSUMPTIONS CALC'!$CQ$15:$CQ$17,'[1]Summary calculation'!E137,'[1]INPUT_ASSUMPTIONS CALC'!$CR$15:$CR$17)</f>
        <v>0</v>
      </c>
      <c r="P137" s="141">
        <f>H137*VLOOKUP($A137,'[1]INPUT_ASSUMPTIONS CALC'!$A$13:$CK$1019,H$6,FALSE)*SUMIF('[1]INPUT_ASSUMPTIONS CALC'!$CV$15:$CV$31,'[1]Summary calculation'!E137,'[1]INPUT_ASSUMPTIONS CALC'!$CW$15:$CW$31)</f>
        <v>0</v>
      </c>
      <c r="Q137" s="141">
        <f>O137*VLOOKUP($A137,'[1]INPUT_ASSUMPTIONS CALC'!$A$13:$CK$1019,Q$7,FALSE)</f>
        <v>0</v>
      </c>
      <c r="R137" s="141">
        <f>P137*VLOOKUP($A137,'[1]INPUT_ASSUMPTIONS CALC'!$A$13:$CK$1019,R$7,FALSE)</f>
        <v>0</v>
      </c>
      <c r="S137" s="140">
        <f t="shared" ref="S137:S200" si="9">SUM(Q137:R137)</f>
        <v>0</v>
      </c>
      <c r="T137" s="142">
        <f t="shared" ref="T137:T200" si="10">ROUND(N137+S137,0)</f>
        <v>0</v>
      </c>
      <c r="U137" s="61"/>
    </row>
    <row r="138" spans="1:21" x14ac:dyDescent="0.35">
      <c r="A138" s="125" t="str">
        <f t="shared" si="8"/>
        <v>130Q2</v>
      </c>
      <c r="B138" s="135">
        <v>130</v>
      </c>
      <c r="C138" s="61" t="str">
        <f>INDEX('[1]INPUT_ASSUMPTIONS CALC'!D:D,MATCH(A138,'[1]INPUT_ASSUMPTIONS CALC'!A:A,0))</f>
        <v/>
      </c>
      <c r="D138" s="61" t="str">
        <f>INDEX('[1]INPUT_ASSUMPTIONS CALC'!I:I,MATCH(A138,'[1]INPUT_ASSUMPTIONS CALC'!A:A,0))</f>
        <v/>
      </c>
      <c r="E138" s="61" t="str">
        <f>INDEX('[1]INPUT_ASSUMPTIONS CALC'!E:E,MATCH(A138,'[1]INPUT_ASSUMPTIONS CALC'!A:A,0))</f>
        <v/>
      </c>
      <c r="F138" s="136">
        <f>IF($F$5="Q1",VLOOKUP($A138,'[1]INPUT_ASSUMPTIONS CALC'!$A$13:$CK$1019,F$7,FALSE),IF($F$5="Q2",VLOOKUP($A138,'[1]INPUT_ASSUMPTIONS CALC'!$A$13:$CK$1019,F$7,FALSE),IF($F$5="Q3",VLOOKUP($A138,'[1]INPUT_ASSUMPTIONS CALC'!$A$13:$CK$1019,F$7,FALSE),IF($F$5="Q4",VLOOKUP($A138,'[1]INPUT_ASSUMPTIONS CALC'!$A$13:$CK$1019,F$7,FALSE),IF($F$5="Year",VLOOKUP($A138,'[1]INPUT_ASSUMPTIONS CALC'!$A$13:$CK$1019,F$7,FALSE),0)))))</f>
        <v>0</v>
      </c>
      <c r="G138" s="137">
        <f>SUMIF('[1]INPUT_ASSUMPTIONS CALC'!A:A,'[1]Summary calculation'!A138,'[1]INPUT_ASSUMPTIONS CALC'!BU:BU)</f>
        <v>0</v>
      </c>
      <c r="H138" s="138">
        <f>IF($F$5="Year",F138*G138*'[1]INPUT_ASSUMPTIONS CALC'!$S$7,F138*G138)</f>
        <v>0</v>
      </c>
      <c r="I138" s="138">
        <f>H138*VLOOKUP($A138,'[1]INPUT_ASSUMPTIONS CALC'!$A$13:$CK$1019,H$6,FALSE)*SUMIF('[1]INPUT_ASSUMPTIONS CALC'!$CL$15:$CL$17,'[1]Summary calculation'!E138,'[1]INPUT_ASSUMPTIONS CALC'!$CM$15:$CM$17)</f>
        <v>0</v>
      </c>
      <c r="J138" s="139">
        <f>$I138*VLOOKUP($A138,'[1]INPUT_ASSUMPTIONS CALC'!$A$13:$CK$1019,I$6,FALSE)*VLOOKUP($A138,'[1]INPUT_ASSUMPTIONS CALC'!$A$13:$CK$1019,J$7,FALSE)</f>
        <v>0</v>
      </c>
      <c r="K138" s="139">
        <f>$I138*VLOOKUP($A138,'[1]INPUT_ASSUMPTIONS CALC'!$A$13:$CK$1019,I$6,FALSE)*VLOOKUP($A138,'[1]INPUT_ASSUMPTIONS CALC'!$A$13:$CK$1019,K$7,FALSE)</f>
        <v>0</v>
      </c>
      <c r="L138" s="139">
        <f>$I138*VLOOKUP($A138,'[1]INPUT_ASSUMPTIONS CALC'!$A$13:$CK$1019,I$6,FALSE)*VLOOKUP($A138,'[1]INPUT_ASSUMPTIONS CALC'!$A$13:$CK$1019,L$7,FALSE)</f>
        <v>0</v>
      </c>
      <c r="M138" s="139">
        <f>$I138*VLOOKUP($A138,'[1]INPUT_ASSUMPTIONS CALC'!$A$13:$CK$1019,I$6,FALSE)*VLOOKUP($A138,'[1]INPUT_ASSUMPTIONS CALC'!$A$13:$CK$1019,M$7,FALSE)</f>
        <v>0</v>
      </c>
      <c r="N138" s="140">
        <f t="shared" ref="N138:N201" si="11">SUM(J138:M138)</f>
        <v>0</v>
      </c>
      <c r="O138" s="141">
        <f>H138*VLOOKUP($A138,'[1]INPUT_ASSUMPTIONS CALC'!$A$13:$CK$1019,H$6,FALSE)*SUMIF('[1]INPUT_ASSUMPTIONS CALC'!$CQ$15:$CQ$17,'[1]Summary calculation'!E138,'[1]INPUT_ASSUMPTIONS CALC'!$CR$15:$CR$17)</f>
        <v>0</v>
      </c>
      <c r="P138" s="141">
        <f>H138*VLOOKUP($A138,'[1]INPUT_ASSUMPTIONS CALC'!$A$13:$CK$1019,H$6,FALSE)*SUMIF('[1]INPUT_ASSUMPTIONS CALC'!$CV$15:$CV$31,'[1]Summary calculation'!E138,'[1]INPUT_ASSUMPTIONS CALC'!$CW$15:$CW$31)</f>
        <v>0</v>
      </c>
      <c r="Q138" s="141">
        <f>O138*VLOOKUP($A138,'[1]INPUT_ASSUMPTIONS CALC'!$A$13:$CK$1019,Q$7,FALSE)</f>
        <v>0</v>
      </c>
      <c r="R138" s="141">
        <f>P138*VLOOKUP($A138,'[1]INPUT_ASSUMPTIONS CALC'!$A$13:$CK$1019,R$7,FALSE)</f>
        <v>0</v>
      </c>
      <c r="S138" s="140">
        <f t="shared" si="9"/>
        <v>0</v>
      </c>
      <c r="T138" s="142">
        <f t="shared" si="10"/>
        <v>0</v>
      </c>
      <c r="U138" s="61"/>
    </row>
    <row r="139" spans="1:21" x14ac:dyDescent="0.35">
      <c r="A139" s="125" t="str">
        <f t="shared" si="8"/>
        <v>131Q2</v>
      </c>
      <c r="B139" s="135">
        <v>131</v>
      </c>
      <c r="C139" s="61" t="str">
        <f>INDEX('[1]INPUT_ASSUMPTIONS CALC'!D:D,MATCH(A139,'[1]INPUT_ASSUMPTIONS CALC'!A:A,0))</f>
        <v/>
      </c>
      <c r="D139" s="61" t="str">
        <f>INDEX('[1]INPUT_ASSUMPTIONS CALC'!I:I,MATCH(A139,'[1]INPUT_ASSUMPTIONS CALC'!A:A,0))</f>
        <v/>
      </c>
      <c r="E139" s="61" t="str">
        <f>INDEX('[1]INPUT_ASSUMPTIONS CALC'!E:E,MATCH(A139,'[1]INPUT_ASSUMPTIONS CALC'!A:A,0))</f>
        <v/>
      </c>
      <c r="F139" s="136">
        <f>IF($F$5="Q1",VLOOKUP($A139,'[1]INPUT_ASSUMPTIONS CALC'!$A$13:$CK$1019,F$7,FALSE),IF($F$5="Q2",VLOOKUP($A139,'[1]INPUT_ASSUMPTIONS CALC'!$A$13:$CK$1019,F$7,FALSE),IF($F$5="Q3",VLOOKUP($A139,'[1]INPUT_ASSUMPTIONS CALC'!$A$13:$CK$1019,F$7,FALSE),IF($F$5="Q4",VLOOKUP($A139,'[1]INPUT_ASSUMPTIONS CALC'!$A$13:$CK$1019,F$7,FALSE),IF($F$5="Year",VLOOKUP($A139,'[1]INPUT_ASSUMPTIONS CALC'!$A$13:$CK$1019,F$7,FALSE),0)))))</f>
        <v>0</v>
      </c>
      <c r="G139" s="137">
        <f>SUMIF('[1]INPUT_ASSUMPTIONS CALC'!A:A,'[1]Summary calculation'!A139,'[1]INPUT_ASSUMPTIONS CALC'!BU:BU)</f>
        <v>0</v>
      </c>
      <c r="H139" s="138">
        <f>IF($F$5="Year",F139*G139*'[1]INPUT_ASSUMPTIONS CALC'!$S$7,F139*G139)</f>
        <v>0</v>
      </c>
      <c r="I139" s="138">
        <f>H139*VLOOKUP($A139,'[1]INPUT_ASSUMPTIONS CALC'!$A$13:$CK$1019,H$6,FALSE)*SUMIF('[1]INPUT_ASSUMPTIONS CALC'!$CL$15:$CL$17,'[1]Summary calculation'!E139,'[1]INPUT_ASSUMPTIONS CALC'!$CM$15:$CM$17)</f>
        <v>0</v>
      </c>
      <c r="J139" s="139">
        <f>$I139*VLOOKUP($A139,'[1]INPUT_ASSUMPTIONS CALC'!$A$13:$CK$1019,I$6,FALSE)*VLOOKUP($A139,'[1]INPUT_ASSUMPTIONS CALC'!$A$13:$CK$1019,J$7,FALSE)</f>
        <v>0</v>
      </c>
      <c r="K139" s="139">
        <f>$I139*VLOOKUP($A139,'[1]INPUT_ASSUMPTIONS CALC'!$A$13:$CK$1019,I$6,FALSE)*VLOOKUP($A139,'[1]INPUT_ASSUMPTIONS CALC'!$A$13:$CK$1019,K$7,FALSE)</f>
        <v>0</v>
      </c>
      <c r="L139" s="139">
        <f>$I139*VLOOKUP($A139,'[1]INPUT_ASSUMPTIONS CALC'!$A$13:$CK$1019,I$6,FALSE)*VLOOKUP($A139,'[1]INPUT_ASSUMPTIONS CALC'!$A$13:$CK$1019,L$7,FALSE)</f>
        <v>0</v>
      </c>
      <c r="M139" s="139">
        <f>$I139*VLOOKUP($A139,'[1]INPUT_ASSUMPTIONS CALC'!$A$13:$CK$1019,I$6,FALSE)*VLOOKUP($A139,'[1]INPUT_ASSUMPTIONS CALC'!$A$13:$CK$1019,M$7,FALSE)</f>
        <v>0</v>
      </c>
      <c r="N139" s="140">
        <f t="shared" si="11"/>
        <v>0</v>
      </c>
      <c r="O139" s="141">
        <f>H139*VLOOKUP($A139,'[1]INPUT_ASSUMPTIONS CALC'!$A$13:$CK$1019,H$6,FALSE)*SUMIF('[1]INPUT_ASSUMPTIONS CALC'!$CQ$15:$CQ$17,'[1]Summary calculation'!E139,'[1]INPUT_ASSUMPTIONS CALC'!$CR$15:$CR$17)</f>
        <v>0</v>
      </c>
      <c r="P139" s="141">
        <f>H139*VLOOKUP($A139,'[1]INPUT_ASSUMPTIONS CALC'!$A$13:$CK$1019,H$6,FALSE)*SUMIF('[1]INPUT_ASSUMPTIONS CALC'!$CV$15:$CV$31,'[1]Summary calculation'!E139,'[1]INPUT_ASSUMPTIONS CALC'!$CW$15:$CW$31)</f>
        <v>0</v>
      </c>
      <c r="Q139" s="141">
        <f>O139*VLOOKUP($A139,'[1]INPUT_ASSUMPTIONS CALC'!$A$13:$CK$1019,Q$7,FALSE)</f>
        <v>0</v>
      </c>
      <c r="R139" s="141">
        <f>P139*VLOOKUP($A139,'[1]INPUT_ASSUMPTIONS CALC'!$A$13:$CK$1019,R$7,FALSE)</f>
        <v>0</v>
      </c>
      <c r="S139" s="140">
        <f t="shared" si="9"/>
        <v>0</v>
      </c>
      <c r="T139" s="142">
        <f t="shared" si="10"/>
        <v>0</v>
      </c>
      <c r="U139" s="61"/>
    </row>
    <row r="140" spans="1:21" x14ac:dyDescent="0.35">
      <c r="A140" s="125" t="str">
        <f t="shared" si="8"/>
        <v>132Q2</v>
      </c>
      <c r="B140" s="135">
        <v>132</v>
      </c>
      <c r="C140" s="61" t="str">
        <f>INDEX('[1]INPUT_ASSUMPTIONS CALC'!D:D,MATCH(A140,'[1]INPUT_ASSUMPTIONS CALC'!A:A,0))</f>
        <v/>
      </c>
      <c r="D140" s="61" t="str">
        <f>INDEX('[1]INPUT_ASSUMPTIONS CALC'!I:I,MATCH(A140,'[1]INPUT_ASSUMPTIONS CALC'!A:A,0))</f>
        <v/>
      </c>
      <c r="E140" s="61" t="str">
        <f>INDEX('[1]INPUT_ASSUMPTIONS CALC'!E:E,MATCH(A140,'[1]INPUT_ASSUMPTIONS CALC'!A:A,0))</f>
        <v/>
      </c>
      <c r="F140" s="136">
        <f>IF($F$5="Q1",VLOOKUP($A140,'[1]INPUT_ASSUMPTIONS CALC'!$A$13:$CK$1019,F$7,FALSE),IF($F$5="Q2",VLOOKUP($A140,'[1]INPUT_ASSUMPTIONS CALC'!$A$13:$CK$1019,F$7,FALSE),IF($F$5="Q3",VLOOKUP($A140,'[1]INPUT_ASSUMPTIONS CALC'!$A$13:$CK$1019,F$7,FALSE),IF($F$5="Q4",VLOOKUP($A140,'[1]INPUT_ASSUMPTIONS CALC'!$A$13:$CK$1019,F$7,FALSE),IF($F$5="Year",VLOOKUP($A140,'[1]INPUT_ASSUMPTIONS CALC'!$A$13:$CK$1019,F$7,FALSE),0)))))</f>
        <v>0</v>
      </c>
      <c r="G140" s="137">
        <f>SUMIF('[1]INPUT_ASSUMPTIONS CALC'!A:A,'[1]Summary calculation'!A140,'[1]INPUT_ASSUMPTIONS CALC'!BU:BU)</f>
        <v>0</v>
      </c>
      <c r="H140" s="138">
        <f>IF($F$5="Year",F140*G140*'[1]INPUT_ASSUMPTIONS CALC'!$S$7,F140*G140)</f>
        <v>0</v>
      </c>
      <c r="I140" s="138">
        <f>H140*VLOOKUP($A140,'[1]INPUT_ASSUMPTIONS CALC'!$A$13:$CK$1019,H$6,FALSE)*SUMIF('[1]INPUT_ASSUMPTIONS CALC'!$CL$15:$CL$17,'[1]Summary calculation'!E140,'[1]INPUT_ASSUMPTIONS CALC'!$CM$15:$CM$17)</f>
        <v>0</v>
      </c>
      <c r="J140" s="139">
        <f>$I140*VLOOKUP($A140,'[1]INPUT_ASSUMPTIONS CALC'!$A$13:$CK$1019,I$6,FALSE)*VLOOKUP($A140,'[1]INPUT_ASSUMPTIONS CALC'!$A$13:$CK$1019,J$7,FALSE)</f>
        <v>0</v>
      </c>
      <c r="K140" s="139">
        <f>$I140*VLOOKUP($A140,'[1]INPUT_ASSUMPTIONS CALC'!$A$13:$CK$1019,I$6,FALSE)*VLOOKUP($A140,'[1]INPUT_ASSUMPTIONS CALC'!$A$13:$CK$1019,K$7,FALSE)</f>
        <v>0</v>
      </c>
      <c r="L140" s="139">
        <f>$I140*VLOOKUP($A140,'[1]INPUT_ASSUMPTIONS CALC'!$A$13:$CK$1019,I$6,FALSE)*VLOOKUP($A140,'[1]INPUT_ASSUMPTIONS CALC'!$A$13:$CK$1019,L$7,FALSE)</f>
        <v>0</v>
      </c>
      <c r="M140" s="139">
        <f>$I140*VLOOKUP($A140,'[1]INPUT_ASSUMPTIONS CALC'!$A$13:$CK$1019,I$6,FALSE)*VLOOKUP($A140,'[1]INPUT_ASSUMPTIONS CALC'!$A$13:$CK$1019,M$7,FALSE)</f>
        <v>0</v>
      </c>
      <c r="N140" s="140">
        <f t="shared" si="11"/>
        <v>0</v>
      </c>
      <c r="O140" s="141">
        <f>H140*VLOOKUP($A140,'[1]INPUT_ASSUMPTIONS CALC'!$A$13:$CK$1019,H$6,FALSE)*SUMIF('[1]INPUT_ASSUMPTIONS CALC'!$CQ$15:$CQ$17,'[1]Summary calculation'!E140,'[1]INPUT_ASSUMPTIONS CALC'!$CR$15:$CR$17)</f>
        <v>0</v>
      </c>
      <c r="P140" s="141">
        <f>H140*VLOOKUP($A140,'[1]INPUT_ASSUMPTIONS CALC'!$A$13:$CK$1019,H$6,FALSE)*SUMIF('[1]INPUT_ASSUMPTIONS CALC'!$CV$15:$CV$31,'[1]Summary calculation'!E140,'[1]INPUT_ASSUMPTIONS CALC'!$CW$15:$CW$31)</f>
        <v>0</v>
      </c>
      <c r="Q140" s="141">
        <f>O140*VLOOKUP($A140,'[1]INPUT_ASSUMPTIONS CALC'!$A$13:$CK$1019,Q$7,FALSE)</f>
        <v>0</v>
      </c>
      <c r="R140" s="141">
        <f>P140*VLOOKUP($A140,'[1]INPUT_ASSUMPTIONS CALC'!$A$13:$CK$1019,R$7,FALSE)</f>
        <v>0</v>
      </c>
      <c r="S140" s="140">
        <f t="shared" si="9"/>
        <v>0</v>
      </c>
      <c r="T140" s="142">
        <f t="shared" si="10"/>
        <v>0</v>
      </c>
      <c r="U140" s="61"/>
    </row>
    <row r="141" spans="1:21" x14ac:dyDescent="0.35">
      <c r="A141" s="125" t="str">
        <f t="shared" si="8"/>
        <v>133Q2</v>
      </c>
      <c r="B141" s="135">
        <v>133</v>
      </c>
      <c r="C141" s="61" t="str">
        <f>INDEX('[1]INPUT_ASSUMPTIONS CALC'!D:D,MATCH(A141,'[1]INPUT_ASSUMPTIONS CALC'!A:A,0))</f>
        <v/>
      </c>
      <c r="D141" s="61" t="str">
        <f>INDEX('[1]INPUT_ASSUMPTIONS CALC'!I:I,MATCH(A141,'[1]INPUT_ASSUMPTIONS CALC'!A:A,0))</f>
        <v/>
      </c>
      <c r="E141" s="61" t="str">
        <f>INDEX('[1]INPUT_ASSUMPTIONS CALC'!E:E,MATCH(A141,'[1]INPUT_ASSUMPTIONS CALC'!A:A,0))</f>
        <v/>
      </c>
      <c r="F141" s="136">
        <f>IF($F$5="Q1",VLOOKUP($A141,'[1]INPUT_ASSUMPTIONS CALC'!$A$13:$CK$1019,F$7,FALSE),IF($F$5="Q2",VLOOKUP($A141,'[1]INPUT_ASSUMPTIONS CALC'!$A$13:$CK$1019,F$7,FALSE),IF($F$5="Q3",VLOOKUP($A141,'[1]INPUT_ASSUMPTIONS CALC'!$A$13:$CK$1019,F$7,FALSE),IF($F$5="Q4",VLOOKUP($A141,'[1]INPUT_ASSUMPTIONS CALC'!$A$13:$CK$1019,F$7,FALSE),IF($F$5="Year",VLOOKUP($A141,'[1]INPUT_ASSUMPTIONS CALC'!$A$13:$CK$1019,F$7,FALSE),0)))))</f>
        <v>0</v>
      </c>
      <c r="G141" s="137">
        <f>SUMIF('[1]INPUT_ASSUMPTIONS CALC'!A:A,'[1]Summary calculation'!A141,'[1]INPUT_ASSUMPTIONS CALC'!BU:BU)</f>
        <v>0</v>
      </c>
      <c r="H141" s="138">
        <f>IF($F$5="Year",F141*G141*'[1]INPUT_ASSUMPTIONS CALC'!$S$7,F141*G141)</f>
        <v>0</v>
      </c>
      <c r="I141" s="138">
        <f>H141*VLOOKUP($A141,'[1]INPUT_ASSUMPTIONS CALC'!$A$13:$CK$1019,H$6,FALSE)*SUMIF('[1]INPUT_ASSUMPTIONS CALC'!$CL$15:$CL$17,'[1]Summary calculation'!E141,'[1]INPUT_ASSUMPTIONS CALC'!$CM$15:$CM$17)</f>
        <v>0</v>
      </c>
      <c r="J141" s="139">
        <f>$I141*VLOOKUP($A141,'[1]INPUT_ASSUMPTIONS CALC'!$A$13:$CK$1019,I$6,FALSE)*VLOOKUP($A141,'[1]INPUT_ASSUMPTIONS CALC'!$A$13:$CK$1019,J$7,FALSE)</f>
        <v>0</v>
      </c>
      <c r="K141" s="139">
        <f>$I141*VLOOKUP($A141,'[1]INPUT_ASSUMPTIONS CALC'!$A$13:$CK$1019,I$6,FALSE)*VLOOKUP($A141,'[1]INPUT_ASSUMPTIONS CALC'!$A$13:$CK$1019,K$7,FALSE)</f>
        <v>0</v>
      </c>
      <c r="L141" s="139">
        <f>$I141*VLOOKUP($A141,'[1]INPUT_ASSUMPTIONS CALC'!$A$13:$CK$1019,I$6,FALSE)*VLOOKUP($A141,'[1]INPUT_ASSUMPTIONS CALC'!$A$13:$CK$1019,L$7,FALSE)</f>
        <v>0</v>
      </c>
      <c r="M141" s="139">
        <f>$I141*VLOOKUP($A141,'[1]INPUT_ASSUMPTIONS CALC'!$A$13:$CK$1019,I$6,FALSE)*VLOOKUP($A141,'[1]INPUT_ASSUMPTIONS CALC'!$A$13:$CK$1019,M$7,FALSE)</f>
        <v>0</v>
      </c>
      <c r="N141" s="140">
        <f t="shared" si="11"/>
        <v>0</v>
      </c>
      <c r="O141" s="141">
        <f>H141*VLOOKUP($A141,'[1]INPUT_ASSUMPTIONS CALC'!$A$13:$CK$1019,H$6,FALSE)*SUMIF('[1]INPUT_ASSUMPTIONS CALC'!$CQ$15:$CQ$17,'[1]Summary calculation'!E141,'[1]INPUT_ASSUMPTIONS CALC'!$CR$15:$CR$17)</f>
        <v>0</v>
      </c>
      <c r="P141" s="141">
        <f>H141*VLOOKUP($A141,'[1]INPUT_ASSUMPTIONS CALC'!$A$13:$CK$1019,H$6,FALSE)*SUMIF('[1]INPUT_ASSUMPTIONS CALC'!$CV$15:$CV$31,'[1]Summary calculation'!E141,'[1]INPUT_ASSUMPTIONS CALC'!$CW$15:$CW$31)</f>
        <v>0</v>
      </c>
      <c r="Q141" s="141">
        <f>O141*VLOOKUP($A141,'[1]INPUT_ASSUMPTIONS CALC'!$A$13:$CK$1019,Q$7,FALSE)</f>
        <v>0</v>
      </c>
      <c r="R141" s="141">
        <f>P141*VLOOKUP($A141,'[1]INPUT_ASSUMPTIONS CALC'!$A$13:$CK$1019,R$7,FALSE)</f>
        <v>0</v>
      </c>
      <c r="S141" s="140">
        <f t="shared" si="9"/>
        <v>0</v>
      </c>
      <c r="T141" s="142">
        <f t="shared" si="10"/>
        <v>0</v>
      </c>
      <c r="U141" s="61"/>
    </row>
    <row r="142" spans="1:21" x14ac:dyDescent="0.35">
      <c r="A142" s="125" t="str">
        <f t="shared" si="8"/>
        <v>134Q2</v>
      </c>
      <c r="B142" s="135">
        <v>134</v>
      </c>
      <c r="C142" s="61" t="str">
        <f>INDEX('[1]INPUT_ASSUMPTIONS CALC'!D:D,MATCH(A142,'[1]INPUT_ASSUMPTIONS CALC'!A:A,0))</f>
        <v/>
      </c>
      <c r="D142" s="61" t="str">
        <f>INDEX('[1]INPUT_ASSUMPTIONS CALC'!I:I,MATCH(A142,'[1]INPUT_ASSUMPTIONS CALC'!A:A,0))</f>
        <v/>
      </c>
      <c r="E142" s="61" t="str">
        <f>INDEX('[1]INPUT_ASSUMPTIONS CALC'!E:E,MATCH(A142,'[1]INPUT_ASSUMPTIONS CALC'!A:A,0))</f>
        <v/>
      </c>
      <c r="F142" s="136">
        <f>IF($F$5="Q1",VLOOKUP($A142,'[1]INPUT_ASSUMPTIONS CALC'!$A$13:$CK$1019,F$7,FALSE),IF($F$5="Q2",VLOOKUP($A142,'[1]INPUT_ASSUMPTIONS CALC'!$A$13:$CK$1019,F$7,FALSE),IF($F$5="Q3",VLOOKUP($A142,'[1]INPUT_ASSUMPTIONS CALC'!$A$13:$CK$1019,F$7,FALSE),IF($F$5="Q4",VLOOKUP($A142,'[1]INPUT_ASSUMPTIONS CALC'!$A$13:$CK$1019,F$7,FALSE),IF($F$5="Year",VLOOKUP($A142,'[1]INPUT_ASSUMPTIONS CALC'!$A$13:$CK$1019,F$7,FALSE),0)))))</f>
        <v>0</v>
      </c>
      <c r="G142" s="137">
        <f>SUMIF('[1]INPUT_ASSUMPTIONS CALC'!A:A,'[1]Summary calculation'!A142,'[1]INPUT_ASSUMPTIONS CALC'!BU:BU)</f>
        <v>0</v>
      </c>
      <c r="H142" s="138">
        <f>IF($F$5="Year",F142*G142*'[1]INPUT_ASSUMPTIONS CALC'!$S$7,F142*G142)</f>
        <v>0</v>
      </c>
      <c r="I142" s="138">
        <f>H142*VLOOKUP($A142,'[1]INPUT_ASSUMPTIONS CALC'!$A$13:$CK$1019,H$6,FALSE)*SUMIF('[1]INPUT_ASSUMPTIONS CALC'!$CL$15:$CL$17,'[1]Summary calculation'!E142,'[1]INPUT_ASSUMPTIONS CALC'!$CM$15:$CM$17)</f>
        <v>0</v>
      </c>
      <c r="J142" s="139">
        <f>$I142*VLOOKUP($A142,'[1]INPUT_ASSUMPTIONS CALC'!$A$13:$CK$1019,I$6,FALSE)*VLOOKUP($A142,'[1]INPUT_ASSUMPTIONS CALC'!$A$13:$CK$1019,J$7,FALSE)</f>
        <v>0</v>
      </c>
      <c r="K142" s="139">
        <f>$I142*VLOOKUP($A142,'[1]INPUT_ASSUMPTIONS CALC'!$A$13:$CK$1019,I$6,FALSE)*VLOOKUP($A142,'[1]INPUT_ASSUMPTIONS CALC'!$A$13:$CK$1019,K$7,FALSE)</f>
        <v>0</v>
      </c>
      <c r="L142" s="139">
        <f>$I142*VLOOKUP($A142,'[1]INPUT_ASSUMPTIONS CALC'!$A$13:$CK$1019,I$6,FALSE)*VLOOKUP($A142,'[1]INPUT_ASSUMPTIONS CALC'!$A$13:$CK$1019,L$7,FALSE)</f>
        <v>0</v>
      </c>
      <c r="M142" s="139">
        <f>$I142*VLOOKUP($A142,'[1]INPUT_ASSUMPTIONS CALC'!$A$13:$CK$1019,I$6,FALSE)*VLOOKUP($A142,'[1]INPUT_ASSUMPTIONS CALC'!$A$13:$CK$1019,M$7,FALSE)</f>
        <v>0</v>
      </c>
      <c r="N142" s="140">
        <f t="shared" si="11"/>
        <v>0</v>
      </c>
      <c r="O142" s="141">
        <f>H142*VLOOKUP($A142,'[1]INPUT_ASSUMPTIONS CALC'!$A$13:$CK$1019,H$6,FALSE)*SUMIF('[1]INPUT_ASSUMPTIONS CALC'!$CQ$15:$CQ$17,'[1]Summary calculation'!E142,'[1]INPUT_ASSUMPTIONS CALC'!$CR$15:$CR$17)</f>
        <v>0</v>
      </c>
      <c r="P142" s="141">
        <f>H142*VLOOKUP($A142,'[1]INPUT_ASSUMPTIONS CALC'!$A$13:$CK$1019,H$6,FALSE)*SUMIF('[1]INPUT_ASSUMPTIONS CALC'!$CV$15:$CV$31,'[1]Summary calculation'!E142,'[1]INPUT_ASSUMPTIONS CALC'!$CW$15:$CW$31)</f>
        <v>0</v>
      </c>
      <c r="Q142" s="141">
        <f>O142*VLOOKUP($A142,'[1]INPUT_ASSUMPTIONS CALC'!$A$13:$CK$1019,Q$7,FALSE)</f>
        <v>0</v>
      </c>
      <c r="R142" s="141">
        <f>P142*VLOOKUP($A142,'[1]INPUT_ASSUMPTIONS CALC'!$A$13:$CK$1019,R$7,FALSE)</f>
        <v>0</v>
      </c>
      <c r="S142" s="140">
        <f t="shared" si="9"/>
        <v>0</v>
      </c>
      <c r="T142" s="142">
        <f t="shared" si="10"/>
        <v>0</v>
      </c>
      <c r="U142" s="61"/>
    </row>
    <row r="143" spans="1:21" x14ac:dyDescent="0.35">
      <c r="A143" s="125" t="str">
        <f t="shared" si="8"/>
        <v>135Q2</v>
      </c>
      <c r="B143" s="135">
        <v>135</v>
      </c>
      <c r="C143" s="61" t="str">
        <f>INDEX('[1]INPUT_ASSUMPTIONS CALC'!D:D,MATCH(A143,'[1]INPUT_ASSUMPTIONS CALC'!A:A,0))</f>
        <v/>
      </c>
      <c r="D143" s="61" t="str">
        <f>INDEX('[1]INPUT_ASSUMPTIONS CALC'!I:I,MATCH(A143,'[1]INPUT_ASSUMPTIONS CALC'!A:A,0))</f>
        <v/>
      </c>
      <c r="E143" s="61" t="str">
        <f>INDEX('[1]INPUT_ASSUMPTIONS CALC'!E:E,MATCH(A143,'[1]INPUT_ASSUMPTIONS CALC'!A:A,0))</f>
        <v/>
      </c>
      <c r="F143" s="136">
        <f>IF($F$5="Q1",VLOOKUP($A143,'[1]INPUT_ASSUMPTIONS CALC'!$A$13:$CK$1019,F$7,FALSE),IF($F$5="Q2",VLOOKUP($A143,'[1]INPUT_ASSUMPTIONS CALC'!$A$13:$CK$1019,F$7,FALSE),IF($F$5="Q3",VLOOKUP($A143,'[1]INPUT_ASSUMPTIONS CALC'!$A$13:$CK$1019,F$7,FALSE),IF($F$5="Q4",VLOOKUP($A143,'[1]INPUT_ASSUMPTIONS CALC'!$A$13:$CK$1019,F$7,FALSE),IF($F$5="Year",VLOOKUP($A143,'[1]INPUT_ASSUMPTIONS CALC'!$A$13:$CK$1019,F$7,FALSE),0)))))</f>
        <v>0</v>
      </c>
      <c r="G143" s="137">
        <f>SUMIF('[1]INPUT_ASSUMPTIONS CALC'!A:A,'[1]Summary calculation'!A143,'[1]INPUT_ASSUMPTIONS CALC'!BU:BU)</f>
        <v>0</v>
      </c>
      <c r="H143" s="138">
        <f>IF($F$5="Year",F143*G143*'[1]INPUT_ASSUMPTIONS CALC'!$S$7,F143*G143)</f>
        <v>0</v>
      </c>
      <c r="I143" s="138">
        <f>H143*VLOOKUP($A143,'[1]INPUT_ASSUMPTIONS CALC'!$A$13:$CK$1019,H$6,FALSE)*SUMIF('[1]INPUT_ASSUMPTIONS CALC'!$CL$15:$CL$17,'[1]Summary calculation'!E143,'[1]INPUT_ASSUMPTIONS CALC'!$CM$15:$CM$17)</f>
        <v>0</v>
      </c>
      <c r="J143" s="139">
        <f>$I143*VLOOKUP($A143,'[1]INPUT_ASSUMPTIONS CALC'!$A$13:$CK$1019,I$6,FALSE)*VLOOKUP($A143,'[1]INPUT_ASSUMPTIONS CALC'!$A$13:$CK$1019,J$7,FALSE)</f>
        <v>0</v>
      </c>
      <c r="K143" s="139">
        <f>$I143*VLOOKUP($A143,'[1]INPUT_ASSUMPTIONS CALC'!$A$13:$CK$1019,I$6,FALSE)*VLOOKUP($A143,'[1]INPUT_ASSUMPTIONS CALC'!$A$13:$CK$1019,K$7,FALSE)</f>
        <v>0</v>
      </c>
      <c r="L143" s="139">
        <f>$I143*VLOOKUP($A143,'[1]INPUT_ASSUMPTIONS CALC'!$A$13:$CK$1019,I$6,FALSE)*VLOOKUP($A143,'[1]INPUT_ASSUMPTIONS CALC'!$A$13:$CK$1019,L$7,FALSE)</f>
        <v>0</v>
      </c>
      <c r="M143" s="139">
        <f>$I143*VLOOKUP($A143,'[1]INPUT_ASSUMPTIONS CALC'!$A$13:$CK$1019,I$6,FALSE)*VLOOKUP($A143,'[1]INPUT_ASSUMPTIONS CALC'!$A$13:$CK$1019,M$7,FALSE)</f>
        <v>0</v>
      </c>
      <c r="N143" s="140">
        <f t="shared" si="11"/>
        <v>0</v>
      </c>
      <c r="O143" s="141">
        <f>H143*VLOOKUP($A143,'[1]INPUT_ASSUMPTIONS CALC'!$A$13:$CK$1019,H$6,FALSE)*SUMIF('[1]INPUT_ASSUMPTIONS CALC'!$CQ$15:$CQ$17,'[1]Summary calculation'!E143,'[1]INPUT_ASSUMPTIONS CALC'!$CR$15:$CR$17)</f>
        <v>0</v>
      </c>
      <c r="P143" s="141">
        <f>H143*VLOOKUP($A143,'[1]INPUT_ASSUMPTIONS CALC'!$A$13:$CK$1019,H$6,FALSE)*SUMIF('[1]INPUT_ASSUMPTIONS CALC'!$CV$15:$CV$31,'[1]Summary calculation'!E143,'[1]INPUT_ASSUMPTIONS CALC'!$CW$15:$CW$31)</f>
        <v>0</v>
      </c>
      <c r="Q143" s="141">
        <f>O143*VLOOKUP($A143,'[1]INPUT_ASSUMPTIONS CALC'!$A$13:$CK$1019,Q$7,FALSE)</f>
        <v>0</v>
      </c>
      <c r="R143" s="141">
        <f>P143*VLOOKUP($A143,'[1]INPUT_ASSUMPTIONS CALC'!$A$13:$CK$1019,R$7,FALSE)</f>
        <v>0</v>
      </c>
      <c r="S143" s="140">
        <f t="shared" si="9"/>
        <v>0</v>
      </c>
      <c r="T143" s="142">
        <f t="shared" si="10"/>
        <v>0</v>
      </c>
      <c r="U143" s="61"/>
    </row>
    <row r="144" spans="1:21" x14ac:dyDescent="0.35">
      <c r="A144" s="125" t="str">
        <f t="shared" si="8"/>
        <v>136Q2</v>
      </c>
      <c r="B144" s="135">
        <v>136</v>
      </c>
      <c r="C144" s="61" t="str">
        <f>INDEX('[1]INPUT_ASSUMPTIONS CALC'!D:D,MATCH(A144,'[1]INPUT_ASSUMPTIONS CALC'!A:A,0))</f>
        <v/>
      </c>
      <c r="D144" s="61" t="str">
        <f>INDEX('[1]INPUT_ASSUMPTIONS CALC'!I:I,MATCH(A144,'[1]INPUT_ASSUMPTIONS CALC'!A:A,0))</f>
        <v/>
      </c>
      <c r="E144" s="61" t="str">
        <f>INDEX('[1]INPUT_ASSUMPTIONS CALC'!E:E,MATCH(A144,'[1]INPUT_ASSUMPTIONS CALC'!A:A,0))</f>
        <v/>
      </c>
      <c r="F144" s="136">
        <f>IF($F$5="Q1",VLOOKUP($A144,'[1]INPUT_ASSUMPTIONS CALC'!$A$13:$CK$1019,F$7,FALSE),IF($F$5="Q2",VLOOKUP($A144,'[1]INPUT_ASSUMPTIONS CALC'!$A$13:$CK$1019,F$7,FALSE),IF($F$5="Q3",VLOOKUP($A144,'[1]INPUT_ASSUMPTIONS CALC'!$A$13:$CK$1019,F$7,FALSE),IF($F$5="Q4",VLOOKUP($A144,'[1]INPUT_ASSUMPTIONS CALC'!$A$13:$CK$1019,F$7,FALSE),IF($F$5="Year",VLOOKUP($A144,'[1]INPUT_ASSUMPTIONS CALC'!$A$13:$CK$1019,F$7,FALSE),0)))))</f>
        <v>0</v>
      </c>
      <c r="G144" s="137">
        <f>SUMIF('[1]INPUT_ASSUMPTIONS CALC'!A:A,'[1]Summary calculation'!A144,'[1]INPUT_ASSUMPTIONS CALC'!BU:BU)</f>
        <v>0</v>
      </c>
      <c r="H144" s="138">
        <f>IF($F$5="Year",F144*G144*'[1]INPUT_ASSUMPTIONS CALC'!$S$7,F144*G144)</f>
        <v>0</v>
      </c>
      <c r="I144" s="138">
        <f>H144*VLOOKUP($A144,'[1]INPUT_ASSUMPTIONS CALC'!$A$13:$CK$1019,H$6,FALSE)*SUMIF('[1]INPUT_ASSUMPTIONS CALC'!$CL$15:$CL$17,'[1]Summary calculation'!E144,'[1]INPUT_ASSUMPTIONS CALC'!$CM$15:$CM$17)</f>
        <v>0</v>
      </c>
      <c r="J144" s="139">
        <f>$I144*VLOOKUP($A144,'[1]INPUT_ASSUMPTIONS CALC'!$A$13:$CK$1019,I$6,FALSE)*VLOOKUP($A144,'[1]INPUT_ASSUMPTIONS CALC'!$A$13:$CK$1019,J$7,FALSE)</f>
        <v>0</v>
      </c>
      <c r="K144" s="139">
        <f>$I144*VLOOKUP($A144,'[1]INPUT_ASSUMPTIONS CALC'!$A$13:$CK$1019,I$6,FALSE)*VLOOKUP($A144,'[1]INPUT_ASSUMPTIONS CALC'!$A$13:$CK$1019,K$7,FALSE)</f>
        <v>0</v>
      </c>
      <c r="L144" s="139">
        <f>$I144*VLOOKUP($A144,'[1]INPUT_ASSUMPTIONS CALC'!$A$13:$CK$1019,I$6,FALSE)*VLOOKUP($A144,'[1]INPUT_ASSUMPTIONS CALC'!$A$13:$CK$1019,L$7,FALSE)</f>
        <v>0</v>
      </c>
      <c r="M144" s="139">
        <f>$I144*VLOOKUP($A144,'[1]INPUT_ASSUMPTIONS CALC'!$A$13:$CK$1019,I$6,FALSE)*VLOOKUP($A144,'[1]INPUT_ASSUMPTIONS CALC'!$A$13:$CK$1019,M$7,FALSE)</f>
        <v>0</v>
      </c>
      <c r="N144" s="140">
        <f t="shared" si="11"/>
        <v>0</v>
      </c>
      <c r="O144" s="141">
        <f>H144*VLOOKUP($A144,'[1]INPUT_ASSUMPTIONS CALC'!$A$13:$CK$1019,H$6,FALSE)*SUMIF('[1]INPUT_ASSUMPTIONS CALC'!$CQ$15:$CQ$17,'[1]Summary calculation'!E144,'[1]INPUT_ASSUMPTIONS CALC'!$CR$15:$CR$17)</f>
        <v>0</v>
      </c>
      <c r="P144" s="141">
        <f>H144*VLOOKUP($A144,'[1]INPUT_ASSUMPTIONS CALC'!$A$13:$CK$1019,H$6,FALSE)*SUMIF('[1]INPUT_ASSUMPTIONS CALC'!$CV$15:$CV$31,'[1]Summary calculation'!E144,'[1]INPUT_ASSUMPTIONS CALC'!$CW$15:$CW$31)</f>
        <v>0</v>
      </c>
      <c r="Q144" s="141">
        <f>O144*VLOOKUP($A144,'[1]INPUT_ASSUMPTIONS CALC'!$A$13:$CK$1019,Q$7,FALSE)</f>
        <v>0</v>
      </c>
      <c r="R144" s="141">
        <f>P144*VLOOKUP($A144,'[1]INPUT_ASSUMPTIONS CALC'!$A$13:$CK$1019,R$7,FALSE)</f>
        <v>0</v>
      </c>
      <c r="S144" s="140">
        <f t="shared" si="9"/>
        <v>0</v>
      </c>
      <c r="T144" s="142">
        <f t="shared" si="10"/>
        <v>0</v>
      </c>
      <c r="U144" s="61"/>
    </row>
    <row r="145" spans="1:21" x14ac:dyDescent="0.35">
      <c r="A145" s="125" t="str">
        <f t="shared" si="8"/>
        <v>137Q2</v>
      </c>
      <c r="B145" s="135">
        <v>137</v>
      </c>
      <c r="C145" s="61" t="str">
        <f>INDEX('[1]INPUT_ASSUMPTIONS CALC'!D:D,MATCH(A145,'[1]INPUT_ASSUMPTIONS CALC'!A:A,0))</f>
        <v/>
      </c>
      <c r="D145" s="61" t="str">
        <f>INDEX('[1]INPUT_ASSUMPTIONS CALC'!I:I,MATCH(A145,'[1]INPUT_ASSUMPTIONS CALC'!A:A,0))</f>
        <v/>
      </c>
      <c r="E145" s="61" t="str">
        <f>INDEX('[1]INPUT_ASSUMPTIONS CALC'!E:E,MATCH(A145,'[1]INPUT_ASSUMPTIONS CALC'!A:A,0))</f>
        <v/>
      </c>
      <c r="F145" s="136">
        <f>IF($F$5="Q1",VLOOKUP($A145,'[1]INPUT_ASSUMPTIONS CALC'!$A$13:$CK$1019,F$7,FALSE),IF($F$5="Q2",VLOOKUP($A145,'[1]INPUT_ASSUMPTIONS CALC'!$A$13:$CK$1019,F$7,FALSE),IF($F$5="Q3",VLOOKUP($A145,'[1]INPUT_ASSUMPTIONS CALC'!$A$13:$CK$1019,F$7,FALSE),IF($F$5="Q4",VLOOKUP($A145,'[1]INPUT_ASSUMPTIONS CALC'!$A$13:$CK$1019,F$7,FALSE),IF($F$5="Year",VLOOKUP($A145,'[1]INPUT_ASSUMPTIONS CALC'!$A$13:$CK$1019,F$7,FALSE),0)))))</f>
        <v>0</v>
      </c>
      <c r="G145" s="137">
        <f>SUMIF('[1]INPUT_ASSUMPTIONS CALC'!A:A,'[1]Summary calculation'!A145,'[1]INPUT_ASSUMPTIONS CALC'!BU:BU)</f>
        <v>0</v>
      </c>
      <c r="H145" s="138">
        <f>IF($F$5="Year",F145*G145*'[1]INPUT_ASSUMPTIONS CALC'!$S$7,F145*G145)</f>
        <v>0</v>
      </c>
      <c r="I145" s="138">
        <f>H145*VLOOKUP($A145,'[1]INPUT_ASSUMPTIONS CALC'!$A$13:$CK$1019,H$6,FALSE)*SUMIF('[1]INPUT_ASSUMPTIONS CALC'!$CL$15:$CL$17,'[1]Summary calculation'!E145,'[1]INPUT_ASSUMPTIONS CALC'!$CM$15:$CM$17)</f>
        <v>0</v>
      </c>
      <c r="J145" s="139">
        <f>$I145*VLOOKUP($A145,'[1]INPUT_ASSUMPTIONS CALC'!$A$13:$CK$1019,I$6,FALSE)*VLOOKUP($A145,'[1]INPUT_ASSUMPTIONS CALC'!$A$13:$CK$1019,J$7,FALSE)</f>
        <v>0</v>
      </c>
      <c r="K145" s="139">
        <f>$I145*VLOOKUP($A145,'[1]INPUT_ASSUMPTIONS CALC'!$A$13:$CK$1019,I$6,FALSE)*VLOOKUP($A145,'[1]INPUT_ASSUMPTIONS CALC'!$A$13:$CK$1019,K$7,FALSE)</f>
        <v>0</v>
      </c>
      <c r="L145" s="139">
        <f>$I145*VLOOKUP($A145,'[1]INPUT_ASSUMPTIONS CALC'!$A$13:$CK$1019,I$6,FALSE)*VLOOKUP($A145,'[1]INPUT_ASSUMPTIONS CALC'!$A$13:$CK$1019,L$7,FALSE)</f>
        <v>0</v>
      </c>
      <c r="M145" s="139">
        <f>$I145*VLOOKUP($A145,'[1]INPUT_ASSUMPTIONS CALC'!$A$13:$CK$1019,I$6,FALSE)*VLOOKUP($A145,'[1]INPUT_ASSUMPTIONS CALC'!$A$13:$CK$1019,M$7,FALSE)</f>
        <v>0</v>
      </c>
      <c r="N145" s="140">
        <f t="shared" si="11"/>
        <v>0</v>
      </c>
      <c r="O145" s="141">
        <f>H145*VLOOKUP($A145,'[1]INPUT_ASSUMPTIONS CALC'!$A$13:$CK$1019,H$6,FALSE)*SUMIF('[1]INPUT_ASSUMPTIONS CALC'!$CQ$15:$CQ$17,'[1]Summary calculation'!E145,'[1]INPUT_ASSUMPTIONS CALC'!$CR$15:$CR$17)</f>
        <v>0</v>
      </c>
      <c r="P145" s="141">
        <f>H145*VLOOKUP($A145,'[1]INPUT_ASSUMPTIONS CALC'!$A$13:$CK$1019,H$6,FALSE)*SUMIF('[1]INPUT_ASSUMPTIONS CALC'!$CV$15:$CV$31,'[1]Summary calculation'!E145,'[1]INPUT_ASSUMPTIONS CALC'!$CW$15:$CW$31)</f>
        <v>0</v>
      </c>
      <c r="Q145" s="141">
        <f>O145*VLOOKUP($A145,'[1]INPUT_ASSUMPTIONS CALC'!$A$13:$CK$1019,Q$7,FALSE)</f>
        <v>0</v>
      </c>
      <c r="R145" s="141">
        <f>P145*VLOOKUP($A145,'[1]INPUT_ASSUMPTIONS CALC'!$A$13:$CK$1019,R$7,FALSE)</f>
        <v>0</v>
      </c>
      <c r="S145" s="140">
        <f t="shared" si="9"/>
        <v>0</v>
      </c>
      <c r="T145" s="142">
        <f t="shared" si="10"/>
        <v>0</v>
      </c>
      <c r="U145" s="61"/>
    </row>
    <row r="146" spans="1:21" x14ac:dyDescent="0.35">
      <c r="A146" s="125" t="str">
        <f t="shared" si="8"/>
        <v>138Q2</v>
      </c>
      <c r="B146" s="135">
        <v>138</v>
      </c>
      <c r="C146" s="61" t="str">
        <f>INDEX('[1]INPUT_ASSUMPTIONS CALC'!D:D,MATCH(A146,'[1]INPUT_ASSUMPTIONS CALC'!A:A,0))</f>
        <v/>
      </c>
      <c r="D146" s="61" t="str">
        <f>INDEX('[1]INPUT_ASSUMPTIONS CALC'!I:I,MATCH(A146,'[1]INPUT_ASSUMPTIONS CALC'!A:A,0))</f>
        <v/>
      </c>
      <c r="E146" s="61" t="str">
        <f>INDEX('[1]INPUT_ASSUMPTIONS CALC'!E:E,MATCH(A146,'[1]INPUT_ASSUMPTIONS CALC'!A:A,0))</f>
        <v/>
      </c>
      <c r="F146" s="136">
        <f>IF($F$5="Q1",VLOOKUP($A146,'[1]INPUT_ASSUMPTIONS CALC'!$A$13:$CK$1019,F$7,FALSE),IF($F$5="Q2",VLOOKUP($A146,'[1]INPUT_ASSUMPTIONS CALC'!$A$13:$CK$1019,F$7,FALSE),IF($F$5="Q3",VLOOKUP($A146,'[1]INPUT_ASSUMPTIONS CALC'!$A$13:$CK$1019,F$7,FALSE),IF($F$5="Q4",VLOOKUP($A146,'[1]INPUT_ASSUMPTIONS CALC'!$A$13:$CK$1019,F$7,FALSE),IF($F$5="Year",VLOOKUP($A146,'[1]INPUT_ASSUMPTIONS CALC'!$A$13:$CK$1019,F$7,FALSE),0)))))</f>
        <v>0</v>
      </c>
      <c r="G146" s="137">
        <f>SUMIF('[1]INPUT_ASSUMPTIONS CALC'!A:A,'[1]Summary calculation'!A146,'[1]INPUT_ASSUMPTIONS CALC'!BU:BU)</f>
        <v>0</v>
      </c>
      <c r="H146" s="138">
        <f>IF($F$5="Year",F146*G146*'[1]INPUT_ASSUMPTIONS CALC'!$S$7,F146*G146)</f>
        <v>0</v>
      </c>
      <c r="I146" s="138">
        <f>H146*VLOOKUP($A146,'[1]INPUT_ASSUMPTIONS CALC'!$A$13:$CK$1019,H$6,FALSE)*SUMIF('[1]INPUT_ASSUMPTIONS CALC'!$CL$15:$CL$17,'[1]Summary calculation'!E146,'[1]INPUT_ASSUMPTIONS CALC'!$CM$15:$CM$17)</f>
        <v>0</v>
      </c>
      <c r="J146" s="139">
        <f>$I146*VLOOKUP($A146,'[1]INPUT_ASSUMPTIONS CALC'!$A$13:$CK$1019,I$6,FALSE)*VLOOKUP($A146,'[1]INPUT_ASSUMPTIONS CALC'!$A$13:$CK$1019,J$7,FALSE)</f>
        <v>0</v>
      </c>
      <c r="K146" s="139">
        <f>$I146*VLOOKUP($A146,'[1]INPUT_ASSUMPTIONS CALC'!$A$13:$CK$1019,I$6,FALSE)*VLOOKUP($A146,'[1]INPUT_ASSUMPTIONS CALC'!$A$13:$CK$1019,K$7,FALSE)</f>
        <v>0</v>
      </c>
      <c r="L146" s="139">
        <f>$I146*VLOOKUP($A146,'[1]INPUT_ASSUMPTIONS CALC'!$A$13:$CK$1019,I$6,FALSE)*VLOOKUP($A146,'[1]INPUT_ASSUMPTIONS CALC'!$A$13:$CK$1019,L$7,FALSE)</f>
        <v>0</v>
      </c>
      <c r="M146" s="139">
        <f>$I146*VLOOKUP($A146,'[1]INPUT_ASSUMPTIONS CALC'!$A$13:$CK$1019,I$6,FALSE)*VLOOKUP($A146,'[1]INPUT_ASSUMPTIONS CALC'!$A$13:$CK$1019,M$7,FALSE)</f>
        <v>0</v>
      </c>
      <c r="N146" s="140">
        <f t="shared" si="11"/>
        <v>0</v>
      </c>
      <c r="O146" s="141">
        <f>H146*VLOOKUP($A146,'[1]INPUT_ASSUMPTIONS CALC'!$A$13:$CK$1019,H$6,FALSE)*SUMIF('[1]INPUT_ASSUMPTIONS CALC'!$CQ$15:$CQ$17,'[1]Summary calculation'!E146,'[1]INPUT_ASSUMPTIONS CALC'!$CR$15:$CR$17)</f>
        <v>0</v>
      </c>
      <c r="P146" s="141">
        <f>H146*VLOOKUP($A146,'[1]INPUT_ASSUMPTIONS CALC'!$A$13:$CK$1019,H$6,FALSE)*SUMIF('[1]INPUT_ASSUMPTIONS CALC'!$CV$15:$CV$31,'[1]Summary calculation'!E146,'[1]INPUT_ASSUMPTIONS CALC'!$CW$15:$CW$31)</f>
        <v>0</v>
      </c>
      <c r="Q146" s="141">
        <f>O146*VLOOKUP($A146,'[1]INPUT_ASSUMPTIONS CALC'!$A$13:$CK$1019,Q$7,FALSE)</f>
        <v>0</v>
      </c>
      <c r="R146" s="141">
        <f>P146*VLOOKUP($A146,'[1]INPUT_ASSUMPTIONS CALC'!$A$13:$CK$1019,R$7,FALSE)</f>
        <v>0</v>
      </c>
      <c r="S146" s="140">
        <f t="shared" si="9"/>
        <v>0</v>
      </c>
      <c r="T146" s="142">
        <f t="shared" si="10"/>
        <v>0</v>
      </c>
      <c r="U146" s="61"/>
    </row>
    <row r="147" spans="1:21" x14ac:dyDescent="0.35">
      <c r="A147" s="125" t="str">
        <f t="shared" si="8"/>
        <v>139Q2</v>
      </c>
      <c r="B147" s="135">
        <v>139</v>
      </c>
      <c r="C147" s="61" t="str">
        <f>INDEX('[1]INPUT_ASSUMPTIONS CALC'!D:D,MATCH(A147,'[1]INPUT_ASSUMPTIONS CALC'!A:A,0))</f>
        <v/>
      </c>
      <c r="D147" s="61" t="str">
        <f>INDEX('[1]INPUT_ASSUMPTIONS CALC'!I:I,MATCH(A147,'[1]INPUT_ASSUMPTIONS CALC'!A:A,0))</f>
        <v/>
      </c>
      <c r="E147" s="61" t="str">
        <f>INDEX('[1]INPUT_ASSUMPTIONS CALC'!E:E,MATCH(A147,'[1]INPUT_ASSUMPTIONS CALC'!A:A,0))</f>
        <v/>
      </c>
      <c r="F147" s="136">
        <f>IF($F$5="Q1",VLOOKUP($A147,'[1]INPUT_ASSUMPTIONS CALC'!$A$13:$CK$1019,F$7,FALSE),IF($F$5="Q2",VLOOKUP($A147,'[1]INPUT_ASSUMPTIONS CALC'!$A$13:$CK$1019,F$7,FALSE),IF($F$5="Q3",VLOOKUP($A147,'[1]INPUT_ASSUMPTIONS CALC'!$A$13:$CK$1019,F$7,FALSE),IF($F$5="Q4",VLOOKUP($A147,'[1]INPUT_ASSUMPTIONS CALC'!$A$13:$CK$1019,F$7,FALSE),IF($F$5="Year",VLOOKUP($A147,'[1]INPUT_ASSUMPTIONS CALC'!$A$13:$CK$1019,F$7,FALSE),0)))))</f>
        <v>0</v>
      </c>
      <c r="G147" s="137">
        <f>SUMIF('[1]INPUT_ASSUMPTIONS CALC'!A:A,'[1]Summary calculation'!A147,'[1]INPUT_ASSUMPTIONS CALC'!BU:BU)</f>
        <v>0</v>
      </c>
      <c r="H147" s="138">
        <f>IF($F$5="Year",F147*G147*'[1]INPUT_ASSUMPTIONS CALC'!$S$7,F147*G147)</f>
        <v>0</v>
      </c>
      <c r="I147" s="138">
        <f>H147*VLOOKUP($A147,'[1]INPUT_ASSUMPTIONS CALC'!$A$13:$CK$1019,H$6,FALSE)*SUMIF('[1]INPUT_ASSUMPTIONS CALC'!$CL$15:$CL$17,'[1]Summary calculation'!E147,'[1]INPUT_ASSUMPTIONS CALC'!$CM$15:$CM$17)</f>
        <v>0</v>
      </c>
      <c r="J147" s="139">
        <f>$I147*VLOOKUP($A147,'[1]INPUT_ASSUMPTIONS CALC'!$A$13:$CK$1019,I$6,FALSE)*VLOOKUP($A147,'[1]INPUT_ASSUMPTIONS CALC'!$A$13:$CK$1019,J$7,FALSE)</f>
        <v>0</v>
      </c>
      <c r="K147" s="139">
        <f>$I147*VLOOKUP($A147,'[1]INPUT_ASSUMPTIONS CALC'!$A$13:$CK$1019,I$6,FALSE)*VLOOKUP($A147,'[1]INPUT_ASSUMPTIONS CALC'!$A$13:$CK$1019,K$7,FALSE)</f>
        <v>0</v>
      </c>
      <c r="L147" s="139">
        <f>$I147*VLOOKUP($A147,'[1]INPUT_ASSUMPTIONS CALC'!$A$13:$CK$1019,I$6,FALSE)*VLOOKUP($A147,'[1]INPUT_ASSUMPTIONS CALC'!$A$13:$CK$1019,L$7,FALSE)</f>
        <v>0</v>
      </c>
      <c r="M147" s="139">
        <f>$I147*VLOOKUP($A147,'[1]INPUT_ASSUMPTIONS CALC'!$A$13:$CK$1019,I$6,FALSE)*VLOOKUP($A147,'[1]INPUT_ASSUMPTIONS CALC'!$A$13:$CK$1019,M$7,FALSE)</f>
        <v>0</v>
      </c>
      <c r="N147" s="140">
        <f t="shared" si="11"/>
        <v>0</v>
      </c>
      <c r="O147" s="141">
        <f>H147*VLOOKUP($A147,'[1]INPUT_ASSUMPTIONS CALC'!$A$13:$CK$1019,H$6,FALSE)*SUMIF('[1]INPUT_ASSUMPTIONS CALC'!$CQ$15:$CQ$17,'[1]Summary calculation'!E147,'[1]INPUT_ASSUMPTIONS CALC'!$CR$15:$CR$17)</f>
        <v>0</v>
      </c>
      <c r="P147" s="141">
        <f>H147*VLOOKUP($A147,'[1]INPUT_ASSUMPTIONS CALC'!$A$13:$CK$1019,H$6,FALSE)*SUMIF('[1]INPUT_ASSUMPTIONS CALC'!$CV$15:$CV$31,'[1]Summary calculation'!E147,'[1]INPUT_ASSUMPTIONS CALC'!$CW$15:$CW$31)</f>
        <v>0</v>
      </c>
      <c r="Q147" s="141">
        <f>O147*VLOOKUP($A147,'[1]INPUT_ASSUMPTIONS CALC'!$A$13:$CK$1019,Q$7,FALSE)</f>
        <v>0</v>
      </c>
      <c r="R147" s="141">
        <f>P147*VLOOKUP($A147,'[1]INPUT_ASSUMPTIONS CALC'!$A$13:$CK$1019,R$7,FALSE)</f>
        <v>0</v>
      </c>
      <c r="S147" s="140">
        <f t="shared" si="9"/>
        <v>0</v>
      </c>
      <c r="T147" s="142">
        <f t="shared" si="10"/>
        <v>0</v>
      </c>
      <c r="U147" s="61"/>
    </row>
    <row r="148" spans="1:21" x14ac:dyDescent="0.35">
      <c r="A148" s="125" t="str">
        <f t="shared" si="8"/>
        <v>140Q2</v>
      </c>
      <c r="B148" s="135">
        <v>140</v>
      </c>
      <c r="C148" s="61" t="str">
        <f>INDEX('[1]INPUT_ASSUMPTIONS CALC'!D:D,MATCH(A148,'[1]INPUT_ASSUMPTIONS CALC'!A:A,0))</f>
        <v/>
      </c>
      <c r="D148" s="61" t="str">
        <f>INDEX('[1]INPUT_ASSUMPTIONS CALC'!I:I,MATCH(A148,'[1]INPUT_ASSUMPTIONS CALC'!A:A,0))</f>
        <v/>
      </c>
      <c r="E148" s="61" t="str">
        <f>INDEX('[1]INPUT_ASSUMPTIONS CALC'!E:E,MATCH(A148,'[1]INPUT_ASSUMPTIONS CALC'!A:A,0))</f>
        <v/>
      </c>
      <c r="F148" s="136">
        <f>IF($F$5="Q1",VLOOKUP($A148,'[1]INPUT_ASSUMPTIONS CALC'!$A$13:$CK$1019,F$7,FALSE),IF($F$5="Q2",VLOOKUP($A148,'[1]INPUT_ASSUMPTIONS CALC'!$A$13:$CK$1019,F$7,FALSE),IF($F$5="Q3",VLOOKUP($A148,'[1]INPUT_ASSUMPTIONS CALC'!$A$13:$CK$1019,F$7,FALSE),IF($F$5="Q4",VLOOKUP($A148,'[1]INPUT_ASSUMPTIONS CALC'!$A$13:$CK$1019,F$7,FALSE),IF($F$5="Year",VLOOKUP($A148,'[1]INPUT_ASSUMPTIONS CALC'!$A$13:$CK$1019,F$7,FALSE),0)))))</f>
        <v>0</v>
      </c>
      <c r="G148" s="137">
        <f>SUMIF('[1]INPUT_ASSUMPTIONS CALC'!A:A,'[1]Summary calculation'!A148,'[1]INPUT_ASSUMPTIONS CALC'!BU:BU)</f>
        <v>0</v>
      </c>
      <c r="H148" s="138">
        <f>IF($F$5="Year",F148*G148*'[1]INPUT_ASSUMPTIONS CALC'!$S$7,F148*G148)</f>
        <v>0</v>
      </c>
      <c r="I148" s="138">
        <f>H148*VLOOKUP($A148,'[1]INPUT_ASSUMPTIONS CALC'!$A$13:$CK$1019,H$6,FALSE)*SUMIF('[1]INPUT_ASSUMPTIONS CALC'!$CL$15:$CL$17,'[1]Summary calculation'!E148,'[1]INPUT_ASSUMPTIONS CALC'!$CM$15:$CM$17)</f>
        <v>0</v>
      </c>
      <c r="J148" s="139">
        <f>$I148*VLOOKUP($A148,'[1]INPUT_ASSUMPTIONS CALC'!$A$13:$CK$1019,I$6,FALSE)*VLOOKUP($A148,'[1]INPUT_ASSUMPTIONS CALC'!$A$13:$CK$1019,J$7,FALSE)</f>
        <v>0</v>
      </c>
      <c r="K148" s="139">
        <f>$I148*VLOOKUP($A148,'[1]INPUT_ASSUMPTIONS CALC'!$A$13:$CK$1019,I$6,FALSE)*VLOOKUP($A148,'[1]INPUT_ASSUMPTIONS CALC'!$A$13:$CK$1019,K$7,FALSE)</f>
        <v>0</v>
      </c>
      <c r="L148" s="139">
        <f>$I148*VLOOKUP($A148,'[1]INPUT_ASSUMPTIONS CALC'!$A$13:$CK$1019,I$6,FALSE)*VLOOKUP($A148,'[1]INPUT_ASSUMPTIONS CALC'!$A$13:$CK$1019,L$7,FALSE)</f>
        <v>0</v>
      </c>
      <c r="M148" s="139">
        <f>$I148*VLOOKUP($A148,'[1]INPUT_ASSUMPTIONS CALC'!$A$13:$CK$1019,I$6,FALSE)*VLOOKUP($A148,'[1]INPUT_ASSUMPTIONS CALC'!$A$13:$CK$1019,M$7,FALSE)</f>
        <v>0</v>
      </c>
      <c r="N148" s="140">
        <f t="shared" si="11"/>
        <v>0</v>
      </c>
      <c r="O148" s="141">
        <f>H148*VLOOKUP($A148,'[1]INPUT_ASSUMPTIONS CALC'!$A$13:$CK$1019,H$6,FALSE)*SUMIF('[1]INPUT_ASSUMPTIONS CALC'!$CQ$15:$CQ$17,'[1]Summary calculation'!E148,'[1]INPUT_ASSUMPTIONS CALC'!$CR$15:$CR$17)</f>
        <v>0</v>
      </c>
      <c r="P148" s="141">
        <f>H148*VLOOKUP($A148,'[1]INPUT_ASSUMPTIONS CALC'!$A$13:$CK$1019,H$6,FALSE)*SUMIF('[1]INPUT_ASSUMPTIONS CALC'!$CV$15:$CV$31,'[1]Summary calculation'!E148,'[1]INPUT_ASSUMPTIONS CALC'!$CW$15:$CW$31)</f>
        <v>0</v>
      </c>
      <c r="Q148" s="141">
        <f>O148*VLOOKUP($A148,'[1]INPUT_ASSUMPTIONS CALC'!$A$13:$CK$1019,Q$7,FALSE)</f>
        <v>0</v>
      </c>
      <c r="R148" s="141">
        <f>P148*VLOOKUP($A148,'[1]INPUT_ASSUMPTIONS CALC'!$A$13:$CK$1019,R$7,FALSE)</f>
        <v>0</v>
      </c>
      <c r="S148" s="140">
        <f t="shared" si="9"/>
        <v>0</v>
      </c>
      <c r="T148" s="142">
        <f t="shared" si="10"/>
        <v>0</v>
      </c>
      <c r="U148" s="61"/>
    </row>
    <row r="149" spans="1:21" x14ac:dyDescent="0.35">
      <c r="A149" s="125" t="str">
        <f t="shared" si="8"/>
        <v>141Q2</v>
      </c>
      <c r="B149" s="135">
        <v>141</v>
      </c>
      <c r="C149" s="61" t="str">
        <f>INDEX('[1]INPUT_ASSUMPTIONS CALC'!D:D,MATCH(A149,'[1]INPUT_ASSUMPTIONS CALC'!A:A,0))</f>
        <v/>
      </c>
      <c r="D149" s="61" t="str">
        <f>INDEX('[1]INPUT_ASSUMPTIONS CALC'!I:I,MATCH(A149,'[1]INPUT_ASSUMPTIONS CALC'!A:A,0))</f>
        <v/>
      </c>
      <c r="E149" s="61" t="str">
        <f>INDEX('[1]INPUT_ASSUMPTIONS CALC'!E:E,MATCH(A149,'[1]INPUT_ASSUMPTIONS CALC'!A:A,0))</f>
        <v/>
      </c>
      <c r="F149" s="136">
        <f>IF($F$5="Q1",VLOOKUP($A149,'[1]INPUT_ASSUMPTIONS CALC'!$A$13:$CK$1019,F$7,FALSE),IF($F$5="Q2",VLOOKUP($A149,'[1]INPUT_ASSUMPTIONS CALC'!$A$13:$CK$1019,F$7,FALSE),IF($F$5="Q3",VLOOKUP($A149,'[1]INPUT_ASSUMPTIONS CALC'!$A$13:$CK$1019,F$7,FALSE),IF($F$5="Q4",VLOOKUP($A149,'[1]INPUT_ASSUMPTIONS CALC'!$A$13:$CK$1019,F$7,FALSE),IF($F$5="Year",VLOOKUP($A149,'[1]INPUT_ASSUMPTIONS CALC'!$A$13:$CK$1019,F$7,FALSE),0)))))</f>
        <v>0</v>
      </c>
      <c r="G149" s="137">
        <f>SUMIF('[1]INPUT_ASSUMPTIONS CALC'!A:A,'[1]Summary calculation'!A149,'[1]INPUT_ASSUMPTIONS CALC'!BU:BU)</f>
        <v>0</v>
      </c>
      <c r="H149" s="138">
        <f>IF($F$5="Year",F149*G149*'[1]INPUT_ASSUMPTIONS CALC'!$S$7,F149*G149)</f>
        <v>0</v>
      </c>
      <c r="I149" s="138">
        <f>H149*VLOOKUP($A149,'[1]INPUT_ASSUMPTIONS CALC'!$A$13:$CK$1019,H$6,FALSE)*SUMIF('[1]INPUT_ASSUMPTIONS CALC'!$CL$15:$CL$17,'[1]Summary calculation'!E149,'[1]INPUT_ASSUMPTIONS CALC'!$CM$15:$CM$17)</f>
        <v>0</v>
      </c>
      <c r="J149" s="139">
        <f>$I149*VLOOKUP($A149,'[1]INPUT_ASSUMPTIONS CALC'!$A$13:$CK$1019,I$6,FALSE)*VLOOKUP($A149,'[1]INPUT_ASSUMPTIONS CALC'!$A$13:$CK$1019,J$7,FALSE)</f>
        <v>0</v>
      </c>
      <c r="K149" s="139">
        <f>$I149*VLOOKUP($A149,'[1]INPUT_ASSUMPTIONS CALC'!$A$13:$CK$1019,I$6,FALSE)*VLOOKUP($A149,'[1]INPUT_ASSUMPTIONS CALC'!$A$13:$CK$1019,K$7,FALSE)</f>
        <v>0</v>
      </c>
      <c r="L149" s="139">
        <f>$I149*VLOOKUP($A149,'[1]INPUT_ASSUMPTIONS CALC'!$A$13:$CK$1019,I$6,FALSE)*VLOOKUP($A149,'[1]INPUT_ASSUMPTIONS CALC'!$A$13:$CK$1019,L$7,FALSE)</f>
        <v>0</v>
      </c>
      <c r="M149" s="139">
        <f>$I149*VLOOKUP($A149,'[1]INPUT_ASSUMPTIONS CALC'!$A$13:$CK$1019,I$6,FALSE)*VLOOKUP($A149,'[1]INPUT_ASSUMPTIONS CALC'!$A$13:$CK$1019,M$7,FALSE)</f>
        <v>0</v>
      </c>
      <c r="N149" s="140">
        <f t="shared" si="11"/>
        <v>0</v>
      </c>
      <c r="O149" s="141">
        <f>H149*VLOOKUP($A149,'[1]INPUT_ASSUMPTIONS CALC'!$A$13:$CK$1019,H$6,FALSE)*SUMIF('[1]INPUT_ASSUMPTIONS CALC'!$CQ$15:$CQ$17,'[1]Summary calculation'!E149,'[1]INPUT_ASSUMPTIONS CALC'!$CR$15:$CR$17)</f>
        <v>0</v>
      </c>
      <c r="P149" s="141">
        <f>H149*VLOOKUP($A149,'[1]INPUT_ASSUMPTIONS CALC'!$A$13:$CK$1019,H$6,FALSE)*SUMIF('[1]INPUT_ASSUMPTIONS CALC'!$CV$15:$CV$31,'[1]Summary calculation'!E149,'[1]INPUT_ASSUMPTIONS CALC'!$CW$15:$CW$31)</f>
        <v>0</v>
      </c>
      <c r="Q149" s="141">
        <f>O149*VLOOKUP($A149,'[1]INPUT_ASSUMPTIONS CALC'!$A$13:$CK$1019,Q$7,FALSE)</f>
        <v>0</v>
      </c>
      <c r="R149" s="141">
        <f>P149*VLOOKUP($A149,'[1]INPUT_ASSUMPTIONS CALC'!$A$13:$CK$1019,R$7,FALSE)</f>
        <v>0</v>
      </c>
      <c r="S149" s="140">
        <f t="shared" si="9"/>
        <v>0</v>
      </c>
      <c r="T149" s="142">
        <f t="shared" si="10"/>
        <v>0</v>
      </c>
      <c r="U149" s="61"/>
    </row>
    <row r="150" spans="1:21" x14ac:dyDescent="0.35">
      <c r="A150" s="125" t="str">
        <f t="shared" si="8"/>
        <v>142Q2</v>
      </c>
      <c r="B150" s="135">
        <v>142</v>
      </c>
      <c r="C150" s="61" t="str">
        <f>INDEX('[1]INPUT_ASSUMPTIONS CALC'!D:D,MATCH(A150,'[1]INPUT_ASSUMPTIONS CALC'!A:A,0))</f>
        <v/>
      </c>
      <c r="D150" s="61" t="str">
        <f>INDEX('[1]INPUT_ASSUMPTIONS CALC'!I:I,MATCH(A150,'[1]INPUT_ASSUMPTIONS CALC'!A:A,0))</f>
        <v/>
      </c>
      <c r="E150" s="61" t="str">
        <f>INDEX('[1]INPUT_ASSUMPTIONS CALC'!E:E,MATCH(A150,'[1]INPUT_ASSUMPTIONS CALC'!A:A,0))</f>
        <v/>
      </c>
      <c r="F150" s="136">
        <f>IF($F$5="Q1",VLOOKUP($A150,'[1]INPUT_ASSUMPTIONS CALC'!$A$13:$CK$1019,F$7,FALSE),IF($F$5="Q2",VLOOKUP($A150,'[1]INPUT_ASSUMPTIONS CALC'!$A$13:$CK$1019,F$7,FALSE),IF($F$5="Q3",VLOOKUP($A150,'[1]INPUT_ASSUMPTIONS CALC'!$A$13:$CK$1019,F$7,FALSE),IF($F$5="Q4",VLOOKUP($A150,'[1]INPUT_ASSUMPTIONS CALC'!$A$13:$CK$1019,F$7,FALSE),IF($F$5="Year",VLOOKUP($A150,'[1]INPUT_ASSUMPTIONS CALC'!$A$13:$CK$1019,F$7,FALSE),0)))))</f>
        <v>0</v>
      </c>
      <c r="G150" s="137">
        <f>SUMIF('[1]INPUT_ASSUMPTIONS CALC'!A:A,'[1]Summary calculation'!A150,'[1]INPUT_ASSUMPTIONS CALC'!BU:BU)</f>
        <v>0</v>
      </c>
      <c r="H150" s="138">
        <f>IF($F$5="Year",F150*G150*'[1]INPUT_ASSUMPTIONS CALC'!$S$7,F150*G150)</f>
        <v>0</v>
      </c>
      <c r="I150" s="138">
        <f>H150*VLOOKUP($A150,'[1]INPUT_ASSUMPTIONS CALC'!$A$13:$CK$1019,H$6,FALSE)*SUMIF('[1]INPUT_ASSUMPTIONS CALC'!$CL$15:$CL$17,'[1]Summary calculation'!E150,'[1]INPUT_ASSUMPTIONS CALC'!$CM$15:$CM$17)</f>
        <v>0</v>
      </c>
      <c r="J150" s="139">
        <f>$I150*VLOOKUP($A150,'[1]INPUT_ASSUMPTIONS CALC'!$A$13:$CK$1019,I$6,FALSE)*VLOOKUP($A150,'[1]INPUT_ASSUMPTIONS CALC'!$A$13:$CK$1019,J$7,FALSE)</f>
        <v>0</v>
      </c>
      <c r="K150" s="139">
        <f>$I150*VLOOKUP($A150,'[1]INPUT_ASSUMPTIONS CALC'!$A$13:$CK$1019,I$6,FALSE)*VLOOKUP($A150,'[1]INPUT_ASSUMPTIONS CALC'!$A$13:$CK$1019,K$7,FALSE)</f>
        <v>0</v>
      </c>
      <c r="L150" s="139">
        <f>$I150*VLOOKUP($A150,'[1]INPUT_ASSUMPTIONS CALC'!$A$13:$CK$1019,I$6,FALSE)*VLOOKUP($A150,'[1]INPUT_ASSUMPTIONS CALC'!$A$13:$CK$1019,L$7,FALSE)</f>
        <v>0</v>
      </c>
      <c r="M150" s="139">
        <f>$I150*VLOOKUP($A150,'[1]INPUT_ASSUMPTIONS CALC'!$A$13:$CK$1019,I$6,FALSE)*VLOOKUP($A150,'[1]INPUT_ASSUMPTIONS CALC'!$A$13:$CK$1019,M$7,FALSE)</f>
        <v>0</v>
      </c>
      <c r="N150" s="140">
        <f t="shared" si="11"/>
        <v>0</v>
      </c>
      <c r="O150" s="141">
        <f>H150*VLOOKUP($A150,'[1]INPUT_ASSUMPTIONS CALC'!$A$13:$CK$1019,H$6,FALSE)*SUMIF('[1]INPUT_ASSUMPTIONS CALC'!$CQ$15:$CQ$17,'[1]Summary calculation'!E150,'[1]INPUT_ASSUMPTIONS CALC'!$CR$15:$CR$17)</f>
        <v>0</v>
      </c>
      <c r="P150" s="141">
        <f>H150*VLOOKUP($A150,'[1]INPUT_ASSUMPTIONS CALC'!$A$13:$CK$1019,H$6,FALSE)*SUMIF('[1]INPUT_ASSUMPTIONS CALC'!$CV$15:$CV$31,'[1]Summary calculation'!E150,'[1]INPUT_ASSUMPTIONS CALC'!$CW$15:$CW$31)</f>
        <v>0</v>
      </c>
      <c r="Q150" s="141">
        <f>O150*VLOOKUP($A150,'[1]INPUT_ASSUMPTIONS CALC'!$A$13:$CK$1019,Q$7,FALSE)</f>
        <v>0</v>
      </c>
      <c r="R150" s="141">
        <f>P150*VLOOKUP($A150,'[1]INPUT_ASSUMPTIONS CALC'!$A$13:$CK$1019,R$7,FALSE)</f>
        <v>0</v>
      </c>
      <c r="S150" s="140">
        <f t="shared" si="9"/>
        <v>0</v>
      </c>
      <c r="T150" s="142">
        <f t="shared" si="10"/>
        <v>0</v>
      </c>
      <c r="U150" s="61"/>
    </row>
    <row r="151" spans="1:21" x14ac:dyDescent="0.35">
      <c r="A151" s="125" t="str">
        <f t="shared" si="8"/>
        <v>143Q2</v>
      </c>
      <c r="B151" s="135">
        <v>143</v>
      </c>
      <c r="C151" s="61" t="str">
        <f>INDEX('[1]INPUT_ASSUMPTIONS CALC'!D:D,MATCH(A151,'[1]INPUT_ASSUMPTIONS CALC'!A:A,0))</f>
        <v/>
      </c>
      <c r="D151" s="61" t="str">
        <f>INDEX('[1]INPUT_ASSUMPTIONS CALC'!I:I,MATCH(A151,'[1]INPUT_ASSUMPTIONS CALC'!A:A,0))</f>
        <v/>
      </c>
      <c r="E151" s="61" t="str">
        <f>INDEX('[1]INPUT_ASSUMPTIONS CALC'!E:E,MATCH(A151,'[1]INPUT_ASSUMPTIONS CALC'!A:A,0))</f>
        <v/>
      </c>
      <c r="F151" s="136">
        <f>IF($F$5="Q1",VLOOKUP($A151,'[1]INPUT_ASSUMPTIONS CALC'!$A$13:$CK$1019,F$7,FALSE),IF($F$5="Q2",VLOOKUP($A151,'[1]INPUT_ASSUMPTIONS CALC'!$A$13:$CK$1019,F$7,FALSE),IF($F$5="Q3",VLOOKUP($A151,'[1]INPUT_ASSUMPTIONS CALC'!$A$13:$CK$1019,F$7,FALSE),IF($F$5="Q4",VLOOKUP($A151,'[1]INPUT_ASSUMPTIONS CALC'!$A$13:$CK$1019,F$7,FALSE),IF($F$5="Year",VLOOKUP($A151,'[1]INPUT_ASSUMPTIONS CALC'!$A$13:$CK$1019,F$7,FALSE),0)))))</f>
        <v>0</v>
      </c>
      <c r="G151" s="137">
        <f>SUMIF('[1]INPUT_ASSUMPTIONS CALC'!A:A,'[1]Summary calculation'!A151,'[1]INPUT_ASSUMPTIONS CALC'!BU:BU)</f>
        <v>0</v>
      </c>
      <c r="H151" s="138">
        <f>IF($F$5="Year",F151*G151*'[1]INPUT_ASSUMPTIONS CALC'!$S$7,F151*G151)</f>
        <v>0</v>
      </c>
      <c r="I151" s="138">
        <f>H151*VLOOKUP($A151,'[1]INPUT_ASSUMPTIONS CALC'!$A$13:$CK$1019,H$6,FALSE)*SUMIF('[1]INPUT_ASSUMPTIONS CALC'!$CL$15:$CL$17,'[1]Summary calculation'!E151,'[1]INPUT_ASSUMPTIONS CALC'!$CM$15:$CM$17)</f>
        <v>0</v>
      </c>
      <c r="J151" s="139">
        <f>$I151*VLOOKUP($A151,'[1]INPUT_ASSUMPTIONS CALC'!$A$13:$CK$1019,I$6,FALSE)*VLOOKUP($A151,'[1]INPUT_ASSUMPTIONS CALC'!$A$13:$CK$1019,J$7,FALSE)</f>
        <v>0</v>
      </c>
      <c r="K151" s="139">
        <f>$I151*VLOOKUP($A151,'[1]INPUT_ASSUMPTIONS CALC'!$A$13:$CK$1019,I$6,FALSE)*VLOOKUP($A151,'[1]INPUT_ASSUMPTIONS CALC'!$A$13:$CK$1019,K$7,FALSE)</f>
        <v>0</v>
      </c>
      <c r="L151" s="139">
        <f>$I151*VLOOKUP($A151,'[1]INPUT_ASSUMPTIONS CALC'!$A$13:$CK$1019,I$6,FALSE)*VLOOKUP($A151,'[1]INPUT_ASSUMPTIONS CALC'!$A$13:$CK$1019,L$7,FALSE)</f>
        <v>0</v>
      </c>
      <c r="M151" s="139">
        <f>$I151*VLOOKUP($A151,'[1]INPUT_ASSUMPTIONS CALC'!$A$13:$CK$1019,I$6,FALSE)*VLOOKUP($A151,'[1]INPUT_ASSUMPTIONS CALC'!$A$13:$CK$1019,M$7,FALSE)</f>
        <v>0</v>
      </c>
      <c r="N151" s="140">
        <f t="shared" si="11"/>
        <v>0</v>
      </c>
      <c r="O151" s="141">
        <f>H151*VLOOKUP($A151,'[1]INPUT_ASSUMPTIONS CALC'!$A$13:$CK$1019,H$6,FALSE)*SUMIF('[1]INPUT_ASSUMPTIONS CALC'!$CQ$15:$CQ$17,'[1]Summary calculation'!E151,'[1]INPUT_ASSUMPTIONS CALC'!$CR$15:$CR$17)</f>
        <v>0</v>
      </c>
      <c r="P151" s="141">
        <f>H151*VLOOKUP($A151,'[1]INPUT_ASSUMPTIONS CALC'!$A$13:$CK$1019,H$6,FALSE)*SUMIF('[1]INPUT_ASSUMPTIONS CALC'!$CV$15:$CV$31,'[1]Summary calculation'!E151,'[1]INPUT_ASSUMPTIONS CALC'!$CW$15:$CW$31)</f>
        <v>0</v>
      </c>
      <c r="Q151" s="141">
        <f>O151*VLOOKUP($A151,'[1]INPUT_ASSUMPTIONS CALC'!$A$13:$CK$1019,Q$7,FALSE)</f>
        <v>0</v>
      </c>
      <c r="R151" s="141">
        <f>P151*VLOOKUP($A151,'[1]INPUT_ASSUMPTIONS CALC'!$A$13:$CK$1019,R$7,FALSE)</f>
        <v>0</v>
      </c>
      <c r="S151" s="140">
        <f t="shared" si="9"/>
        <v>0</v>
      </c>
      <c r="T151" s="142">
        <f t="shared" si="10"/>
        <v>0</v>
      </c>
      <c r="U151" s="61"/>
    </row>
    <row r="152" spans="1:21" x14ac:dyDescent="0.35">
      <c r="A152" s="125" t="str">
        <f t="shared" si="8"/>
        <v>144Q2</v>
      </c>
      <c r="B152" s="135">
        <v>144</v>
      </c>
      <c r="C152" s="61" t="str">
        <f>INDEX('[1]INPUT_ASSUMPTIONS CALC'!D:D,MATCH(A152,'[1]INPUT_ASSUMPTIONS CALC'!A:A,0))</f>
        <v/>
      </c>
      <c r="D152" s="61" t="str">
        <f>INDEX('[1]INPUT_ASSUMPTIONS CALC'!I:I,MATCH(A152,'[1]INPUT_ASSUMPTIONS CALC'!A:A,0))</f>
        <v/>
      </c>
      <c r="E152" s="61" t="str">
        <f>INDEX('[1]INPUT_ASSUMPTIONS CALC'!E:E,MATCH(A152,'[1]INPUT_ASSUMPTIONS CALC'!A:A,0))</f>
        <v/>
      </c>
      <c r="F152" s="136">
        <f>IF($F$5="Q1",VLOOKUP($A152,'[1]INPUT_ASSUMPTIONS CALC'!$A$13:$CK$1019,F$7,FALSE),IF($F$5="Q2",VLOOKUP($A152,'[1]INPUT_ASSUMPTIONS CALC'!$A$13:$CK$1019,F$7,FALSE),IF($F$5="Q3",VLOOKUP($A152,'[1]INPUT_ASSUMPTIONS CALC'!$A$13:$CK$1019,F$7,FALSE),IF($F$5="Q4",VLOOKUP($A152,'[1]INPUT_ASSUMPTIONS CALC'!$A$13:$CK$1019,F$7,FALSE),IF($F$5="Year",VLOOKUP($A152,'[1]INPUT_ASSUMPTIONS CALC'!$A$13:$CK$1019,F$7,FALSE),0)))))</f>
        <v>0</v>
      </c>
      <c r="G152" s="137">
        <f>SUMIF('[1]INPUT_ASSUMPTIONS CALC'!A:A,'[1]Summary calculation'!A152,'[1]INPUT_ASSUMPTIONS CALC'!BU:BU)</f>
        <v>0</v>
      </c>
      <c r="H152" s="138">
        <f>IF($F$5="Year",F152*G152*'[1]INPUT_ASSUMPTIONS CALC'!$S$7,F152*G152)</f>
        <v>0</v>
      </c>
      <c r="I152" s="138">
        <f>H152*VLOOKUP($A152,'[1]INPUT_ASSUMPTIONS CALC'!$A$13:$CK$1019,H$6,FALSE)*SUMIF('[1]INPUT_ASSUMPTIONS CALC'!$CL$15:$CL$17,'[1]Summary calculation'!E152,'[1]INPUT_ASSUMPTIONS CALC'!$CM$15:$CM$17)</f>
        <v>0</v>
      </c>
      <c r="J152" s="139">
        <f>$I152*VLOOKUP($A152,'[1]INPUT_ASSUMPTIONS CALC'!$A$13:$CK$1019,I$6,FALSE)*VLOOKUP($A152,'[1]INPUT_ASSUMPTIONS CALC'!$A$13:$CK$1019,J$7,FALSE)</f>
        <v>0</v>
      </c>
      <c r="K152" s="139">
        <f>$I152*VLOOKUP($A152,'[1]INPUT_ASSUMPTIONS CALC'!$A$13:$CK$1019,I$6,FALSE)*VLOOKUP($A152,'[1]INPUT_ASSUMPTIONS CALC'!$A$13:$CK$1019,K$7,FALSE)</f>
        <v>0</v>
      </c>
      <c r="L152" s="139">
        <f>$I152*VLOOKUP($A152,'[1]INPUT_ASSUMPTIONS CALC'!$A$13:$CK$1019,I$6,FALSE)*VLOOKUP($A152,'[1]INPUT_ASSUMPTIONS CALC'!$A$13:$CK$1019,L$7,FALSE)</f>
        <v>0</v>
      </c>
      <c r="M152" s="139">
        <f>$I152*VLOOKUP($A152,'[1]INPUT_ASSUMPTIONS CALC'!$A$13:$CK$1019,I$6,FALSE)*VLOOKUP($A152,'[1]INPUT_ASSUMPTIONS CALC'!$A$13:$CK$1019,M$7,FALSE)</f>
        <v>0</v>
      </c>
      <c r="N152" s="140">
        <f t="shared" si="11"/>
        <v>0</v>
      </c>
      <c r="O152" s="141">
        <f>H152*VLOOKUP($A152,'[1]INPUT_ASSUMPTIONS CALC'!$A$13:$CK$1019,H$6,FALSE)*SUMIF('[1]INPUT_ASSUMPTIONS CALC'!$CQ$15:$CQ$17,'[1]Summary calculation'!E152,'[1]INPUT_ASSUMPTIONS CALC'!$CR$15:$CR$17)</f>
        <v>0</v>
      </c>
      <c r="P152" s="141">
        <f>H152*VLOOKUP($A152,'[1]INPUT_ASSUMPTIONS CALC'!$A$13:$CK$1019,H$6,FALSE)*SUMIF('[1]INPUT_ASSUMPTIONS CALC'!$CV$15:$CV$31,'[1]Summary calculation'!E152,'[1]INPUT_ASSUMPTIONS CALC'!$CW$15:$CW$31)</f>
        <v>0</v>
      </c>
      <c r="Q152" s="141">
        <f>O152*VLOOKUP($A152,'[1]INPUT_ASSUMPTIONS CALC'!$A$13:$CK$1019,Q$7,FALSE)</f>
        <v>0</v>
      </c>
      <c r="R152" s="141">
        <f>P152*VLOOKUP($A152,'[1]INPUT_ASSUMPTIONS CALC'!$A$13:$CK$1019,R$7,FALSE)</f>
        <v>0</v>
      </c>
      <c r="S152" s="140">
        <f t="shared" si="9"/>
        <v>0</v>
      </c>
      <c r="T152" s="142">
        <f t="shared" si="10"/>
        <v>0</v>
      </c>
      <c r="U152" s="61"/>
    </row>
    <row r="153" spans="1:21" x14ac:dyDescent="0.35">
      <c r="A153" s="125" t="str">
        <f t="shared" si="8"/>
        <v>145Q2</v>
      </c>
      <c r="B153" s="135">
        <v>145</v>
      </c>
      <c r="C153" s="61" t="str">
        <f>INDEX('[1]INPUT_ASSUMPTIONS CALC'!D:D,MATCH(A153,'[1]INPUT_ASSUMPTIONS CALC'!A:A,0))</f>
        <v/>
      </c>
      <c r="D153" s="61" t="str">
        <f>INDEX('[1]INPUT_ASSUMPTIONS CALC'!I:I,MATCH(A153,'[1]INPUT_ASSUMPTIONS CALC'!A:A,0))</f>
        <v/>
      </c>
      <c r="E153" s="61" t="str">
        <f>INDEX('[1]INPUT_ASSUMPTIONS CALC'!E:E,MATCH(A153,'[1]INPUT_ASSUMPTIONS CALC'!A:A,0))</f>
        <v/>
      </c>
      <c r="F153" s="136">
        <f>IF($F$5="Q1",VLOOKUP($A153,'[1]INPUT_ASSUMPTIONS CALC'!$A$13:$CK$1019,F$7,FALSE),IF($F$5="Q2",VLOOKUP($A153,'[1]INPUT_ASSUMPTIONS CALC'!$A$13:$CK$1019,F$7,FALSE),IF($F$5="Q3",VLOOKUP($A153,'[1]INPUT_ASSUMPTIONS CALC'!$A$13:$CK$1019,F$7,FALSE),IF($F$5="Q4",VLOOKUP($A153,'[1]INPUT_ASSUMPTIONS CALC'!$A$13:$CK$1019,F$7,FALSE),IF($F$5="Year",VLOOKUP($A153,'[1]INPUT_ASSUMPTIONS CALC'!$A$13:$CK$1019,F$7,FALSE),0)))))</f>
        <v>0</v>
      </c>
      <c r="G153" s="137">
        <f>SUMIF('[1]INPUT_ASSUMPTIONS CALC'!A:A,'[1]Summary calculation'!A153,'[1]INPUT_ASSUMPTIONS CALC'!BU:BU)</f>
        <v>0</v>
      </c>
      <c r="H153" s="138">
        <f>IF($F$5="Year",F153*G153*'[1]INPUT_ASSUMPTIONS CALC'!$S$7,F153*G153)</f>
        <v>0</v>
      </c>
      <c r="I153" s="138">
        <f>H153*VLOOKUP($A153,'[1]INPUT_ASSUMPTIONS CALC'!$A$13:$CK$1019,H$6,FALSE)*SUMIF('[1]INPUT_ASSUMPTIONS CALC'!$CL$15:$CL$17,'[1]Summary calculation'!E153,'[1]INPUT_ASSUMPTIONS CALC'!$CM$15:$CM$17)</f>
        <v>0</v>
      </c>
      <c r="J153" s="139">
        <f>$I153*VLOOKUP($A153,'[1]INPUT_ASSUMPTIONS CALC'!$A$13:$CK$1019,I$6,FALSE)*VLOOKUP($A153,'[1]INPUT_ASSUMPTIONS CALC'!$A$13:$CK$1019,J$7,FALSE)</f>
        <v>0</v>
      </c>
      <c r="K153" s="139">
        <f>$I153*VLOOKUP($A153,'[1]INPUT_ASSUMPTIONS CALC'!$A$13:$CK$1019,I$6,FALSE)*VLOOKUP($A153,'[1]INPUT_ASSUMPTIONS CALC'!$A$13:$CK$1019,K$7,FALSE)</f>
        <v>0</v>
      </c>
      <c r="L153" s="139">
        <f>$I153*VLOOKUP($A153,'[1]INPUT_ASSUMPTIONS CALC'!$A$13:$CK$1019,I$6,FALSE)*VLOOKUP($A153,'[1]INPUT_ASSUMPTIONS CALC'!$A$13:$CK$1019,L$7,FALSE)</f>
        <v>0</v>
      </c>
      <c r="M153" s="139">
        <f>$I153*VLOOKUP($A153,'[1]INPUT_ASSUMPTIONS CALC'!$A$13:$CK$1019,I$6,FALSE)*VLOOKUP($A153,'[1]INPUT_ASSUMPTIONS CALC'!$A$13:$CK$1019,M$7,FALSE)</f>
        <v>0</v>
      </c>
      <c r="N153" s="140">
        <f t="shared" si="11"/>
        <v>0</v>
      </c>
      <c r="O153" s="141">
        <f>H153*VLOOKUP($A153,'[1]INPUT_ASSUMPTIONS CALC'!$A$13:$CK$1019,H$6,FALSE)*SUMIF('[1]INPUT_ASSUMPTIONS CALC'!$CQ$15:$CQ$17,'[1]Summary calculation'!E153,'[1]INPUT_ASSUMPTIONS CALC'!$CR$15:$CR$17)</f>
        <v>0</v>
      </c>
      <c r="P153" s="141">
        <f>H153*VLOOKUP($A153,'[1]INPUT_ASSUMPTIONS CALC'!$A$13:$CK$1019,H$6,FALSE)*SUMIF('[1]INPUT_ASSUMPTIONS CALC'!$CV$15:$CV$31,'[1]Summary calculation'!E153,'[1]INPUT_ASSUMPTIONS CALC'!$CW$15:$CW$31)</f>
        <v>0</v>
      </c>
      <c r="Q153" s="141">
        <f>O153*VLOOKUP($A153,'[1]INPUT_ASSUMPTIONS CALC'!$A$13:$CK$1019,Q$7,FALSE)</f>
        <v>0</v>
      </c>
      <c r="R153" s="141">
        <f>P153*VLOOKUP($A153,'[1]INPUT_ASSUMPTIONS CALC'!$A$13:$CK$1019,R$7,FALSE)</f>
        <v>0</v>
      </c>
      <c r="S153" s="140">
        <f t="shared" si="9"/>
        <v>0</v>
      </c>
      <c r="T153" s="142">
        <f t="shared" si="10"/>
        <v>0</v>
      </c>
      <c r="U153" s="61"/>
    </row>
    <row r="154" spans="1:21" x14ac:dyDescent="0.35">
      <c r="A154" s="125" t="str">
        <f t="shared" si="8"/>
        <v>146Q2</v>
      </c>
      <c r="B154" s="135">
        <v>146</v>
      </c>
      <c r="C154" s="61" t="str">
        <f>INDEX('[1]INPUT_ASSUMPTIONS CALC'!D:D,MATCH(A154,'[1]INPUT_ASSUMPTIONS CALC'!A:A,0))</f>
        <v/>
      </c>
      <c r="D154" s="61" t="str">
        <f>INDEX('[1]INPUT_ASSUMPTIONS CALC'!I:I,MATCH(A154,'[1]INPUT_ASSUMPTIONS CALC'!A:A,0))</f>
        <v/>
      </c>
      <c r="E154" s="61" t="str">
        <f>INDEX('[1]INPUT_ASSUMPTIONS CALC'!E:E,MATCH(A154,'[1]INPUT_ASSUMPTIONS CALC'!A:A,0))</f>
        <v/>
      </c>
      <c r="F154" s="136">
        <f>IF($F$5="Q1",VLOOKUP($A154,'[1]INPUT_ASSUMPTIONS CALC'!$A$13:$CK$1019,F$7,FALSE),IF($F$5="Q2",VLOOKUP($A154,'[1]INPUT_ASSUMPTIONS CALC'!$A$13:$CK$1019,F$7,FALSE),IF($F$5="Q3",VLOOKUP($A154,'[1]INPUT_ASSUMPTIONS CALC'!$A$13:$CK$1019,F$7,FALSE),IF($F$5="Q4",VLOOKUP($A154,'[1]INPUT_ASSUMPTIONS CALC'!$A$13:$CK$1019,F$7,FALSE),IF($F$5="Year",VLOOKUP($A154,'[1]INPUT_ASSUMPTIONS CALC'!$A$13:$CK$1019,F$7,FALSE),0)))))</f>
        <v>0</v>
      </c>
      <c r="G154" s="137">
        <f>SUMIF('[1]INPUT_ASSUMPTIONS CALC'!A:A,'[1]Summary calculation'!A154,'[1]INPUT_ASSUMPTIONS CALC'!BU:BU)</f>
        <v>0</v>
      </c>
      <c r="H154" s="138">
        <f>IF($F$5="Year",F154*G154*'[1]INPUT_ASSUMPTIONS CALC'!$S$7,F154*G154)</f>
        <v>0</v>
      </c>
      <c r="I154" s="138">
        <f>H154*VLOOKUP($A154,'[1]INPUT_ASSUMPTIONS CALC'!$A$13:$CK$1019,H$6,FALSE)*SUMIF('[1]INPUT_ASSUMPTIONS CALC'!$CL$15:$CL$17,'[1]Summary calculation'!E154,'[1]INPUT_ASSUMPTIONS CALC'!$CM$15:$CM$17)</f>
        <v>0</v>
      </c>
      <c r="J154" s="139">
        <f>$I154*VLOOKUP($A154,'[1]INPUT_ASSUMPTIONS CALC'!$A$13:$CK$1019,I$6,FALSE)*VLOOKUP($A154,'[1]INPUT_ASSUMPTIONS CALC'!$A$13:$CK$1019,J$7,FALSE)</f>
        <v>0</v>
      </c>
      <c r="K154" s="139">
        <f>$I154*VLOOKUP($A154,'[1]INPUT_ASSUMPTIONS CALC'!$A$13:$CK$1019,I$6,FALSE)*VLOOKUP($A154,'[1]INPUT_ASSUMPTIONS CALC'!$A$13:$CK$1019,K$7,FALSE)</f>
        <v>0</v>
      </c>
      <c r="L154" s="139">
        <f>$I154*VLOOKUP($A154,'[1]INPUT_ASSUMPTIONS CALC'!$A$13:$CK$1019,I$6,FALSE)*VLOOKUP($A154,'[1]INPUT_ASSUMPTIONS CALC'!$A$13:$CK$1019,L$7,FALSE)</f>
        <v>0</v>
      </c>
      <c r="M154" s="139">
        <f>$I154*VLOOKUP($A154,'[1]INPUT_ASSUMPTIONS CALC'!$A$13:$CK$1019,I$6,FALSE)*VLOOKUP($A154,'[1]INPUT_ASSUMPTIONS CALC'!$A$13:$CK$1019,M$7,FALSE)</f>
        <v>0</v>
      </c>
      <c r="N154" s="140">
        <f t="shared" si="11"/>
        <v>0</v>
      </c>
      <c r="O154" s="141">
        <f>H154*VLOOKUP($A154,'[1]INPUT_ASSUMPTIONS CALC'!$A$13:$CK$1019,H$6,FALSE)*SUMIF('[1]INPUT_ASSUMPTIONS CALC'!$CQ$15:$CQ$17,'[1]Summary calculation'!E154,'[1]INPUT_ASSUMPTIONS CALC'!$CR$15:$CR$17)</f>
        <v>0</v>
      </c>
      <c r="P154" s="141">
        <f>H154*VLOOKUP($A154,'[1]INPUT_ASSUMPTIONS CALC'!$A$13:$CK$1019,H$6,FALSE)*SUMIF('[1]INPUT_ASSUMPTIONS CALC'!$CV$15:$CV$31,'[1]Summary calculation'!E154,'[1]INPUT_ASSUMPTIONS CALC'!$CW$15:$CW$31)</f>
        <v>0</v>
      </c>
      <c r="Q154" s="141">
        <f>O154*VLOOKUP($A154,'[1]INPUT_ASSUMPTIONS CALC'!$A$13:$CK$1019,Q$7,FALSE)</f>
        <v>0</v>
      </c>
      <c r="R154" s="141">
        <f>P154*VLOOKUP($A154,'[1]INPUT_ASSUMPTIONS CALC'!$A$13:$CK$1019,R$7,FALSE)</f>
        <v>0</v>
      </c>
      <c r="S154" s="140">
        <f t="shared" si="9"/>
        <v>0</v>
      </c>
      <c r="T154" s="142">
        <f t="shared" si="10"/>
        <v>0</v>
      </c>
      <c r="U154" s="61"/>
    </row>
    <row r="155" spans="1:21" x14ac:dyDescent="0.35">
      <c r="A155" s="125" t="str">
        <f t="shared" si="8"/>
        <v>147Q2</v>
      </c>
      <c r="B155" s="135">
        <v>147</v>
      </c>
      <c r="C155" s="61" t="str">
        <f>INDEX('[1]INPUT_ASSUMPTIONS CALC'!D:D,MATCH(A155,'[1]INPUT_ASSUMPTIONS CALC'!A:A,0))</f>
        <v/>
      </c>
      <c r="D155" s="61" t="str">
        <f>INDEX('[1]INPUT_ASSUMPTIONS CALC'!I:I,MATCH(A155,'[1]INPUT_ASSUMPTIONS CALC'!A:A,0))</f>
        <v/>
      </c>
      <c r="E155" s="61" t="str">
        <f>INDEX('[1]INPUT_ASSUMPTIONS CALC'!E:E,MATCH(A155,'[1]INPUT_ASSUMPTIONS CALC'!A:A,0))</f>
        <v/>
      </c>
      <c r="F155" s="136">
        <f>IF($F$5="Q1",VLOOKUP($A155,'[1]INPUT_ASSUMPTIONS CALC'!$A$13:$CK$1019,F$7,FALSE),IF($F$5="Q2",VLOOKUP($A155,'[1]INPUT_ASSUMPTIONS CALC'!$A$13:$CK$1019,F$7,FALSE),IF($F$5="Q3",VLOOKUP($A155,'[1]INPUT_ASSUMPTIONS CALC'!$A$13:$CK$1019,F$7,FALSE),IF($F$5="Q4",VLOOKUP($A155,'[1]INPUT_ASSUMPTIONS CALC'!$A$13:$CK$1019,F$7,FALSE),IF($F$5="Year",VLOOKUP($A155,'[1]INPUT_ASSUMPTIONS CALC'!$A$13:$CK$1019,F$7,FALSE),0)))))</f>
        <v>0</v>
      </c>
      <c r="G155" s="137">
        <f>SUMIF('[1]INPUT_ASSUMPTIONS CALC'!A:A,'[1]Summary calculation'!A155,'[1]INPUT_ASSUMPTIONS CALC'!BU:BU)</f>
        <v>0</v>
      </c>
      <c r="H155" s="138">
        <f>IF($F$5="Year",F155*G155*'[1]INPUT_ASSUMPTIONS CALC'!$S$7,F155*G155)</f>
        <v>0</v>
      </c>
      <c r="I155" s="138">
        <f>H155*VLOOKUP($A155,'[1]INPUT_ASSUMPTIONS CALC'!$A$13:$CK$1019,H$6,FALSE)*SUMIF('[1]INPUT_ASSUMPTIONS CALC'!$CL$15:$CL$17,'[1]Summary calculation'!E155,'[1]INPUT_ASSUMPTIONS CALC'!$CM$15:$CM$17)</f>
        <v>0</v>
      </c>
      <c r="J155" s="139">
        <f>$I155*VLOOKUP($A155,'[1]INPUT_ASSUMPTIONS CALC'!$A$13:$CK$1019,I$6,FALSE)*VLOOKUP($A155,'[1]INPUT_ASSUMPTIONS CALC'!$A$13:$CK$1019,J$7,FALSE)</f>
        <v>0</v>
      </c>
      <c r="K155" s="139">
        <f>$I155*VLOOKUP($A155,'[1]INPUT_ASSUMPTIONS CALC'!$A$13:$CK$1019,I$6,FALSE)*VLOOKUP($A155,'[1]INPUT_ASSUMPTIONS CALC'!$A$13:$CK$1019,K$7,FALSE)</f>
        <v>0</v>
      </c>
      <c r="L155" s="139">
        <f>$I155*VLOOKUP($A155,'[1]INPUT_ASSUMPTIONS CALC'!$A$13:$CK$1019,I$6,FALSE)*VLOOKUP($A155,'[1]INPUT_ASSUMPTIONS CALC'!$A$13:$CK$1019,L$7,FALSE)</f>
        <v>0</v>
      </c>
      <c r="M155" s="139">
        <f>$I155*VLOOKUP($A155,'[1]INPUT_ASSUMPTIONS CALC'!$A$13:$CK$1019,I$6,FALSE)*VLOOKUP($A155,'[1]INPUT_ASSUMPTIONS CALC'!$A$13:$CK$1019,M$7,FALSE)</f>
        <v>0</v>
      </c>
      <c r="N155" s="140">
        <f t="shared" si="11"/>
        <v>0</v>
      </c>
      <c r="O155" s="141">
        <f>H155*VLOOKUP($A155,'[1]INPUT_ASSUMPTIONS CALC'!$A$13:$CK$1019,H$6,FALSE)*SUMIF('[1]INPUT_ASSUMPTIONS CALC'!$CQ$15:$CQ$17,'[1]Summary calculation'!E155,'[1]INPUT_ASSUMPTIONS CALC'!$CR$15:$CR$17)</f>
        <v>0</v>
      </c>
      <c r="P155" s="141">
        <f>H155*VLOOKUP($A155,'[1]INPUT_ASSUMPTIONS CALC'!$A$13:$CK$1019,H$6,FALSE)*SUMIF('[1]INPUT_ASSUMPTIONS CALC'!$CV$15:$CV$31,'[1]Summary calculation'!E155,'[1]INPUT_ASSUMPTIONS CALC'!$CW$15:$CW$31)</f>
        <v>0</v>
      </c>
      <c r="Q155" s="141">
        <f>O155*VLOOKUP($A155,'[1]INPUT_ASSUMPTIONS CALC'!$A$13:$CK$1019,Q$7,FALSE)</f>
        <v>0</v>
      </c>
      <c r="R155" s="141">
        <f>P155*VLOOKUP($A155,'[1]INPUT_ASSUMPTIONS CALC'!$A$13:$CK$1019,R$7,FALSE)</f>
        <v>0</v>
      </c>
      <c r="S155" s="140">
        <f t="shared" si="9"/>
        <v>0</v>
      </c>
      <c r="T155" s="142">
        <f t="shared" si="10"/>
        <v>0</v>
      </c>
      <c r="U155" s="61"/>
    </row>
    <row r="156" spans="1:21" x14ac:dyDescent="0.35">
      <c r="A156" s="125" t="str">
        <f t="shared" si="8"/>
        <v>148Q2</v>
      </c>
      <c r="B156" s="135">
        <v>148</v>
      </c>
      <c r="C156" s="61" t="str">
        <f>INDEX('[1]INPUT_ASSUMPTIONS CALC'!D:D,MATCH(A156,'[1]INPUT_ASSUMPTIONS CALC'!A:A,0))</f>
        <v/>
      </c>
      <c r="D156" s="61" t="str">
        <f>INDEX('[1]INPUT_ASSUMPTIONS CALC'!I:I,MATCH(A156,'[1]INPUT_ASSUMPTIONS CALC'!A:A,0))</f>
        <v/>
      </c>
      <c r="E156" s="61" t="str">
        <f>INDEX('[1]INPUT_ASSUMPTIONS CALC'!E:E,MATCH(A156,'[1]INPUT_ASSUMPTIONS CALC'!A:A,0))</f>
        <v/>
      </c>
      <c r="F156" s="136">
        <f>IF($F$5="Q1",VLOOKUP($A156,'[1]INPUT_ASSUMPTIONS CALC'!$A$13:$CK$1019,F$7,FALSE),IF($F$5="Q2",VLOOKUP($A156,'[1]INPUT_ASSUMPTIONS CALC'!$A$13:$CK$1019,F$7,FALSE),IF($F$5="Q3",VLOOKUP($A156,'[1]INPUT_ASSUMPTIONS CALC'!$A$13:$CK$1019,F$7,FALSE),IF($F$5="Q4",VLOOKUP($A156,'[1]INPUT_ASSUMPTIONS CALC'!$A$13:$CK$1019,F$7,FALSE),IF($F$5="Year",VLOOKUP($A156,'[1]INPUT_ASSUMPTIONS CALC'!$A$13:$CK$1019,F$7,FALSE),0)))))</f>
        <v>0</v>
      </c>
      <c r="G156" s="137">
        <f>SUMIF('[1]INPUT_ASSUMPTIONS CALC'!A:A,'[1]Summary calculation'!A156,'[1]INPUT_ASSUMPTIONS CALC'!BU:BU)</f>
        <v>0</v>
      </c>
      <c r="H156" s="138">
        <f>IF($F$5="Year",F156*G156*'[1]INPUT_ASSUMPTIONS CALC'!$S$7,F156*G156)</f>
        <v>0</v>
      </c>
      <c r="I156" s="138">
        <f>H156*VLOOKUP($A156,'[1]INPUT_ASSUMPTIONS CALC'!$A$13:$CK$1019,H$6,FALSE)*SUMIF('[1]INPUT_ASSUMPTIONS CALC'!$CL$15:$CL$17,'[1]Summary calculation'!E156,'[1]INPUT_ASSUMPTIONS CALC'!$CM$15:$CM$17)</f>
        <v>0</v>
      </c>
      <c r="J156" s="139">
        <f>$I156*VLOOKUP($A156,'[1]INPUT_ASSUMPTIONS CALC'!$A$13:$CK$1019,I$6,FALSE)*VLOOKUP($A156,'[1]INPUT_ASSUMPTIONS CALC'!$A$13:$CK$1019,J$7,FALSE)</f>
        <v>0</v>
      </c>
      <c r="K156" s="139">
        <f>$I156*VLOOKUP($A156,'[1]INPUT_ASSUMPTIONS CALC'!$A$13:$CK$1019,I$6,FALSE)*VLOOKUP($A156,'[1]INPUT_ASSUMPTIONS CALC'!$A$13:$CK$1019,K$7,FALSE)</f>
        <v>0</v>
      </c>
      <c r="L156" s="139">
        <f>$I156*VLOOKUP($A156,'[1]INPUT_ASSUMPTIONS CALC'!$A$13:$CK$1019,I$6,FALSE)*VLOOKUP($A156,'[1]INPUT_ASSUMPTIONS CALC'!$A$13:$CK$1019,L$7,FALSE)</f>
        <v>0</v>
      </c>
      <c r="M156" s="139">
        <f>$I156*VLOOKUP($A156,'[1]INPUT_ASSUMPTIONS CALC'!$A$13:$CK$1019,I$6,FALSE)*VLOOKUP($A156,'[1]INPUT_ASSUMPTIONS CALC'!$A$13:$CK$1019,M$7,FALSE)</f>
        <v>0</v>
      </c>
      <c r="N156" s="140">
        <f t="shared" si="11"/>
        <v>0</v>
      </c>
      <c r="O156" s="141">
        <f>H156*VLOOKUP($A156,'[1]INPUT_ASSUMPTIONS CALC'!$A$13:$CK$1019,H$6,FALSE)*SUMIF('[1]INPUT_ASSUMPTIONS CALC'!$CQ$15:$CQ$17,'[1]Summary calculation'!E156,'[1]INPUT_ASSUMPTIONS CALC'!$CR$15:$CR$17)</f>
        <v>0</v>
      </c>
      <c r="P156" s="141">
        <f>H156*VLOOKUP($A156,'[1]INPUT_ASSUMPTIONS CALC'!$A$13:$CK$1019,H$6,FALSE)*SUMIF('[1]INPUT_ASSUMPTIONS CALC'!$CV$15:$CV$31,'[1]Summary calculation'!E156,'[1]INPUT_ASSUMPTIONS CALC'!$CW$15:$CW$31)</f>
        <v>0</v>
      </c>
      <c r="Q156" s="141">
        <f>O156*VLOOKUP($A156,'[1]INPUT_ASSUMPTIONS CALC'!$A$13:$CK$1019,Q$7,FALSE)</f>
        <v>0</v>
      </c>
      <c r="R156" s="141">
        <f>P156*VLOOKUP($A156,'[1]INPUT_ASSUMPTIONS CALC'!$A$13:$CK$1019,R$7,FALSE)</f>
        <v>0</v>
      </c>
      <c r="S156" s="140">
        <f t="shared" si="9"/>
        <v>0</v>
      </c>
      <c r="T156" s="142">
        <f t="shared" si="10"/>
        <v>0</v>
      </c>
      <c r="U156" s="61"/>
    </row>
    <row r="157" spans="1:21" x14ac:dyDescent="0.35">
      <c r="A157" s="125" t="str">
        <f t="shared" si="8"/>
        <v>149Q2</v>
      </c>
      <c r="B157" s="135">
        <v>149</v>
      </c>
      <c r="C157" s="61" t="str">
        <f>INDEX('[1]INPUT_ASSUMPTIONS CALC'!D:D,MATCH(A157,'[1]INPUT_ASSUMPTIONS CALC'!A:A,0))</f>
        <v/>
      </c>
      <c r="D157" s="61" t="str">
        <f>INDEX('[1]INPUT_ASSUMPTIONS CALC'!I:I,MATCH(A157,'[1]INPUT_ASSUMPTIONS CALC'!A:A,0))</f>
        <v/>
      </c>
      <c r="E157" s="61" t="str">
        <f>INDEX('[1]INPUT_ASSUMPTIONS CALC'!E:E,MATCH(A157,'[1]INPUT_ASSUMPTIONS CALC'!A:A,0))</f>
        <v/>
      </c>
      <c r="F157" s="136">
        <f>IF($F$5="Q1",VLOOKUP($A157,'[1]INPUT_ASSUMPTIONS CALC'!$A$13:$CK$1019,F$7,FALSE),IF($F$5="Q2",VLOOKUP($A157,'[1]INPUT_ASSUMPTIONS CALC'!$A$13:$CK$1019,F$7,FALSE),IF($F$5="Q3",VLOOKUP($A157,'[1]INPUT_ASSUMPTIONS CALC'!$A$13:$CK$1019,F$7,FALSE),IF($F$5="Q4",VLOOKUP($A157,'[1]INPUT_ASSUMPTIONS CALC'!$A$13:$CK$1019,F$7,FALSE),IF($F$5="Year",VLOOKUP($A157,'[1]INPUT_ASSUMPTIONS CALC'!$A$13:$CK$1019,F$7,FALSE),0)))))</f>
        <v>0</v>
      </c>
      <c r="G157" s="137">
        <f>SUMIF('[1]INPUT_ASSUMPTIONS CALC'!A:A,'[1]Summary calculation'!A157,'[1]INPUT_ASSUMPTIONS CALC'!BU:BU)</f>
        <v>0</v>
      </c>
      <c r="H157" s="138">
        <f>IF($F$5="Year",F157*G157*'[1]INPUT_ASSUMPTIONS CALC'!$S$7,F157*G157)</f>
        <v>0</v>
      </c>
      <c r="I157" s="138">
        <f>H157*VLOOKUP($A157,'[1]INPUT_ASSUMPTIONS CALC'!$A$13:$CK$1019,H$6,FALSE)*SUMIF('[1]INPUT_ASSUMPTIONS CALC'!$CL$15:$CL$17,'[1]Summary calculation'!E157,'[1]INPUT_ASSUMPTIONS CALC'!$CM$15:$CM$17)</f>
        <v>0</v>
      </c>
      <c r="J157" s="139">
        <f>$I157*VLOOKUP($A157,'[1]INPUT_ASSUMPTIONS CALC'!$A$13:$CK$1019,I$6,FALSE)*VLOOKUP($A157,'[1]INPUT_ASSUMPTIONS CALC'!$A$13:$CK$1019,J$7,FALSE)</f>
        <v>0</v>
      </c>
      <c r="K157" s="139">
        <f>$I157*VLOOKUP($A157,'[1]INPUT_ASSUMPTIONS CALC'!$A$13:$CK$1019,I$6,FALSE)*VLOOKUP($A157,'[1]INPUT_ASSUMPTIONS CALC'!$A$13:$CK$1019,K$7,FALSE)</f>
        <v>0</v>
      </c>
      <c r="L157" s="139">
        <f>$I157*VLOOKUP($A157,'[1]INPUT_ASSUMPTIONS CALC'!$A$13:$CK$1019,I$6,FALSE)*VLOOKUP($A157,'[1]INPUT_ASSUMPTIONS CALC'!$A$13:$CK$1019,L$7,FALSE)</f>
        <v>0</v>
      </c>
      <c r="M157" s="139">
        <f>$I157*VLOOKUP($A157,'[1]INPUT_ASSUMPTIONS CALC'!$A$13:$CK$1019,I$6,FALSE)*VLOOKUP($A157,'[1]INPUT_ASSUMPTIONS CALC'!$A$13:$CK$1019,M$7,FALSE)</f>
        <v>0</v>
      </c>
      <c r="N157" s="140">
        <f t="shared" si="11"/>
        <v>0</v>
      </c>
      <c r="O157" s="141">
        <f>H157*VLOOKUP($A157,'[1]INPUT_ASSUMPTIONS CALC'!$A$13:$CK$1019,H$6,FALSE)*SUMIF('[1]INPUT_ASSUMPTIONS CALC'!$CQ$15:$CQ$17,'[1]Summary calculation'!E157,'[1]INPUT_ASSUMPTIONS CALC'!$CR$15:$CR$17)</f>
        <v>0</v>
      </c>
      <c r="P157" s="141">
        <f>H157*VLOOKUP($A157,'[1]INPUT_ASSUMPTIONS CALC'!$A$13:$CK$1019,H$6,FALSE)*SUMIF('[1]INPUT_ASSUMPTIONS CALC'!$CV$15:$CV$31,'[1]Summary calculation'!E157,'[1]INPUT_ASSUMPTIONS CALC'!$CW$15:$CW$31)</f>
        <v>0</v>
      </c>
      <c r="Q157" s="141">
        <f>O157*VLOOKUP($A157,'[1]INPUT_ASSUMPTIONS CALC'!$A$13:$CK$1019,Q$7,FALSE)</f>
        <v>0</v>
      </c>
      <c r="R157" s="141">
        <f>P157*VLOOKUP($A157,'[1]INPUT_ASSUMPTIONS CALC'!$A$13:$CK$1019,R$7,FALSE)</f>
        <v>0</v>
      </c>
      <c r="S157" s="140">
        <f t="shared" si="9"/>
        <v>0</v>
      </c>
      <c r="T157" s="142">
        <f t="shared" si="10"/>
        <v>0</v>
      </c>
      <c r="U157" s="61"/>
    </row>
    <row r="158" spans="1:21" x14ac:dyDescent="0.35">
      <c r="A158" s="125" t="str">
        <f t="shared" si="8"/>
        <v>150Q2</v>
      </c>
      <c r="B158" s="135">
        <v>150</v>
      </c>
      <c r="C158" s="61" t="str">
        <f>INDEX('[1]INPUT_ASSUMPTIONS CALC'!D:D,MATCH(A158,'[1]INPUT_ASSUMPTIONS CALC'!A:A,0))</f>
        <v/>
      </c>
      <c r="D158" s="61" t="str">
        <f>INDEX('[1]INPUT_ASSUMPTIONS CALC'!I:I,MATCH(A158,'[1]INPUT_ASSUMPTIONS CALC'!A:A,0))</f>
        <v/>
      </c>
      <c r="E158" s="61" t="str">
        <f>INDEX('[1]INPUT_ASSUMPTIONS CALC'!E:E,MATCH(A158,'[1]INPUT_ASSUMPTIONS CALC'!A:A,0))</f>
        <v/>
      </c>
      <c r="F158" s="136">
        <f>IF($F$5="Q1",VLOOKUP($A158,'[1]INPUT_ASSUMPTIONS CALC'!$A$13:$CK$1019,F$7,FALSE),IF($F$5="Q2",VLOOKUP($A158,'[1]INPUT_ASSUMPTIONS CALC'!$A$13:$CK$1019,F$7,FALSE),IF($F$5="Q3",VLOOKUP($A158,'[1]INPUT_ASSUMPTIONS CALC'!$A$13:$CK$1019,F$7,FALSE),IF($F$5="Q4",VLOOKUP($A158,'[1]INPUT_ASSUMPTIONS CALC'!$A$13:$CK$1019,F$7,FALSE),IF($F$5="Year",VLOOKUP($A158,'[1]INPUT_ASSUMPTIONS CALC'!$A$13:$CK$1019,F$7,FALSE),0)))))</f>
        <v>0</v>
      </c>
      <c r="G158" s="137">
        <f>SUMIF('[1]INPUT_ASSUMPTIONS CALC'!A:A,'[1]Summary calculation'!A158,'[1]INPUT_ASSUMPTIONS CALC'!BU:BU)</f>
        <v>0</v>
      </c>
      <c r="H158" s="138">
        <f>IF($F$5="Year",F158*G158*'[1]INPUT_ASSUMPTIONS CALC'!$S$7,F158*G158)</f>
        <v>0</v>
      </c>
      <c r="I158" s="138">
        <f>H158*VLOOKUP($A158,'[1]INPUT_ASSUMPTIONS CALC'!$A$13:$CK$1019,H$6,FALSE)*SUMIF('[1]INPUT_ASSUMPTIONS CALC'!$CL$15:$CL$17,'[1]Summary calculation'!E158,'[1]INPUT_ASSUMPTIONS CALC'!$CM$15:$CM$17)</f>
        <v>0</v>
      </c>
      <c r="J158" s="139">
        <f>$I158*VLOOKUP($A158,'[1]INPUT_ASSUMPTIONS CALC'!$A$13:$CK$1019,I$6,FALSE)*VLOOKUP($A158,'[1]INPUT_ASSUMPTIONS CALC'!$A$13:$CK$1019,J$7,FALSE)</f>
        <v>0</v>
      </c>
      <c r="K158" s="139">
        <f>$I158*VLOOKUP($A158,'[1]INPUT_ASSUMPTIONS CALC'!$A$13:$CK$1019,I$6,FALSE)*VLOOKUP($A158,'[1]INPUT_ASSUMPTIONS CALC'!$A$13:$CK$1019,K$7,FALSE)</f>
        <v>0</v>
      </c>
      <c r="L158" s="139">
        <f>$I158*VLOOKUP($A158,'[1]INPUT_ASSUMPTIONS CALC'!$A$13:$CK$1019,I$6,FALSE)*VLOOKUP($A158,'[1]INPUT_ASSUMPTIONS CALC'!$A$13:$CK$1019,L$7,FALSE)</f>
        <v>0</v>
      </c>
      <c r="M158" s="139">
        <f>$I158*VLOOKUP($A158,'[1]INPUT_ASSUMPTIONS CALC'!$A$13:$CK$1019,I$6,FALSE)*VLOOKUP($A158,'[1]INPUT_ASSUMPTIONS CALC'!$A$13:$CK$1019,M$7,FALSE)</f>
        <v>0</v>
      </c>
      <c r="N158" s="140">
        <f t="shared" si="11"/>
        <v>0</v>
      </c>
      <c r="O158" s="141">
        <f>H158*VLOOKUP($A158,'[1]INPUT_ASSUMPTIONS CALC'!$A$13:$CK$1019,H$6,FALSE)*SUMIF('[1]INPUT_ASSUMPTIONS CALC'!$CQ$15:$CQ$17,'[1]Summary calculation'!E158,'[1]INPUT_ASSUMPTIONS CALC'!$CR$15:$CR$17)</f>
        <v>0</v>
      </c>
      <c r="P158" s="141">
        <f>H158*VLOOKUP($A158,'[1]INPUT_ASSUMPTIONS CALC'!$A$13:$CK$1019,H$6,FALSE)*SUMIF('[1]INPUT_ASSUMPTIONS CALC'!$CV$15:$CV$31,'[1]Summary calculation'!E158,'[1]INPUT_ASSUMPTIONS CALC'!$CW$15:$CW$31)</f>
        <v>0</v>
      </c>
      <c r="Q158" s="141">
        <f>O158*VLOOKUP($A158,'[1]INPUT_ASSUMPTIONS CALC'!$A$13:$CK$1019,Q$7,FALSE)</f>
        <v>0</v>
      </c>
      <c r="R158" s="141">
        <f>P158*VLOOKUP($A158,'[1]INPUT_ASSUMPTIONS CALC'!$A$13:$CK$1019,R$7,FALSE)</f>
        <v>0</v>
      </c>
      <c r="S158" s="140">
        <f t="shared" si="9"/>
        <v>0</v>
      </c>
      <c r="T158" s="142">
        <f t="shared" si="10"/>
        <v>0</v>
      </c>
      <c r="U158" s="61"/>
    </row>
    <row r="159" spans="1:21" x14ac:dyDescent="0.35">
      <c r="A159" s="125" t="str">
        <f t="shared" si="8"/>
        <v>151Q2</v>
      </c>
      <c r="B159" s="135">
        <v>151</v>
      </c>
      <c r="C159" s="61" t="str">
        <f>INDEX('[1]INPUT_ASSUMPTIONS CALC'!D:D,MATCH(A159,'[1]INPUT_ASSUMPTIONS CALC'!A:A,0))</f>
        <v/>
      </c>
      <c r="D159" s="61" t="str">
        <f>INDEX('[1]INPUT_ASSUMPTIONS CALC'!I:I,MATCH(A159,'[1]INPUT_ASSUMPTIONS CALC'!A:A,0))</f>
        <v/>
      </c>
      <c r="E159" s="61" t="str">
        <f>INDEX('[1]INPUT_ASSUMPTIONS CALC'!E:E,MATCH(A159,'[1]INPUT_ASSUMPTIONS CALC'!A:A,0))</f>
        <v/>
      </c>
      <c r="F159" s="136">
        <f>IF($F$5="Q1",VLOOKUP($A159,'[1]INPUT_ASSUMPTIONS CALC'!$A$13:$CK$1019,F$7,FALSE),IF($F$5="Q2",VLOOKUP($A159,'[1]INPUT_ASSUMPTIONS CALC'!$A$13:$CK$1019,F$7,FALSE),IF($F$5="Q3",VLOOKUP($A159,'[1]INPUT_ASSUMPTIONS CALC'!$A$13:$CK$1019,F$7,FALSE),IF($F$5="Q4",VLOOKUP($A159,'[1]INPUT_ASSUMPTIONS CALC'!$A$13:$CK$1019,F$7,FALSE),IF($F$5="Year",VLOOKUP($A159,'[1]INPUT_ASSUMPTIONS CALC'!$A$13:$CK$1019,F$7,FALSE),0)))))</f>
        <v>0</v>
      </c>
      <c r="G159" s="137">
        <f>SUMIF('[1]INPUT_ASSUMPTIONS CALC'!A:A,'[1]Summary calculation'!A159,'[1]INPUT_ASSUMPTIONS CALC'!BU:BU)</f>
        <v>0</v>
      </c>
      <c r="H159" s="138">
        <f>IF($F$5="Year",F159*G159*'[1]INPUT_ASSUMPTIONS CALC'!$S$7,F159*G159)</f>
        <v>0</v>
      </c>
      <c r="I159" s="138">
        <f>H159*VLOOKUP($A159,'[1]INPUT_ASSUMPTIONS CALC'!$A$13:$CK$1019,H$6,FALSE)*SUMIF('[1]INPUT_ASSUMPTIONS CALC'!$CL$15:$CL$17,'[1]Summary calculation'!E159,'[1]INPUT_ASSUMPTIONS CALC'!$CM$15:$CM$17)</f>
        <v>0</v>
      </c>
      <c r="J159" s="139">
        <f>$I159*VLOOKUP($A159,'[1]INPUT_ASSUMPTIONS CALC'!$A$13:$CK$1019,I$6,FALSE)*VLOOKUP($A159,'[1]INPUT_ASSUMPTIONS CALC'!$A$13:$CK$1019,J$7,FALSE)</f>
        <v>0</v>
      </c>
      <c r="K159" s="139">
        <f>$I159*VLOOKUP($A159,'[1]INPUT_ASSUMPTIONS CALC'!$A$13:$CK$1019,I$6,FALSE)*VLOOKUP($A159,'[1]INPUT_ASSUMPTIONS CALC'!$A$13:$CK$1019,K$7,FALSE)</f>
        <v>0</v>
      </c>
      <c r="L159" s="139">
        <f>$I159*VLOOKUP($A159,'[1]INPUT_ASSUMPTIONS CALC'!$A$13:$CK$1019,I$6,FALSE)*VLOOKUP($A159,'[1]INPUT_ASSUMPTIONS CALC'!$A$13:$CK$1019,L$7,FALSE)</f>
        <v>0</v>
      </c>
      <c r="M159" s="139">
        <f>$I159*VLOOKUP($A159,'[1]INPUT_ASSUMPTIONS CALC'!$A$13:$CK$1019,I$6,FALSE)*VLOOKUP($A159,'[1]INPUT_ASSUMPTIONS CALC'!$A$13:$CK$1019,M$7,FALSE)</f>
        <v>0</v>
      </c>
      <c r="N159" s="140">
        <f t="shared" si="11"/>
        <v>0</v>
      </c>
      <c r="O159" s="141">
        <f>H159*VLOOKUP($A159,'[1]INPUT_ASSUMPTIONS CALC'!$A$13:$CK$1019,H$6,FALSE)*SUMIF('[1]INPUT_ASSUMPTIONS CALC'!$CQ$15:$CQ$17,'[1]Summary calculation'!E159,'[1]INPUT_ASSUMPTIONS CALC'!$CR$15:$CR$17)</f>
        <v>0</v>
      </c>
      <c r="P159" s="141">
        <f>H159*VLOOKUP($A159,'[1]INPUT_ASSUMPTIONS CALC'!$A$13:$CK$1019,H$6,FALSE)*SUMIF('[1]INPUT_ASSUMPTIONS CALC'!$CV$15:$CV$31,'[1]Summary calculation'!E159,'[1]INPUT_ASSUMPTIONS CALC'!$CW$15:$CW$31)</f>
        <v>0</v>
      </c>
      <c r="Q159" s="141">
        <f>O159*VLOOKUP($A159,'[1]INPUT_ASSUMPTIONS CALC'!$A$13:$CK$1019,Q$7,FALSE)</f>
        <v>0</v>
      </c>
      <c r="R159" s="141">
        <f>P159*VLOOKUP($A159,'[1]INPUT_ASSUMPTIONS CALC'!$A$13:$CK$1019,R$7,FALSE)</f>
        <v>0</v>
      </c>
      <c r="S159" s="140">
        <f t="shared" si="9"/>
        <v>0</v>
      </c>
      <c r="T159" s="142">
        <f t="shared" si="10"/>
        <v>0</v>
      </c>
      <c r="U159" s="61"/>
    </row>
    <row r="160" spans="1:21" x14ac:dyDescent="0.35">
      <c r="A160" s="125" t="str">
        <f t="shared" si="8"/>
        <v>152Q2</v>
      </c>
      <c r="B160" s="135">
        <v>152</v>
      </c>
      <c r="C160" s="61" t="str">
        <f>INDEX('[1]INPUT_ASSUMPTIONS CALC'!D:D,MATCH(A160,'[1]INPUT_ASSUMPTIONS CALC'!A:A,0))</f>
        <v/>
      </c>
      <c r="D160" s="61" t="str">
        <f>INDEX('[1]INPUT_ASSUMPTIONS CALC'!I:I,MATCH(A160,'[1]INPUT_ASSUMPTIONS CALC'!A:A,0))</f>
        <v/>
      </c>
      <c r="E160" s="61" t="str">
        <f>INDEX('[1]INPUT_ASSUMPTIONS CALC'!E:E,MATCH(A160,'[1]INPUT_ASSUMPTIONS CALC'!A:A,0))</f>
        <v/>
      </c>
      <c r="F160" s="136">
        <f>IF($F$5="Q1",VLOOKUP($A160,'[1]INPUT_ASSUMPTIONS CALC'!$A$13:$CK$1019,F$7,FALSE),IF($F$5="Q2",VLOOKUP($A160,'[1]INPUT_ASSUMPTIONS CALC'!$A$13:$CK$1019,F$7,FALSE),IF($F$5="Q3",VLOOKUP($A160,'[1]INPUT_ASSUMPTIONS CALC'!$A$13:$CK$1019,F$7,FALSE),IF($F$5="Q4",VLOOKUP($A160,'[1]INPUT_ASSUMPTIONS CALC'!$A$13:$CK$1019,F$7,FALSE),IF($F$5="Year",VLOOKUP($A160,'[1]INPUT_ASSUMPTIONS CALC'!$A$13:$CK$1019,F$7,FALSE),0)))))</f>
        <v>0</v>
      </c>
      <c r="G160" s="137">
        <f>SUMIF('[1]INPUT_ASSUMPTIONS CALC'!A:A,'[1]Summary calculation'!A160,'[1]INPUT_ASSUMPTIONS CALC'!BU:BU)</f>
        <v>0</v>
      </c>
      <c r="H160" s="138">
        <f>IF($F$5="Year",F160*G160*'[1]INPUT_ASSUMPTIONS CALC'!$S$7,F160*G160)</f>
        <v>0</v>
      </c>
      <c r="I160" s="138">
        <f>H160*VLOOKUP($A160,'[1]INPUT_ASSUMPTIONS CALC'!$A$13:$CK$1019,H$6,FALSE)*SUMIF('[1]INPUT_ASSUMPTIONS CALC'!$CL$15:$CL$17,'[1]Summary calculation'!E160,'[1]INPUT_ASSUMPTIONS CALC'!$CM$15:$CM$17)</f>
        <v>0</v>
      </c>
      <c r="J160" s="139">
        <f>$I160*VLOOKUP($A160,'[1]INPUT_ASSUMPTIONS CALC'!$A$13:$CK$1019,I$6,FALSE)*VLOOKUP($A160,'[1]INPUT_ASSUMPTIONS CALC'!$A$13:$CK$1019,J$7,FALSE)</f>
        <v>0</v>
      </c>
      <c r="K160" s="139">
        <f>$I160*VLOOKUP($A160,'[1]INPUT_ASSUMPTIONS CALC'!$A$13:$CK$1019,I$6,FALSE)*VLOOKUP($A160,'[1]INPUT_ASSUMPTIONS CALC'!$A$13:$CK$1019,K$7,FALSE)</f>
        <v>0</v>
      </c>
      <c r="L160" s="139">
        <f>$I160*VLOOKUP($A160,'[1]INPUT_ASSUMPTIONS CALC'!$A$13:$CK$1019,I$6,FALSE)*VLOOKUP($A160,'[1]INPUT_ASSUMPTIONS CALC'!$A$13:$CK$1019,L$7,FALSE)</f>
        <v>0</v>
      </c>
      <c r="M160" s="139">
        <f>$I160*VLOOKUP($A160,'[1]INPUT_ASSUMPTIONS CALC'!$A$13:$CK$1019,I$6,FALSE)*VLOOKUP($A160,'[1]INPUT_ASSUMPTIONS CALC'!$A$13:$CK$1019,M$7,FALSE)</f>
        <v>0</v>
      </c>
      <c r="N160" s="140">
        <f t="shared" si="11"/>
        <v>0</v>
      </c>
      <c r="O160" s="141">
        <f>H160*VLOOKUP($A160,'[1]INPUT_ASSUMPTIONS CALC'!$A$13:$CK$1019,H$6,FALSE)*SUMIF('[1]INPUT_ASSUMPTIONS CALC'!$CQ$15:$CQ$17,'[1]Summary calculation'!E160,'[1]INPUT_ASSUMPTIONS CALC'!$CR$15:$CR$17)</f>
        <v>0</v>
      </c>
      <c r="P160" s="141">
        <f>H160*VLOOKUP($A160,'[1]INPUT_ASSUMPTIONS CALC'!$A$13:$CK$1019,H$6,FALSE)*SUMIF('[1]INPUT_ASSUMPTIONS CALC'!$CV$15:$CV$31,'[1]Summary calculation'!E160,'[1]INPUT_ASSUMPTIONS CALC'!$CW$15:$CW$31)</f>
        <v>0</v>
      </c>
      <c r="Q160" s="141">
        <f>O160*VLOOKUP($A160,'[1]INPUT_ASSUMPTIONS CALC'!$A$13:$CK$1019,Q$7,FALSE)</f>
        <v>0</v>
      </c>
      <c r="R160" s="141">
        <f>P160*VLOOKUP($A160,'[1]INPUT_ASSUMPTIONS CALC'!$A$13:$CK$1019,R$7,FALSE)</f>
        <v>0</v>
      </c>
      <c r="S160" s="140">
        <f t="shared" si="9"/>
        <v>0</v>
      </c>
      <c r="T160" s="142">
        <f t="shared" si="10"/>
        <v>0</v>
      </c>
      <c r="U160" s="61"/>
    </row>
    <row r="161" spans="1:21" x14ac:dyDescent="0.35">
      <c r="A161" s="125" t="str">
        <f t="shared" si="8"/>
        <v>153Q2</v>
      </c>
      <c r="B161" s="135">
        <v>153</v>
      </c>
      <c r="C161" s="61" t="str">
        <f>INDEX('[1]INPUT_ASSUMPTIONS CALC'!D:D,MATCH(A161,'[1]INPUT_ASSUMPTIONS CALC'!A:A,0))</f>
        <v/>
      </c>
      <c r="D161" s="61" t="str">
        <f>INDEX('[1]INPUT_ASSUMPTIONS CALC'!I:I,MATCH(A161,'[1]INPUT_ASSUMPTIONS CALC'!A:A,0))</f>
        <v/>
      </c>
      <c r="E161" s="61" t="str">
        <f>INDEX('[1]INPUT_ASSUMPTIONS CALC'!E:E,MATCH(A161,'[1]INPUT_ASSUMPTIONS CALC'!A:A,0))</f>
        <v/>
      </c>
      <c r="F161" s="136">
        <f>IF($F$5="Q1",VLOOKUP($A161,'[1]INPUT_ASSUMPTIONS CALC'!$A$13:$CK$1019,F$7,FALSE),IF($F$5="Q2",VLOOKUP($A161,'[1]INPUT_ASSUMPTIONS CALC'!$A$13:$CK$1019,F$7,FALSE),IF($F$5="Q3",VLOOKUP($A161,'[1]INPUT_ASSUMPTIONS CALC'!$A$13:$CK$1019,F$7,FALSE),IF($F$5="Q4",VLOOKUP($A161,'[1]INPUT_ASSUMPTIONS CALC'!$A$13:$CK$1019,F$7,FALSE),IF($F$5="Year",VLOOKUP($A161,'[1]INPUT_ASSUMPTIONS CALC'!$A$13:$CK$1019,F$7,FALSE),0)))))</f>
        <v>0</v>
      </c>
      <c r="G161" s="137">
        <f>SUMIF('[1]INPUT_ASSUMPTIONS CALC'!A:A,'[1]Summary calculation'!A161,'[1]INPUT_ASSUMPTIONS CALC'!BU:BU)</f>
        <v>0</v>
      </c>
      <c r="H161" s="138">
        <f>IF($F$5="Year",F161*G161*'[1]INPUT_ASSUMPTIONS CALC'!$S$7,F161*G161)</f>
        <v>0</v>
      </c>
      <c r="I161" s="138">
        <f>H161*VLOOKUP($A161,'[1]INPUT_ASSUMPTIONS CALC'!$A$13:$CK$1019,H$6,FALSE)*SUMIF('[1]INPUT_ASSUMPTIONS CALC'!$CL$15:$CL$17,'[1]Summary calculation'!E161,'[1]INPUT_ASSUMPTIONS CALC'!$CM$15:$CM$17)</f>
        <v>0</v>
      </c>
      <c r="J161" s="139">
        <f>$I161*VLOOKUP($A161,'[1]INPUT_ASSUMPTIONS CALC'!$A$13:$CK$1019,I$6,FALSE)*VLOOKUP($A161,'[1]INPUT_ASSUMPTIONS CALC'!$A$13:$CK$1019,J$7,FALSE)</f>
        <v>0</v>
      </c>
      <c r="K161" s="139">
        <f>$I161*VLOOKUP($A161,'[1]INPUT_ASSUMPTIONS CALC'!$A$13:$CK$1019,I$6,FALSE)*VLOOKUP($A161,'[1]INPUT_ASSUMPTIONS CALC'!$A$13:$CK$1019,K$7,FALSE)</f>
        <v>0</v>
      </c>
      <c r="L161" s="139">
        <f>$I161*VLOOKUP($A161,'[1]INPUT_ASSUMPTIONS CALC'!$A$13:$CK$1019,I$6,FALSE)*VLOOKUP($A161,'[1]INPUT_ASSUMPTIONS CALC'!$A$13:$CK$1019,L$7,FALSE)</f>
        <v>0</v>
      </c>
      <c r="M161" s="139">
        <f>$I161*VLOOKUP($A161,'[1]INPUT_ASSUMPTIONS CALC'!$A$13:$CK$1019,I$6,FALSE)*VLOOKUP($A161,'[1]INPUT_ASSUMPTIONS CALC'!$A$13:$CK$1019,M$7,FALSE)</f>
        <v>0</v>
      </c>
      <c r="N161" s="140">
        <f t="shared" si="11"/>
        <v>0</v>
      </c>
      <c r="O161" s="141">
        <f>H161*VLOOKUP($A161,'[1]INPUT_ASSUMPTIONS CALC'!$A$13:$CK$1019,H$6,FALSE)*SUMIF('[1]INPUT_ASSUMPTIONS CALC'!$CQ$15:$CQ$17,'[1]Summary calculation'!E161,'[1]INPUT_ASSUMPTIONS CALC'!$CR$15:$CR$17)</f>
        <v>0</v>
      </c>
      <c r="P161" s="141">
        <f>H161*VLOOKUP($A161,'[1]INPUT_ASSUMPTIONS CALC'!$A$13:$CK$1019,H$6,FALSE)*SUMIF('[1]INPUT_ASSUMPTIONS CALC'!$CV$15:$CV$31,'[1]Summary calculation'!E161,'[1]INPUT_ASSUMPTIONS CALC'!$CW$15:$CW$31)</f>
        <v>0</v>
      </c>
      <c r="Q161" s="141">
        <f>O161*VLOOKUP($A161,'[1]INPUT_ASSUMPTIONS CALC'!$A$13:$CK$1019,Q$7,FALSE)</f>
        <v>0</v>
      </c>
      <c r="R161" s="141">
        <f>P161*VLOOKUP($A161,'[1]INPUT_ASSUMPTIONS CALC'!$A$13:$CK$1019,R$7,FALSE)</f>
        <v>0</v>
      </c>
      <c r="S161" s="140">
        <f t="shared" si="9"/>
        <v>0</v>
      </c>
      <c r="T161" s="142">
        <f t="shared" si="10"/>
        <v>0</v>
      </c>
      <c r="U161" s="61"/>
    </row>
    <row r="162" spans="1:21" x14ac:dyDescent="0.35">
      <c r="A162" s="125" t="str">
        <f t="shared" si="8"/>
        <v>154Q2</v>
      </c>
      <c r="B162" s="135">
        <v>154</v>
      </c>
      <c r="C162" s="61" t="str">
        <f>INDEX('[1]INPUT_ASSUMPTIONS CALC'!D:D,MATCH(A162,'[1]INPUT_ASSUMPTIONS CALC'!A:A,0))</f>
        <v/>
      </c>
      <c r="D162" s="61" t="str">
        <f>INDEX('[1]INPUT_ASSUMPTIONS CALC'!I:I,MATCH(A162,'[1]INPUT_ASSUMPTIONS CALC'!A:A,0))</f>
        <v/>
      </c>
      <c r="E162" s="61" t="str">
        <f>INDEX('[1]INPUT_ASSUMPTIONS CALC'!E:E,MATCH(A162,'[1]INPUT_ASSUMPTIONS CALC'!A:A,0))</f>
        <v/>
      </c>
      <c r="F162" s="136">
        <f>IF($F$5="Q1",VLOOKUP($A162,'[1]INPUT_ASSUMPTIONS CALC'!$A$13:$CK$1019,F$7,FALSE),IF($F$5="Q2",VLOOKUP($A162,'[1]INPUT_ASSUMPTIONS CALC'!$A$13:$CK$1019,F$7,FALSE),IF($F$5="Q3",VLOOKUP($A162,'[1]INPUT_ASSUMPTIONS CALC'!$A$13:$CK$1019,F$7,FALSE),IF($F$5="Q4",VLOOKUP($A162,'[1]INPUT_ASSUMPTIONS CALC'!$A$13:$CK$1019,F$7,FALSE),IF($F$5="Year",VLOOKUP($A162,'[1]INPUT_ASSUMPTIONS CALC'!$A$13:$CK$1019,F$7,FALSE),0)))))</f>
        <v>0</v>
      </c>
      <c r="G162" s="137">
        <f>SUMIF('[1]INPUT_ASSUMPTIONS CALC'!A:A,'[1]Summary calculation'!A162,'[1]INPUT_ASSUMPTIONS CALC'!BU:BU)</f>
        <v>0</v>
      </c>
      <c r="H162" s="138">
        <f>IF($F$5="Year",F162*G162*'[1]INPUT_ASSUMPTIONS CALC'!$S$7,F162*G162)</f>
        <v>0</v>
      </c>
      <c r="I162" s="138">
        <f>H162*VLOOKUP($A162,'[1]INPUT_ASSUMPTIONS CALC'!$A$13:$CK$1019,H$6,FALSE)*SUMIF('[1]INPUT_ASSUMPTIONS CALC'!$CL$15:$CL$17,'[1]Summary calculation'!E162,'[1]INPUT_ASSUMPTIONS CALC'!$CM$15:$CM$17)</f>
        <v>0</v>
      </c>
      <c r="J162" s="139">
        <f>$I162*VLOOKUP($A162,'[1]INPUT_ASSUMPTIONS CALC'!$A$13:$CK$1019,I$6,FALSE)*VLOOKUP($A162,'[1]INPUT_ASSUMPTIONS CALC'!$A$13:$CK$1019,J$7,FALSE)</f>
        <v>0</v>
      </c>
      <c r="K162" s="139">
        <f>$I162*VLOOKUP($A162,'[1]INPUT_ASSUMPTIONS CALC'!$A$13:$CK$1019,I$6,FALSE)*VLOOKUP($A162,'[1]INPUT_ASSUMPTIONS CALC'!$A$13:$CK$1019,K$7,FALSE)</f>
        <v>0</v>
      </c>
      <c r="L162" s="139">
        <f>$I162*VLOOKUP($A162,'[1]INPUT_ASSUMPTIONS CALC'!$A$13:$CK$1019,I$6,FALSE)*VLOOKUP($A162,'[1]INPUT_ASSUMPTIONS CALC'!$A$13:$CK$1019,L$7,FALSE)</f>
        <v>0</v>
      </c>
      <c r="M162" s="139">
        <f>$I162*VLOOKUP($A162,'[1]INPUT_ASSUMPTIONS CALC'!$A$13:$CK$1019,I$6,FALSE)*VLOOKUP($A162,'[1]INPUT_ASSUMPTIONS CALC'!$A$13:$CK$1019,M$7,FALSE)</f>
        <v>0</v>
      </c>
      <c r="N162" s="140">
        <f t="shared" si="11"/>
        <v>0</v>
      </c>
      <c r="O162" s="141">
        <f>H162*VLOOKUP($A162,'[1]INPUT_ASSUMPTIONS CALC'!$A$13:$CK$1019,H$6,FALSE)*SUMIF('[1]INPUT_ASSUMPTIONS CALC'!$CQ$15:$CQ$17,'[1]Summary calculation'!E162,'[1]INPUT_ASSUMPTIONS CALC'!$CR$15:$CR$17)</f>
        <v>0</v>
      </c>
      <c r="P162" s="141">
        <f>H162*VLOOKUP($A162,'[1]INPUT_ASSUMPTIONS CALC'!$A$13:$CK$1019,H$6,FALSE)*SUMIF('[1]INPUT_ASSUMPTIONS CALC'!$CV$15:$CV$31,'[1]Summary calculation'!E162,'[1]INPUT_ASSUMPTIONS CALC'!$CW$15:$CW$31)</f>
        <v>0</v>
      </c>
      <c r="Q162" s="141">
        <f>O162*VLOOKUP($A162,'[1]INPUT_ASSUMPTIONS CALC'!$A$13:$CK$1019,Q$7,FALSE)</f>
        <v>0</v>
      </c>
      <c r="R162" s="141">
        <f>P162*VLOOKUP($A162,'[1]INPUT_ASSUMPTIONS CALC'!$A$13:$CK$1019,R$7,FALSE)</f>
        <v>0</v>
      </c>
      <c r="S162" s="140">
        <f t="shared" si="9"/>
        <v>0</v>
      </c>
      <c r="T162" s="142">
        <f t="shared" si="10"/>
        <v>0</v>
      </c>
      <c r="U162" s="61"/>
    </row>
    <row r="163" spans="1:21" x14ac:dyDescent="0.35">
      <c r="A163" s="125" t="str">
        <f t="shared" si="8"/>
        <v>155Q2</v>
      </c>
      <c r="B163" s="135">
        <v>155</v>
      </c>
      <c r="C163" s="61" t="str">
        <f>INDEX('[1]INPUT_ASSUMPTIONS CALC'!D:D,MATCH(A163,'[1]INPUT_ASSUMPTIONS CALC'!A:A,0))</f>
        <v/>
      </c>
      <c r="D163" s="61" t="str">
        <f>INDEX('[1]INPUT_ASSUMPTIONS CALC'!I:I,MATCH(A163,'[1]INPUT_ASSUMPTIONS CALC'!A:A,0))</f>
        <v/>
      </c>
      <c r="E163" s="61" t="str">
        <f>INDEX('[1]INPUT_ASSUMPTIONS CALC'!E:E,MATCH(A163,'[1]INPUT_ASSUMPTIONS CALC'!A:A,0))</f>
        <v/>
      </c>
      <c r="F163" s="136">
        <f>IF($F$5="Q1",VLOOKUP($A163,'[1]INPUT_ASSUMPTIONS CALC'!$A$13:$CK$1019,F$7,FALSE),IF($F$5="Q2",VLOOKUP($A163,'[1]INPUT_ASSUMPTIONS CALC'!$A$13:$CK$1019,F$7,FALSE),IF($F$5="Q3",VLOOKUP($A163,'[1]INPUT_ASSUMPTIONS CALC'!$A$13:$CK$1019,F$7,FALSE),IF($F$5="Q4",VLOOKUP($A163,'[1]INPUT_ASSUMPTIONS CALC'!$A$13:$CK$1019,F$7,FALSE),IF($F$5="Year",VLOOKUP($A163,'[1]INPUT_ASSUMPTIONS CALC'!$A$13:$CK$1019,F$7,FALSE),0)))))</f>
        <v>0</v>
      </c>
      <c r="G163" s="137">
        <f>SUMIF('[1]INPUT_ASSUMPTIONS CALC'!A:A,'[1]Summary calculation'!A163,'[1]INPUT_ASSUMPTIONS CALC'!BU:BU)</f>
        <v>0</v>
      </c>
      <c r="H163" s="138">
        <f>IF($F$5="Year",F163*G163*'[1]INPUT_ASSUMPTIONS CALC'!$S$7,F163*G163)</f>
        <v>0</v>
      </c>
      <c r="I163" s="138">
        <f>H163*VLOOKUP($A163,'[1]INPUT_ASSUMPTIONS CALC'!$A$13:$CK$1019,H$6,FALSE)*SUMIF('[1]INPUT_ASSUMPTIONS CALC'!$CL$15:$CL$17,'[1]Summary calculation'!E163,'[1]INPUT_ASSUMPTIONS CALC'!$CM$15:$CM$17)</f>
        <v>0</v>
      </c>
      <c r="J163" s="139">
        <f>$I163*VLOOKUP($A163,'[1]INPUT_ASSUMPTIONS CALC'!$A$13:$CK$1019,I$6,FALSE)*VLOOKUP($A163,'[1]INPUT_ASSUMPTIONS CALC'!$A$13:$CK$1019,J$7,FALSE)</f>
        <v>0</v>
      </c>
      <c r="K163" s="139">
        <f>$I163*VLOOKUP($A163,'[1]INPUT_ASSUMPTIONS CALC'!$A$13:$CK$1019,I$6,FALSE)*VLOOKUP($A163,'[1]INPUT_ASSUMPTIONS CALC'!$A$13:$CK$1019,K$7,FALSE)</f>
        <v>0</v>
      </c>
      <c r="L163" s="139">
        <f>$I163*VLOOKUP($A163,'[1]INPUT_ASSUMPTIONS CALC'!$A$13:$CK$1019,I$6,FALSE)*VLOOKUP($A163,'[1]INPUT_ASSUMPTIONS CALC'!$A$13:$CK$1019,L$7,FALSE)</f>
        <v>0</v>
      </c>
      <c r="M163" s="139">
        <f>$I163*VLOOKUP($A163,'[1]INPUT_ASSUMPTIONS CALC'!$A$13:$CK$1019,I$6,FALSE)*VLOOKUP($A163,'[1]INPUT_ASSUMPTIONS CALC'!$A$13:$CK$1019,M$7,FALSE)</f>
        <v>0</v>
      </c>
      <c r="N163" s="140">
        <f t="shared" si="11"/>
        <v>0</v>
      </c>
      <c r="O163" s="141">
        <f>H163*VLOOKUP($A163,'[1]INPUT_ASSUMPTIONS CALC'!$A$13:$CK$1019,H$6,FALSE)*SUMIF('[1]INPUT_ASSUMPTIONS CALC'!$CQ$15:$CQ$17,'[1]Summary calculation'!E163,'[1]INPUT_ASSUMPTIONS CALC'!$CR$15:$CR$17)</f>
        <v>0</v>
      </c>
      <c r="P163" s="141">
        <f>H163*VLOOKUP($A163,'[1]INPUT_ASSUMPTIONS CALC'!$A$13:$CK$1019,H$6,FALSE)*SUMIF('[1]INPUT_ASSUMPTIONS CALC'!$CV$15:$CV$31,'[1]Summary calculation'!E163,'[1]INPUT_ASSUMPTIONS CALC'!$CW$15:$CW$31)</f>
        <v>0</v>
      </c>
      <c r="Q163" s="141">
        <f>O163*VLOOKUP($A163,'[1]INPUT_ASSUMPTIONS CALC'!$A$13:$CK$1019,Q$7,FALSE)</f>
        <v>0</v>
      </c>
      <c r="R163" s="141">
        <f>P163*VLOOKUP($A163,'[1]INPUT_ASSUMPTIONS CALC'!$A$13:$CK$1019,R$7,FALSE)</f>
        <v>0</v>
      </c>
      <c r="S163" s="140">
        <f t="shared" si="9"/>
        <v>0</v>
      </c>
      <c r="T163" s="142">
        <f t="shared" si="10"/>
        <v>0</v>
      </c>
      <c r="U163" s="61"/>
    </row>
    <row r="164" spans="1:21" x14ac:dyDescent="0.35">
      <c r="A164" s="125" t="str">
        <f t="shared" si="8"/>
        <v>156Q2</v>
      </c>
      <c r="B164" s="135">
        <v>156</v>
      </c>
      <c r="C164" s="61" t="str">
        <f>INDEX('[1]INPUT_ASSUMPTIONS CALC'!D:D,MATCH(A164,'[1]INPUT_ASSUMPTIONS CALC'!A:A,0))</f>
        <v/>
      </c>
      <c r="D164" s="61" t="str">
        <f>INDEX('[1]INPUT_ASSUMPTIONS CALC'!I:I,MATCH(A164,'[1]INPUT_ASSUMPTIONS CALC'!A:A,0))</f>
        <v/>
      </c>
      <c r="E164" s="61" t="str">
        <f>INDEX('[1]INPUT_ASSUMPTIONS CALC'!E:E,MATCH(A164,'[1]INPUT_ASSUMPTIONS CALC'!A:A,0))</f>
        <v/>
      </c>
      <c r="F164" s="136">
        <f>IF($F$5="Q1",VLOOKUP($A164,'[1]INPUT_ASSUMPTIONS CALC'!$A$13:$CK$1019,F$7,FALSE),IF($F$5="Q2",VLOOKUP($A164,'[1]INPUT_ASSUMPTIONS CALC'!$A$13:$CK$1019,F$7,FALSE),IF($F$5="Q3",VLOOKUP($A164,'[1]INPUT_ASSUMPTIONS CALC'!$A$13:$CK$1019,F$7,FALSE),IF($F$5="Q4",VLOOKUP($A164,'[1]INPUT_ASSUMPTIONS CALC'!$A$13:$CK$1019,F$7,FALSE),IF($F$5="Year",VLOOKUP($A164,'[1]INPUT_ASSUMPTIONS CALC'!$A$13:$CK$1019,F$7,FALSE),0)))))</f>
        <v>0</v>
      </c>
      <c r="G164" s="137">
        <f>SUMIF('[1]INPUT_ASSUMPTIONS CALC'!A:A,'[1]Summary calculation'!A164,'[1]INPUT_ASSUMPTIONS CALC'!BU:BU)</f>
        <v>0</v>
      </c>
      <c r="H164" s="138">
        <f>IF($F$5="Year",F164*G164*'[1]INPUT_ASSUMPTIONS CALC'!$S$7,F164*G164)</f>
        <v>0</v>
      </c>
      <c r="I164" s="138">
        <f>H164*VLOOKUP($A164,'[1]INPUT_ASSUMPTIONS CALC'!$A$13:$CK$1019,H$6,FALSE)*SUMIF('[1]INPUT_ASSUMPTIONS CALC'!$CL$15:$CL$17,'[1]Summary calculation'!E164,'[1]INPUT_ASSUMPTIONS CALC'!$CM$15:$CM$17)</f>
        <v>0</v>
      </c>
      <c r="J164" s="139">
        <f>$I164*VLOOKUP($A164,'[1]INPUT_ASSUMPTIONS CALC'!$A$13:$CK$1019,I$6,FALSE)*VLOOKUP($A164,'[1]INPUT_ASSUMPTIONS CALC'!$A$13:$CK$1019,J$7,FALSE)</f>
        <v>0</v>
      </c>
      <c r="K164" s="139">
        <f>$I164*VLOOKUP($A164,'[1]INPUT_ASSUMPTIONS CALC'!$A$13:$CK$1019,I$6,FALSE)*VLOOKUP($A164,'[1]INPUT_ASSUMPTIONS CALC'!$A$13:$CK$1019,K$7,FALSE)</f>
        <v>0</v>
      </c>
      <c r="L164" s="139">
        <f>$I164*VLOOKUP($A164,'[1]INPUT_ASSUMPTIONS CALC'!$A$13:$CK$1019,I$6,FALSE)*VLOOKUP($A164,'[1]INPUT_ASSUMPTIONS CALC'!$A$13:$CK$1019,L$7,FALSE)</f>
        <v>0</v>
      </c>
      <c r="M164" s="139">
        <f>$I164*VLOOKUP($A164,'[1]INPUT_ASSUMPTIONS CALC'!$A$13:$CK$1019,I$6,FALSE)*VLOOKUP($A164,'[1]INPUT_ASSUMPTIONS CALC'!$A$13:$CK$1019,M$7,FALSE)</f>
        <v>0</v>
      </c>
      <c r="N164" s="140">
        <f t="shared" si="11"/>
        <v>0</v>
      </c>
      <c r="O164" s="141">
        <f>H164*VLOOKUP($A164,'[1]INPUT_ASSUMPTIONS CALC'!$A$13:$CK$1019,H$6,FALSE)*SUMIF('[1]INPUT_ASSUMPTIONS CALC'!$CQ$15:$CQ$17,'[1]Summary calculation'!E164,'[1]INPUT_ASSUMPTIONS CALC'!$CR$15:$CR$17)</f>
        <v>0</v>
      </c>
      <c r="P164" s="141">
        <f>H164*VLOOKUP($A164,'[1]INPUT_ASSUMPTIONS CALC'!$A$13:$CK$1019,H$6,FALSE)*SUMIF('[1]INPUT_ASSUMPTIONS CALC'!$CV$15:$CV$31,'[1]Summary calculation'!E164,'[1]INPUT_ASSUMPTIONS CALC'!$CW$15:$CW$31)</f>
        <v>0</v>
      </c>
      <c r="Q164" s="141">
        <f>O164*VLOOKUP($A164,'[1]INPUT_ASSUMPTIONS CALC'!$A$13:$CK$1019,Q$7,FALSE)</f>
        <v>0</v>
      </c>
      <c r="R164" s="141">
        <f>P164*VLOOKUP($A164,'[1]INPUT_ASSUMPTIONS CALC'!$A$13:$CK$1019,R$7,FALSE)</f>
        <v>0</v>
      </c>
      <c r="S164" s="140">
        <f t="shared" si="9"/>
        <v>0</v>
      </c>
      <c r="T164" s="142">
        <f t="shared" si="10"/>
        <v>0</v>
      </c>
      <c r="U164" s="61"/>
    </row>
    <row r="165" spans="1:21" x14ac:dyDescent="0.35">
      <c r="A165" s="125" t="str">
        <f t="shared" si="8"/>
        <v>157Q2</v>
      </c>
      <c r="B165" s="135">
        <v>157</v>
      </c>
      <c r="C165" s="61" t="str">
        <f>INDEX('[1]INPUT_ASSUMPTIONS CALC'!D:D,MATCH(A165,'[1]INPUT_ASSUMPTIONS CALC'!A:A,0))</f>
        <v/>
      </c>
      <c r="D165" s="61" t="str">
        <f>INDEX('[1]INPUT_ASSUMPTIONS CALC'!I:I,MATCH(A165,'[1]INPUT_ASSUMPTIONS CALC'!A:A,0))</f>
        <v/>
      </c>
      <c r="E165" s="61" t="str">
        <f>INDEX('[1]INPUT_ASSUMPTIONS CALC'!E:E,MATCH(A165,'[1]INPUT_ASSUMPTIONS CALC'!A:A,0))</f>
        <v/>
      </c>
      <c r="F165" s="136">
        <f>IF($F$5="Q1",VLOOKUP($A165,'[1]INPUT_ASSUMPTIONS CALC'!$A$13:$CK$1019,F$7,FALSE),IF($F$5="Q2",VLOOKUP($A165,'[1]INPUT_ASSUMPTIONS CALC'!$A$13:$CK$1019,F$7,FALSE),IF($F$5="Q3",VLOOKUP($A165,'[1]INPUT_ASSUMPTIONS CALC'!$A$13:$CK$1019,F$7,FALSE),IF($F$5="Q4",VLOOKUP($A165,'[1]INPUT_ASSUMPTIONS CALC'!$A$13:$CK$1019,F$7,FALSE),IF($F$5="Year",VLOOKUP($A165,'[1]INPUT_ASSUMPTIONS CALC'!$A$13:$CK$1019,F$7,FALSE),0)))))</f>
        <v>0</v>
      </c>
      <c r="G165" s="137">
        <f>SUMIF('[1]INPUT_ASSUMPTIONS CALC'!A:A,'[1]Summary calculation'!A165,'[1]INPUT_ASSUMPTIONS CALC'!BU:BU)</f>
        <v>0</v>
      </c>
      <c r="H165" s="138">
        <f>IF($F$5="Year",F165*G165*'[1]INPUT_ASSUMPTIONS CALC'!$S$7,F165*G165)</f>
        <v>0</v>
      </c>
      <c r="I165" s="138">
        <f>H165*VLOOKUP($A165,'[1]INPUT_ASSUMPTIONS CALC'!$A$13:$CK$1019,H$6,FALSE)*SUMIF('[1]INPUT_ASSUMPTIONS CALC'!$CL$15:$CL$17,'[1]Summary calculation'!E165,'[1]INPUT_ASSUMPTIONS CALC'!$CM$15:$CM$17)</f>
        <v>0</v>
      </c>
      <c r="J165" s="139">
        <f>$I165*VLOOKUP($A165,'[1]INPUT_ASSUMPTIONS CALC'!$A$13:$CK$1019,I$6,FALSE)*VLOOKUP($A165,'[1]INPUT_ASSUMPTIONS CALC'!$A$13:$CK$1019,J$7,FALSE)</f>
        <v>0</v>
      </c>
      <c r="K165" s="139">
        <f>$I165*VLOOKUP($A165,'[1]INPUT_ASSUMPTIONS CALC'!$A$13:$CK$1019,I$6,FALSE)*VLOOKUP($A165,'[1]INPUT_ASSUMPTIONS CALC'!$A$13:$CK$1019,K$7,FALSE)</f>
        <v>0</v>
      </c>
      <c r="L165" s="139">
        <f>$I165*VLOOKUP($A165,'[1]INPUT_ASSUMPTIONS CALC'!$A$13:$CK$1019,I$6,FALSE)*VLOOKUP($A165,'[1]INPUT_ASSUMPTIONS CALC'!$A$13:$CK$1019,L$7,FALSE)</f>
        <v>0</v>
      </c>
      <c r="M165" s="139">
        <f>$I165*VLOOKUP($A165,'[1]INPUT_ASSUMPTIONS CALC'!$A$13:$CK$1019,I$6,FALSE)*VLOOKUP($A165,'[1]INPUT_ASSUMPTIONS CALC'!$A$13:$CK$1019,M$7,FALSE)</f>
        <v>0</v>
      </c>
      <c r="N165" s="140">
        <f t="shared" si="11"/>
        <v>0</v>
      </c>
      <c r="O165" s="141">
        <f>H165*VLOOKUP($A165,'[1]INPUT_ASSUMPTIONS CALC'!$A$13:$CK$1019,H$6,FALSE)*SUMIF('[1]INPUT_ASSUMPTIONS CALC'!$CQ$15:$CQ$17,'[1]Summary calculation'!E165,'[1]INPUT_ASSUMPTIONS CALC'!$CR$15:$CR$17)</f>
        <v>0</v>
      </c>
      <c r="P165" s="141">
        <f>H165*VLOOKUP($A165,'[1]INPUT_ASSUMPTIONS CALC'!$A$13:$CK$1019,H$6,FALSE)*SUMIF('[1]INPUT_ASSUMPTIONS CALC'!$CV$15:$CV$31,'[1]Summary calculation'!E165,'[1]INPUT_ASSUMPTIONS CALC'!$CW$15:$CW$31)</f>
        <v>0</v>
      </c>
      <c r="Q165" s="141">
        <f>O165*VLOOKUP($A165,'[1]INPUT_ASSUMPTIONS CALC'!$A$13:$CK$1019,Q$7,FALSE)</f>
        <v>0</v>
      </c>
      <c r="R165" s="141">
        <f>P165*VLOOKUP($A165,'[1]INPUT_ASSUMPTIONS CALC'!$A$13:$CK$1019,R$7,FALSE)</f>
        <v>0</v>
      </c>
      <c r="S165" s="140">
        <f t="shared" si="9"/>
        <v>0</v>
      </c>
      <c r="T165" s="142">
        <f t="shared" si="10"/>
        <v>0</v>
      </c>
      <c r="U165" s="61"/>
    </row>
    <row r="166" spans="1:21" x14ac:dyDescent="0.35">
      <c r="A166" s="125" t="str">
        <f t="shared" si="8"/>
        <v>158Q2</v>
      </c>
      <c r="B166" s="135">
        <v>158</v>
      </c>
      <c r="C166" s="61" t="str">
        <f>INDEX('[1]INPUT_ASSUMPTIONS CALC'!D:D,MATCH(A166,'[1]INPUT_ASSUMPTIONS CALC'!A:A,0))</f>
        <v/>
      </c>
      <c r="D166" s="61" t="str">
        <f>INDEX('[1]INPUT_ASSUMPTIONS CALC'!I:I,MATCH(A166,'[1]INPUT_ASSUMPTIONS CALC'!A:A,0))</f>
        <v/>
      </c>
      <c r="E166" s="61" t="str">
        <f>INDEX('[1]INPUT_ASSUMPTIONS CALC'!E:E,MATCH(A166,'[1]INPUT_ASSUMPTIONS CALC'!A:A,0))</f>
        <v/>
      </c>
      <c r="F166" s="136">
        <f>IF($F$5="Q1",VLOOKUP($A166,'[1]INPUT_ASSUMPTIONS CALC'!$A$13:$CK$1019,F$7,FALSE),IF($F$5="Q2",VLOOKUP($A166,'[1]INPUT_ASSUMPTIONS CALC'!$A$13:$CK$1019,F$7,FALSE),IF($F$5="Q3",VLOOKUP($A166,'[1]INPUT_ASSUMPTIONS CALC'!$A$13:$CK$1019,F$7,FALSE),IF($F$5="Q4",VLOOKUP($A166,'[1]INPUT_ASSUMPTIONS CALC'!$A$13:$CK$1019,F$7,FALSE),IF($F$5="Year",VLOOKUP($A166,'[1]INPUT_ASSUMPTIONS CALC'!$A$13:$CK$1019,F$7,FALSE),0)))))</f>
        <v>0</v>
      </c>
      <c r="G166" s="137">
        <f>SUMIF('[1]INPUT_ASSUMPTIONS CALC'!A:A,'[1]Summary calculation'!A166,'[1]INPUT_ASSUMPTIONS CALC'!BU:BU)</f>
        <v>0</v>
      </c>
      <c r="H166" s="138">
        <f>IF($F$5="Year",F166*G166*'[1]INPUT_ASSUMPTIONS CALC'!$S$7,F166*G166)</f>
        <v>0</v>
      </c>
      <c r="I166" s="138">
        <f>H166*VLOOKUP($A166,'[1]INPUT_ASSUMPTIONS CALC'!$A$13:$CK$1019,H$6,FALSE)*SUMIF('[1]INPUT_ASSUMPTIONS CALC'!$CL$15:$CL$17,'[1]Summary calculation'!E166,'[1]INPUT_ASSUMPTIONS CALC'!$CM$15:$CM$17)</f>
        <v>0</v>
      </c>
      <c r="J166" s="139">
        <f>$I166*VLOOKUP($A166,'[1]INPUT_ASSUMPTIONS CALC'!$A$13:$CK$1019,I$6,FALSE)*VLOOKUP($A166,'[1]INPUT_ASSUMPTIONS CALC'!$A$13:$CK$1019,J$7,FALSE)</f>
        <v>0</v>
      </c>
      <c r="K166" s="139">
        <f>$I166*VLOOKUP($A166,'[1]INPUT_ASSUMPTIONS CALC'!$A$13:$CK$1019,I$6,FALSE)*VLOOKUP($A166,'[1]INPUT_ASSUMPTIONS CALC'!$A$13:$CK$1019,K$7,FALSE)</f>
        <v>0</v>
      </c>
      <c r="L166" s="139">
        <f>$I166*VLOOKUP($A166,'[1]INPUT_ASSUMPTIONS CALC'!$A$13:$CK$1019,I$6,FALSE)*VLOOKUP($A166,'[1]INPUT_ASSUMPTIONS CALC'!$A$13:$CK$1019,L$7,FALSE)</f>
        <v>0</v>
      </c>
      <c r="M166" s="139">
        <f>$I166*VLOOKUP($A166,'[1]INPUT_ASSUMPTIONS CALC'!$A$13:$CK$1019,I$6,FALSE)*VLOOKUP($A166,'[1]INPUT_ASSUMPTIONS CALC'!$A$13:$CK$1019,M$7,FALSE)</f>
        <v>0</v>
      </c>
      <c r="N166" s="140">
        <f t="shared" si="11"/>
        <v>0</v>
      </c>
      <c r="O166" s="141">
        <f>H166*VLOOKUP($A166,'[1]INPUT_ASSUMPTIONS CALC'!$A$13:$CK$1019,H$6,FALSE)*SUMIF('[1]INPUT_ASSUMPTIONS CALC'!$CQ$15:$CQ$17,'[1]Summary calculation'!E166,'[1]INPUT_ASSUMPTIONS CALC'!$CR$15:$CR$17)</f>
        <v>0</v>
      </c>
      <c r="P166" s="141">
        <f>H166*VLOOKUP($A166,'[1]INPUT_ASSUMPTIONS CALC'!$A$13:$CK$1019,H$6,FALSE)*SUMIF('[1]INPUT_ASSUMPTIONS CALC'!$CV$15:$CV$31,'[1]Summary calculation'!E166,'[1]INPUT_ASSUMPTIONS CALC'!$CW$15:$CW$31)</f>
        <v>0</v>
      </c>
      <c r="Q166" s="141">
        <f>O166*VLOOKUP($A166,'[1]INPUT_ASSUMPTIONS CALC'!$A$13:$CK$1019,Q$7,FALSE)</f>
        <v>0</v>
      </c>
      <c r="R166" s="141">
        <f>P166*VLOOKUP($A166,'[1]INPUT_ASSUMPTIONS CALC'!$A$13:$CK$1019,R$7,FALSE)</f>
        <v>0</v>
      </c>
      <c r="S166" s="140">
        <f t="shared" si="9"/>
        <v>0</v>
      </c>
      <c r="T166" s="142">
        <f t="shared" si="10"/>
        <v>0</v>
      </c>
      <c r="U166" s="61"/>
    </row>
    <row r="167" spans="1:21" x14ac:dyDescent="0.35">
      <c r="A167" s="125" t="str">
        <f t="shared" si="8"/>
        <v>159Q2</v>
      </c>
      <c r="B167" s="135">
        <v>159</v>
      </c>
      <c r="C167" s="61" t="str">
        <f>INDEX('[1]INPUT_ASSUMPTIONS CALC'!D:D,MATCH(A167,'[1]INPUT_ASSUMPTIONS CALC'!A:A,0))</f>
        <v/>
      </c>
      <c r="D167" s="61" t="str">
        <f>INDEX('[1]INPUT_ASSUMPTIONS CALC'!I:I,MATCH(A167,'[1]INPUT_ASSUMPTIONS CALC'!A:A,0))</f>
        <v/>
      </c>
      <c r="E167" s="61" t="str">
        <f>INDEX('[1]INPUT_ASSUMPTIONS CALC'!E:E,MATCH(A167,'[1]INPUT_ASSUMPTIONS CALC'!A:A,0))</f>
        <v/>
      </c>
      <c r="F167" s="136">
        <f>IF($F$5="Q1",VLOOKUP($A167,'[1]INPUT_ASSUMPTIONS CALC'!$A$13:$CK$1019,F$7,FALSE),IF($F$5="Q2",VLOOKUP($A167,'[1]INPUT_ASSUMPTIONS CALC'!$A$13:$CK$1019,F$7,FALSE),IF($F$5="Q3",VLOOKUP($A167,'[1]INPUT_ASSUMPTIONS CALC'!$A$13:$CK$1019,F$7,FALSE),IF($F$5="Q4",VLOOKUP($A167,'[1]INPUT_ASSUMPTIONS CALC'!$A$13:$CK$1019,F$7,FALSE),IF($F$5="Year",VLOOKUP($A167,'[1]INPUT_ASSUMPTIONS CALC'!$A$13:$CK$1019,F$7,FALSE),0)))))</f>
        <v>0</v>
      </c>
      <c r="G167" s="137">
        <f>SUMIF('[1]INPUT_ASSUMPTIONS CALC'!A:A,'[1]Summary calculation'!A167,'[1]INPUT_ASSUMPTIONS CALC'!BU:BU)</f>
        <v>0</v>
      </c>
      <c r="H167" s="138">
        <f>IF($F$5="Year",F167*G167*'[1]INPUT_ASSUMPTIONS CALC'!$S$7,F167*G167)</f>
        <v>0</v>
      </c>
      <c r="I167" s="138">
        <f>H167*VLOOKUP($A167,'[1]INPUT_ASSUMPTIONS CALC'!$A$13:$CK$1019,H$6,FALSE)*SUMIF('[1]INPUT_ASSUMPTIONS CALC'!$CL$15:$CL$17,'[1]Summary calculation'!E167,'[1]INPUT_ASSUMPTIONS CALC'!$CM$15:$CM$17)</f>
        <v>0</v>
      </c>
      <c r="J167" s="139">
        <f>$I167*VLOOKUP($A167,'[1]INPUT_ASSUMPTIONS CALC'!$A$13:$CK$1019,I$6,FALSE)*VLOOKUP($A167,'[1]INPUT_ASSUMPTIONS CALC'!$A$13:$CK$1019,J$7,FALSE)</f>
        <v>0</v>
      </c>
      <c r="K167" s="139">
        <f>$I167*VLOOKUP($A167,'[1]INPUT_ASSUMPTIONS CALC'!$A$13:$CK$1019,I$6,FALSE)*VLOOKUP($A167,'[1]INPUT_ASSUMPTIONS CALC'!$A$13:$CK$1019,K$7,FALSE)</f>
        <v>0</v>
      </c>
      <c r="L167" s="139">
        <f>$I167*VLOOKUP($A167,'[1]INPUT_ASSUMPTIONS CALC'!$A$13:$CK$1019,I$6,FALSE)*VLOOKUP($A167,'[1]INPUT_ASSUMPTIONS CALC'!$A$13:$CK$1019,L$7,FALSE)</f>
        <v>0</v>
      </c>
      <c r="M167" s="139">
        <f>$I167*VLOOKUP($A167,'[1]INPUT_ASSUMPTIONS CALC'!$A$13:$CK$1019,I$6,FALSE)*VLOOKUP($A167,'[1]INPUT_ASSUMPTIONS CALC'!$A$13:$CK$1019,M$7,FALSE)</f>
        <v>0</v>
      </c>
      <c r="N167" s="140">
        <f t="shared" si="11"/>
        <v>0</v>
      </c>
      <c r="O167" s="141">
        <f>H167*VLOOKUP($A167,'[1]INPUT_ASSUMPTIONS CALC'!$A$13:$CK$1019,H$6,FALSE)*SUMIF('[1]INPUT_ASSUMPTIONS CALC'!$CQ$15:$CQ$17,'[1]Summary calculation'!E167,'[1]INPUT_ASSUMPTIONS CALC'!$CR$15:$CR$17)</f>
        <v>0</v>
      </c>
      <c r="P167" s="141">
        <f>H167*VLOOKUP($A167,'[1]INPUT_ASSUMPTIONS CALC'!$A$13:$CK$1019,H$6,FALSE)*SUMIF('[1]INPUT_ASSUMPTIONS CALC'!$CV$15:$CV$31,'[1]Summary calculation'!E167,'[1]INPUT_ASSUMPTIONS CALC'!$CW$15:$CW$31)</f>
        <v>0</v>
      </c>
      <c r="Q167" s="141">
        <f>O167*VLOOKUP($A167,'[1]INPUT_ASSUMPTIONS CALC'!$A$13:$CK$1019,Q$7,FALSE)</f>
        <v>0</v>
      </c>
      <c r="R167" s="141">
        <f>P167*VLOOKUP($A167,'[1]INPUT_ASSUMPTIONS CALC'!$A$13:$CK$1019,R$7,FALSE)</f>
        <v>0</v>
      </c>
      <c r="S167" s="140">
        <f t="shared" si="9"/>
        <v>0</v>
      </c>
      <c r="T167" s="142">
        <f t="shared" si="10"/>
        <v>0</v>
      </c>
      <c r="U167" s="61"/>
    </row>
    <row r="168" spans="1:21" x14ac:dyDescent="0.35">
      <c r="A168" s="125" t="str">
        <f t="shared" si="8"/>
        <v>160Q2</v>
      </c>
      <c r="B168" s="135">
        <v>160</v>
      </c>
      <c r="C168" s="61" t="str">
        <f>INDEX('[1]INPUT_ASSUMPTIONS CALC'!D:D,MATCH(A168,'[1]INPUT_ASSUMPTIONS CALC'!A:A,0))</f>
        <v/>
      </c>
      <c r="D168" s="61" t="str">
        <f>INDEX('[1]INPUT_ASSUMPTIONS CALC'!I:I,MATCH(A168,'[1]INPUT_ASSUMPTIONS CALC'!A:A,0))</f>
        <v/>
      </c>
      <c r="E168" s="61" t="str">
        <f>INDEX('[1]INPUT_ASSUMPTIONS CALC'!E:E,MATCH(A168,'[1]INPUT_ASSUMPTIONS CALC'!A:A,0))</f>
        <v/>
      </c>
      <c r="F168" s="136">
        <f>IF($F$5="Q1",VLOOKUP($A168,'[1]INPUT_ASSUMPTIONS CALC'!$A$13:$CK$1019,F$7,FALSE),IF($F$5="Q2",VLOOKUP($A168,'[1]INPUT_ASSUMPTIONS CALC'!$A$13:$CK$1019,F$7,FALSE),IF($F$5="Q3",VLOOKUP($A168,'[1]INPUT_ASSUMPTIONS CALC'!$A$13:$CK$1019,F$7,FALSE),IF($F$5="Q4",VLOOKUP($A168,'[1]INPUT_ASSUMPTIONS CALC'!$A$13:$CK$1019,F$7,FALSE),IF($F$5="Year",VLOOKUP($A168,'[1]INPUT_ASSUMPTIONS CALC'!$A$13:$CK$1019,F$7,FALSE),0)))))</f>
        <v>0</v>
      </c>
      <c r="G168" s="137">
        <f>SUMIF('[1]INPUT_ASSUMPTIONS CALC'!A:A,'[1]Summary calculation'!A168,'[1]INPUT_ASSUMPTIONS CALC'!BU:BU)</f>
        <v>0</v>
      </c>
      <c r="H168" s="138">
        <f>IF($F$5="Year",F168*G168*'[1]INPUT_ASSUMPTIONS CALC'!$S$7,F168*G168)</f>
        <v>0</v>
      </c>
      <c r="I168" s="138">
        <f>H168*VLOOKUP($A168,'[1]INPUT_ASSUMPTIONS CALC'!$A$13:$CK$1019,H$6,FALSE)*SUMIF('[1]INPUT_ASSUMPTIONS CALC'!$CL$15:$CL$17,'[1]Summary calculation'!E168,'[1]INPUT_ASSUMPTIONS CALC'!$CM$15:$CM$17)</f>
        <v>0</v>
      </c>
      <c r="J168" s="139">
        <f>$I168*VLOOKUP($A168,'[1]INPUT_ASSUMPTIONS CALC'!$A$13:$CK$1019,I$6,FALSE)*VLOOKUP($A168,'[1]INPUT_ASSUMPTIONS CALC'!$A$13:$CK$1019,J$7,FALSE)</f>
        <v>0</v>
      </c>
      <c r="K168" s="139">
        <f>$I168*VLOOKUP($A168,'[1]INPUT_ASSUMPTIONS CALC'!$A$13:$CK$1019,I$6,FALSE)*VLOOKUP($A168,'[1]INPUT_ASSUMPTIONS CALC'!$A$13:$CK$1019,K$7,FALSE)</f>
        <v>0</v>
      </c>
      <c r="L168" s="139">
        <f>$I168*VLOOKUP($A168,'[1]INPUT_ASSUMPTIONS CALC'!$A$13:$CK$1019,I$6,FALSE)*VLOOKUP($A168,'[1]INPUT_ASSUMPTIONS CALC'!$A$13:$CK$1019,L$7,FALSE)</f>
        <v>0</v>
      </c>
      <c r="M168" s="139">
        <f>$I168*VLOOKUP($A168,'[1]INPUT_ASSUMPTIONS CALC'!$A$13:$CK$1019,I$6,FALSE)*VLOOKUP($A168,'[1]INPUT_ASSUMPTIONS CALC'!$A$13:$CK$1019,M$7,FALSE)</f>
        <v>0</v>
      </c>
      <c r="N168" s="140">
        <f t="shared" si="11"/>
        <v>0</v>
      </c>
      <c r="O168" s="141">
        <f>H168*VLOOKUP($A168,'[1]INPUT_ASSUMPTIONS CALC'!$A$13:$CK$1019,H$6,FALSE)*SUMIF('[1]INPUT_ASSUMPTIONS CALC'!$CQ$15:$CQ$17,'[1]Summary calculation'!E168,'[1]INPUT_ASSUMPTIONS CALC'!$CR$15:$CR$17)</f>
        <v>0</v>
      </c>
      <c r="P168" s="141">
        <f>H168*VLOOKUP($A168,'[1]INPUT_ASSUMPTIONS CALC'!$A$13:$CK$1019,H$6,FALSE)*SUMIF('[1]INPUT_ASSUMPTIONS CALC'!$CV$15:$CV$31,'[1]Summary calculation'!E168,'[1]INPUT_ASSUMPTIONS CALC'!$CW$15:$CW$31)</f>
        <v>0</v>
      </c>
      <c r="Q168" s="141">
        <f>O168*VLOOKUP($A168,'[1]INPUT_ASSUMPTIONS CALC'!$A$13:$CK$1019,Q$7,FALSE)</f>
        <v>0</v>
      </c>
      <c r="R168" s="141">
        <f>P168*VLOOKUP($A168,'[1]INPUT_ASSUMPTIONS CALC'!$A$13:$CK$1019,R$7,FALSE)</f>
        <v>0</v>
      </c>
      <c r="S168" s="140">
        <f t="shared" si="9"/>
        <v>0</v>
      </c>
      <c r="T168" s="142">
        <f t="shared" si="10"/>
        <v>0</v>
      </c>
      <c r="U168" s="61"/>
    </row>
    <row r="169" spans="1:21" x14ac:dyDescent="0.35">
      <c r="A169" s="125" t="str">
        <f t="shared" si="8"/>
        <v>161Q2</v>
      </c>
      <c r="B169" s="135">
        <v>161</v>
      </c>
      <c r="C169" s="61" t="str">
        <f>INDEX('[1]INPUT_ASSUMPTIONS CALC'!D:D,MATCH(A169,'[1]INPUT_ASSUMPTIONS CALC'!A:A,0))</f>
        <v/>
      </c>
      <c r="D169" s="61" t="str">
        <f>INDEX('[1]INPUT_ASSUMPTIONS CALC'!I:I,MATCH(A169,'[1]INPUT_ASSUMPTIONS CALC'!A:A,0))</f>
        <v/>
      </c>
      <c r="E169" s="61" t="str">
        <f>INDEX('[1]INPUT_ASSUMPTIONS CALC'!E:E,MATCH(A169,'[1]INPUT_ASSUMPTIONS CALC'!A:A,0))</f>
        <v/>
      </c>
      <c r="F169" s="136">
        <f>IF($F$5="Q1",VLOOKUP($A169,'[1]INPUT_ASSUMPTIONS CALC'!$A$13:$CK$1019,F$7,FALSE),IF($F$5="Q2",VLOOKUP($A169,'[1]INPUT_ASSUMPTIONS CALC'!$A$13:$CK$1019,F$7,FALSE),IF($F$5="Q3",VLOOKUP($A169,'[1]INPUT_ASSUMPTIONS CALC'!$A$13:$CK$1019,F$7,FALSE),IF($F$5="Q4",VLOOKUP($A169,'[1]INPUT_ASSUMPTIONS CALC'!$A$13:$CK$1019,F$7,FALSE),IF($F$5="Year",VLOOKUP($A169,'[1]INPUT_ASSUMPTIONS CALC'!$A$13:$CK$1019,F$7,FALSE),0)))))</f>
        <v>0</v>
      </c>
      <c r="G169" s="137">
        <f>SUMIF('[1]INPUT_ASSUMPTIONS CALC'!A:A,'[1]Summary calculation'!A169,'[1]INPUT_ASSUMPTIONS CALC'!BU:BU)</f>
        <v>0</v>
      </c>
      <c r="H169" s="138">
        <f>IF($F$5="Year",F169*G169*'[1]INPUT_ASSUMPTIONS CALC'!$S$7,F169*G169)</f>
        <v>0</v>
      </c>
      <c r="I169" s="138">
        <f>H169*VLOOKUP($A169,'[1]INPUT_ASSUMPTIONS CALC'!$A$13:$CK$1019,H$6,FALSE)*SUMIF('[1]INPUT_ASSUMPTIONS CALC'!$CL$15:$CL$17,'[1]Summary calculation'!E169,'[1]INPUT_ASSUMPTIONS CALC'!$CM$15:$CM$17)</f>
        <v>0</v>
      </c>
      <c r="J169" s="139">
        <f>$I169*VLOOKUP($A169,'[1]INPUT_ASSUMPTIONS CALC'!$A$13:$CK$1019,I$6,FALSE)*VLOOKUP($A169,'[1]INPUT_ASSUMPTIONS CALC'!$A$13:$CK$1019,J$7,FALSE)</f>
        <v>0</v>
      </c>
      <c r="K169" s="139">
        <f>$I169*VLOOKUP($A169,'[1]INPUT_ASSUMPTIONS CALC'!$A$13:$CK$1019,I$6,FALSE)*VLOOKUP($A169,'[1]INPUT_ASSUMPTIONS CALC'!$A$13:$CK$1019,K$7,FALSE)</f>
        <v>0</v>
      </c>
      <c r="L169" s="139">
        <f>$I169*VLOOKUP($A169,'[1]INPUT_ASSUMPTIONS CALC'!$A$13:$CK$1019,I$6,FALSE)*VLOOKUP($A169,'[1]INPUT_ASSUMPTIONS CALC'!$A$13:$CK$1019,L$7,FALSE)</f>
        <v>0</v>
      </c>
      <c r="M169" s="139">
        <f>$I169*VLOOKUP($A169,'[1]INPUT_ASSUMPTIONS CALC'!$A$13:$CK$1019,I$6,FALSE)*VLOOKUP($A169,'[1]INPUT_ASSUMPTIONS CALC'!$A$13:$CK$1019,M$7,FALSE)</f>
        <v>0</v>
      </c>
      <c r="N169" s="140">
        <f t="shared" si="11"/>
        <v>0</v>
      </c>
      <c r="O169" s="141">
        <f>H169*VLOOKUP($A169,'[1]INPUT_ASSUMPTIONS CALC'!$A$13:$CK$1019,H$6,FALSE)*SUMIF('[1]INPUT_ASSUMPTIONS CALC'!$CQ$15:$CQ$17,'[1]Summary calculation'!E169,'[1]INPUT_ASSUMPTIONS CALC'!$CR$15:$CR$17)</f>
        <v>0</v>
      </c>
      <c r="P169" s="141">
        <f>H169*VLOOKUP($A169,'[1]INPUT_ASSUMPTIONS CALC'!$A$13:$CK$1019,H$6,FALSE)*SUMIF('[1]INPUT_ASSUMPTIONS CALC'!$CV$15:$CV$31,'[1]Summary calculation'!E169,'[1]INPUT_ASSUMPTIONS CALC'!$CW$15:$CW$31)</f>
        <v>0</v>
      </c>
      <c r="Q169" s="141">
        <f>O169*VLOOKUP($A169,'[1]INPUT_ASSUMPTIONS CALC'!$A$13:$CK$1019,Q$7,FALSE)</f>
        <v>0</v>
      </c>
      <c r="R169" s="141">
        <f>P169*VLOOKUP($A169,'[1]INPUT_ASSUMPTIONS CALC'!$A$13:$CK$1019,R$7,FALSE)</f>
        <v>0</v>
      </c>
      <c r="S169" s="140">
        <f t="shared" si="9"/>
        <v>0</v>
      </c>
      <c r="T169" s="142">
        <f t="shared" si="10"/>
        <v>0</v>
      </c>
      <c r="U169" s="61"/>
    </row>
    <row r="170" spans="1:21" x14ac:dyDescent="0.35">
      <c r="A170" s="125" t="str">
        <f t="shared" si="8"/>
        <v>162Q2</v>
      </c>
      <c r="B170" s="135">
        <v>162</v>
      </c>
      <c r="C170" s="61" t="str">
        <f>INDEX('[1]INPUT_ASSUMPTIONS CALC'!D:D,MATCH(A170,'[1]INPUT_ASSUMPTIONS CALC'!A:A,0))</f>
        <v/>
      </c>
      <c r="D170" s="61" t="str">
        <f>INDEX('[1]INPUT_ASSUMPTIONS CALC'!I:I,MATCH(A170,'[1]INPUT_ASSUMPTIONS CALC'!A:A,0))</f>
        <v/>
      </c>
      <c r="E170" s="61" t="str">
        <f>INDEX('[1]INPUT_ASSUMPTIONS CALC'!E:E,MATCH(A170,'[1]INPUT_ASSUMPTIONS CALC'!A:A,0))</f>
        <v/>
      </c>
      <c r="F170" s="136">
        <f>IF($F$5="Q1",VLOOKUP($A170,'[1]INPUT_ASSUMPTIONS CALC'!$A$13:$CK$1019,F$7,FALSE),IF($F$5="Q2",VLOOKUP($A170,'[1]INPUT_ASSUMPTIONS CALC'!$A$13:$CK$1019,F$7,FALSE),IF($F$5="Q3",VLOOKUP($A170,'[1]INPUT_ASSUMPTIONS CALC'!$A$13:$CK$1019,F$7,FALSE),IF($F$5="Q4",VLOOKUP($A170,'[1]INPUT_ASSUMPTIONS CALC'!$A$13:$CK$1019,F$7,FALSE),IF($F$5="Year",VLOOKUP($A170,'[1]INPUT_ASSUMPTIONS CALC'!$A$13:$CK$1019,F$7,FALSE),0)))))</f>
        <v>0</v>
      </c>
      <c r="G170" s="137">
        <f>SUMIF('[1]INPUT_ASSUMPTIONS CALC'!A:A,'[1]Summary calculation'!A170,'[1]INPUT_ASSUMPTIONS CALC'!BU:BU)</f>
        <v>0</v>
      </c>
      <c r="H170" s="138">
        <f>IF($F$5="Year",F170*G170*'[1]INPUT_ASSUMPTIONS CALC'!$S$7,F170*G170)</f>
        <v>0</v>
      </c>
      <c r="I170" s="138">
        <f>H170*VLOOKUP($A170,'[1]INPUT_ASSUMPTIONS CALC'!$A$13:$CK$1019,H$6,FALSE)*SUMIF('[1]INPUT_ASSUMPTIONS CALC'!$CL$15:$CL$17,'[1]Summary calculation'!E170,'[1]INPUT_ASSUMPTIONS CALC'!$CM$15:$CM$17)</f>
        <v>0</v>
      </c>
      <c r="J170" s="139">
        <f>$I170*VLOOKUP($A170,'[1]INPUT_ASSUMPTIONS CALC'!$A$13:$CK$1019,I$6,FALSE)*VLOOKUP($A170,'[1]INPUT_ASSUMPTIONS CALC'!$A$13:$CK$1019,J$7,FALSE)</f>
        <v>0</v>
      </c>
      <c r="K170" s="139">
        <f>$I170*VLOOKUP($A170,'[1]INPUT_ASSUMPTIONS CALC'!$A$13:$CK$1019,I$6,FALSE)*VLOOKUP($A170,'[1]INPUT_ASSUMPTIONS CALC'!$A$13:$CK$1019,K$7,FALSE)</f>
        <v>0</v>
      </c>
      <c r="L170" s="139">
        <f>$I170*VLOOKUP($A170,'[1]INPUT_ASSUMPTIONS CALC'!$A$13:$CK$1019,I$6,FALSE)*VLOOKUP($A170,'[1]INPUT_ASSUMPTIONS CALC'!$A$13:$CK$1019,L$7,FALSE)</f>
        <v>0</v>
      </c>
      <c r="M170" s="139">
        <f>$I170*VLOOKUP($A170,'[1]INPUT_ASSUMPTIONS CALC'!$A$13:$CK$1019,I$6,FALSE)*VLOOKUP($A170,'[1]INPUT_ASSUMPTIONS CALC'!$A$13:$CK$1019,M$7,FALSE)</f>
        <v>0</v>
      </c>
      <c r="N170" s="140">
        <f t="shared" si="11"/>
        <v>0</v>
      </c>
      <c r="O170" s="141">
        <f>H170*VLOOKUP($A170,'[1]INPUT_ASSUMPTIONS CALC'!$A$13:$CK$1019,H$6,FALSE)*SUMIF('[1]INPUT_ASSUMPTIONS CALC'!$CQ$15:$CQ$17,'[1]Summary calculation'!E170,'[1]INPUT_ASSUMPTIONS CALC'!$CR$15:$CR$17)</f>
        <v>0</v>
      </c>
      <c r="P170" s="141">
        <f>H170*VLOOKUP($A170,'[1]INPUT_ASSUMPTIONS CALC'!$A$13:$CK$1019,H$6,FALSE)*SUMIF('[1]INPUT_ASSUMPTIONS CALC'!$CV$15:$CV$31,'[1]Summary calculation'!E170,'[1]INPUT_ASSUMPTIONS CALC'!$CW$15:$CW$31)</f>
        <v>0</v>
      </c>
      <c r="Q170" s="141">
        <f>O170*VLOOKUP($A170,'[1]INPUT_ASSUMPTIONS CALC'!$A$13:$CK$1019,Q$7,FALSE)</f>
        <v>0</v>
      </c>
      <c r="R170" s="141">
        <f>P170*VLOOKUP($A170,'[1]INPUT_ASSUMPTIONS CALC'!$A$13:$CK$1019,R$7,FALSE)</f>
        <v>0</v>
      </c>
      <c r="S170" s="140">
        <f t="shared" si="9"/>
        <v>0</v>
      </c>
      <c r="T170" s="142">
        <f t="shared" si="10"/>
        <v>0</v>
      </c>
      <c r="U170" s="61"/>
    </row>
    <row r="171" spans="1:21" x14ac:dyDescent="0.35">
      <c r="A171" s="125" t="str">
        <f t="shared" si="8"/>
        <v>163Q2</v>
      </c>
      <c r="B171" s="135">
        <v>163</v>
      </c>
      <c r="C171" s="61" t="str">
        <f>INDEX('[1]INPUT_ASSUMPTIONS CALC'!D:D,MATCH(A171,'[1]INPUT_ASSUMPTIONS CALC'!A:A,0))</f>
        <v/>
      </c>
      <c r="D171" s="61" t="str">
        <f>INDEX('[1]INPUT_ASSUMPTIONS CALC'!I:I,MATCH(A171,'[1]INPUT_ASSUMPTIONS CALC'!A:A,0))</f>
        <v/>
      </c>
      <c r="E171" s="61" t="str">
        <f>INDEX('[1]INPUT_ASSUMPTIONS CALC'!E:E,MATCH(A171,'[1]INPUT_ASSUMPTIONS CALC'!A:A,0))</f>
        <v/>
      </c>
      <c r="F171" s="136">
        <f>IF($F$5="Q1",VLOOKUP($A171,'[1]INPUT_ASSUMPTIONS CALC'!$A$13:$CK$1019,F$7,FALSE),IF($F$5="Q2",VLOOKUP($A171,'[1]INPUT_ASSUMPTIONS CALC'!$A$13:$CK$1019,F$7,FALSE),IF($F$5="Q3",VLOOKUP($A171,'[1]INPUT_ASSUMPTIONS CALC'!$A$13:$CK$1019,F$7,FALSE),IF($F$5="Q4",VLOOKUP($A171,'[1]INPUT_ASSUMPTIONS CALC'!$A$13:$CK$1019,F$7,FALSE),IF($F$5="Year",VLOOKUP($A171,'[1]INPUT_ASSUMPTIONS CALC'!$A$13:$CK$1019,F$7,FALSE),0)))))</f>
        <v>0</v>
      </c>
      <c r="G171" s="137">
        <f>SUMIF('[1]INPUT_ASSUMPTIONS CALC'!A:A,'[1]Summary calculation'!A171,'[1]INPUT_ASSUMPTIONS CALC'!BU:BU)</f>
        <v>0</v>
      </c>
      <c r="H171" s="138">
        <f>IF($F$5="Year",F171*G171*'[1]INPUT_ASSUMPTIONS CALC'!$S$7,F171*G171)</f>
        <v>0</v>
      </c>
      <c r="I171" s="138">
        <f>H171*VLOOKUP($A171,'[1]INPUT_ASSUMPTIONS CALC'!$A$13:$CK$1019,H$6,FALSE)*SUMIF('[1]INPUT_ASSUMPTIONS CALC'!$CL$15:$CL$17,'[1]Summary calculation'!E171,'[1]INPUT_ASSUMPTIONS CALC'!$CM$15:$CM$17)</f>
        <v>0</v>
      </c>
      <c r="J171" s="139">
        <f>$I171*VLOOKUP($A171,'[1]INPUT_ASSUMPTIONS CALC'!$A$13:$CK$1019,I$6,FALSE)*VLOOKUP($A171,'[1]INPUT_ASSUMPTIONS CALC'!$A$13:$CK$1019,J$7,FALSE)</f>
        <v>0</v>
      </c>
      <c r="K171" s="139">
        <f>$I171*VLOOKUP($A171,'[1]INPUT_ASSUMPTIONS CALC'!$A$13:$CK$1019,I$6,FALSE)*VLOOKUP($A171,'[1]INPUT_ASSUMPTIONS CALC'!$A$13:$CK$1019,K$7,FALSE)</f>
        <v>0</v>
      </c>
      <c r="L171" s="139">
        <f>$I171*VLOOKUP($A171,'[1]INPUT_ASSUMPTIONS CALC'!$A$13:$CK$1019,I$6,FALSE)*VLOOKUP($A171,'[1]INPUT_ASSUMPTIONS CALC'!$A$13:$CK$1019,L$7,FALSE)</f>
        <v>0</v>
      </c>
      <c r="M171" s="139">
        <f>$I171*VLOOKUP($A171,'[1]INPUT_ASSUMPTIONS CALC'!$A$13:$CK$1019,I$6,FALSE)*VLOOKUP($A171,'[1]INPUT_ASSUMPTIONS CALC'!$A$13:$CK$1019,M$7,FALSE)</f>
        <v>0</v>
      </c>
      <c r="N171" s="140">
        <f t="shared" si="11"/>
        <v>0</v>
      </c>
      <c r="O171" s="141">
        <f>H171*VLOOKUP($A171,'[1]INPUT_ASSUMPTIONS CALC'!$A$13:$CK$1019,H$6,FALSE)*SUMIF('[1]INPUT_ASSUMPTIONS CALC'!$CQ$15:$CQ$17,'[1]Summary calculation'!E171,'[1]INPUT_ASSUMPTIONS CALC'!$CR$15:$CR$17)</f>
        <v>0</v>
      </c>
      <c r="P171" s="141">
        <f>H171*VLOOKUP($A171,'[1]INPUT_ASSUMPTIONS CALC'!$A$13:$CK$1019,H$6,FALSE)*SUMIF('[1]INPUT_ASSUMPTIONS CALC'!$CV$15:$CV$31,'[1]Summary calculation'!E171,'[1]INPUT_ASSUMPTIONS CALC'!$CW$15:$CW$31)</f>
        <v>0</v>
      </c>
      <c r="Q171" s="141">
        <f>O171*VLOOKUP($A171,'[1]INPUT_ASSUMPTIONS CALC'!$A$13:$CK$1019,Q$7,FALSE)</f>
        <v>0</v>
      </c>
      <c r="R171" s="141">
        <f>P171*VLOOKUP($A171,'[1]INPUT_ASSUMPTIONS CALC'!$A$13:$CK$1019,R$7,FALSE)</f>
        <v>0</v>
      </c>
      <c r="S171" s="140">
        <f t="shared" si="9"/>
        <v>0</v>
      </c>
      <c r="T171" s="142">
        <f t="shared" si="10"/>
        <v>0</v>
      </c>
      <c r="U171" s="61"/>
    </row>
    <row r="172" spans="1:21" x14ac:dyDescent="0.35">
      <c r="A172" s="125" t="str">
        <f t="shared" si="8"/>
        <v>164Q2</v>
      </c>
      <c r="B172" s="135">
        <v>164</v>
      </c>
      <c r="C172" s="61" t="str">
        <f>INDEX('[1]INPUT_ASSUMPTIONS CALC'!D:D,MATCH(A172,'[1]INPUT_ASSUMPTIONS CALC'!A:A,0))</f>
        <v/>
      </c>
      <c r="D172" s="61" t="str">
        <f>INDEX('[1]INPUT_ASSUMPTIONS CALC'!I:I,MATCH(A172,'[1]INPUT_ASSUMPTIONS CALC'!A:A,0))</f>
        <v/>
      </c>
      <c r="E172" s="61" t="str">
        <f>INDEX('[1]INPUT_ASSUMPTIONS CALC'!E:E,MATCH(A172,'[1]INPUT_ASSUMPTIONS CALC'!A:A,0))</f>
        <v/>
      </c>
      <c r="F172" s="136">
        <f>IF($F$5="Q1",VLOOKUP($A172,'[1]INPUT_ASSUMPTIONS CALC'!$A$13:$CK$1019,F$7,FALSE),IF($F$5="Q2",VLOOKUP($A172,'[1]INPUT_ASSUMPTIONS CALC'!$A$13:$CK$1019,F$7,FALSE),IF($F$5="Q3",VLOOKUP($A172,'[1]INPUT_ASSUMPTIONS CALC'!$A$13:$CK$1019,F$7,FALSE),IF($F$5="Q4",VLOOKUP($A172,'[1]INPUT_ASSUMPTIONS CALC'!$A$13:$CK$1019,F$7,FALSE),IF($F$5="Year",VLOOKUP($A172,'[1]INPUT_ASSUMPTIONS CALC'!$A$13:$CK$1019,F$7,FALSE),0)))))</f>
        <v>0</v>
      </c>
      <c r="G172" s="137">
        <f>SUMIF('[1]INPUT_ASSUMPTIONS CALC'!A:A,'[1]Summary calculation'!A172,'[1]INPUT_ASSUMPTIONS CALC'!BU:BU)</f>
        <v>0</v>
      </c>
      <c r="H172" s="138">
        <f>IF($F$5="Year",F172*G172*'[1]INPUT_ASSUMPTIONS CALC'!$S$7,F172*G172)</f>
        <v>0</v>
      </c>
      <c r="I172" s="138">
        <f>H172*VLOOKUP($A172,'[1]INPUT_ASSUMPTIONS CALC'!$A$13:$CK$1019,H$6,FALSE)*SUMIF('[1]INPUT_ASSUMPTIONS CALC'!$CL$15:$CL$17,'[1]Summary calculation'!E172,'[1]INPUT_ASSUMPTIONS CALC'!$CM$15:$CM$17)</f>
        <v>0</v>
      </c>
      <c r="J172" s="139">
        <f>$I172*VLOOKUP($A172,'[1]INPUT_ASSUMPTIONS CALC'!$A$13:$CK$1019,I$6,FALSE)*VLOOKUP($A172,'[1]INPUT_ASSUMPTIONS CALC'!$A$13:$CK$1019,J$7,FALSE)</f>
        <v>0</v>
      </c>
      <c r="K172" s="139">
        <f>$I172*VLOOKUP($A172,'[1]INPUT_ASSUMPTIONS CALC'!$A$13:$CK$1019,I$6,FALSE)*VLOOKUP($A172,'[1]INPUT_ASSUMPTIONS CALC'!$A$13:$CK$1019,K$7,FALSE)</f>
        <v>0</v>
      </c>
      <c r="L172" s="139">
        <f>$I172*VLOOKUP($A172,'[1]INPUT_ASSUMPTIONS CALC'!$A$13:$CK$1019,I$6,FALSE)*VLOOKUP($A172,'[1]INPUT_ASSUMPTIONS CALC'!$A$13:$CK$1019,L$7,FALSE)</f>
        <v>0</v>
      </c>
      <c r="M172" s="139">
        <f>$I172*VLOOKUP($A172,'[1]INPUT_ASSUMPTIONS CALC'!$A$13:$CK$1019,I$6,FALSE)*VLOOKUP($A172,'[1]INPUT_ASSUMPTIONS CALC'!$A$13:$CK$1019,M$7,FALSE)</f>
        <v>0</v>
      </c>
      <c r="N172" s="140">
        <f t="shared" si="11"/>
        <v>0</v>
      </c>
      <c r="O172" s="141">
        <f>H172*VLOOKUP($A172,'[1]INPUT_ASSUMPTIONS CALC'!$A$13:$CK$1019,H$6,FALSE)*SUMIF('[1]INPUT_ASSUMPTIONS CALC'!$CQ$15:$CQ$17,'[1]Summary calculation'!E172,'[1]INPUT_ASSUMPTIONS CALC'!$CR$15:$CR$17)</f>
        <v>0</v>
      </c>
      <c r="P172" s="141">
        <f>H172*VLOOKUP($A172,'[1]INPUT_ASSUMPTIONS CALC'!$A$13:$CK$1019,H$6,FALSE)*SUMIF('[1]INPUT_ASSUMPTIONS CALC'!$CV$15:$CV$31,'[1]Summary calculation'!E172,'[1]INPUT_ASSUMPTIONS CALC'!$CW$15:$CW$31)</f>
        <v>0</v>
      </c>
      <c r="Q172" s="141">
        <f>O172*VLOOKUP($A172,'[1]INPUT_ASSUMPTIONS CALC'!$A$13:$CK$1019,Q$7,FALSE)</f>
        <v>0</v>
      </c>
      <c r="R172" s="141">
        <f>P172*VLOOKUP($A172,'[1]INPUT_ASSUMPTIONS CALC'!$A$13:$CK$1019,R$7,FALSE)</f>
        <v>0</v>
      </c>
      <c r="S172" s="140">
        <f t="shared" si="9"/>
        <v>0</v>
      </c>
      <c r="T172" s="142">
        <f t="shared" si="10"/>
        <v>0</v>
      </c>
      <c r="U172" s="61"/>
    </row>
    <row r="173" spans="1:21" x14ac:dyDescent="0.35">
      <c r="A173" s="125" t="str">
        <f t="shared" si="8"/>
        <v>165Q2</v>
      </c>
      <c r="B173" s="135">
        <v>165</v>
      </c>
      <c r="C173" s="61" t="str">
        <f>INDEX('[1]INPUT_ASSUMPTIONS CALC'!D:D,MATCH(A173,'[1]INPUT_ASSUMPTIONS CALC'!A:A,0))</f>
        <v/>
      </c>
      <c r="D173" s="61" t="str">
        <f>INDEX('[1]INPUT_ASSUMPTIONS CALC'!I:I,MATCH(A173,'[1]INPUT_ASSUMPTIONS CALC'!A:A,0))</f>
        <v/>
      </c>
      <c r="E173" s="61" t="str">
        <f>INDEX('[1]INPUT_ASSUMPTIONS CALC'!E:E,MATCH(A173,'[1]INPUT_ASSUMPTIONS CALC'!A:A,0))</f>
        <v/>
      </c>
      <c r="F173" s="136">
        <f>IF($F$5="Q1",VLOOKUP($A173,'[1]INPUT_ASSUMPTIONS CALC'!$A$13:$CK$1019,F$7,FALSE),IF($F$5="Q2",VLOOKUP($A173,'[1]INPUT_ASSUMPTIONS CALC'!$A$13:$CK$1019,F$7,FALSE),IF($F$5="Q3",VLOOKUP($A173,'[1]INPUT_ASSUMPTIONS CALC'!$A$13:$CK$1019,F$7,FALSE),IF($F$5="Q4",VLOOKUP($A173,'[1]INPUT_ASSUMPTIONS CALC'!$A$13:$CK$1019,F$7,FALSE),IF($F$5="Year",VLOOKUP($A173,'[1]INPUT_ASSUMPTIONS CALC'!$A$13:$CK$1019,F$7,FALSE),0)))))</f>
        <v>0</v>
      </c>
      <c r="G173" s="137">
        <f>SUMIF('[1]INPUT_ASSUMPTIONS CALC'!A:A,'[1]Summary calculation'!A173,'[1]INPUT_ASSUMPTIONS CALC'!BU:BU)</f>
        <v>0</v>
      </c>
      <c r="H173" s="138">
        <f>IF($F$5="Year",F173*G173*'[1]INPUT_ASSUMPTIONS CALC'!$S$7,F173*G173)</f>
        <v>0</v>
      </c>
      <c r="I173" s="138">
        <f>H173*VLOOKUP($A173,'[1]INPUT_ASSUMPTIONS CALC'!$A$13:$CK$1019,H$6,FALSE)*SUMIF('[1]INPUT_ASSUMPTIONS CALC'!$CL$15:$CL$17,'[1]Summary calculation'!E173,'[1]INPUT_ASSUMPTIONS CALC'!$CM$15:$CM$17)</f>
        <v>0</v>
      </c>
      <c r="J173" s="139">
        <f>$I173*VLOOKUP($A173,'[1]INPUT_ASSUMPTIONS CALC'!$A$13:$CK$1019,I$6,FALSE)*VLOOKUP($A173,'[1]INPUT_ASSUMPTIONS CALC'!$A$13:$CK$1019,J$7,FALSE)</f>
        <v>0</v>
      </c>
      <c r="K173" s="139">
        <f>$I173*VLOOKUP($A173,'[1]INPUT_ASSUMPTIONS CALC'!$A$13:$CK$1019,I$6,FALSE)*VLOOKUP($A173,'[1]INPUT_ASSUMPTIONS CALC'!$A$13:$CK$1019,K$7,FALSE)</f>
        <v>0</v>
      </c>
      <c r="L173" s="139">
        <f>$I173*VLOOKUP($A173,'[1]INPUT_ASSUMPTIONS CALC'!$A$13:$CK$1019,I$6,FALSE)*VLOOKUP($A173,'[1]INPUT_ASSUMPTIONS CALC'!$A$13:$CK$1019,L$7,FALSE)</f>
        <v>0</v>
      </c>
      <c r="M173" s="139">
        <f>$I173*VLOOKUP($A173,'[1]INPUT_ASSUMPTIONS CALC'!$A$13:$CK$1019,I$6,FALSE)*VLOOKUP($A173,'[1]INPUT_ASSUMPTIONS CALC'!$A$13:$CK$1019,M$7,FALSE)</f>
        <v>0</v>
      </c>
      <c r="N173" s="140">
        <f t="shared" si="11"/>
        <v>0</v>
      </c>
      <c r="O173" s="141">
        <f>H173*VLOOKUP($A173,'[1]INPUT_ASSUMPTIONS CALC'!$A$13:$CK$1019,H$6,FALSE)*SUMIF('[1]INPUT_ASSUMPTIONS CALC'!$CQ$15:$CQ$17,'[1]Summary calculation'!E173,'[1]INPUT_ASSUMPTIONS CALC'!$CR$15:$CR$17)</f>
        <v>0</v>
      </c>
      <c r="P173" s="141">
        <f>H173*VLOOKUP($A173,'[1]INPUT_ASSUMPTIONS CALC'!$A$13:$CK$1019,H$6,FALSE)*SUMIF('[1]INPUT_ASSUMPTIONS CALC'!$CV$15:$CV$31,'[1]Summary calculation'!E173,'[1]INPUT_ASSUMPTIONS CALC'!$CW$15:$CW$31)</f>
        <v>0</v>
      </c>
      <c r="Q173" s="141">
        <f>O173*VLOOKUP($A173,'[1]INPUT_ASSUMPTIONS CALC'!$A$13:$CK$1019,Q$7,FALSE)</f>
        <v>0</v>
      </c>
      <c r="R173" s="141">
        <f>P173*VLOOKUP($A173,'[1]INPUT_ASSUMPTIONS CALC'!$A$13:$CK$1019,R$7,FALSE)</f>
        <v>0</v>
      </c>
      <c r="S173" s="140">
        <f t="shared" si="9"/>
        <v>0</v>
      </c>
      <c r="T173" s="142">
        <f t="shared" si="10"/>
        <v>0</v>
      </c>
      <c r="U173" s="61"/>
    </row>
    <row r="174" spans="1:21" x14ac:dyDescent="0.35">
      <c r="A174" s="125" t="str">
        <f t="shared" si="8"/>
        <v>166Q2</v>
      </c>
      <c r="B174" s="135">
        <v>166</v>
      </c>
      <c r="C174" s="61" t="str">
        <f>INDEX('[1]INPUT_ASSUMPTIONS CALC'!D:D,MATCH(A174,'[1]INPUT_ASSUMPTIONS CALC'!A:A,0))</f>
        <v/>
      </c>
      <c r="D174" s="61" t="str">
        <f>INDEX('[1]INPUT_ASSUMPTIONS CALC'!I:I,MATCH(A174,'[1]INPUT_ASSUMPTIONS CALC'!A:A,0))</f>
        <v/>
      </c>
      <c r="E174" s="61" t="str">
        <f>INDEX('[1]INPUT_ASSUMPTIONS CALC'!E:E,MATCH(A174,'[1]INPUT_ASSUMPTIONS CALC'!A:A,0))</f>
        <v/>
      </c>
      <c r="F174" s="136">
        <f>IF($F$5="Q1",VLOOKUP($A174,'[1]INPUT_ASSUMPTIONS CALC'!$A$13:$CK$1019,F$7,FALSE),IF($F$5="Q2",VLOOKUP($A174,'[1]INPUT_ASSUMPTIONS CALC'!$A$13:$CK$1019,F$7,FALSE),IF($F$5="Q3",VLOOKUP($A174,'[1]INPUT_ASSUMPTIONS CALC'!$A$13:$CK$1019,F$7,FALSE),IF($F$5="Q4",VLOOKUP($A174,'[1]INPUT_ASSUMPTIONS CALC'!$A$13:$CK$1019,F$7,FALSE),IF($F$5="Year",VLOOKUP($A174,'[1]INPUT_ASSUMPTIONS CALC'!$A$13:$CK$1019,F$7,FALSE),0)))))</f>
        <v>0</v>
      </c>
      <c r="G174" s="137">
        <f>SUMIF('[1]INPUT_ASSUMPTIONS CALC'!A:A,'[1]Summary calculation'!A174,'[1]INPUT_ASSUMPTIONS CALC'!BU:BU)</f>
        <v>0</v>
      </c>
      <c r="H174" s="138">
        <f>IF($F$5="Year",F174*G174*'[1]INPUT_ASSUMPTIONS CALC'!$S$7,F174*G174)</f>
        <v>0</v>
      </c>
      <c r="I174" s="138">
        <f>H174*VLOOKUP($A174,'[1]INPUT_ASSUMPTIONS CALC'!$A$13:$CK$1019,H$6,FALSE)*SUMIF('[1]INPUT_ASSUMPTIONS CALC'!$CL$15:$CL$17,'[1]Summary calculation'!E174,'[1]INPUT_ASSUMPTIONS CALC'!$CM$15:$CM$17)</f>
        <v>0</v>
      </c>
      <c r="J174" s="139">
        <f>$I174*VLOOKUP($A174,'[1]INPUT_ASSUMPTIONS CALC'!$A$13:$CK$1019,I$6,FALSE)*VLOOKUP($A174,'[1]INPUT_ASSUMPTIONS CALC'!$A$13:$CK$1019,J$7,FALSE)</f>
        <v>0</v>
      </c>
      <c r="K174" s="139">
        <f>$I174*VLOOKUP($A174,'[1]INPUT_ASSUMPTIONS CALC'!$A$13:$CK$1019,I$6,FALSE)*VLOOKUP($A174,'[1]INPUT_ASSUMPTIONS CALC'!$A$13:$CK$1019,K$7,FALSE)</f>
        <v>0</v>
      </c>
      <c r="L174" s="139">
        <f>$I174*VLOOKUP($A174,'[1]INPUT_ASSUMPTIONS CALC'!$A$13:$CK$1019,I$6,FALSE)*VLOOKUP($A174,'[1]INPUT_ASSUMPTIONS CALC'!$A$13:$CK$1019,L$7,FALSE)</f>
        <v>0</v>
      </c>
      <c r="M174" s="139">
        <f>$I174*VLOOKUP($A174,'[1]INPUT_ASSUMPTIONS CALC'!$A$13:$CK$1019,I$6,FALSE)*VLOOKUP($A174,'[1]INPUT_ASSUMPTIONS CALC'!$A$13:$CK$1019,M$7,FALSE)</f>
        <v>0</v>
      </c>
      <c r="N174" s="140">
        <f t="shared" si="11"/>
        <v>0</v>
      </c>
      <c r="O174" s="141">
        <f>H174*VLOOKUP($A174,'[1]INPUT_ASSUMPTIONS CALC'!$A$13:$CK$1019,H$6,FALSE)*SUMIF('[1]INPUT_ASSUMPTIONS CALC'!$CQ$15:$CQ$17,'[1]Summary calculation'!E174,'[1]INPUT_ASSUMPTIONS CALC'!$CR$15:$CR$17)</f>
        <v>0</v>
      </c>
      <c r="P174" s="141">
        <f>H174*VLOOKUP($A174,'[1]INPUT_ASSUMPTIONS CALC'!$A$13:$CK$1019,H$6,FALSE)*SUMIF('[1]INPUT_ASSUMPTIONS CALC'!$CV$15:$CV$31,'[1]Summary calculation'!E174,'[1]INPUT_ASSUMPTIONS CALC'!$CW$15:$CW$31)</f>
        <v>0</v>
      </c>
      <c r="Q174" s="141">
        <f>O174*VLOOKUP($A174,'[1]INPUT_ASSUMPTIONS CALC'!$A$13:$CK$1019,Q$7,FALSE)</f>
        <v>0</v>
      </c>
      <c r="R174" s="141">
        <f>P174*VLOOKUP($A174,'[1]INPUT_ASSUMPTIONS CALC'!$A$13:$CK$1019,R$7,FALSE)</f>
        <v>0</v>
      </c>
      <c r="S174" s="140">
        <f t="shared" si="9"/>
        <v>0</v>
      </c>
      <c r="T174" s="142">
        <f t="shared" si="10"/>
        <v>0</v>
      </c>
      <c r="U174" s="61"/>
    </row>
    <row r="175" spans="1:21" x14ac:dyDescent="0.35">
      <c r="A175" s="125" t="str">
        <f t="shared" si="8"/>
        <v>167Q2</v>
      </c>
      <c r="B175" s="135">
        <v>167</v>
      </c>
      <c r="C175" s="61" t="str">
        <f>INDEX('[1]INPUT_ASSUMPTIONS CALC'!D:D,MATCH(A175,'[1]INPUT_ASSUMPTIONS CALC'!A:A,0))</f>
        <v/>
      </c>
      <c r="D175" s="61" t="str">
        <f>INDEX('[1]INPUT_ASSUMPTIONS CALC'!I:I,MATCH(A175,'[1]INPUT_ASSUMPTIONS CALC'!A:A,0))</f>
        <v/>
      </c>
      <c r="E175" s="61" t="str">
        <f>INDEX('[1]INPUT_ASSUMPTIONS CALC'!E:E,MATCH(A175,'[1]INPUT_ASSUMPTIONS CALC'!A:A,0))</f>
        <v/>
      </c>
      <c r="F175" s="136">
        <f>IF($F$5="Q1",VLOOKUP($A175,'[1]INPUT_ASSUMPTIONS CALC'!$A$13:$CK$1019,F$7,FALSE),IF($F$5="Q2",VLOOKUP($A175,'[1]INPUT_ASSUMPTIONS CALC'!$A$13:$CK$1019,F$7,FALSE),IF($F$5="Q3",VLOOKUP($A175,'[1]INPUT_ASSUMPTIONS CALC'!$A$13:$CK$1019,F$7,FALSE),IF($F$5="Q4",VLOOKUP($A175,'[1]INPUT_ASSUMPTIONS CALC'!$A$13:$CK$1019,F$7,FALSE),IF($F$5="Year",VLOOKUP($A175,'[1]INPUT_ASSUMPTIONS CALC'!$A$13:$CK$1019,F$7,FALSE),0)))))</f>
        <v>0</v>
      </c>
      <c r="G175" s="137">
        <f>SUMIF('[1]INPUT_ASSUMPTIONS CALC'!A:A,'[1]Summary calculation'!A175,'[1]INPUT_ASSUMPTIONS CALC'!BU:BU)</f>
        <v>0</v>
      </c>
      <c r="H175" s="138">
        <f>IF($F$5="Year",F175*G175*'[1]INPUT_ASSUMPTIONS CALC'!$S$7,F175*G175)</f>
        <v>0</v>
      </c>
      <c r="I175" s="138">
        <f>H175*VLOOKUP($A175,'[1]INPUT_ASSUMPTIONS CALC'!$A$13:$CK$1019,H$6,FALSE)*SUMIF('[1]INPUT_ASSUMPTIONS CALC'!$CL$15:$CL$17,'[1]Summary calculation'!E175,'[1]INPUT_ASSUMPTIONS CALC'!$CM$15:$CM$17)</f>
        <v>0</v>
      </c>
      <c r="J175" s="139">
        <f>$I175*VLOOKUP($A175,'[1]INPUT_ASSUMPTIONS CALC'!$A$13:$CK$1019,I$6,FALSE)*VLOOKUP($A175,'[1]INPUT_ASSUMPTIONS CALC'!$A$13:$CK$1019,J$7,FALSE)</f>
        <v>0</v>
      </c>
      <c r="K175" s="139">
        <f>$I175*VLOOKUP($A175,'[1]INPUT_ASSUMPTIONS CALC'!$A$13:$CK$1019,I$6,FALSE)*VLOOKUP($A175,'[1]INPUT_ASSUMPTIONS CALC'!$A$13:$CK$1019,K$7,FALSE)</f>
        <v>0</v>
      </c>
      <c r="L175" s="139">
        <f>$I175*VLOOKUP($A175,'[1]INPUT_ASSUMPTIONS CALC'!$A$13:$CK$1019,I$6,FALSE)*VLOOKUP($A175,'[1]INPUT_ASSUMPTIONS CALC'!$A$13:$CK$1019,L$7,FALSE)</f>
        <v>0</v>
      </c>
      <c r="M175" s="139">
        <f>$I175*VLOOKUP($A175,'[1]INPUT_ASSUMPTIONS CALC'!$A$13:$CK$1019,I$6,FALSE)*VLOOKUP($A175,'[1]INPUT_ASSUMPTIONS CALC'!$A$13:$CK$1019,M$7,FALSE)</f>
        <v>0</v>
      </c>
      <c r="N175" s="140">
        <f t="shared" si="11"/>
        <v>0</v>
      </c>
      <c r="O175" s="141">
        <f>H175*VLOOKUP($A175,'[1]INPUT_ASSUMPTIONS CALC'!$A$13:$CK$1019,H$6,FALSE)*SUMIF('[1]INPUT_ASSUMPTIONS CALC'!$CQ$15:$CQ$17,'[1]Summary calculation'!E175,'[1]INPUT_ASSUMPTIONS CALC'!$CR$15:$CR$17)</f>
        <v>0</v>
      </c>
      <c r="P175" s="141">
        <f>H175*VLOOKUP($A175,'[1]INPUT_ASSUMPTIONS CALC'!$A$13:$CK$1019,H$6,FALSE)*SUMIF('[1]INPUT_ASSUMPTIONS CALC'!$CV$15:$CV$31,'[1]Summary calculation'!E175,'[1]INPUT_ASSUMPTIONS CALC'!$CW$15:$CW$31)</f>
        <v>0</v>
      </c>
      <c r="Q175" s="141">
        <f>O175*VLOOKUP($A175,'[1]INPUT_ASSUMPTIONS CALC'!$A$13:$CK$1019,Q$7,FALSE)</f>
        <v>0</v>
      </c>
      <c r="R175" s="141">
        <f>P175*VLOOKUP($A175,'[1]INPUT_ASSUMPTIONS CALC'!$A$13:$CK$1019,R$7,FALSE)</f>
        <v>0</v>
      </c>
      <c r="S175" s="140">
        <f t="shared" si="9"/>
        <v>0</v>
      </c>
      <c r="T175" s="142">
        <f t="shared" si="10"/>
        <v>0</v>
      </c>
      <c r="U175" s="61"/>
    </row>
    <row r="176" spans="1:21" x14ac:dyDescent="0.35">
      <c r="A176" s="125" t="str">
        <f t="shared" si="8"/>
        <v>168Q2</v>
      </c>
      <c r="B176" s="135">
        <v>168</v>
      </c>
      <c r="C176" s="61" t="str">
        <f>INDEX('[1]INPUT_ASSUMPTIONS CALC'!D:D,MATCH(A176,'[1]INPUT_ASSUMPTIONS CALC'!A:A,0))</f>
        <v/>
      </c>
      <c r="D176" s="61" t="str">
        <f>INDEX('[1]INPUT_ASSUMPTIONS CALC'!I:I,MATCH(A176,'[1]INPUT_ASSUMPTIONS CALC'!A:A,0))</f>
        <v/>
      </c>
      <c r="E176" s="61" t="str">
        <f>INDEX('[1]INPUT_ASSUMPTIONS CALC'!E:E,MATCH(A176,'[1]INPUT_ASSUMPTIONS CALC'!A:A,0))</f>
        <v/>
      </c>
      <c r="F176" s="136">
        <f>IF($F$5="Q1",VLOOKUP($A176,'[1]INPUT_ASSUMPTIONS CALC'!$A$13:$CK$1019,F$7,FALSE),IF($F$5="Q2",VLOOKUP($A176,'[1]INPUT_ASSUMPTIONS CALC'!$A$13:$CK$1019,F$7,FALSE),IF($F$5="Q3",VLOOKUP($A176,'[1]INPUT_ASSUMPTIONS CALC'!$A$13:$CK$1019,F$7,FALSE),IF($F$5="Q4",VLOOKUP($A176,'[1]INPUT_ASSUMPTIONS CALC'!$A$13:$CK$1019,F$7,FALSE),IF($F$5="Year",VLOOKUP($A176,'[1]INPUT_ASSUMPTIONS CALC'!$A$13:$CK$1019,F$7,FALSE),0)))))</f>
        <v>0</v>
      </c>
      <c r="G176" s="137">
        <f>SUMIF('[1]INPUT_ASSUMPTIONS CALC'!A:A,'[1]Summary calculation'!A176,'[1]INPUT_ASSUMPTIONS CALC'!BU:BU)</f>
        <v>0</v>
      </c>
      <c r="H176" s="138">
        <f>IF($F$5="Year",F176*G176*'[1]INPUT_ASSUMPTIONS CALC'!$S$7,F176*G176)</f>
        <v>0</v>
      </c>
      <c r="I176" s="138">
        <f>H176*VLOOKUP($A176,'[1]INPUT_ASSUMPTIONS CALC'!$A$13:$CK$1019,H$6,FALSE)*SUMIF('[1]INPUT_ASSUMPTIONS CALC'!$CL$15:$CL$17,'[1]Summary calculation'!E176,'[1]INPUT_ASSUMPTIONS CALC'!$CM$15:$CM$17)</f>
        <v>0</v>
      </c>
      <c r="J176" s="139">
        <f>$I176*VLOOKUP($A176,'[1]INPUT_ASSUMPTIONS CALC'!$A$13:$CK$1019,I$6,FALSE)*VLOOKUP($A176,'[1]INPUT_ASSUMPTIONS CALC'!$A$13:$CK$1019,J$7,FALSE)</f>
        <v>0</v>
      </c>
      <c r="K176" s="139">
        <f>$I176*VLOOKUP($A176,'[1]INPUT_ASSUMPTIONS CALC'!$A$13:$CK$1019,I$6,FALSE)*VLOOKUP($A176,'[1]INPUT_ASSUMPTIONS CALC'!$A$13:$CK$1019,K$7,FALSE)</f>
        <v>0</v>
      </c>
      <c r="L176" s="139">
        <f>$I176*VLOOKUP($A176,'[1]INPUT_ASSUMPTIONS CALC'!$A$13:$CK$1019,I$6,FALSE)*VLOOKUP($A176,'[1]INPUT_ASSUMPTIONS CALC'!$A$13:$CK$1019,L$7,FALSE)</f>
        <v>0</v>
      </c>
      <c r="M176" s="139">
        <f>$I176*VLOOKUP($A176,'[1]INPUT_ASSUMPTIONS CALC'!$A$13:$CK$1019,I$6,FALSE)*VLOOKUP($A176,'[1]INPUT_ASSUMPTIONS CALC'!$A$13:$CK$1019,M$7,FALSE)</f>
        <v>0</v>
      </c>
      <c r="N176" s="140">
        <f t="shared" si="11"/>
        <v>0</v>
      </c>
      <c r="O176" s="141">
        <f>H176*VLOOKUP($A176,'[1]INPUT_ASSUMPTIONS CALC'!$A$13:$CK$1019,H$6,FALSE)*SUMIF('[1]INPUT_ASSUMPTIONS CALC'!$CQ$15:$CQ$17,'[1]Summary calculation'!E176,'[1]INPUT_ASSUMPTIONS CALC'!$CR$15:$CR$17)</f>
        <v>0</v>
      </c>
      <c r="P176" s="141">
        <f>H176*VLOOKUP($A176,'[1]INPUT_ASSUMPTIONS CALC'!$A$13:$CK$1019,H$6,FALSE)*SUMIF('[1]INPUT_ASSUMPTIONS CALC'!$CV$15:$CV$31,'[1]Summary calculation'!E176,'[1]INPUT_ASSUMPTIONS CALC'!$CW$15:$CW$31)</f>
        <v>0</v>
      </c>
      <c r="Q176" s="141">
        <f>O176*VLOOKUP($A176,'[1]INPUT_ASSUMPTIONS CALC'!$A$13:$CK$1019,Q$7,FALSE)</f>
        <v>0</v>
      </c>
      <c r="R176" s="141">
        <f>P176*VLOOKUP($A176,'[1]INPUT_ASSUMPTIONS CALC'!$A$13:$CK$1019,R$7,FALSE)</f>
        <v>0</v>
      </c>
      <c r="S176" s="140">
        <f t="shared" si="9"/>
        <v>0</v>
      </c>
      <c r="T176" s="142">
        <f t="shared" si="10"/>
        <v>0</v>
      </c>
      <c r="U176" s="61"/>
    </row>
    <row r="177" spans="1:21" x14ac:dyDescent="0.35">
      <c r="A177" s="125" t="str">
        <f t="shared" si="8"/>
        <v>169Q2</v>
      </c>
      <c r="B177" s="135">
        <v>169</v>
      </c>
      <c r="C177" s="61" t="str">
        <f>INDEX('[1]INPUT_ASSUMPTIONS CALC'!D:D,MATCH(A177,'[1]INPUT_ASSUMPTIONS CALC'!A:A,0))</f>
        <v/>
      </c>
      <c r="D177" s="61" t="str">
        <f>INDEX('[1]INPUT_ASSUMPTIONS CALC'!I:I,MATCH(A177,'[1]INPUT_ASSUMPTIONS CALC'!A:A,0))</f>
        <v/>
      </c>
      <c r="E177" s="61" t="str">
        <f>INDEX('[1]INPUT_ASSUMPTIONS CALC'!E:E,MATCH(A177,'[1]INPUT_ASSUMPTIONS CALC'!A:A,0))</f>
        <v/>
      </c>
      <c r="F177" s="136">
        <f>IF($F$5="Q1",VLOOKUP($A177,'[1]INPUT_ASSUMPTIONS CALC'!$A$13:$CK$1019,F$7,FALSE),IF($F$5="Q2",VLOOKUP($A177,'[1]INPUT_ASSUMPTIONS CALC'!$A$13:$CK$1019,F$7,FALSE),IF($F$5="Q3",VLOOKUP($A177,'[1]INPUT_ASSUMPTIONS CALC'!$A$13:$CK$1019,F$7,FALSE),IF($F$5="Q4",VLOOKUP($A177,'[1]INPUT_ASSUMPTIONS CALC'!$A$13:$CK$1019,F$7,FALSE),IF($F$5="Year",VLOOKUP($A177,'[1]INPUT_ASSUMPTIONS CALC'!$A$13:$CK$1019,F$7,FALSE),0)))))</f>
        <v>0</v>
      </c>
      <c r="G177" s="137">
        <f>SUMIF('[1]INPUT_ASSUMPTIONS CALC'!A:A,'[1]Summary calculation'!A177,'[1]INPUT_ASSUMPTIONS CALC'!BU:BU)</f>
        <v>0</v>
      </c>
      <c r="H177" s="138">
        <f>IF($F$5="Year",F177*G177*'[1]INPUT_ASSUMPTIONS CALC'!$S$7,F177*G177)</f>
        <v>0</v>
      </c>
      <c r="I177" s="138">
        <f>H177*VLOOKUP($A177,'[1]INPUT_ASSUMPTIONS CALC'!$A$13:$CK$1019,H$6,FALSE)*SUMIF('[1]INPUT_ASSUMPTIONS CALC'!$CL$15:$CL$17,'[1]Summary calculation'!E177,'[1]INPUT_ASSUMPTIONS CALC'!$CM$15:$CM$17)</f>
        <v>0</v>
      </c>
      <c r="J177" s="139">
        <f>$I177*VLOOKUP($A177,'[1]INPUT_ASSUMPTIONS CALC'!$A$13:$CK$1019,I$6,FALSE)*VLOOKUP($A177,'[1]INPUT_ASSUMPTIONS CALC'!$A$13:$CK$1019,J$7,FALSE)</f>
        <v>0</v>
      </c>
      <c r="K177" s="139">
        <f>$I177*VLOOKUP($A177,'[1]INPUT_ASSUMPTIONS CALC'!$A$13:$CK$1019,I$6,FALSE)*VLOOKUP($A177,'[1]INPUT_ASSUMPTIONS CALC'!$A$13:$CK$1019,K$7,FALSE)</f>
        <v>0</v>
      </c>
      <c r="L177" s="139">
        <f>$I177*VLOOKUP($A177,'[1]INPUT_ASSUMPTIONS CALC'!$A$13:$CK$1019,I$6,FALSE)*VLOOKUP($A177,'[1]INPUT_ASSUMPTIONS CALC'!$A$13:$CK$1019,L$7,FALSE)</f>
        <v>0</v>
      </c>
      <c r="M177" s="139">
        <f>$I177*VLOOKUP($A177,'[1]INPUT_ASSUMPTIONS CALC'!$A$13:$CK$1019,I$6,FALSE)*VLOOKUP($A177,'[1]INPUT_ASSUMPTIONS CALC'!$A$13:$CK$1019,M$7,FALSE)</f>
        <v>0</v>
      </c>
      <c r="N177" s="140">
        <f t="shared" si="11"/>
        <v>0</v>
      </c>
      <c r="O177" s="141">
        <f>H177*VLOOKUP($A177,'[1]INPUT_ASSUMPTIONS CALC'!$A$13:$CK$1019,H$6,FALSE)*SUMIF('[1]INPUT_ASSUMPTIONS CALC'!$CQ$15:$CQ$17,'[1]Summary calculation'!E177,'[1]INPUT_ASSUMPTIONS CALC'!$CR$15:$CR$17)</f>
        <v>0</v>
      </c>
      <c r="P177" s="141">
        <f>H177*VLOOKUP($A177,'[1]INPUT_ASSUMPTIONS CALC'!$A$13:$CK$1019,H$6,FALSE)*SUMIF('[1]INPUT_ASSUMPTIONS CALC'!$CV$15:$CV$31,'[1]Summary calculation'!E177,'[1]INPUT_ASSUMPTIONS CALC'!$CW$15:$CW$31)</f>
        <v>0</v>
      </c>
      <c r="Q177" s="141">
        <f>O177*VLOOKUP($A177,'[1]INPUT_ASSUMPTIONS CALC'!$A$13:$CK$1019,Q$7,FALSE)</f>
        <v>0</v>
      </c>
      <c r="R177" s="141">
        <f>P177*VLOOKUP($A177,'[1]INPUT_ASSUMPTIONS CALC'!$A$13:$CK$1019,R$7,FALSE)</f>
        <v>0</v>
      </c>
      <c r="S177" s="140">
        <f t="shared" si="9"/>
        <v>0</v>
      </c>
      <c r="T177" s="142">
        <f t="shared" si="10"/>
        <v>0</v>
      </c>
      <c r="U177" s="61"/>
    </row>
    <row r="178" spans="1:21" x14ac:dyDescent="0.35">
      <c r="A178" s="125" t="str">
        <f t="shared" si="8"/>
        <v>170Q2</v>
      </c>
      <c r="B178" s="135">
        <v>170</v>
      </c>
      <c r="C178" s="61" t="str">
        <f>INDEX('[1]INPUT_ASSUMPTIONS CALC'!D:D,MATCH(A178,'[1]INPUT_ASSUMPTIONS CALC'!A:A,0))</f>
        <v/>
      </c>
      <c r="D178" s="61" t="str">
        <f>INDEX('[1]INPUT_ASSUMPTIONS CALC'!I:I,MATCH(A178,'[1]INPUT_ASSUMPTIONS CALC'!A:A,0))</f>
        <v/>
      </c>
      <c r="E178" s="61" t="str">
        <f>INDEX('[1]INPUT_ASSUMPTIONS CALC'!E:E,MATCH(A178,'[1]INPUT_ASSUMPTIONS CALC'!A:A,0))</f>
        <v/>
      </c>
      <c r="F178" s="136">
        <f>IF($F$5="Q1",VLOOKUP($A178,'[1]INPUT_ASSUMPTIONS CALC'!$A$13:$CK$1019,F$7,FALSE),IF($F$5="Q2",VLOOKUP($A178,'[1]INPUT_ASSUMPTIONS CALC'!$A$13:$CK$1019,F$7,FALSE),IF($F$5="Q3",VLOOKUP($A178,'[1]INPUT_ASSUMPTIONS CALC'!$A$13:$CK$1019,F$7,FALSE),IF($F$5="Q4",VLOOKUP($A178,'[1]INPUT_ASSUMPTIONS CALC'!$A$13:$CK$1019,F$7,FALSE),IF($F$5="Year",VLOOKUP($A178,'[1]INPUT_ASSUMPTIONS CALC'!$A$13:$CK$1019,F$7,FALSE),0)))))</f>
        <v>0</v>
      </c>
      <c r="G178" s="137">
        <f>SUMIF('[1]INPUT_ASSUMPTIONS CALC'!A:A,'[1]Summary calculation'!A178,'[1]INPUT_ASSUMPTIONS CALC'!BU:BU)</f>
        <v>0</v>
      </c>
      <c r="H178" s="138">
        <f>IF($F$5="Year",F178*G178*'[1]INPUT_ASSUMPTIONS CALC'!$S$7,F178*G178)</f>
        <v>0</v>
      </c>
      <c r="I178" s="138">
        <f>H178*VLOOKUP($A178,'[1]INPUT_ASSUMPTIONS CALC'!$A$13:$CK$1019,H$6,FALSE)*SUMIF('[1]INPUT_ASSUMPTIONS CALC'!$CL$15:$CL$17,'[1]Summary calculation'!E178,'[1]INPUT_ASSUMPTIONS CALC'!$CM$15:$CM$17)</f>
        <v>0</v>
      </c>
      <c r="J178" s="139">
        <f>$I178*VLOOKUP($A178,'[1]INPUT_ASSUMPTIONS CALC'!$A$13:$CK$1019,I$6,FALSE)*VLOOKUP($A178,'[1]INPUT_ASSUMPTIONS CALC'!$A$13:$CK$1019,J$7,FALSE)</f>
        <v>0</v>
      </c>
      <c r="K178" s="139">
        <f>$I178*VLOOKUP($A178,'[1]INPUT_ASSUMPTIONS CALC'!$A$13:$CK$1019,I$6,FALSE)*VLOOKUP($A178,'[1]INPUT_ASSUMPTIONS CALC'!$A$13:$CK$1019,K$7,FALSE)</f>
        <v>0</v>
      </c>
      <c r="L178" s="139">
        <f>$I178*VLOOKUP($A178,'[1]INPUT_ASSUMPTIONS CALC'!$A$13:$CK$1019,I$6,FALSE)*VLOOKUP($A178,'[1]INPUT_ASSUMPTIONS CALC'!$A$13:$CK$1019,L$7,FALSE)</f>
        <v>0</v>
      </c>
      <c r="M178" s="139">
        <f>$I178*VLOOKUP($A178,'[1]INPUT_ASSUMPTIONS CALC'!$A$13:$CK$1019,I$6,FALSE)*VLOOKUP($A178,'[1]INPUT_ASSUMPTIONS CALC'!$A$13:$CK$1019,M$7,FALSE)</f>
        <v>0</v>
      </c>
      <c r="N178" s="140">
        <f t="shared" si="11"/>
        <v>0</v>
      </c>
      <c r="O178" s="141">
        <f>H178*VLOOKUP($A178,'[1]INPUT_ASSUMPTIONS CALC'!$A$13:$CK$1019,H$6,FALSE)*SUMIF('[1]INPUT_ASSUMPTIONS CALC'!$CQ$15:$CQ$17,'[1]Summary calculation'!E178,'[1]INPUT_ASSUMPTIONS CALC'!$CR$15:$CR$17)</f>
        <v>0</v>
      </c>
      <c r="P178" s="141">
        <f>H178*VLOOKUP($A178,'[1]INPUT_ASSUMPTIONS CALC'!$A$13:$CK$1019,H$6,FALSE)*SUMIF('[1]INPUT_ASSUMPTIONS CALC'!$CV$15:$CV$31,'[1]Summary calculation'!E178,'[1]INPUT_ASSUMPTIONS CALC'!$CW$15:$CW$31)</f>
        <v>0</v>
      </c>
      <c r="Q178" s="141">
        <f>O178*VLOOKUP($A178,'[1]INPUT_ASSUMPTIONS CALC'!$A$13:$CK$1019,Q$7,FALSE)</f>
        <v>0</v>
      </c>
      <c r="R178" s="141">
        <f>P178*VLOOKUP($A178,'[1]INPUT_ASSUMPTIONS CALC'!$A$13:$CK$1019,R$7,FALSE)</f>
        <v>0</v>
      </c>
      <c r="S178" s="140">
        <f t="shared" si="9"/>
        <v>0</v>
      </c>
      <c r="T178" s="142">
        <f t="shared" si="10"/>
        <v>0</v>
      </c>
      <c r="U178" s="61"/>
    </row>
    <row r="179" spans="1:21" x14ac:dyDescent="0.35">
      <c r="A179" s="125" t="str">
        <f t="shared" si="8"/>
        <v>171Q2</v>
      </c>
      <c r="B179" s="135">
        <v>171</v>
      </c>
      <c r="C179" s="61" t="str">
        <f>INDEX('[1]INPUT_ASSUMPTIONS CALC'!D:D,MATCH(A179,'[1]INPUT_ASSUMPTIONS CALC'!A:A,0))</f>
        <v/>
      </c>
      <c r="D179" s="61" t="str">
        <f>INDEX('[1]INPUT_ASSUMPTIONS CALC'!I:I,MATCH(A179,'[1]INPUT_ASSUMPTIONS CALC'!A:A,0))</f>
        <v/>
      </c>
      <c r="E179" s="61" t="str">
        <f>INDEX('[1]INPUT_ASSUMPTIONS CALC'!E:E,MATCH(A179,'[1]INPUT_ASSUMPTIONS CALC'!A:A,0))</f>
        <v/>
      </c>
      <c r="F179" s="136">
        <f>IF($F$5="Q1",VLOOKUP($A179,'[1]INPUT_ASSUMPTIONS CALC'!$A$13:$CK$1019,F$7,FALSE),IF($F$5="Q2",VLOOKUP($A179,'[1]INPUT_ASSUMPTIONS CALC'!$A$13:$CK$1019,F$7,FALSE),IF($F$5="Q3",VLOOKUP($A179,'[1]INPUT_ASSUMPTIONS CALC'!$A$13:$CK$1019,F$7,FALSE),IF($F$5="Q4",VLOOKUP($A179,'[1]INPUT_ASSUMPTIONS CALC'!$A$13:$CK$1019,F$7,FALSE),IF($F$5="Year",VLOOKUP($A179,'[1]INPUT_ASSUMPTIONS CALC'!$A$13:$CK$1019,F$7,FALSE),0)))))</f>
        <v>0</v>
      </c>
      <c r="G179" s="137">
        <f>SUMIF('[1]INPUT_ASSUMPTIONS CALC'!A:A,'[1]Summary calculation'!A179,'[1]INPUT_ASSUMPTIONS CALC'!BU:BU)</f>
        <v>0</v>
      </c>
      <c r="H179" s="138">
        <f>IF($F$5="Year",F179*G179*'[1]INPUT_ASSUMPTIONS CALC'!$S$7,F179*G179)</f>
        <v>0</v>
      </c>
      <c r="I179" s="138">
        <f>H179*VLOOKUP($A179,'[1]INPUT_ASSUMPTIONS CALC'!$A$13:$CK$1019,H$6,FALSE)*SUMIF('[1]INPUT_ASSUMPTIONS CALC'!$CL$15:$CL$17,'[1]Summary calculation'!E179,'[1]INPUT_ASSUMPTIONS CALC'!$CM$15:$CM$17)</f>
        <v>0</v>
      </c>
      <c r="J179" s="139">
        <f>$I179*VLOOKUP($A179,'[1]INPUT_ASSUMPTIONS CALC'!$A$13:$CK$1019,I$6,FALSE)*VLOOKUP($A179,'[1]INPUT_ASSUMPTIONS CALC'!$A$13:$CK$1019,J$7,FALSE)</f>
        <v>0</v>
      </c>
      <c r="K179" s="139">
        <f>$I179*VLOOKUP($A179,'[1]INPUT_ASSUMPTIONS CALC'!$A$13:$CK$1019,I$6,FALSE)*VLOOKUP($A179,'[1]INPUT_ASSUMPTIONS CALC'!$A$13:$CK$1019,K$7,FALSE)</f>
        <v>0</v>
      </c>
      <c r="L179" s="139">
        <f>$I179*VLOOKUP($A179,'[1]INPUT_ASSUMPTIONS CALC'!$A$13:$CK$1019,I$6,FALSE)*VLOOKUP($A179,'[1]INPUT_ASSUMPTIONS CALC'!$A$13:$CK$1019,L$7,FALSE)</f>
        <v>0</v>
      </c>
      <c r="M179" s="139">
        <f>$I179*VLOOKUP($A179,'[1]INPUT_ASSUMPTIONS CALC'!$A$13:$CK$1019,I$6,FALSE)*VLOOKUP($A179,'[1]INPUT_ASSUMPTIONS CALC'!$A$13:$CK$1019,M$7,FALSE)</f>
        <v>0</v>
      </c>
      <c r="N179" s="140">
        <f t="shared" si="11"/>
        <v>0</v>
      </c>
      <c r="O179" s="141">
        <f>H179*VLOOKUP($A179,'[1]INPUT_ASSUMPTIONS CALC'!$A$13:$CK$1019,H$6,FALSE)*SUMIF('[1]INPUT_ASSUMPTIONS CALC'!$CQ$15:$CQ$17,'[1]Summary calculation'!E179,'[1]INPUT_ASSUMPTIONS CALC'!$CR$15:$CR$17)</f>
        <v>0</v>
      </c>
      <c r="P179" s="141">
        <f>H179*VLOOKUP($A179,'[1]INPUT_ASSUMPTIONS CALC'!$A$13:$CK$1019,H$6,FALSE)*SUMIF('[1]INPUT_ASSUMPTIONS CALC'!$CV$15:$CV$31,'[1]Summary calculation'!E179,'[1]INPUT_ASSUMPTIONS CALC'!$CW$15:$CW$31)</f>
        <v>0</v>
      </c>
      <c r="Q179" s="141">
        <f>O179*VLOOKUP($A179,'[1]INPUT_ASSUMPTIONS CALC'!$A$13:$CK$1019,Q$7,FALSE)</f>
        <v>0</v>
      </c>
      <c r="R179" s="141">
        <f>P179*VLOOKUP($A179,'[1]INPUT_ASSUMPTIONS CALC'!$A$13:$CK$1019,R$7,FALSE)</f>
        <v>0</v>
      </c>
      <c r="S179" s="140">
        <f t="shared" si="9"/>
        <v>0</v>
      </c>
      <c r="T179" s="142">
        <f t="shared" si="10"/>
        <v>0</v>
      </c>
      <c r="U179" s="61"/>
    </row>
    <row r="180" spans="1:21" x14ac:dyDescent="0.35">
      <c r="A180" s="125" t="str">
        <f t="shared" si="8"/>
        <v>172Q2</v>
      </c>
      <c r="B180" s="135">
        <v>172</v>
      </c>
      <c r="C180" s="61" t="str">
        <f>INDEX('[1]INPUT_ASSUMPTIONS CALC'!D:D,MATCH(A180,'[1]INPUT_ASSUMPTIONS CALC'!A:A,0))</f>
        <v/>
      </c>
      <c r="D180" s="61" t="str">
        <f>INDEX('[1]INPUT_ASSUMPTIONS CALC'!I:I,MATCH(A180,'[1]INPUT_ASSUMPTIONS CALC'!A:A,0))</f>
        <v/>
      </c>
      <c r="E180" s="61" t="str">
        <f>INDEX('[1]INPUT_ASSUMPTIONS CALC'!E:E,MATCH(A180,'[1]INPUT_ASSUMPTIONS CALC'!A:A,0))</f>
        <v/>
      </c>
      <c r="F180" s="136">
        <f>IF($F$5="Q1",VLOOKUP($A180,'[1]INPUT_ASSUMPTIONS CALC'!$A$13:$CK$1019,F$7,FALSE),IF($F$5="Q2",VLOOKUP($A180,'[1]INPUT_ASSUMPTIONS CALC'!$A$13:$CK$1019,F$7,FALSE),IF($F$5="Q3",VLOOKUP($A180,'[1]INPUT_ASSUMPTIONS CALC'!$A$13:$CK$1019,F$7,FALSE),IF($F$5="Q4",VLOOKUP($A180,'[1]INPUT_ASSUMPTIONS CALC'!$A$13:$CK$1019,F$7,FALSE),IF($F$5="Year",VLOOKUP($A180,'[1]INPUT_ASSUMPTIONS CALC'!$A$13:$CK$1019,F$7,FALSE),0)))))</f>
        <v>0</v>
      </c>
      <c r="G180" s="137">
        <f>SUMIF('[1]INPUT_ASSUMPTIONS CALC'!A:A,'[1]Summary calculation'!A180,'[1]INPUT_ASSUMPTIONS CALC'!BU:BU)</f>
        <v>0</v>
      </c>
      <c r="H180" s="138">
        <f>IF($F$5="Year",F180*G180*'[1]INPUT_ASSUMPTIONS CALC'!$S$7,F180*G180)</f>
        <v>0</v>
      </c>
      <c r="I180" s="138">
        <f>H180*VLOOKUP($A180,'[1]INPUT_ASSUMPTIONS CALC'!$A$13:$CK$1019,H$6,FALSE)*SUMIF('[1]INPUT_ASSUMPTIONS CALC'!$CL$15:$CL$17,'[1]Summary calculation'!E180,'[1]INPUT_ASSUMPTIONS CALC'!$CM$15:$CM$17)</f>
        <v>0</v>
      </c>
      <c r="J180" s="139">
        <f>$I180*VLOOKUP($A180,'[1]INPUT_ASSUMPTIONS CALC'!$A$13:$CK$1019,I$6,FALSE)*VLOOKUP($A180,'[1]INPUT_ASSUMPTIONS CALC'!$A$13:$CK$1019,J$7,FALSE)</f>
        <v>0</v>
      </c>
      <c r="K180" s="139">
        <f>$I180*VLOOKUP($A180,'[1]INPUT_ASSUMPTIONS CALC'!$A$13:$CK$1019,I$6,FALSE)*VLOOKUP($A180,'[1]INPUT_ASSUMPTIONS CALC'!$A$13:$CK$1019,K$7,FALSE)</f>
        <v>0</v>
      </c>
      <c r="L180" s="139">
        <f>$I180*VLOOKUP($A180,'[1]INPUT_ASSUMPTIONS CALC'!$A$13:$CK$1019,I$6,FALSE)*VLOOKUP($A180,'[1]INPUT_ASSUMPTIONS CALC'!$A$13:$CK$1019,L$7,FALSE)</f>
        <v>0</v>
      </c>
      <c r="M180" s="139">
        <f>$I180*VLOOKUP($A180,'[1]INPUT_ASSUMPTIONS CALC'!$A$13:$CK$1019,I$6,FALSE)*VLOOKUP($A180,'[1]INPUT_ASSUMPTIONS CALC'!$A$13:$CK$1019,M$7,FALSE)</f>
        <v>0</v>
      </c>
      <c r="N180" s="140">
        <f t="shared" si="11"/>
        <v>0</v>
      </c>
      <c r="O180" s="141">
        <f>H180*VLOOKUP($A180,'[1]INPUT_ASSUMPTIONS CALC'!$A$13:$CK$1019,H$6,FALSE)*SUMIF('[1]INPUT_ASSUMPTIONS CALC'!$CQ$15:$CQ$17,'[1]Summary calculation'!E180,'[1]INPUT_ASSUMPTIONS CALC'!$CR$15:$CR$17)</f>
        <v>0</v>
      </c>
      <c r="P180" s="141">
        <f>H180*VLOOKUP($A180,'[1]INPUT_ASSUMPTIONS CALC'!$A$13:$CK$1019,H$6,FALSE)*SUMIF('[1]INPUT_ASSUMPTIONS CALC'!$CV$15:$CV$31,'[1]Summary calculation'!E180,'[1]INPUT_ASSUMPTIONS CALC'!$CW$15:$CW$31)</f>
        <v>0</v>
      </c>
      <c r="Q180" s="141">
        <f>O180*VLOOKUP($A180,'[1]INPUT_ASSUMPTIONS CALC'!$A$13:$CK$1019,Q$7,FALSE)</f>
        <v>0</v>
      </c>
      <c r="R180" s="141">
        <f>P180*VLOOKUP($A180,'[1]INPUT_ASSUMPTIONS CALC'!$A$13:$CK$1019,R$7,FALSE)</f>
        <v>0</v>
      </c>
      <c r="S180" s="140">
        <f t="shared" si="9"/>
        <v>0</v>
      </c>
      <c r="T180" s="142">
        <f t="shared" si="10"/>
        <v>0</v>
      </c>
      <c r="U180" s="61"/>
    </row>
    <row r="181" spans="1:21" x14ac:dyDescent="0.35">
      <c r="A181" s="125" t="str">
        <f t="shared" si="8"/>
        <v>173Q2</v>
      </c>
      <c r="B181" s="135">
        <v>173</v>
      </c>
      <c r="C181" s="61" t="str">
        <f>INDEX('[1]INPUT_ASSUMPTIONS CALC'!D:D,MATCH(A181,'[1]INPUT_ASSUMPTIONS CALC'!A:A,0))</f>
        <v/>
      </c>
      <c r="D181" s="61" t="str">
        <f>INDEX('[1]INPUT_ASSUMPTIONS CALC'!I:I,MATCH(A181,'[1]INPUT_ASSUMPTIONS CALC'!A:A,0))</f>
        <v/>
      </c>
      <c r="E181" s="61" t="str">
        <f>INDEX('[1]INPUT_ASSUMPTIONS CALC'!E:E,MATCH(A181,'[1]INPUT_ASSUMPTIONS CALC'!A:A,0))</f>
        <v/>
      </c>
      <c r="F181" s="136">
        <f>IF($F$5="Q1",VLOOKUP($A181,'[1]INPUT_ASSUMPTIONS CALC'!$A$13:$CK$1019,F$7,FALSE),IF($F$5="Q2",VLOOKUP($A181,'[1]INPUT_ASSUMPTIONS CALC'!$A$13:$CK$1019,F$7,FALSE),IF($F$5="Q3",VLOOKUP($A181,'[1]INPUT_ASSUMPTIONS CALC'!$A$13:$CK$1019,F$7,FALSE),IF($F$5="Q4",VLOOKUP($A181,'[1]INPUT_ASSUMPTIONS CALC'!$A$13:$CK$1019,F$7,FALSE),IF($F$5="Year",VLOOKUP($A181,'[1]INPUT_ASSUMPTIONS CALC'!$A$13:$CK$1019,F$7,FALSE),0)))))</f>
        <v>0</v>
      </c>
      <c r="G181" s="137">
        <f>SUMIF('[1]INPUT_ASSUMPTIONS CALC'!A:A,'[1]Summary calculation'!A181,'[1]INPUT_ASSUMPTIONS CALC'!BU:BU)</f>
        <v>0</v>
      </c>
      <c r="H181" s="138">
        <f>IF($F$5="Year",F181*G181*'[1]INPUT_ASSUMPTIONS CALC'!$S$7,F181*G181)</f>
        <v>0</v>
      </c>
      <c r="I181" s="138">
        <f>H181*VLOOKUP($A181,'[1]INPUT_ASSUMPTIONS CALC'!$A$13:$CK$1019,H$6,FALSE)*SUMIF('[1]INPUT_ASSUMPTIONS CALC'!$CL$15:$CL$17,'[1]Summary calculation'!E181,'[1]INPUT_ASSUMPTIONS CALC'!$CM$15:$CM$17)</f>
        <v>0</v>
      </c>
      <c r="J181" s="139">
        <f>$I181*VLOOKUP($A181,'[1]INPUT_ASSUMPTIONS CALC'!$A$13:$CK$1019,I$6,FALSE)*VLOOKUP($A181,'[1]INPUT_ASSUMPTIONS CALC'!$A$13:$CK$1019,J$7,FALSE)</f>
        <v>0</v>
      </c>
      <c r="K181" s="139">
        <f>$I181*VLOOKUP($A181,'[1]INPUT_ASSUMPTIONS CALC'!$A$13:$CK$1019,I$6,FALSE)*VLOOKUP($A181,'[1]INPUT_ASSUMPTIONS CALC'!$A$13:$CK$1019,K$7,FALSE)</f>
        <v>0</v>
      </c>
      <c r="L181" s="139">
        <f>$I181*VLOOKUP($A181,'[1]INPUT_ASSUMPTIONS CALC'!$A$13:$CK$1019,I$6,FALSE)*VLOOKUP($A181,'[1]INPUT_ASSUMPTIONS CALC'!$A$13:$CK$1019,L$7,FALSE)</f>
        <v>0</v>
      </c>
      <c r="M181" s="139">
        <f>$I181*VLOOKUP($A181,'[1]INPUT_ASSUMPTIONS CALC'!$A$13:$CK$1019,I$6,FALSE)*VLOOKUP($A181,'[1]INPUT_ASSUMPTIONS CALC'!$A$13:$CK$1019,M$7,FALSE)</f>
        <v>0</v>
      </c>
      <c r="N181" s="140">
        <f t="shared" si="11"/>
        <v>0</v>
      </c>
      <c r="O181" s="141">
        <f>H181*VLOOKUP($A181,'[1]INPUT_ASSUMPTIONS CALC'!$A$13:$CK$1019,H$6,FALSE)*SUMIF('[1]INPUT_ASSUMPTIONS CALC'!$CQ$15:$CQ$17,'[1]Summary calculation'!E181,'[1]INPUT_ASSUMPTIONS CALC'!$CR$15:$CR$17)</f>
        <v>0</v>
      </c>
      <c r="P181" s="141">
        <f>H181*VLOOKUP($A181,'[1]INPUT_ASSUMPTIONS CALC'!$A$13:$CK$1019,H$6,FALSE)*SUMIF('[1]INPUT_ASSUMPTIONS CALC'!$CV$15:$CV$31,'[1]Summary calculation'!E181,'[1]INPUT_ASSUMPTIONS CALC'!$CW$15:$CW$31)</f>
        <v>0</v>
      </c>
      <c r="Q181" s="141">
        <f>O181*VLOOKUP($A181,'[1]INPUT_ASSUMPTIONS CALC'!$A$13:$CK$1019,Q$7,FALSE)</f>
        <v>0</v>
      </c>
      <c r="R181" s="141">
        <f>P181*VLOOKUP($A181,'[1]INPUT_ASSUMPTIONS CALC'!$A$13:$CK$1019,R$7,FALSE)</f>
        <v>0</v>
      </c>
      <c r="S181" s="140">
        <f t="shared" si="9"/>
        <v>0</v>
      </c>
      <c r="T181" s="142">
        <f t="shared" si="10"/>
        <v>0</v>
      </c>
      <c r="U181" s="61"/>
    </row>
    <row r="182" spans="1:21" x14ac:dyDescent="0.35">
      <c r="A182" s="125" t="str">
        <f t="shared" si="8"/>
        <v>174Q2</v>
      </c>
      <c r="B182" s="135">
        <v>174</v>
      </c>
      <c r="C182" s="61" t="str">
        <f>INDEX('[1]INPUT_ASSUMPTIONS CALC'!D:D,MATCH(A182,'[1]INPUT_ASSUMPTIONS CALC'!A:A,0))</f>
        <v/>
      </c>
      <c r="D182" s="61" t="str">
        <f>INDEX('[1]INPUT_ASSUMPTIONS CALC'!I:I,MATCH(A182,'[1]INPUT_ASSUMPTIONS CALC'!A:A,0))</f>
        <v/>
      </c>
      <c r="E182" s="61" t="str">
        <f>INDEX('[1]INPUT_ASSUMPTIONS CALC'!E:E,MATCH(A182,'[1]INPUT_ASSUMPTIONS CALC'!A:A,0))</f>
        <v/>
      </c>
      <c r="F182" s="136">
        <f>IF($F$5="Q1",VLOOKUP($A182,'[1]INPUT_ASSUMPTIONS CALC'!$A$13:$CK$1019,F$7,FALSE),IF($F$5="Q2",VLOOKUP($A182,'[1]INPUT_ASSUMPTIONS CALC'!$A$13:$CK$1019,F$7,FALSE),IF($F$5="Q3",VLOOKUP($A182,'[1]INPUT_ASSUMPTIONS CALC'!$A$13:$CK$1019,F$7,FALSE),IF($F$5="Q4",VLOOKUP($A182,'[1]INPUT_ASSUMPTIONS CALC'!$A$13:$CK$1019,F$7,FALSE),IF($F$5="Year",VLOOKUP($A182,'[1]INPUT_ASSUMPTIONS CALC'!$A$13:$CK$1019,F$7,FALSE),0)))))</f>
        <v>0</v>
      </c>
      <c r="G182" s="137">
        <f>SUMIF('[1]INPUT_ASSUMPTIONS CALC'!A:A,'[1]Summary calculation'!A182,'[1]INPUT_ASSUMPTIONS CALC'!BU:BU)</f>
        <v>0</v>
      </c>
      <c r="H182" s="138">
        <f>IF($F$5="Year",F182*G182*'[1]INPUT_ASSUMPTIONS CALC'!$S$7,F182*G182)</f>
        <v>0</v>
      </c>
      <c r="I182" s="138">
        <f>H182*VLOOKUP($A182,'[1]INPUT_ASSUMPTIONS CALC'!$A$13:$CK$1019,H$6,FALSE)*SUMIF('[1]INPUT_ASSUMPTIONS CALC'!$CL$15:$CL$17,'[1]Summary calculation'!E182,'[1]INPUT_ASSUMPTIONS CALC'!$CM$15:$CM$17)</f>
        <v>0</v>
      </c>
      <c r="J182" s="139">
        <f>$I182*VLOOKUP($A182,'[1]INPUT_ASSUMPTIONS CALC'!$A$13:$CK$1019,I$6,FALSE)*VLOOKUP($A182,'[1]INPUT_ASSUMPTIONS CALC'!$A$13:$CK$1019,J$7,FALSE)</f>
        <v>0</v>
      </c>
      <c r="K182" s="139">
        <f>$I182*VLOOKUP($A182,'[1]INPUT_ASSUMPTIONS CALC'!$A$13:$CK$1019,I$6,FALSE)*VLOOKUP($A182,'[1]INPUT_ASSUMPTIONS CALC'!$A$13:$CK$1019,K$7,FALSE)</f>
        <v>0</v>
      </c>
      <c r="L182" s="139">
        <f>$I182*VLOOKUP($A182,'[1]INPUT_ASSUMPTIONS CALC'!$A$13:$CK$1019,I$6,FALSE)*VLOOKUP($A182,'[1]INPUT_ASSUMPTIONS CALC'!$A$13:$CK$1019,L$7,FALSE)</f>
        <v>0</v>
      </c>
      <c r="M182" s="139">
        <f>$I182*VLOOKUP($A182,'[1]INPUT_ASSUMPTIONS CALC'!$A$13:$CK$1019,I$6,FALSE)*VLOOKUP($A182,'[1]INPUT_ASSUMPTIONS CALC'!$A$13:$CK$1019,M$7,FALSE)</f>
        <v>0</v>
      </c>
      <c r="N182" s="140">
        <f t="shared" si="11"/>
        <v>0</v>
      </c>
      <c r="O182" s="141">
        <f>H182*VLOOKUP($A182,'[1]INPUT_ASSUMPTIONS CALC'!$A$13:$CK$1019,H$6,FALSE)*SUMIF('[1]INPUT_ASSUMPTIONS CALC'!$CQ$15:$CQ$17,'[1]Summary calculation'!E182,'[1]INPUT_ASSUMPTIONS CALC'!$CR$15:$CR$17)</f>
        <v>0</v>
      </c>
      <c r="P182" s="141">
        <f>H182*VLOOKUP($A182,'[1]INPUT_ASSUMPTIONS CALC'!$A$13:$CK$1019,H$6,FALSE)*SUMIF('[1]INPUT_ASSUMPTIONS CALC'!$CV$15:$CV$31,'[1]Summary calculation'!E182,'[1]INPUT_ASSUMPTIONS CALC'!$CW$15:$CW$31)</f>
        <v>0</v>
      </c>
      <c r="Q182" s="141">
        <f>O182*VLOOKUP($A182,'[1]INPUT_ASSUMPTIONS CALC'!$A$13:$CK$1019,Q$7,FALSE)</f>
        <v>0</v>
      </c>
      <c r="R182" s="141">
        <f>P182*VLOOKUP($A182,'[1]INPUT_ASSUMPTIONS CALC'!$A$13:$CK$1019,R$7,FALSE)</f>
        <v>0</v>
      </c>
      <c r="S182" s="140">
        <f t="shared" si="9"/>
        <v>0</v>
      </c>
      <c r="T182" s="142">
        <f t="shared" si="10"/>
        <v>0</v>
      </c>
      <c r="U182" s="61"/>
    </row>
    <row r="183" spans="1:21" x14ac:dyDescent="0.35">
      <c r="A183" s="125" t="str">
        <f t="shared" si="8"/>
        <v>175Q2</v>
      </c>
      <c r="B183" s="135">
        <v>175</v>
      </c>
      <c r="C183" s="61" t="str">
        <f>INDEX('[1]INPUT_ASSUMPTIONS CALC'!D:D,MATCH(A183,'[1]INPUT_ASSUMPTIONS CALC'!A:A,0))</f>
        <v/>
      </c>
      <c r="D183" s="61" t="str">
        <f>INDEX('[1]INPUT_ASSUMPTIONS CALC'!I:I,MATCH(A183,'[1]INPUT_ASSUMPTIONS CALC'!A:A,0))</f>
        <v/>
      </c>
      <c r="E183" s="61" t="str">
        <f>INDEX('[1]INPUT_ASSUMPTIONS CALC'!E:E,MATCH(A183,'[1]INPUT_ASSUMPTIONS CALC'!A:A,0))</f>
        <v/>
      </c>
      <c r="F183" s="136">
        <f>IF($F$5="Q1",VLOOKUP($A183,'[1]INPUT_ASSUMPTIONS CALC'!$A$13:$CK$1019,F$7,FALSE),IF($F$5="Q2",VLOOKUP($A183,'[1]INPUT_ASSUMPTIONS CALC'!$A$13:$CK$1019,F$7,FALSE),IF($F$5="Q3",VLOOKUP($A183,'[1]INPUT_ASSUMPTIONS CALC'!$A$13:$CK$1019,F$7,FALSE),IF($F$5="Q4",VLOOKUP($A183,'[1]INPUT_ASSUMPTIONS CALC'!$A$13:$CK$1019,F$7,FALSE),IF($F$5="Year",VLOOKUP($A183,'[1]INPUT_ASSUMPTIONS CALC'!$A$13:$CK$1019,F$7,FALSE),0)))))</f>
        <v>0</v>
      </c>
      <c r="G183" s="137">
        <f>SUMIF('[1]INPUT_ASSUMPTIONS CALC'!A:A,'[1]Summary calculation'!A183,'[1]INPUT_ASSUMPTIONS CALC'!BU:BU)</f>
        <v>0</v>
      </c>
      <c r="H183" s="138">
        <f>IF($F$5="Year",F183*G183*'[1]INPUT_ASSUMPTIONS CALC'!$S$7,F183*G183)</f>
        <v>0</v>
      </c>
      <c r="I183" s="138">
        <f>H183*VLOOKUP($A183,'[1]INPUT_ASSUMPTIONS CALC'!$A$13:$CK$1019,H$6,FALSE)*SUMIF('[1]INPUT_ASSUMPTIONS CALC'!$CL$15:$CL$17,'[1]Summary calculation'!E183,'[1]INPUT_ASSUMPTIONS CALC'!$CM$15:$CM$17)</f>
        <v>0</v>
      </c>
      <c r="J183" s="139">
        <f>$I183*VLOOKUP($A183,'[1]INPUT_ASSUMPTIONS CALC'!$A$13:$CK$1019,I$6,FALSE)*VLOOKUP($A183,'[1]INPUT_ASSUMPTIONS CALC'!$A$13:$CK$1019,J$7,FALSE)</f>
        <v>0</v>
      </c>
      <c r="K183" s="139">
        <f>$I183*VLOOKUP($A183,'[1]INPUT_ASSUMPTIONS CALC'!$A$13:$CK$1019,I$6,FALSE)*VLOOKUP($A183,'[1]INPUT_ASSUMPTIONS CALC'!$A$13:$CK$1019,K$7,FALSE)</f>
        <v>0</v>
      </c>
      <c r="L183" s="139">
        <f>$I183*VLOOKUP($A183,'[1]INPUT_ASSUMPTIONS CALC'!$A$13:$CK$1019,I$6,FALSE)*VLOOKUP($A183,'[1]INPUT_ASSUMPTIONS CALC'!$A$13:$CK$1019,L$7,FALSE)</f>
        <v>0</v>
      </c>
      <c r="M183" s="139">
        <f>$I183*VLOOKUP($A183,'[1]INPUT_ASSUMPTIONS CALC'!$A$13:$CK$1019,I$6,FALSE)*VLOOKUP($A183,'[1]INPUT_ASSUMPTIONS CALC'!$A$13:$CK$1019,M$7,FALSE)</f>
        <v>0</v>
      </c>
      <c r="N183" s="140">
        <f t="shared" si="11"/>
        <v>0</v>
      </c>
      <c r="O183" s="141">
        <f>H183*VLOOKUP($A183,'[1]INPUT_ASSUMPTIONS CALC'!$A$13:$CK$1019,H$6,FALSE)*SUMIF('[1]INPUT_ASSUMPTIONS CALC'!$CQ$15:$CQ$17,'[1]Summary calculation'!E183,'[1]INPUT_ASSUMPTIONS CALC'!$CR$15:$CR$17)</f>
        <v>0</v>
      </c>
      <c r="P183" s="141">
        <f>H183*VLOOKUP($A183,'[1]INPUT_ASSUMPTIONS CALC'!$A$13:$CK$1019,H$6,FALSE)*SUMIF('[1]INPUT_ASSUMPTIONS CALC'!$CV$15:$CV$31,'[1]Summary calculation'!E183,'[1]INPUT_ASSUMPTIONS CALC'!$CW$15:$CW$31)</f>
        <v>0</v>
      </c>
      <c r="Q183" s="141">
        <f>O183*VLOOKUP($A183,'[1]INPUT_ASSUMPTIONS CALC'!$A$13:$CK$1019,Q$7,FALSE)</f>
        <v>0</v>
      </c>
      <c r="R183" s="141">
        <f>P183*VLOOKUP($A183,'[1]INPUT_ASSUMPTIONS CALC'!$A$13:$CK$1019,R$7,FALSE)</f>
        <v>0</v>
      </c>
      <c r="S183" s="140">
        <f t="shared" si="9"/>
        <v>0</v>
      </c>
      <c r="T183" s="142">
        <f t="shared" si="10"/>
        <v>0</v>
      </c>
      <c r="U183" s="61"/>
    </row>
    <row r="184" spans="1:21" x14ac:dyDescent="0.35">
      <c r="A184" s="125" t="str">
        <f t="shared" si="8"/>
        <v>176Q2</v>
      </c>
      <c r="B184" s="135">
        <v>176</v>
      </c>
      <c r="C184" s="61" t="str">
        <f>INDEX('[1]INPUT_ASSUMPTIONS CALC'!D:D,MATCH(A184,'[1]INPUT_ASSUMPTIONS CALC'!A:A,0))</f>
        <v/>
      </c>
      <c r="D184" s="61" t="str">
        <f>INDEX('[1]INPUT_ASSUMPTIONS CALC'!I:I,MATCH(A184,'[1]INPUT_ASSUMPTIONS CALC'!A:A,0))</f>
        <v/>
      </c>
      <c r="E184" s="61" t="str">
        <f>INDEX('[1]INPUT_ASSUMPTIONS CALC'!E:E,MATCH(A184,'[1]INPUT_ASSUMPTIONS CALC'!A:A,0))</f>
        <v/>
      </c>
      <c r="F184" s="136">
        <f>IF($F$5="Q1",VLOOKUP($A184,'[1]INPUT_ASSUMPTIONS CALC'!$A$13:$CK$1019,F$7,FALSE),IF($F$5="Q2",VLOOKUP($A184,'[1]INPUT_ASSUMPTIONS CALC'!$A$13:$CK$1019,F$7,FALSE),IF($F$5="Q3",VLOOKUP($A184,'[1]INPUT_ASSUMPTIONS CALC'!$A$13:$CK$1019,F$7,FALSE),IF($F$5="Q4",VLOOKUP($A184,'[1]INPUT_ASSUMPTIONS CALC'!$A$13:$CK$1019,F$7,FALSE),IF($F$5="Year",VLOOKUP($A184,'[1]INPUT_ASSUMPTIONS CALC'!$A$13:$CK$1019,F$7,FALSE),0)))))</f>
        <v>0</v>
      </c>
      <c r="G184" s="137">
        <f>SUMIF('[1]INPUT_ASSUMPTIONS CALC'!A:A,'[1]Summary calculation'!A184,'[1]INPUT_ASSUMPTIONS CALC'!BU:BU)</f>
        <v>0</v>
      </c>
      <c r="H184" s="138">
        <f>IF($F$5="Year",F184*G184*'[1]INPUT_ASSUMPTIONS CALC'!$S$7,F184*G184)</f>
        <v>0</v>
      </c>
      <c r="I184" s="138">
        <f>H184*VLOOKUP($A184,'[1]INPUT_ASSUMPTIONS CALC'!$A$13:$CK$1019,H$6,FALSE)*SUMIF('[1]INPUT_ASSUMPTIONS CALC'!$CL$15:$CL$17,'[1]Summary calculation'!E184,'[1]INPUT_ASSUMPTIONS CALC'!$CM$15:$CM$17)</f>
        <v>0</v>
      </c>
      <c r="J184" s="139">
        <f>$I184*VLOOKUP($A184,'[1]INPUT_ASSUMPTIONS CALC'!$A$13:$CK$1019,I$6,FALSE)*VLOOKUP($A184,'[1]INPUT_ASSUMPTIONS CALC'!$A$13:$CK$1019,J$7,FALSE)</f>
        <v>0</v>
      </c>
      <c r="K184" s="139">
        <f>$I184*VLOOKUP($A184,'[1]INPUT_ASSUMPTIONS CALC'!$A$13:$CK$1019,I$6,FALSE)*VLOOKUP($A184,'[1]INPUT_ASSUMPTIONS CALC'!$A$13:$CK$1019,K$7,FALSE)</f>
        <v>0</v>
      </c>
      <c r="L184" s="139">
        <f>$I184*VLOOKUP($A184,'[1]INPUT_ASSUMPTIONS CALC'!$A$13:$CK$1019,I$6,FALSE)*VLOOKUP($A184,'[1]INPUT_ASSUMPTIONS CALC'!$A$13:$CK$1019,L$7,FALSE)</f>
        <v>0</v>
      </c>
      <c r="M184" s="139">
        <f>$I184*VLOOKUP($A184,'[1]INPUT_ASSUMPTIONS CALC'!$A$13:$CK$1019,I$6,FALSE)*VLOOKUP($A184,'[1]INPUT_ASSUMPTIONS CALC'!$A$13:$CK$1019,M$7,FALSE)</f>
        <v>0</v>
      </c>
      <c r="N184" s="140">
        <f t="shared" si="11"/>
        <v>0</v>
      </c>
      <c r="O184" s="141">
        <f>H184*VLOOKUP($A184,'[1]INPUT_ASSUMPTIONS CALC'!$A$13:$CK$1019,H$6,FALSE)*SUMIF('[1]INPUT_ASSUMPTIONS CALC'!$CQ$15:$CQ$17,'[1]Summary calculation'!E184,'[1]INPUT_ASSUMPTIONS CALC'!$CR$15:$CR$17)</f>
        <v>0</v>
      </c>
      <c r="P184" s="141">
        <f>H184*VLOOKUP($A184,'[1]INPUT_ASSUMPTIONS CALC'!$A$13:$CK$1019,H$6,FALSE)*SUMIF('[1]INPUT_ASSUMPTIONS CALC'!$CV$15:$CV$31,'[1]Summary calculation'!E184,'[1]INPUT_ASSUMPTIONS CALC'!$CW$15:$CW$31)</f>
        <v>0</v>
      </c>
      <c r="Q184" s="141">
        <f>O184*VLOOKUP($A184,'[1]INPUT_ASSUMPTIONS CALC'!$A$13:$CK$1019,Q$7,FALSE)</f>
        <v>0</v>
      </c>
      <c r="R184" s="141">
        <f>P184*VLOOKUP($A184,'[1]INPUT_ASSUMPTIONS CALC'!$A$13:$CK$1019,R$7,FALSE)</f>
        <v>0</v>
      </c>
      <c r="S184" s="140">
        <f t="shared" si="9"/>
        <v>0</v>
      </c>
      <c r="T184" s="142">
        <f t="shared" si="10"/>
        <v>0</v>
      </c>
      <c r="U184" s="61"/>
    </row>
    <row r="185" spans="1:21" x14ac:dyDescent="0.35">
      <c r="A185" s="125" t="str">
        <f t="shared" si="8"/>
        <v>177Q2</v>
      </c>
      <c r="B185" s="135">
        <v>177</v>
      </c>
      <c r="C185" s="61" t="str">
        <f>INDEX('[1]INPUT_ASSUMPTIONS CALC'!D:D,MATCH(A185,'[1]INPUT_ASSUMPTIONS CALC'!A:A,0))</f>
        <v/>
      </c>
      <c r="D185" s="61" t="str">
        <f>INDEX('[1]INPUT_ASSUMPTIONS CALC'!I:I,MATCH(A185,'[1]INPUT_ASSUMPTIONS CALC'!A:A,0))</f>
        <v/>
      </c>
      <c r="E185" s="61" t="str">
        <f>INDEX('[1]INPUT_ASSUMPTIONS CALC'!E:E,MATCH(A185,'[1]INPUT_ASSUMPTIONS CALC'!A:A,0))</f>
        <v/>
      </c>
      <c r="F185" s="136">
        <f>IF($F$5="Q1",VLOOKUP($A185,'[1]INPUT_ASSUMPTIONS CALC'!$A$13:$CK$1019,F$7,FALSE),IF($F$5="Q2",VLOOKUP($A185,'[1]INPUT_ASSUMPTIONS CALC'!$A$13:$CK$1019,F$7,FALSE),IF($F$5="Q3",VLOOKUP($A185,'[1]INPUT_ASSUMPTIONS CALC'!$A$13:$CK$1019,F$7,FALSE),IF($F$5="Q4",VLOOKUP($A185,'[1]INPUT_ASSUMPTIONS CALC'!$A$13:$CK$1019,F$7,FALSE),IF($F$5="Year",VLOOKUP($A185,'[1]INPUT_ASSUMPTIONS CALC'!$A$13:$CK$1019,F$7,FALSE),0)))))</f>
        <v>0</v>
      </c>
      <c r="G185" s="137">
        <f>SUMIF('[1]INPUT_ASSUMPTIONS CALC'!A:A,'[1]Summary calculation'!A185,'[1]INPUT_ASSUMPTIONS CALC'!BU:BU)</f>
        <v>0</v>
      </c>
      <c r="H185" s="138">
        <f>IF($F$5="Year",F185*G185*'[1]INPUT_ASSUMPTIONS CALC'!$S$7,F185*G185)</f>
        <v>0</v>
      </c>
      <c r="I185" s="138">
        <f>H185*VLOOKUP($A185,'[1]INPUT_ASSUMPTIONS CALC'!$A$13:$CK$1019,H$6,FALSE)*SUMIF('[1]INPUT_ASSUMPTIONS CALC'!$CL$15:$CL$17,'[1]Summary calculation'!E185,'[1]INPUT_ASSUMPTIONS CALC'!$CM$15:$CM$17)</f>
        <v>0</v>
      </c>
      <c r="J185" s="139">
        <f>$I185*VLOOKUP($A185,'[1]INPUT_ASSUMPTIONS CALC'!$A$13:$CK$1019,I$6,FALSE)*VLOOKUP($A185,'[1]INPUT_ASSUMPTIONS CALC'!$A$13:$CK$1019,J$7,FALSE)</f>
        <v>0</v>
      </c>
      <c r="K185" s="139">
        <f>$I185*VLOOKUP($A185,'[1]INPUT_ASSUMPTIONS CALC'!$A$13:$CK$1019,I$6,FALSE)*VLOOKUP($A185,'[1]INPUT_ASSUMPTIONS CALC'!$A$13:$CK$1019,K$7,FALSE)</f>
        <v>0</v>
      </c>
      <c r="L185" s="139">
        <f>$I185*VLOOKUP($A185,'[1]INPUT_ASSUMPTIONS CALC'!$A$13:$CK$1019,I$6,FALSE)*VLOOKUP($A185,'[1]INPUT_ASSUMPTIONS CALC'!$A$13:$CK$1019,L$7,FALSE)</f>
        <v>0</v>
      </c>
      <c r="M185" s="139">
        <f>$I185*VLOOKUP($A185,'[1]INPUT_ASSUMPTIONS CALC'!$A$13:$CK$1019,I$6,FALSE)*VLOOKUP($A185,'[1]INPUT_ASSUMPTIONS CALC'!$A$13:$CK$1019,M$7,FALSE)</f>
        <v>0</v>
      </c>
      <c r="N185" s="140">
        <f t="shared" si="11"/>
        <v>0</v>
      </c>
      <c r="O185" s="141">
        <f>H185*VLOOKUP($A185,'[1]INPUT_ASSUMPTIONS CALC'!$A$13:$CK$1019,H$6,FALSE)*SUMIF('[1]INPUT_ASSUMPTIONS CALC'!$CQ$15:$CQ$17,'[1]Summary calculation'!E185,'[1]INPUT_ASSUMPTIONS CALC'!$CR$15:$CR$17)</f>
        <v>0</v>
      </c>
      <c r="P185" s="141">
        <f>H185*VLOOKUP($A185,'[1]INPUT_ASSUMPTIONS CALC'!$A$13:$CK$1019,H$6,FALSE)*SUMIF('[1]INPUT_ASSUMPTIONS CALC'!$CV$15:$CV$31,'[1]Summary calculation'!E185,'[1]INPUT_ASSUMPTIONS CALC'!$CW$15:$CW$31)</f>
        <v>0</v>
      </c>
      <c r="Q185" s="141">
        <f>O185*VLOOKUP($A185,'[1]INPUT_ASSUMPTIONS CALC'!$A$13:$CK$1019,Q$7,FALSE)</f>
        <v>0</v>
      </c>
      <c r="R185" s="141">
        <f>P185*VLOOKUP($A185,'[1]INPUT_ASSUMPTIONS CALC'!$A$13:$CK$1019,R$7,FALSE)</f>
        <v>0</v>
      </c>
      <c r="S185" s="140">
        <f t="shared" si="9"/>
        <v>0</v>
      </c>
      <c r="T185" s="142">
        <f t="shared" si="10"/>
        <v>0</v>
      </c>
      <c r="U185" s="61"/>
    </row>
    <row r="186" spans="1:21" x14ac:dyDescent="0.35">
      <c r="A186" s="125" t="str">
        <f t="shared" si="8"/>
        <v>178Q2</v>
      </c>
      <c r="B186" s="135">
        <v>178</v>
      </c>
      <c r="C186" s="61" t="str">
        <f>INDEX('[1]INPUT_ASSUMPTIONS CALC'!D:D,MATCH(A186,'[1]INPUT_ASSUMPTIONS CALC'!A:A,0))</f>
        <v/>
      </c>
      <c r="D186" s="61" t="str">
        <f>INDEX('[1]INPUT_ASSUMPTIONS CALC'!I:I,MATCH(A186,'[1]INPUT_ASSUMPTIONS CALC'!A:A,0))</f>
        <v/>
      </c>
      <c r="E186" s="61" t="str">
        <f>INDEX('[1]INPUT_ASSUMPTIONS CALC'!E:E,MATCH(A186,'[1]INPUT_ASSUMPTIONS CALC'!A:A,0))</f>
        <v/>
      </c>
      <c r="F186" s="136">
        <f>IF($F$5="Q1",VLOOKUP($A186,'[1]INPUT_ASSUMPTIONS CALC'!$A$13:$CK$1019,F$7,FALSE),IF($F$5="Q2",VLOOKUP($A186,'[1]INPUT_ASSUMPTIONS CALC'!$A$13:$CK$1019,F$7,FALSE),IF($F$5="Q3",VLOOKUP($A186,'[1]INPUT_ASSUMPTIONS CALC'!$A$13:$CK$1019,F$7,FALSE),IF($F$5="Q4",VLOOKUP($A186,'[1]INPUT_ASSUMPTIONS CALC'!$A$13:$CK$1019,F$7,FALSE),IF($F$5="Year",VLOOKUP($A186,'[1]INPUT_ASSUMPTIONS CALC'!$A$13:$CK$1019,F$7,FALSE),0)))))</f>
        <v>0</v>
      </c>
      <c r="G186" s="137">
        <f>SUMIF('[1]INPUT_ASSUMPTIONS CALC'!A:A,'[1]Summary calculation'!A186,'[1]INPUT_ASSUMPTIONS CALC'!BU:BU)</f>
        <v>0</v>
      </c>
      <c r="H186" s="138">
        <f>IF($F$5="Year",F186*G186*'[1]INPUT_ASSUMPTIONS CALC'!$S$7,F186*G186)</f>
        <v>0</v>
      </c>
      <c r="I186" s="138">
        <f>H186*VLOOKUP($A186,'[1]INPUT_ASSUMPTIONS CALC'!$A$13:$CK$1019,H$6,FALSE)*SUMIF('[1]INPUT_ASSUMPTIONS CALC'!$CL$15:$CL$17,'[1]Summary calculation'!E186,'[1]INPUT_ASSUMPTIONS CALC'!$CM$15:$CM$17)</f>
        <v>0</v>
      </c>
      <c r="J186" s="139">
        <f>$I186*VLOOKUP($A186,'[1]INPUT_ASSUMPTIONS CALC'!$A$13:$CK$1019,I$6,FALSE)*VLOOKUP($A186,'[1]INPUT_ASSUMPTIONS CALC'!$A$13:$CK$1019,J$7,FALSE)</f>
        <v>0</v>
      </c>
      <c r="K186" s="139">
        <f>$I186*VLOOKUP($A186,'[1]INPUT_ASSUMPTIONS CALC'!$A$13:$CK$1019,I$6,FALSE)*VLOOKUP($A186,'[1]INPUT_ASSUMPTIONS CALC'!$A$13:$CK$1019,K$7,FALSE)</f>
        <v>0</v>
      </c>
      <c r="L186" s="139">
        <f>$I186*VLOOKUP($A186,'[1]INPUT_ASSUMPTIONS CALC'!$A$13:$CK$1019,I$6,FALSE)*VLOOKUP($A186,'[1]INPUT_ASSUMPTIONS CALC'!$A$13:$CK$1019,L$7,FALSE)</f>
        <v>0</v>
      </c>
      <c r="M186" s="139">
        <f>$I186*VLOOKUP($A186,'[1]INPUT_ASSUMPTIONS CALC'!$A$13:$CK$1019,I$6,FALSE)*VLOOKUP($A186,'[1]INPUT_ASSUMPTIONS CALC'!$A$13:$CK$1019,M$7,FALSE)</f>
        <v>0</v>
      </c>
      <c r="N186" s="140">
        <f t="shared" si="11"/>
        <v>0</v>
      </c>
      <c r="O186" s="141">
        <f>H186*VLOOKUP($A186,'[1]INPUT_ASSUMPTIONS CALC'!$A$13:$CK$1019,H$6,FALSE)*SUMIF('[1]INPUT_ASSUMPTIONS CALC'!$CQ$15:$CQ$17,'[1]Summary calculation'!E186,'[1]INPUT_ASSUMPTIONS CALC'!$CR$15:$CR$17)</f>
        <v>0</v>
      </c>
      <c r="P186" s="141">
        <f>H186*VLOOKUP($A186,'[1]INPUT_ASSUMPTIONS CALC'!$A$13:$CK$1019,H$6,FALSE)*SUMIF('[1]INPUT_ASSUMPTIONS CALC'!$CV$15:$CV$31,'[1]Summary calculation'!E186,'[1]INPUT_ASSUMPTIONS CALC'!$CW$15:$CW$31)</f>
        <v>0</v>
      </c>
      <c r="Q186" s="141">
        <f>O186*VLOOKUP($A186,'[1]INPUT_ASSUMPTIONS CALC'!$A$13:$CK$1019,Q$7,FALSE)</f>
        <v>0</v>
      </c>
      <c r="R186" s="141">
        <f>P186*VLOOKUP($A186,'[1]INPUT_ASSUMPTIONS CALC'!$A$13:$CK$1019,R$7,FALSE)</f>
        <v>0</v>
      </c>
      <c r="S186" s="140">
        <f t="shared" si="9"/>
        <v>0</v>
      </c>
      <c r="T186" s="142">
        <f t="shared" si="10"/>
        <v>0</v>
      </c>
      <c r="U186" s="61"/>
    </row>
    <row r="187" spans="1:21" x14ac:dyDescent="0.35">
      <c r="A187" s="125" t="str">
        <f t="shared" si="8"/>
        <v>179Q2</v>
      </c>
      <c r="B187" s="135">
        <v>179</v>
      </c>
      <c r="C187" s="61" t="str">
        <f>INDEX('[1]INPUT_ASSUMPTIONS CALC'!D:D,MATCH(A187,'[1]INPUT_ASSUMPTIONS CALC'!A:A,0))</f>
        <v/>
      </c>
      <c r="D187" s="61" t="str">
        <f>INDEX('[1]INPUT_ASSUMPTIONS CALC'!I:I,MATCH(A187,'[1]INPUT_ASSUMPTIONS CALC'!A:A,0))</f>
        <v/>
      </c>
      <c r="E187" s="61" t="str">
        <f>INDEX('[1]INPUT_ASSUMPTIONS CALC'!E:E,MATCH(A187,'[1]INPUT_ASSUMPTIONS CALC'!A:A,0))</f>
        <v/>
      </c>
      <c r="F187" s="136">
        <f>IF($F$5="Q1",VLOOKUP($A187,'[1]INPUT_ASSUMPTIONS CALC'!$A$13:$CK$1019,F$7,FALSE),IF($F$5="Q2",VLOOKUP($A187,'[1]INPUT_ASSUMPTIONS CALC'!$A$13:$CK$1019,F$7,FALSE),IF($F$5="Q3",VLOOKUP($A187,'[1]INPUT_ASSUMPTIONS CALC'!$A$13:$CK$1019,F$7,FALSE),IF($F$5="Q4",VLOOKUP($A187,'[1]INPUT_ASSUMPTIONS CALC'!$A$13:$CK$1019,F$7,FALSE),IF($F$5="Year",VLOOKUP($A187,'[1]INPUT_ASSUMPTIONS CALC'!$A$13:$CK$1019,F$7,FALSE),0)))))</f>
        <v>0</v>
      </c>
      <c r="G187" s="137">
        <f>SUMIF('[1]INPUT_ASSUMPTIONS CALC'!A:A,'[1]Summary calculation'!A187,'[1]INPUT_ASSUMPTIONS CALC'!BU:BU)</f>
        <v>0</v>
      </c>
      <c r="H187" s="138">
        <f>IF($F$5="Year",F187*G187*'[1]INPUT_ASSUMPTIONS CALC'!$S$7,F187*G187)</f>
        <v>0</v>
      </c>
      <c r="I187" s="138">
        <f>H187*VLOOKUP($A187,'[1]INPUT_ASSUMPTIONS CALC'!$A$13:$CK$1019,H$6,FALSE)*SUMIF('[1]INPUT_ASSUMPTIONS CALC'!$CL$15:$CL$17,'[1]Summary calculation'!E187,'[1]INPUT_ASSUMPTIONS CALC'!$CM$15:$CM$17)</f>
        <v>0</v>
      </c>
      <c r="J187" s="139">
        <f>$I187*VLOOKUP($A187,'[1]INPUT_ASSUMPTIONS CALC'!$A$13:$CK$1019,I$6,FALSE)*VLOOKUP($A187,'[1]INPUT_ASSUMPTIONS CALC'!$A$13:$CK$1019,J$7,FALSE)</f>
        <v>0</v>
      </c>
      <c r="K187" s="139">
        <f>$I187*VLOOKUP($A187,'[1]INPUT_ASSUMPTIONS CALC'!$A$13:$CK$1019,I$6,FALSE)*VLOOKUP($A187,'[1]INPUT_ASSUMPTIONS CALC'!$A$13:$CK$1019,K$7,FALSE)</f>
        <v>0</v>
      </c>
      <c r="L187" s="139">
        <f>$I187*VLOOKUP($A187,'[1]INPUT_ASSUMPTIONS CALC'!$A$13:$CK$1019,I$6,FALSE)*VLOOKUP($A187,'[1]INPUT_ASSUMPTIONS CALC'!$A$13:$CK$1019,L$7,FALSE)</f>
        <v>0</v>
      </c>
      <c r="M187" s="139">
        <f>$I187*VLOOKUP($A187,'[1]INPUT_ASSUMPTIONS CALC'!$A$13:$CK$1019,I$6,FALSE)*VLOOKUP($A187,'[1]INPUT_ASSUMPTIONS CALC'!$A$13:$CK$1019,M$7,FALSE)</f>
        <v>0</v>
      </c>
      <c r="N187" s="140">
        <f t="shared" si="11"/>
        <v>0</v>
      </c>
      <c r="O187" s="141">
        <f>H187*VLOOKUP($A187,'[1]INPUT_ASSUMPTIONS CALC'!$A$13:$CK$1019,H$6,FALSE)*SUMIF('[1]INPUT_ASSUMPTIONS CALC'!$CQ$15:$CQ$17,'[1]Summary calculation'!E187,'[1]INPUT_ASSUMPTIONS CALC'!$CR$15:$CR$17)</f>
        <v>0</v>
      </c>
      <c r="P187" s="141">
        <f>H187*VLOOKUP($A187,'[1]INPUT_ASSUMPTIONS CALC'!$A$13:$CK$1019,H$6,FALSE)*SUMIF('[1]INPUT_ASSUMPTIONS CALC'!$CV$15:$CV$31,'[1]Summary calculation'!E187,'[1]INPUT_ASSUMPTIONS CALC'!$CW$15:$CW$31)</f>
        <v>0</v>
      </c>
      <c r="Q187" s="141">
        <f>O187*VLOOKUP($A187,'[1]INPUT_ASSUMPTIONS CALC'!$A$13:$CK$1019,Q$7,FALSE)</f>
        <v>0</v>
      </c>
      <c r="R187" s="141">
        <f>P187*VLOOKUP($A187,'[1]INPUT_ASSUMPTIONS CALC'!$A$13:$CK$1019,R$7,FALSE)</f>
        <v>0</v>
      </c>
      <c r="S187" s="140">
        <f t="shared" si="9"/>
        <v>0</v>
      </c>
      <c r="T187" s="142">
        <f t="shared" si="10"/>
        <v>0</v>
      </c>
      <c r="U187" s="61"/>
    </row>
    <row r="188" spans="1:21" x14ac:dyDescent="0.35">
      <c r="A188" s="125" t="str">
        <f t="shared" si="8"/>
        <v>180Q2</v>
      </c>
      <c r="B188" s="135">
        <v>180</v>
      </c>
      <c r="C188" s="61" t="str">
        <f>INDEX('[1]INPUT_ASSUMPTIONS CALC'!D:D,MATCH(A188,'[1]INPUT_ASSUMPTIONS CALC'!A:A,0))</f>
        <v/>
      </c>
      <c r="D188" s="61" t="str">
        <f>INDEX('[1]INPUT_ASSUMPTIONS CALC'!I:I,MATCH(A188,'[1]INPUT_ASSUMPTIONS CALC'!A:A,0))</f>
        <v/>
      </c>
      <c r="E188" s="61" t="str">
        <f>INDEX('[1]INPUT_ASSUMPTIONS CALC'!E:E,MATCH(A188,'[1]INPUT_ASSUMPTIONS CALC'!A:A,0))</f>
        <v/>
      </c>
      <c r="F188" s="136">
        <f>IF($F$5="Q1",VLOOKUP($A188,'[1]INPUT_ASSUMPTIONS CALC'!$A$13:$CK$1019,F$7,FALSE),IF($F$5="Q2",VLOOKUP($A188,'[1]INPUT_ASSUMPTIONS CALC'!$A$13:$CK$1019,F$7,FALSE),IF($F$5="Q3",VLOOKUP($A188,'[1]INPUT_ASSUMPTIONS CALC'!$A$13:$CK$1019,F$7,FALSE),IF($F$5="Q4",VLOOKUP($A188,'[1]INPUT_ASSUMPTIONS CALC'!$A$13:$CK$1019,F$7,FALSE),IF($F$5="Year",VLOOKUP($A188,'[1]INPUT_ASSUMPTIONS CALC'!$A$13:$CK$1019,F$7,FALSE),0)))))</f>
        <v>0</v>
      </c>
      <c r="G188" s="137">
        <f>SUMIF('[1]INPUT_ASSUMPTIONS CALC'!A:A,'[1]Summary calculation'!A188,'[1]INPUT_ASSUMPTIONS CALC'!BU:BU)</f>
        <v>0</v>
      </c>
      <c r="H188" s="138">
        <f>IF($F$5="Year",F188*G188*'[1]INPUT_ASSUMPTIONS CALC'!$S$7,F188*G188)</f>
        <v>0</v>
      </c>
      <c r="I188" s="138">
        <f>H188*VLOOKUP($A188,'[1]INPUT_ASSUMPTIONS CALC'!$A$13:$CK$1019,H$6,FALSE)*SUMIF('[1]INPUT_ASSUMPTIONS CALC'!$CL$15:$CL$17,'[1]Summary calculation'!E188,'[1]INPUT_ASSUMPTIONS CALC'!$CM$15:$CM$17)</f>
        <v>0</v>
      </c>
      <c r="J188" s="139">
        <f>$I188*VLOOKUP($A188,'[1]INPUT_ASSUMPTIONS CALC'!$A$13:$CK$1019,I$6,FALSE)*VLOOKUP($A188,'[1]INPUT_ASSUMPTIONS CALC'!$A$13:$CK$1019,J$7,FALSE)</f>
        <v>0</v>
      </c>
      <c r="K188" s="139">
        <f>$I188*VLOOKUP($A188,'[1]INPUT_ASSUMPTIONS CALC'!$A$13:$CK$1019,I$6,FALSE)*VLOOKUP($A188,'[1]INPUT_ASSUMPTIONS CALC'!$A$13:$CK$1019,K$7,FALSE)</f>
        <v>0</v>
      </c>
      <c r="L188" s="139">
        <f>$I188*VLOOKUP($A188,'[1]INPUT_ASSUMPTIONS CALC'!$A$13:$CK$1019,I$6,FALSE)*VLOOKUP($A188,'[1]INPUT_ASSUMPTIONS CALC'!$A$13:$CK$1019,L$7,FALSE)</f>
        <v>0</v>
      </c>
      <c r="M188" s="139">
        <f>$I188*VLOOKUP($A188,'[1]INPUT_ASSUMPTIONS CALC'!$A$13:$CK$1019,I$6,FALSE)*VLOOKUP($A188,'[1]INPUT_ASSUMPTIONS CALC'!$A$13:$CK$1019,M$7,FALSE)</f>
        <v>0</v>
      </c>
      <c r="N188" s="140">
        <f t="shared" si="11"/>
        <v>0</v>
      </c>
      <c r="O188" s="141">
        <f>H188*VLOOKUP($A188,'[1]INPUT_ASSUMPTIONS CALC'!$A$13:$CK$1019,H$6,FALSE)*SUMIF('[1]INPUT_ASSUMPTIONS CALC'!$CQ$15:$CQ$17,'[1]Summary calculation'!E188,'[1]INPUT_ASSUMPTIONS CALC'!$CR$15:$CR$17)</f>
        <v>0</v>
      </c>
      <c r="P188" s="141">
        <f>H188*VLOOKUP($A188,'[1]INPUT_ASSUMPTIONS CALC'!$A$13:$CK$1019,H$6,FALSE)*SUMIF('[1]INPUT_ASSUMPTIONS CALC'!$CV$15:$CV$31,'[1]Summary calculation'!E188,'[1]INPUT_ASSUMPTIONS CALC'!$CW$15:$CW$31)</f>
        <v>0</v>
      </c>
      <c r="Q188" s="141">
        <f>O188*VLOOKUP($A188,'[1]INPUT_ASSUMPTIONS CALC'!$A$13:$CK$1019,Q$7,FALSE)</f>
        <v>0</v>
      </c>
      <c r="R188" s="141">
        <f>P188*VLOOKUP($A188,'[1]INPUT_ASSUMPTIONS CALC'!$A$13:$CK$1019,R$7,FALSE)</f>
        <v>0</v>
      </c>
      <c r="S188" s="140">
        <f t="shared" si="9"/>
        <v>0</v>
      </c>
      <c r="T188" s="142">
        <f t="shared" si="10"/>
        <v>0</v>
      </c>
      <c r="U188" s="61"/>
    </row>
    <row r="189" spans="1:21" x14ac:dyDescent="0.35">
      <c r="A189" s="125" t="str">
        <f t="shared" si="8"/>
        <v>181Q2</v>
      </c>
      <c r="B189" s="135">
        <v>181</v>
      </c>
      <c r="C189" s="61" t="str">
        <f>INDEX('[1]INPUT_ASSUMPTIONS CALC'!D:D,MATCH(A189,'[1]INPUT_ASSUMPTIONS CALC'!A:A,0))</f>
        <v/>
      </c>
      <c r="D189" s="61" t="str">
        <f>INDEX('[1]INPUT_ASSUMPTIONS CALC'!I:I,MATCH(A189,'[1]INPUT_ASSUMPTIONS CALC'!A:A,0))</f>
        <v/>
      </c>
      <c r="E189" s="61" t="str">
        <f>INDEX('[1]INPUT_ASSUMPTIONS CALC'!E:E,MATCH(A189,'[1]INPUT_ASSUMPTIONS CALC'!A:A,0))</f>
        <v/>
      </c>
      <c r="F189" s="136">
        <f>IF($F$5="Q1",VLOOKUP($A189,'[1]INPUT_ASSUMPTIONS CALC'!$A$13:$CK$1019,F$7,FALSE),IF($F$5="Q2",VLOOKUP($A189,'[1]INPUT_ASSUMPTIONS CALC'!$A$13:$CK$1019,F$7,FALSE),IF($F$5="Q3",VLOOKUP($A189,'[1]INPUT_ASSUMPTIONS CALC'!$A$13:$CK$1019,F$7,FALSE),IF($F$5="Q4",VLOOKUP($A189,'[1]INPUT_ASSUMPTIONS CALC'!$A$13:$CK$1019,F$7,FALSE),IF($F$5="Year",VLOOKUP($A189,'[1]INPUT_ASSUMPTIONS CALC'!$A$13:$CK$1019,F$7,FALSE),0)))))</f>
        <v>0</v>
      </c>
      <c r="G189" s="137">
        <f>SUMIF('[1]INPUT_ASSUMPTIONS CALC'!A:A,'[1]Summary calculation'!A189,'[1]INPUT_ASSUMPTIONS CALC'!BU:BU)</f>
        <v>0</v>
      </c>
      <c r="H189" s="138">
        <f>IF($F$5="Year",F189*G189*'[1]INPUT_ASSUMPTIONS CALC'!$S$7,F189*G189)</f>
        <v>0</v>
      </c>
      <c r="I189" s="138">
        <f>H189*VLOOKUP($A189,'[1]INPUT_ASSUMPTIONS CALC'!$A$13:$CK$1019,H$6,FALSE)*SUMIF('[1]INPUT_ASSUMPTIONS CALC'!$CL$15:$CL$17,'[1]Summary calculation'!E189,'[1]INPUT_ASSUMPTIONS CALC'!$CM$15:$CM$17)</f>
        <v>0</v>
      </c>
      <c r="J189" s="139">
        <f>$I189*VLOOKUP($A189,'[1]INPUT_ASSUMPTIONS CALC'!$A$13:$CK$1019,I$6,FALSE)*VLOOKUP($A189,'[1]INPUT_ASSUMPTIONS CALC'!$A$13:$CK$1019,J$7,FALSE)</f>
        <v>0</v>
      </c>
      <c r="K189" s="139">
        <f>$I189*VLOOKUP($A189,'[1]INPUT_ASSUMPTIONS CALC'!$A$13:$CK$1019,I$6,FALSE)*VLOOKUP($A189,'[1]INPUT_ASSUMPTIONS CALC'!$A$13:$CK$1019,K$7,FALSE)</f>
        <v>0</v>
      </c>
      <c r="L189" s="139">
        <f>$I189*VLOOKUP($A189,'[1]INPUT_ASSUMPTIONS CALC'!$A$13:$CK$1019,I$6,FALSE)*VLOOKUP($A189,'[1]INPUT_ASSUMPTIONS CALC'!$A$13:$CK$1019,L$7,FALSE)</f>
        <v>0</v>
      </c>
      <c r="M189" s="139">
        <f>$I189*VLOOKUP($A189,'[1]INPUT_ASSUMPTIONS CALC'!$A$13:$CK$1019,I$6,FALSE)*VLOOKUP($A189,'[1]INPUT_ASSUMPTIONS CALC'!$A$13:$CK$1019,M$7,FALSE)</f>
        <v>0</v>
      </c>
      <c r="N189" s="140">
        <f t="shared" si="11"/>
        <v>0</v>
      </c>
      <c r="O189" s="141">
        <f>H189*VLOOKUP($A189,'[1]INPUT_ASSUMPTIONS CALC'!$A$13:$CK$1019,H$6,FALSE)*SUMIF('[1]INPUT_ASSUMPTIONS CALC'!$CQ$15:$CQ$17,'[1]Summary calculation'!E189,'[1]INPUT_ASSUMPTIONS CALC'!$CR$15:$CR$17)</f>
        <v>0</v>
      </c>
      <c r="P189" s="141">
        <f>H189*VLOOKUP($A189,'[1]INPUT_ASSUMPTIONS CALC'!$A$13:$CK$1019,H$6,FALSE)*SUMIF('[1]INPUT_ASSUMPTIONS CALC'!$CV$15:$CV$31,'[1]Summary calculation'!E189,'[1]INPUT_ASSUMPTIONS CALC'!$CW$15:$CW$31)</f>
        <v>0</v>
      </c>
      <c r="Q189" s="141">
        <f>O189*VLOOKUP($A189,'[1]INPUT_ASSUMPTIONS CALC'!$A$13:$CK$1019,Q$7,FALSE)</f>
        <v>0</v>
      </c>
      <c r="R189" s="141">
        <f>P189*VLOOKUP($A189,'[1]INPUT_ASSUMPTIONS CALC'!$A$13:$CK$1019,R$7,FALSE)</f>
        <v>0</v>
      </c>
      <c r="S189" s="140">
        <f t="shared" si="9"/>
        <v>0</v>
      </c>
      <c r="T189" s="142">
        <f t="shared" si="10"/>
        <v>0</v>
      </c>
      <c r="U189" s="61"/>
    </row>
    <row r="190" spans="1:21" x14ac:dyDescent="0.35">
      <c r="A190" s="125" t="str">
        <f t="shared" si="8"/>
        <v>182Q2</v>
      </c>
      <c r="B190" s="135">
        <v>182</v>
      </c>
      <c r="C190" s="61" t="str">
        <f>INDEX('[1]INPUT_ASSUMPTIONS CALC'!D:D,MATCH(A190,'[1]INPUT_ASSUMPTIONS CALC'!A:A,0))</f>
        <v/>
      </c>
      <c r="D190" s="61" t="str">
        <f>INDEX('[1]INPUT_ASSUMPTIONS CALC'!I:I,MATCH(A190,'[1]INPUT_ASSUMPTIONS CALC'!A:A,0))</f>
        <v/>
      </c>
      <c r="E190" s="61" t="str">
        <f>INDEX('[1]INPUT_ASSUMPTIONS CALC'!E:E,MATCH(A190,'[1]INPUT_ASSUMPTIONS CALC'!A:A,0))</f>
        <v/>
      </c>
      <c r="F190" s="136">
        <f>IF($F$5="Q1",VLOOKUP($A190,'[1]INPUT_ASSUMPTIONS CALC'!$A$13:$CK$1019,F$7,FALSE),IF($F$5="Q2",VLOOKUP($A190,'[1]INPUT_ASSUMPTIONS CALC'!$A$13:$CK$1019,F$7,FALSE),IF($F$5="Q3",VLOOKUP($A190,'[1]INPUT_ASSUMPTIONS CALC'!$A$13:$CK$1019,F$7,FALSE),IF($F$5="Q4",VLOOKUP($A190,'[1]INPUT_ASSUMPTIONS CALC'!$A$13:$CK$1019,F$7,FALSE),IF($F$5="Year",VLOOKUP($A190,'[1]INPUT_ASSUMPTIONS CALC'!$A$13:$CK$1019,F$7,FALSE),0)))))</f>
        <v>0</v>
      </c>
      <c r="G190" s="137">
        <f>SUMIF('[1]INPUT_ASSUMPTIONS CALC'!A:A,'[1]Summary calculation'!A190,'[1]INPUT_ASSUMPTIONS CALC'!BU:BU)</f>
        <v>0</v>
      </c>
      <c r="H190" s="138">
        <f>IF($F$5="Year",F190*G190*'[1]INPUT_ASSUMPTIONS CALC'!$S$7,F190*G190)</f>
        <v>0</v>
      </c>
      <c r="I190" s="138">
        <f>H190*VLOOKUP($A190,'[1]INPUT_ASSUMPTIONS CALC'!$A$13:$CK$1019,H$6,FALSE)*SUMIF('[1]INPUT_ASSUMPTIONS CALC'!$CL$15:$CL$17,'[1]Summary calculation'!E190,'[1]INPUT_ASSUMPTIONS CALC'!$CM$15:$CM$17)</f>
        <v>0</v>
      </c>
      <c r="J190" s="139">
        <f>$I190*VLOOKUP($A190,'[1]INPUT_ASSUMPTIONS CALC'!$A$13:$CK$1019,I$6,FALSE)*VLOOKUP($A190,'[1]INPUT_ASSUMPTIONS CALC'!$A$13:$CK$1019,J$7,FALSE)</f>
        <v>0</v>
      </c>
      <c r="K190" s="139">
        <f>$I190*VLOOKUP($A190,'[1]INPUT_ASSUMPTIONS CALC'!$A$13:$CK$1019,I$6,FALSE)*VLOOKUP($A190,'[1]INPUT_ASSUMPTIONS CALC'!$A$13:$CK$1019,K$7,FALSE)</f>
        <v>0</v>
      </c>
      <c r="L190" s="139">
        <f>$I190*VLOOKUP($A190,'[1]INPUT_ASSUMPTIONS CALC'!$A$13:$CK$1019,I$6,FALSE)*VLOOKUP($A190,'[1]INPUT_ASSUMPTIONS CALC'!$A$13:$CK$1019,L$7,FALSE)</f>
        <v>0</v>
      </c>
      <c r="M190" s="139">
        <f>$I190*VLOOKUP($A190,'[1]INPUT_ASSUMPTIONS CALC'!$A$13:$CK$1019,I$6,FALSE)*VLOOKUP($A190,'[1]INPUT_ASSUMPTIONS CALC'!$A$13:$CK$1019,M$7,FALSE)</f>
        <v>0</v>
      </c>
      <c r="N190" s="140">
        <f t="shared" si="11"/>
        <v>0</v>
      </c>
      <c r="O190" s="141">
        <f>H190*VLOOKUP($A190,'[1]INPUT_ASSUMPTIONS CALC'!$A$13:$CK$1019,H$6,FALSE)*SUMIF('[1]INPUT_ASSUMPTIONS CALC'!$CQ$15:$CQ$17,'[1]Summary calculation'!E190,'[1]INPUT_ASSUMPTIONS CALC'!$CR$15:$CR$17)</f>
        <v>0</v>
      </c>
      <c r="P190" s="141">
        <f>H190*VLOOKUP($A190,'[1]INPUT_ASSUMPTIONS CALC'!$A$13:$CK$1019,H$6,FALSE)*SUMIF('[1]INPUT_ASSUMPTIONS CALC'!$CV$15:$CV$31,'[1]Summary calculation'!E190,'[1]INPUT_ASSUMPTIONS CALC'!$CW$15:$CW$31)</f>
        <v>0</v>
      </c>
      <c r="Q190" s="141">
        <f>O190*VLOOKUP($A190,'[1]INPUT_ASSUMPTIONS CALC'!$A$13:$CK$1019,Q$7,FALSE)</f>
        <v>0</v>
      </c>
      <c r="R190" s="141">
        <f>P190*VLOOKUP($A190,'[1]INPUT_ASSUMPTIONS CALC'!$A$13:$CK$1019,R$7,FALSE)</f>
        <v>0</v>
      </c>
      <c r="S190" s="140">
        <f t="shared" si="9"/>
        <v>0</v>
      </c>
      <c r="T190" s="142">
        <f t="shared" si="10"/>
        <v>0</v>
      </c>
      <c r="U190" s="61"/>
    </row>
    <row r="191" spans="1:21" x14ac:dyDescent="0.35">
      <c r="A191" s="125" t="str">
        <f t="shared" si="8"/>
        <v>183Q2</v>
      </c>
      <c r="B191" s="135">
        <v>183</v>
      </c>
      <c r="C191" s="61" t="str">
        <f>INDEX('[1]INPUT_ASSUMPTIONS CALC'!D:D,MATCH(A191,'[1]INPUT_ASSUMPTIONS CALC'!A:A,0))</f>
        <v/>
      </c>
      <c r="D191" s="61" t="str">
        <f>INDEX('[1]INPUT_ASSUMPTIONS CALC'!I:I,MATCH(A191,'[1]INPUT_ASSUMPTIONS CALC'!A:A,0))</f>
        <v/>
      </c>
      <c r="E191" s="61" t="str">
        <f>INDEX('[1]INPUT_ASSUMPTIONS CALC'!E:E,MATCH(A191,'[1]INPUT_ASSUMPTIONS CALC'!A:A,0))</f>
        <v/>
      </c>
      <c r="F191" s="136">
        <f>IF($F$5="Q1",VLOOKUP($A191,'[1]INPUT_ASSUMPTIONS CALC'!$A$13:$CK$1019,F$7,FALSE),IF($F$5="Q2",VLOOKUP($A191,'[1]INPUT_ASSUMPTIONS CALC'!$A$13:$CK$1019,F$7,FALSE),IF($F$5="Q3",VLOOKUP($A191,'[1]INPUT_ASSUMPTIONS CALC'!$A$13:$CK$1019,F$7,FALSE),IF($F$5="Q4",VLOOKUP($A191,'[1]INPUT_ASSUMPTIONS CALC'!$A$13:$CK$1019,F$7,FALSE),IF($F$5="Year",VLOOKUP($A191,'[1]INPUT_ASSUMPTIONS CALC'!$A$13:$CK$1019,F$7,FALSE),0)))))</f>
        <v>0</v>
      </c>
      <c r="G191" s="137">
        <f>SUMIF('[1]INPUT_ASSUMPTIONS CALC'!A:A,'[1]Summary calculation'!A191,'[1]INPUT_ASSUMPTIONS CALC'!BU:BU)</f>
        <v>0</v>
      </c>
      <c r="H191" s="138">
        <f>IF($F$5="Year",F191*G191*'[1]INPUT_ASSUMPTIONS CALC'!$S$7,F191*G191)</f>
        <v>0</v>
      </c>
      <c r="I191" s="138">
        <f>H191*VLOOKUP($A191,'[1]INPUT_ASSUMPTIONS CALC'!$A$13:$CK$1019,H$6,FALSE)*SUMIF('[1]INPUT_ASSUMPTIONS CALC'!$CL$15:$CL$17,'[1]Summary calculation'!E191,'[1]INPUT_ASSUMPTIONS CALC'!$CM$15:$CM$17)</f>
        <v>0</v>
      </c>
      <c r="J191" s="139">
        <f>$I191*VLOOKUP($A191,'[1]INPUT_ASSUMPTIONS CALC'!$A$13:$CK$1019,I$6,FALSE)*VLOOKUP($A191,'[1]INPUT_ASSUMPTIONS CALC'!$A$13:$CK$1019,J$7,FALSE)</f>
        <v>0</v>
      </c>
      <c r="K191" s="139">
        <f>$I191*VLOOKUP($A191,'[1]INPUT_ASSUMPTIONS CALC'!$A$13:$CK$1019,I$6,FALSE)*VLOOKUP($A191,'[1]INPUT_ASSUMPTIONS CALC'!$A$13:$CK$1019,K$7,FALSE)</f>
        <v>0</v>
      </c>
      <c r="L191" s="139">
        <f>$I191*VLOOKUP($A191,'[1]INPUT_ASSUMPTIONS CALC'!$A$13:$CK$1019,I$6,FALSE)*VLOOKUP($A191,'[1]INPUT_ASSUMPTIONS CALC'!$A$13:$CK$1019,L$7,FALSE)</f>
        <v>0</v>
      </c>
      <c r="M191" s="139">
        <f>$I191*VLOOKUP($A191,'[1]INPUT_ASSUMPTIONS CALC'!$A$13:$CK$1019,I$6,FALSE)*VLOOKUP($A191,'[1]INPUT_ASSUMPTIONS CALC'!$A$13:$CK$1019,M$7,FALSE)</f>
        <v>0</v>
      </c>
      <c r="N191" s="140">
        <f t="shared" si="11"/>
        <v>0</v>
      </c>
      <c r="O191" s="141">
        <f>H191*VLOOKUP($A191,'[1]INPUT_ASSUMPTIONS CALC'!$A$13:$CK$1019,H$6,FALSE)*SUMIF('[1]INPUT_ASSUMPTIONS CALC'!$CQ$15:$CQ$17,'[1]Summary calculation'!E191,'[1]INPUT_ASSUMPTIONS CALC'!$CR$15:$CR$17)</f>
        <v>0</v>
      </c>
      <c r="P191" s="141">
        <f>H191*VLOOKUP($A191,'[1]INPUT_ASSUMPTIONS CALC'!$A$13:$CK$1019,H$6,FALSE)*SUMIF('[1]INPUT_ASSUMPTIONS CALC'!$CV$15:$CV$31,'[1]Summary calculation'!E191,'[1]INPUT_ASSUMPTIONS CALC'!$CW$15:$CW$31)</f>
        <v>0</v>
      </c>
      <c r="Q191" s="141">
        <f>O191*VLOOKUP($A191,'[1]INPUT_ASSUMPTIONS CALC'!$A$13:$CK$1019,Q$7,FALSE)</f>
        <v>0</v>
      </c>
      <c r="R191" s="141">
        <f>P191*VLOOKUP($A191,'[1]INPUT_ASSUMPTIONS CALC'!$A$13:$CK$1019,R$7,FALSE)</f>
        <v>0</v>
      </c>
      <c r="S191" s="140">
        <f t="shared" si="9"/>
        <v>0</v>
      </c>
      <c r="T191" s="142">
        <f t="shared" si="10"/>
        <v>0</v>
      </c>
      <c r="U191" s="61"/>
    </row>
    <row r="192" spans="1:21" x14ac:dyDescent="0.35">
      <c r="A192" s="125" t="str">
        <f t="shared" si="8"/>
        <v>184Q2</v>
      </c>
      <c r="B192" s="135">
        <v>184</v>
      </c>
      <c r="C192" s="61" t="str">
        <f>INDEX('[1]INPUT_ASSUMPTIONS CALC'!D:D,MATCH(A192,'[1]INPUT_ASSUMPTIONS CALC'!A:A,0))</f>
        <v/>
      </c>
      <c r="D192" s="61" t="str">
        <f>INDEX('[1]INPUT_ASSUMPTIONS CALC'!I:I,MATCH(A192,'[1]INPUT_ASSUMPTIONS CALC'!A:A,0))</f>
        <v/>
      </c>
      <c r="E192" s="61" t="str">
        <f>INDEX('[1]INPUT_ASSUMPTIONS CALC'!E:E,MATCH(A192,'[1]INPUT_ASSUMPTIONS CALC'!A:A,0))</f>
        <v/>
      </c>
      <c r="F192" s="136">
        <f>IF($F$5="Q1",VLOOKUP($A192,'[1]INPUT_ASSUMPTIONS CALC'!$A$13:$CK$1019,F$7,FALSE),IF($F$5="Q2",VLOOKUP($A192,'[1]INPUT_ASSUMPTIONS CALC'!$A$13:$CK$1019,F$7,FALSE),IF($F$5="Q3",VLOOKUP($A192,'[1]INPUT_ASSUMPTIONS CALC'!$A$13:$CK$1019,F$7,FALSE),IF($F$5="Q4",VLOOKUP($A192,'[1]INPUT_ASSUMPTIONS CALC'!$A$13:$CK$1019,F$7,FALSE),IF($F$5="Year",VLOOKUP($A192,'[1]INPUT_ASSUMPTIONS CALC'!$A$13:$CK$1019,F$7,FALSE),0)))))</f>
        <v>0</v>
      </c>
      <c r="G192" s="137">
        <f>SUMIF('[1]INPUT_ASSUMPTIONS CALC'!A:A,'[1]Summary calculation'!A192,'[1]INPUT_ASSUMPTIONS CALC'!BU:BU)</f>
        <v>0</v>
      </c>
      <c r="H192" s="138">
        <f>IF($F$5="Year",F192*G192*'[1]INPUT_ASSUMPTIONS CALC'!$S$7,F192*G192)</f>
        <v>0</v>
      </c>
      <c r="I192" s="138">
        <f>H192*VLOOKUP($A192,'[1]INPUT_ASSUMPTIONS CALC'!$A$13:$CK$1019,H$6,FALSE)*SUMIF('[1]INPUT_ASSUMPTIONS CALC'!$CL$15:$CL$17,'[1]Summary calculation'!E192,'[1]INPUT_ASSUMPTIONS CALC'!$CM$15:$CM$17)</f>
        <v>0</v>
      </c>
      <c r="J192" s="139">
        <f>$I192*VLOOKUP($A192,'[1]INPUT_ASSUMPTIONS CALC'!$A$13:$CK$1019,I$6,FALSE)*VLOOKUP($A192,'[1]INPUT_ASSUMPTIONS CALC'!$A$13:$CK$1019,J$7,FALSE)</f>
        <v>0</v>
      </c>
      <c r="K192" s="139">
        <f>$I192*VLOOKUP($A192,'[1]INPUT_ASSUMPTIONS CALC'!$A$13:$CK$1019,I$6,FALSE)*VLOOKUP($A192,'[1]INPUT_ASSUMPTIONS CALC'!$A$13:$CK$1019,K$7,FALSE)</f>
        <v>0</v>
      </c>
      <c r="L192" s="139">
        <f>$I192*VLOOKUP($A192,'[1]INPUT_ASSUMPTIONS CALC'!$A$13:$CK$1019,I$6,FALSE)*VLOOKUP($A192,'[1]INPUT_ASSUMPTIONS CALC'!$A$13:$CK$1019,L$7,FALSE)</f>
        <v>0</v>
      </c>
      <c r="M192" s="139">
        <f>$I192*VLOOKUP($A192,'[1]INPUT_ASSUMPTIONS CALC'!$A$13:$CK$1019,I$6,FALSE)*VLOOKUP($A192,'[1]INPUT_ASSUMPTIONS CALC'!$A$13:$CK$1019,M$7,FALSE)</f>
        <v>0</v>
      </c>
      <c r="N192" s="140">
        <f t="shared" si="11"/>
        <v>0</v>
      </c>
      <c r="O192" s="141">
        <f>H192*VLOOKUP($A192,'[1]INPUT_ASSUMPTIONS CALC'!$A$13:$CK$1019,H$6,FALSE)*SUMIF('[1]INPUT_ASSUMPTIONS CALC'!$CQ$15:$CQ$17,'[1]Summary calculation'!E192,'[1]INPUT_ASSUMPTIONS CALC'!$CR$15:$CR$17)</f>
        <v>0</v>
      </c>
      <c r="P192" s="141">
        <f>H192*VLOOKUP($A192,'[1]INPUT_ASSUMPTIONS CALC'!$A$13:$CK$1019,H$6,FALSE)*SUMIF('[1]INPUT_ASSUMPTIONS CALC'!$CV$15:$CV$31,'[1]Summary calculation'!E192,'[1]INPUT_ASSUMPTIONS CALC'!$CW$15:$CW$31)</f>
        <v>0</v>
      </c>
      <c r="Q192" s="141">
        <f>O192*VLOOKUP($A192,'[1]INPUT_ASSUMPTIONS CALC'!$A$13:$CK$1019,Q$7,FALSE)</f>
        <v>0</v>
      </c>
      <c r="R192" s="141">
        <f>P192*VLOOKUP($A192,'[1]INPUT_ASSUMPTIONS CALC'!$A$13:$CK$1019,R$7,FALSE)</f>
        <v>0</v>
      </c>
      <c r="S192" s="140">
        <f t="shared" si="9"/>
        <v>0</v>
      </c>
      <c r="T192" s="142">
        <f t="shared" si="10"/>
        <v>0</v>
      </c>
      <c r="U192" s="61"/>
    </row>
    <row r="193" spans="1:21" x14ac:dyDescent="0.35">
      <c r="A193" s="125" t="str">
        <f t="shared" si="8"/>
        <v>185Q2</v>
      </c>
      <c r="B193" s="135">
        <v>185</v>
      </c>
      <c r="C193" s="61" t="str">
        <f>INDEX('[1]INPUT_ASSUMPTIONS CALC'!D:D,MATCH(A193,'[1]INPUT_ASSUMPTIONS CALC'!A:A,0))</f>
        <v/>
      </c>
      <c r="D193" s="61" t="str">
        <f>INDEX('[1]INPUT_ASSUMPTIONS CALC'!I:I,MATCH(A193,'[1]INPUT_ASSUMPTIONS CALC'!A:A,0))</f>
        <v/>
      </c>
      <c r="E193" s="61" t="str">
        <f>INDEX('[1]INPUT_ASSUMPTIONS CALC'!E:E,MATCH(A193,'[1]INPUT_ASSUMPTIONS CALC'!A:A,0))</f>
        <v/>
      </c>
      <c r="F193" s="136">
        <f>IF($F$5="Q1",VLOOKUP($A193,'[1]INPUT_ASSUMPTIONS CALC'!$A$13:$CK$1019,F$7,FALSE),IF($F$5="Q2",VLOOKUP($A193,'[1]INPUT_ASSUMPTIONS CALC'!$A$13:$CK$1019,F$7,FALSE),IF($F$5="Q3",VLOOKUP($A193,'[1]INPUT_ASSUMPTIONS CALC'!$A$13:$CK$1019,F$7,FALSE),IF($F$5="Q4",VLOOKUP($A193,'[1]INPUT_ASSUMPTIONS CALC'!$A$13:$CK$1019,F$7,FALSE),IF($F$5="Year",VLOOKUP($A193,'[1]INPUT_ASSUMPTIONS CALC'!$A$13:$CK$1019,F$7,FALSE),0)))))</f>
        <v>0</v>
      </c>
      <c r="G193" s="137">
        <f>SUMIF('[1]INPUT_ASSUMPTIONS CALC'!A:A,'[1]Summary calculation'!A193,'[1]INPUT_ASSUMPTIONS CALC'!BU:BU)</f>
        <v>0</v>
      </c>
      <c r="H193" s="138">
        <f>IF($F$5="Year",F193*G193*'[1]INPUT_ASSUMPTIONS CALC'!$S$7,F193*G193)</f>
        <v>0</v>
      </c>
      <c r="I193" s="138">
        <f>H193*VLOOKUP($A193,'[1]INPUT_ASSUMPTIONS CALC'!$A$13:$CK$1019,H$6,FALSE)*SUMIF('[1]INPUT_ASSUMPTIONS CALC'!$CL$15:$CL$17,'[1]Summary calculation'!E193,'[1]INPUT_ASSUMPTIONS CALC'!$CM$15:$CM$17)</f>
        <v>0</v>
      </c>
      <c r="J193" s="139">
        <f>$I193*VLOOKUP($A193,'[1]INPUT_ASSUMPTIONS CALC'!$A$13:$CK$1019,I$6,FALSE)*VLOOKUP($A193,'[1]INPUT_ASSUMPTIONS CALC'!$A$13:$CK$1019,J$7,FALSE)</f>
        <v>0</v>
      </c>
      <c r="K193" s="139">
        <f>$I193*VLOOKUP($A193,'[1]INPUT_ASSUMPTIONS CALC'!$A$13:$CK$1019,I$6,FALSE)*VLOOKUP($A193,'[1]INPUT_ASSUMPTIONS CALC'!$A$13:$CK$1019,K$7,FALSE)</f>
        <v>0</v>
      </c>
      <c r="L193" s="139">
        <f>$I193*VLOOKUP($A193,'[1]INPUT_ASSUMPTIONS CALC'!$A$13:$CK$1019,I$6,FALSE)*VLOOKUP($A193,'[1]INPUT_ASSUMPTIONS CALC'!$A$13:$CK$1019,L$7,FALSE)</f>
        <v>0</v>
      </c>
      <c r="M193" s="139">
        <f>$I193*VLOOKUP($A193,'[1]INPUT_ASSUMPTIONS CALC'!$A$13:$CK$1019,I$6,FALSE)*VLOOKUP($A193,'[1]INPUT_ASSUMPTIONS CALC'!$A$13:$CK$1019,M$7,FALSE)</f>
        <v>0</v>
      </c>
      <c r="N193" s="140">
        <f t="shared" si="11"/>
        <v>0</v>
      </c>
      <c r="O193" s="141">
        <f>H193*VLOOKUP($A193,'[1]INPUT_ASSUMPTIONS CALC'!$A$13:$CK$1019,H$6,FALSE)*SUMIF('[1]INPUT_ASSUMPTIONS CALC'!$CQ$15:$CQ$17,'[1]Summary calculation'!E193,'[1]INPUT_ASSUMPTIONS CALC'!$CR$15:$CR$17)</f>
        <v>0</v>
      </c>
      <c r="P193" s="141">
        <f>H193*VLOOKUP($A193,'[1]INPUT_ASSUMPTIONS CALC'!$A$13:$CK$1019,H$6,FALSE)*SUMIF('[1]INPUT_ASSUMPTIONS CALC'!$CV$15:$CV$31,'[1]Summary calculation'!E193,'[1]INPUT_ASSUMPTIONS CALC'!$CW$15:$CW$31)</f>
        <v>0</v>
      </c>
      <c r="Q193" s="141">
        <f>O193*VLOOKUP($A193,'[1]INPUT_ASSUMPTIONS CALC'!$A$13:$CK$1019,Q$7,FALSE)</f>
        <v>0</v>
      </c>
      <c r="R193" s="141">
        <f>P193*VLOOKUP($A193,'[1]INPUT_ASSUMPTIONS CALC'!$A$13:$CK$1019,R$7,FALSE)</f>
        <v>0</v>
      </c>
      <c r="S193" s="140">
        <f t="shared" si="9"/>
        <v>0</v>
      </c>
      <c r="T193" s="142">
        <f t="shared" si="10"/>
        <v>0</v>
      </c>
      <c r="U193" s="61"/>
    </row>
    <row r="194" spans="1:21" x14ac:dyDescent="0.35">
      <c r="A194" s="125" t="str">
        <f t="shared" si="8"/>
        <v>186Q2</v>
      </c>
      <c r="B194" s="135">
        <v>186</v>
      </c>
      <c r="C194" s="61" t="str">
        <f>INDEX('[1]INPUT_ASSUMPTIONS CALC'!D:D,MATCH(A194,'[1]INPUT_ASSUMPTIONS CALC'!A:A,0))</f>
        <v/>
      </c>
      <c r="D194" s="61" t="str">
        <f>INDEX('[1]INPUT_ASSUMPTIONS CALC'!I:I,MATCH(A194,'[1]INPUT_ASSUMPTIONS CALC'!A:A,0))</f>
        <v/>
      </c>
      <c r="E194" s="61" t="str">
        <f>INDEX('[1]INPUT_ASSUMPTIONS CALC'!E:E,MATCH(A194,'[1]INPUT_ASSUMPTIONS CALC'!A:A,0))</f>
        <v/>
      </c>
      <c r="F194" s="136">
        <f>IF($F$5="Q1",VLOOKUP($A194,'[1]INPUT_ASSUMPTIONS CALC'!$A$13:$CK$1019,F$7,FALSE),IF($F$5="Q2",VLOOKUP($A194,'[1]INPUT_ASSUMPTIONS CALC'!$A$13:$CK$1019,F$7,FALSE),IF($F$5="Q3",VLOOKUP($A194,'[1]INPUT_ASSUMPTIONS CALC'!$A$13:$CK$1019,F$7,FALSE),IF($F$5="Q4",VLOOKUP($A194,'[1]INPUT_ASSUMPTIONS CALC'!$A$13:$CK$1019,F$7,FALSE),IF($F$5="Year",VLOOKUP($A194,'[1]INPUT_ASSUMPTIONS CALC'!$A$13:$CK$1019,F$7,FALSE),0)))))</f>
        <v>0</v>
      </c>
      <c r="G194" s="137">
        <f>SUMIF('[1]INPUT_ASSUMPTIONS CALC'!A:A,'[1]Summary calculation'!A194,'[1]INPUT_ASSUMPTIONS CALC'!BU:BU)</f>
        <v>0</v>
      </c>
      <c r="H194" s="138">
        <f>IF($F$5="Year",F194*G194*'[1]INPUT_ASSUMPTIONS CALC'!$S$7,F194*G194)</f>
        <v>0</v>
      </c>
      <c r="I194" s="138">
        <f>H194*VLOOKUP($A194,'[1]INPUT_ASSUMPTIONS CALC'!$A$13:$CK$1019,H$6,FALSE)*SUMIF('[1]INPUT_ASSUMPTIONS CALC'!$CL$15:$CL$17,'[1]Summary calculation'!E194,'[1]INPUT_ASSUMPTIONS CALC'!$CM$15:$CM$17)</f>
        <v>0</v>
      </c>
      <c r="J194" s="139">
        <f>$I194*VLOOKUP($A194,'[1]INPUT_ASSUMPTIONS CALC'!$A$13:$CK$1019,I$6,FALSE)*VLOOKUP($A194,'[1]INPUT_ASSUMPTIONS CALC'!$A$13:$CK$1019,J$7,FALSE)</f>
        <v>0</v>
      </c>
      <c r="K194" s="139">
        <f>$I194*VLOOKUP($A194,'[1]INPUT_ASSUMPTIONS CALC'!$A$13:$CK$1019,I$6,FALSE)*VLOOKUP($A194,'[1]INPUT_ASSUMPTIONS CALC'!$A$13:$CK$1019,K$7,FALSE)</f>
        <v>0</v>
      </c>
      <c r="L194" s="139">
        <f>$I194*VLOOKUP($A194,'[1]INPUT_ASSUMPTIONS CALC'!$A$13:$CK$1019,I$6,FALSE)*VLOOKUP($A194,'[1]INPUT_ASSUMPTIONS CALC'!$A$13:$CK$1019,L$7,FALSE)</f>
        <v>0</v>
      </c>
      <c r="M194" s="139">
        <f>$I194*VLOOKUP($A194,'[1]INPUT_ASSUMPTIONS CALC'!$A$13:$CK$1019,I$6,FALSE)*VLOOKUP($A194,'[1]INPUT_ASSUMPTIONS CALC'!$A$13:$CK$1019,M$7,FALSE)</f>
        <v>0</v>
      </c>
      <c r="N194" s="140">
        <f t="shared" si="11"/>
        <v>0</v>
      </c>
      <c r="O194" s="141">
        <f>H194*VLOOKUP($A194,'[1]INPUT_ASSUMPTIONS CALC'!$A$13:$CK$1019,H$6,FALSE)*SUMIF('[1]INPUT_ASSUMPTIONS CALC'!$CQ$15:$CQ$17,'[1]Summary calculation'!E194,'[1]INPUT_ASSUMPTIONS CALC'!$CR$15:$CR$17)</f>
        <v>0</v>
      </c>
      <c r="P194" s="141">
        <f>H194*VLOOKUP($A194,'[1]INPUT_ASSUMPTIONS CALC'!$A$13:$CK$1019,H$6,FALSE)*SUMIF('[1]INPUT_ASSUMPTIONS CALC'!$CV$15:$CV$31,'[1]Summary calculation'!E194,'[1]INPUT_ASSUMPTIONS CALC'!$CW$15:$CW$31)</f>
        <v>0</v>
      </c>
      <c r="Q194" s="141">
        <f>O194*VLOOKUP($A194,'[1]INPUT_ASSUMPTIONS CALC'!$A$13:$CK$1019,Q$7,FALSE)</f>
        <v>0</v>
      </c>
      <c r="R194" s="141">
        <f>P194*VLOOKUP($A194,'[1]INPUT_ASSUMPTIONS CALC'!$A$13:$CK$1019,R$7,FALSE)</f>
        <v>0</v>
      </c>
      <c r="S194" s="140">
        <f t="shared" si="9"/>
        <v>0</v>
      </c>
      <c r="T194" s="142">
        <f t="shared" si="10"/>
        <v>0</v>
      </c>
      <c r="U194" s="61"/>
    </row>
    <row r="195" spans="1:21" x14ac:dyDescent="0.35">
      <c r="A195" s="125" t="str">
        <f t="shared" si="8"/>
        <v>187Q2</v>
      </c>
      <c r="B195" s="135">
        <v>187</v>
      </c>
      <c r="C195" s="61" t="str">
        <f>INDEX('[1]INPUT_ASSUMPTIONS CALC'!D:D,MATCH(A195,'[1]INPUT_ASSUMPTIONS CALC'!A:A,0))</f>
        <v/>
      </c>
      <c r="D195" s="61" t="str">
        <f>INDEX('[1]INPUT_ASSUMPTIONS CALC'!I:I,MATCH(A195,'[1]INPUT_ASSUMPTIONS CALC'!A:A,0))</f>
        <v/>
      </c>
      <c r="E195" s="61" t="str">
        <f>INDEX('[1]INPUT_ASSUMPTIONS CALC'!E:E,MATCH(A195,'[1]INPUT_ASSUMPTIONS CALC'!A:A,0))</f>
        <v/>
      </c>
      <c r="F195" s="136">
        <f>IF($F$5="Q1",VLOOKUP($A195,'[1]INPUT_ASSUMPTIONS CALC'!$A$13:$CK$1019,F$7,FALSE),IF($F$5="Q2",VLOOKUP($A195,'[1]INPUT_ASSUMPTIONS CALC'!$A$13:$CK$1019,F$7,FALSE),IF($F$5="Q3",VLOOKUP($A195,'[1]INPUT_ASSUMPTIONS CALC'!$A$13:$CK$1019,F$7,FALSE),IF($F$5="Q4",VLOOKUP($A195,'[1]INPUT_ASSUMPTIONS CALC'!$A$13:$CK$1019,F$7,FALSE),IF($F$5="Year",VLOOKUP($A195,'[1]INPUT_ASSUMPTIONS CALC'!$A$13:$CK$1019,F$7,FALSE),0)))))</f>
        <v>0</v>
      </c>
      <c r="G195" s="137">
        <f>SUMIF('[1]INPUT_ASSUMPTIONS CALC'!A:A,'[1]Summary calculation'!A195,'[1]INPUT_ASSUMPTIONS CALC'!BU:BU)</f>
        <v>0</v>
      </c>
      <c r="H195" s="138">
        <f>IF($F$5="Year",F195*G195*'[1]INPUT_ASSUMPTIONS CALC'!$S$7,F195*G195)</f>
        <v>0</v>
      </c>
      <c r="I195" s="138">
        <f>H195*VLOOKUP($A195,'[1]INPUT_ASSUMPTIONS CALC'!$A$13:$CK$1019,H$6,FALSE)*SUMIF('[1]INPUT_ASSUMPTIONS CALC'!$CL$15:$CL$17,'[1]Summary calculation'!E195,'[1]INPUT_ASSUMPTIONS CALC'!$CM$15:$CM$17)</f>
        <v>0</v>
      </c>
      <c r="J195" s="139">
        <f>$I195*VLOOKUP($A195,'[1]INPUT_ASSUMPTIONS CALC'!$A$13:$CK$1019,I$6,FALSE)*VLOOKUP($A195,'[1]INPUT_ASSUMPTIONS CALC'!$A$13:$CK$1019,J$7,FALSE)</f>
        <v>0</v>
      </c>
      <c r="K195" s="139">
        <f>$I195*VLOOKUP($A195,'[1]INPUT_ASSUMPTIONS CALC'!$A$13:$CK$1019,I$6,FALSE)*VLOOKUP($A195,'[1]INPUT_ASSUMPTIONS CALC'!$A$13:$CK$1019,K$7,FALSE)</f>
        <v>0</v>
      </c>
      <c r="L195" s="139">
        <f>$I195*VLOOKUP($A195,'[1]INPUT_ASSUMPTIONS CALC'!$A$13:$CK$1019,I$6,FALSE)*VLOOKUP($A195,'[1]INPUT_ASSUMPTIONS CALC'!$A$13:$CK$1019,L$7,FALSE)</f>
        <v>0</v>
      </c>
      <c r="M195" s="139">
        <f>$I195*VLOOKUP($A195,'[1]INPUT_ASSUMPTIONS CALC'!$A$13:$CK$1019,I$6,FALSE)*VLOOKUP($A195,'[1]INPUT_ASSUMPTIONS CALC'!$A$13:$CK$1019,M$7,FALSE)</f>
        <v>0</v>
      </c>
      <c r="N195" s="140">
        <f t="shared" si="11"/>
        <v>0</v>
      </c>
      <c r="O195" s="141">
        <f>H195*VLOOKUP($A195,'[1]INPUT_ASSUMPTIONS CALC'!$A$13:$CK$1019,H$6,FALSE)*SUMIF('[1]INPUT_ASSUMPTIONS CALC'!$CQ$15:$CQ$17,'[1]Summary calculation'!E195,'[1]INPUT_ASSUMPTIONS CALC'!$CR$15:$CR$17)</f>
        <v>0</v>
      </c>
      <c r="P195" s="141">
        <f>H195*VLOOKUP($A195,'[1]INPUT_ASSUMPTIONS CALC'!$A$13:$CK$1019,H$6,FALSE)*SUMIF('[1]INPUT_ASSUMPTIONS CALC'!$CV$15:$CV$31,'[1]Summary calculation'!E195,'[1]INPUT_ASSUMPTIONS CALC'!$CW$15:$CW$31)</f>
        <v>0</v>
      </c>
      <c r="Q195" s="141">
        <f>O195*VLOOKUP($A195,'[1]INPUT_ASSUMPTIONS CALC'!$A$13:$CK$1019,Q$7,FALSE)</f>
        <v>0</v>
      </c>
      <c r="R195" s="141">
        <f>P195*VLOOKUP($A195,'[1]INPUT_ASSUMPTIONS CALC'!$A$13:$CK$1019,R$7,FALSE)</f>
        <v>0</v>
      </c>
      <c r="S195" s="140">
        <f t="shared" si="9"/>
        <v>0</v>
      </c>
      <c r="T195" s="142">
        <f t="shared" si="10"/>
        <v>0</v>
      </c>
      <c r="U195" s="61"/>
    </row>
    <row r="196" spans="1:21" x14ac:dyDescent="0.35">
      <c r="A196" s="125" t="str">
        <f t="shared" si="8"/>
        <v>188Q2</v>
      </c>
      <c r="B196" s="135">
        <v>188</v>
      </c>
      <c r="C196" s="61" t="str">
        <f>INDEX('[1]INPUT_ASSUMPTIONS CALC'!D:D,MATCH(A196,'[1]INPUT_ASSUMPTIONS CALC'!A:A,0))</f>
        <v/>
      </c>
      <c r="D196" s="61" t="str">
        <f>INDEX('[1]INPUT_ASSUMPTIONS CALC'!I:I,MATCH(A196,'[1]INPUT_ASSUMPTIONS CALC'!A:A,0))</f>
        <v/>
      </c>
      <c r="E196" s="61" t="str">
        <f>INDEX('[1]INPUT_ASSUMPTIONS CALC'!E:E,MATCH(A196,'[1]INPUT_ASSUMPTIONS CALC'!A:A,0))</f>
        <v/>
      </c>
      <c r="F196" s="136">
        <f>IF($F$5="Q1",VLOOKUP($A196,'[1]INPUT_ASSUMPTIONS CALC'!$A$13:$CK$1019,F$7,FALSE),IF($F$5="Q2",VLOOKUP($A196,'[1]INPUT_ASSUMPTIONS CALC'!$A$13:$CK$1019,F$7,FALSE),IF($F$5="Q3",VLOOKUP($A196,'[1]INPUT_ASSUMPTIONS CALC'!$A$13:$CK$1019,F$7,FALSE),IF($F$5="Q4",VLOOKUP($A196,'[1]INPUT_ASSUMPTIONS CALC'!$A$13:$CK$1019,F$7,FALSE),IF($F$5="Year",VLOOKUP($A196,'[1]INPUT_ASSUMPTIONS CALC'!$A$13:$CK$1019,F$7,FALSE),0)))))</f>
        <v>0</v>
      </c>
      <c r="G196" s="137">
        <f>SUMIF('[1]INPUT_ASSUMPTIONS CALC'!A:A,'[1]Summary calculation'!A196,'[1]INPUT_ASSUMPTIONS CALC'!BU:BU)</f>
        <v>0</v>
      </c>
      <c r="H196" s="138">
        <f>IF($F$5="Year",F196*G196*'[1]INPUT_ASSUMPTIONS CALC'!$S$7,F196*G196)</f>
        <v>0</v>
      </c>
      <c r="I196" s="138">
        <f>H196*VLOOKUP($A196,'[1]INPUT_ASSUMPTIONS CALC'!$A$13:$CK$1019,H$6,FALSE)*SUMIF('[1]INPUT_ASSUMPTIONS CALC'!$CL$15:$CL$17,'[1]Summary calculation'!E196,'[1]INPUT_ASSUMPTIONS CALC'!$CM$15:$CM$17)</f>
        <v>0</v>
      </c>
      <c r="J196" s="139">
        <f>$I196*VLOOKUP($A196,'[1]INPUT_ASSUMPTIONS CALC'!$A$13:$CK$1019,I$6,FALSE)*VLOOKUP($A196,'[1]INPUT_ASSUMPTIONS CALC'!$A$13:$CK$1019,J$7,FALSE)</f>
        <v>0</v>
      </c>
      <c r="K196" s="139">
        <f>$I196*VLOOKUP($A196,'[1]INPUT_ASSUMPTIONS CALC'!$A$13:$CK$1019,I$6,FALSE)*VLOOKUP($A196,'[1]INPUT_ASSUMPTIONS CALC'!$A$13:$CK$1019,K$7,FALSE)</f>
        <v>0</v>
      </c>
      <c r="L196" s="139">
        <f>$I196*VLOOKUP($A196,'[1]INPUT_ASSUMPTIONS CALC'!$A$13:$CK$1019,I$6,FALSE)*VLOOKUP($A196,'[1]INPUT_ASSUMPTIONS CALC'!$A$13:$CK$1019,L$7,FALSE)</f>
        <v>0</v>
      </c>
      <c r="M196" s="139">
        <f>$I196*VLOOKUP($A196,'[1]INPUT_ASSUMPTIONS CALC'!$A$13:$CK$1019,I$6,FALSE)*VLOOKUP($A196,'[1]INPUT_ASSUMPTIONS CALC'!$A$13:$CK$1019,M$7,FALSE)</f>
        <v>0</v>
      </c>
      <c r="N196" s="140">
        <f t="shared" si="11"/>
        <v>0</v>
      </c>
      <c r="O196" s="141">
        <f>H196*VLOOKUP($A196,'[1]INPUT_ASSUMPTIONS CALC'!$A$13:$CK$1019,H$6,FALSE)*SUMIF('[1]INPUT_ASSUMPTIONS CALC'!$CQ$15:$CQ$17,'[1]Summary calculation'!E196,'[1]INPUT_ASSUMPTIONS CALC'!$CR$15:$CR$17)</f>
        <v>0</v>
      </c>
      <c r="P196" s="141">
        <f>H196*VLOOKUP($A196,'[1]INPUT_ASSUMPTIONS CALC'!$A$13:$CK$1019,H$6,FALSE)*SUMIF('[1]INPUT_ASSUMPTIONS CALC'!$CV$15:$CV$31,'[1]Summary calculation'!E196,'[1]INPUT_ASSUMPTIONS CALC'!$CW$15:$CW$31)</f>
        <v>0</v>
      </c>
      <c r="Q196" s="141">
        <f>O196*VLOOKUP($A196,'[1]INPUT_ASSUMPTIONS CALC'!$A$13:$CK$1019,Q$7,FALSE)</f>
        <v>0</v>
      </c>
      <c r="R196" s="141">
        <f>P196*VLOOKUP($A196,'[1]INPUT_ASSUMPTIONS CALC'!$A$13:$CK$1019,R$7,FALSE)</f>
        <v>0</v>
      </c>
      <c r="S196" s="140">
        <f t="shared" si="9"/>
        <v>0</v>
      </c>
      <c r="T196" s="142">
        <f t="shared" si="10"/>
        <v>0</v>
      </c>
      <c r="U196" s="61"/>
    </row>
    <row r="197" spans="1:21" x14ac:dyDescent="0.35">
      <c r="A197" s="125" t="str">
        <f t="shared" si="8"/>
        <v>189Q2</v>
      </c>
      <c r="B197" s="135">
        <v>189</v>
      </c>
      <c r="C197" s="61" t="str">
        <f>INDEX('[1]INPUT_ASSUMPTIONS CALC'!D:D,MATCH(A197,'[1]INPUT_ASSUMPTIONS CALC'!A:A,0))</f>
        <v/>
      </c>
      <c r="D197" s="61" t="str">
        <f>INDEX('[1]INPUT_ASSUMPTIONS CALC'!I:I,MATCH(A197,'[1]INPUT_ASSUMPTIONS CALC'!A:A,0))</f>
        <v/>
      </c>
      <c r="E197" s="61" t="str">
        <f>INDEX('[1]INPUT_ASSUMPTIONS CALC'!E:E,MATCH(A197,'[1]INPUT_ASSUMPTIONS CALC'!A:A,0))</f>
        <v/>
      </c>
      <c r="F197" s="136">
        <f>IF($F$5="Q1",VLOOKUP($A197,'[1]INPUT_ASSUMPTIONS CALC'!$A$13:$CK$1019,F$7,FALSE),IF($F$5="Q2",VLOOKUP($A197,'[1]INPUT_ASSUMPTIONS CALC'!$A$13:$CK$1019,F$7,FALSE),IF($F$5="Q3",VLOOKUP($A197,'[1]INPUT_ASSUMPTIONS CALC'!$A$13:$CK$1019,F$7,FALSE),IF($F$5="Q4",VLOOKUP($A197,'[1]INPUT_ASSUMPTIONS CALC'!$A$13:$CK$1019,F$7,FALSE),IF($F$5="Year",VLOOKUP($A197,'[1]INPUT_ASSUMPTIONS CALC'!$A$13:$CK$1019,F$7,FALSE),0)))))</f>
        <v>0</v>
      </c>
      <c r="G197" s="137">
        <f>SUMIF('[1]INPUT_ASSUMPTIONS CALC'!A:A,'[1]Summary calculation'!A197,'[1]INPUT_ASSUMPTIONS CALC'!BU:BU)</f>
        <v>0</v>
      </c>
      <c r="H197" s="138">
        <f>IF($F$5="Year",F197*G197*'[1]INPUT_ASSUMPTIONS CALC'!$S$7,F197*G197)</f>
        <v>0</v>
      </c>
      <c r="I197" s="138">
        <f>H197*VLOOKUP($A197,'[1]INPUT_ASSUMPTIONS CALC'!$A$13:$CK$1019,H$6,FALSE)*SUMIF('[1]INPUT_ASSUMPTIONS CALC'!$CL$15:$CL$17,'[1]Summary calculation'!E197,'[1]INPUT_ASSUMPTIONS CALC'!$CM$15:$CM$17)</f>
        <v>0</v>
      </c>
      <c r="J197" s="139">
        <f>$I197*VLOOKUP($A197,'[1]INPUT_ASSUMPTIONS CALC'!$A$13:$CK$1019,I$6,FALSE)*VLOOKUP($A197,'[1]INPUT_ASSUMPTIONS CALC'!$A$13:$CK$1019,J$7,FALSE)</f>
        <v>0</v>
      </c>
      <c r="K197" s="139">
        <f>$I197*VLOOKUP($A197,'[1]INPUT_ASSUMPTIONS CALC'!$A$13:$CK$1019,I$6,FALSE)*VLOOKUP($A197,'[1]INPUT_ASSUMPTIONS CALC'!$A$13:$CK$1019,K$7,FALSE)</f>
        <v>0</v>
      </c>
      <c r="L197" s="139">
        <f>$I197*VLOOKUP($A197,'[1]INPUT_ASSUMPTIONS CALC'!$A$13:$CK$1019,I$6,FALSE)*VLOOKUP($A197,'[1]INPUT_ASSUMPTIONS CALC'!$A$13:$CK$1019,L$7,FALSE)</f>
        <v>0</v>
      </c>
      <c r="M197" s="139">
        <f>$I197*VLOOKUP($A197,'[1]INPUT_ASSUMPTIONS CALC'!$A$13:$CK$1019,I$6,FALSE)*VLOOKUP($A197,'[1]INPUT_ASSUMPTIONS CALC'!$A$13:$CK$1019,M$7,FALSE)</f>
        <v>0</v>
      </c>
      <c r="N197" s="140">
        <f t="shared" si="11"/>
        <v>0</v>
      </c>
      <c r="O197" s="141">
        <f>H197*VLOOKUP($A197,'[1]INPUT_ASSUMPTIONS CALC'!$A$13:$CK$1019,H$6,FALSE)*SUMIF('[1]INPUT_ASSUMPTIONS CALC'!$CQ$15:$CQ$17,'[1]Summary calculation'!E197,'[1]INPUT_ASSUMPTIONS CALC'!$CR$15:$CR$17)</f>
        <v>0</v>
      </c>
      <c r="P197" s="141">
        <f>H197*VLOOKUP($A197,'[1]INPUT_ASSUMPTIONS CALC'!$A$13:$CK$1019,H$6,FALSE)*SUMIF('[1]INPUT_ASSUMPTIONS CALC'!$CV$15:$CV$31,'[1]Summary calculation'!E197,'[1]INPUT_ASSUMPTIONS CALC'!$CW$15:$CW$31)</f>
        <v>0</v>
      </c>
      <c r="Q197" s="141">
        <f>O197*VLOOKUP($A197,'[1]INPUT_ASSUMPTIONS CALC'!$A$13:$CK$1019,Q$7,FALSE)</f>
        <v>0</v>
      </c>
      <c r="R197" s="141">
        <f>P197*VLOOKUP($A197,'[1]INPUT_ASSUMPTIONS CALC'!$A$13:$CK$1019,R$7,FALSE)</f>
        <v>0</v>
      </c>
      <c r="S197" s="140">
        <f t="shared" si="9"/>
        <v>0</v>
      </c>
      <c r="T197" s="142">
        <f t="shared" si="10"/>
        <v>0</v>
      </c>
      <c r="U197" s="61"/>
    </row>
    <row r="198" spans="1:21" x14ac:dyDescent="0.35">
      <c r="A198" s="125" t="str">
        <f t="shared" si="8"/>
        <v>190Q2</v>
      </c>
      <c r="B198" s="135">
        <v>190</v>
      </c>
      <c r="C198" s="61" t="str">
        <f>INDEX('[1]INPUT_ASSUMPTIONS CALC'!D:D,MATCH(A198,'[1]INPUT_ASSUMPTIONS CALC'!A:A,0))</f>
        <v/>
      </c>
      <c r="D198" s="61" t="str">
        <f>INDEX('[1]INPUT_ASSUMPTIONS CALC'!I:I,MATCH(A198,'[1]INPUT_ASSUMPTIONS CALC'!A:A,0))</f>
        <v/>
      </c>
      <c r="E198" s="61" t="str">
        <f>INDEX('[1]INPUT_ASSUMPTIONS CALC'!E:E,MATCH(A198,'[1]INPUT_ASSUMPTIONS CALC'!A:A,0))</f>
        <v/>
      </c>
      <c r="F198" s="136">
        <f>IF($F$5="Q1",VLOOKUP($A198,'[1]INPUT_ASSUMPTIONS CALC'!$A$13:$CK$1019,F$7,FALSE),IF($F$5="Q2",VLOOKUP($A198,'[1]INPUT_ASSUMPTIONS CALC'!$A$13:$CK$1019,F$7,FALSE),IF($F$5="Q3",VLOOKUP($A198,'[1]INPUT_ASSUMPTIONS CALC'!$A$13:$CK$1019,F$7,FALSE),IF($F$5="Q4",VLOOKUP($A198,'[1]INPUT_ASSUMPTIONS CALC'!$A$13:$CK$1019,F$7,FALSE),IF($F$5="Year",VLOOKUP($A198,'[1]INPUT_ASSUMPTIONS CALC'!$A$13:$CK$1019,F$7,FALSE),0)))))</f>
        <v>0</v>
      </c>
      <c r="G198" s="137">
        <f>SUMIF('[1]INPUT_ASSUMPTIONS CALC'!A:A,'[1]Summary calculation'!A198,'[1]INPUT_ASSUMPTIONS CALC'!BU:BU)</f>
        <v>0</v>
      </c>
      <c r="H198" s="138">
        <f>IF($F$5="Year",F198*G198*'[1]INPUT_ASSUMPTIONS CALC'!$S$7,F198*G198)</f>
        <v>0</v>
      </c>
      <c r="I198" s="138">
        <f>H198*VLOOKUP($A198,'[1]INPUT_ASSUMPTIONS CALC'!$A$13:$CK$1019,H$6,FALSE)*SUMIF('[1]INPUT_ASSUMPTIONS CALC'!$CL$15:$CL$17,'[1]Summary calculation'!E198,'[1]INPUT_ASSUMPTIONS CALC'!$CM$15:$CM$17)</f>
        <v>0</v>
      </c>
      <c r="J198" s="139">
        <f>$I198*VLOOKUP($A198,'[1]INPUT_ASSUMPTIONS CALC'!$A$13:$CK$1019,I$6,FALSE)*VLOOKUP($A198,'[1]INPUT_ASSUMPTIONS CALC'!$A$13:$CK$1019,J$7,FALSE)</f>
        <v>0</v>
      </c>
      <c r="K198" s="139">
        <f>$I198*VLOOKUP($A198,'[1]INPUT_ASSUMPTIONS CALC'!$A$13:$CK$1019,I$6,FALSE)*VLOOKUP($A198,'[1]INPUT_ASSUMPTIONS CALC'!$A$13:$CK$1019,K$7,FALSE)</f>
        <v>0</v>
      </c>
      <c r="L198" s="139">
        <f>$I198*VLOOKUP($A198,'[1]INPUT_ASSUMPTIONS CALC'!$A$13:$CK$1019,I$6,FALSE)*VLOOKUP($A198,'[1]INPUT_ASSUMPTIONS CALC'!$A$13:$CK$1019,L$7,FALSE)</f>
        <v>0</v>
      </c>
      <c r="M198" s="139">
        <f>$I198*VLOOKUP($A198,'[1]INPUT_ASSUMPTIONS CALC'!$A$13:$CK$1019,I$6,FALSE)*VLOOKUP($A198,'[1]INPUT_ASSUMPTIONS CALC'!$A$13:$CK$1019,M$7,FALSE)</f>
        <v>0</v>
      </c>
      <c r="N198" s="140">
        <f t="shared" si="11"/>
        <v>0</v>
      </c>
      <c r="O198" s="141">
        <f>H198*VLOOKUP($A198,'[1]INPUT_ASSUMPTIONS CALC'!$A$13:$CK$1019,H$6,FALSE)*SUMIF('[1]INPUT_ASSUMPTIONS CALC'!$CQ$15:$CQ$17,'[1]Summary calculation'!E198,'[1]INPUT_ASSUMPTIONS CALC'!$CR$15:$CR$17)</f>
        <v>0</v>
      </c>
      <c r="P198" s="141">
        <f>H198*VLOOKUP($A198,'[1]INPUT_ASSUMPTIONS CALC'!$A$13:$CK$1019,H$6,FALSE)*SUMIF('[1]INPUT_ASSUMPTIONS CALC'!$CV$15:$CV$31,'[1]Summary calculation'!E198,'[1]INPUT_ASSUMPTIONS CALC'!$CW$15:$CW$31)</f>
        <v>0</v>
      </c>
      <c r="Q198" s="141">
        <f>O198*VLOOKUP($A198,'[1]INPUT_ASSUMPTIONS CALC'!$A$13:$CK$1019,Q$7,FALSE)</f>
        <v>0</v>
      </c>
      <c r="R198" s="141">
        <f>P198*VLOOKUP($A198,'[1]INPUT_ASSUMPTIONS CALC'!$A$13:$CK$1019,R$7,FALSE)</f>
        <v>0</v>
      </c>
      <c r="S198" s="140">
        <f t="shared" si="9"/>
        <v>0</v>
      </c>
      <c r="T198" s="142">
        <f t="shared" si="10"/>
        <v>0</v>
      </c>
      <c r="U198" s="61"/>
    </row>
    <row r="199" spans="1:21" x14ac:dyDescent="0.35">
      <c r="A199" s="125" t="str">
        <f t="shared" si="8"/>
        <v>191Q2</v>
      </c>
      <c r="B199" s="135">
        <v>191</v>
      </c>
      <c r="C199" s="61" t="str">
        <f>INDEX('[1]INPUT_ASSUMPTIONS CALC'!D:D,MATCH(A199,'[1]INPUT_ASSUMPTIONS CALC'!A:A,0))</f>
        <v/>
      </c>
      <c r="D199" s="61" t="str">
        <f>INDEX('[1]INPUT_ASSUMPTIONS CALC'!I:I,MATCH(A199,'[1]INPUT_ASSUMPTIONS CALC'!A:A,0))</f>
        <v/>
      </c>
      <c r="E199" s="61" t="str">
        <f>INDEX('[1]INPUT_ASSUMPTIONS CALC'!E:E,MATCH(A199,'[1]INPUT_ASSUMPTIONS CALC'!A:A,0))</f>
        <v/>
      </c>
      <c r="F199" s="136">
        <f>IF($F$5="Q1",VLOOKUP($A199,'[1]INPUT_ASSUMPTIONS CALC'!$A$13:$CK$1019,F$7,FALSE),IF($F$5="Q2",VLOOKUP($A199,'[1]INPUT_ASSUMPTIONS CALC'!$A$13:$CK$1019,F$7,FALSE),IF($F$5="Q3",VLOOKUP($A199,'[1]INPUT_ASSUMPTIONS CALC'!$A$13:$CK$1019,F$7,FALSE),IF($F$5="Q4",VLOOKUP($A199,'[1]INPUT_ASSUMPTIONS CALC'!$A$13:$CK$1019,F$7,FALSE),IF($F$5="Year",VLOOKUP($A199,'[1]INPUT_ASSUMPTIONS CALC'!$A$13:$CK$1019,F$7,FALSE),0)))))</f>
        <v>0</v>
      </c>
      <c r="G199" s="137">
        <f>SUMIF('[1]INPUT_ASSUMPTIONS CALC'!A:A,'[1]Summary calculation'!A199,'[1]INPUT_ASSUMPTIONS CALC'!BU:BU)</f>
        <v>0</v>
      </c>
      <c r="H199" s="138">
        <f>IF($F$5="Year",F199*G199*'[1]INPUT_ASSUMPTIONS CALC'!$S$7,F199*G199)</f>
        <v>0</v>
      </c>
      <c r="I199" s="138">
        <f>H199*VLOOKUP($A199,'[1]INPUT_ASSUMPTIONS CALC'!$A$13:$CK$1019,H$6,FALSE)*SUMIF('[1]INPUT_ASSUMPTIONS CALC'!$CL$15:$CL$17,'[1]Summary calculation'!E199,'[1]INPUT_ASSUMPTIONS CALC'!$CM$15:$CM$17)</f>
        <v>0</v>
      </c>
      <c r="J199" s="139">
        <f>$I199*VLOOKUP($A199,'[1]INPUT_ASSUMPTIONS CALC'!$A$13:$CK$1019,I$6,FALSE)*VLOOKUP($A199,'[1]INPUT_ASSUMPTIONS CALC'!$A$13:$CK$1019,J$7,FALSE)</f>
        <v>0</v>
      </c>
      <c r="K199" s="139">
        <f>$I199*VLOOKUP($A199,'[1]INPUT_ASSUMPTIONS CALC'!$A$13:$CK$1019,I$6,FALSE)*VLOOKUP($A199,'[1]INPUT_ASSUMPTIONS CALC'!$A$13:$CK$1019,K$7,FALSE)</f>
        <v>0</v>
      </c>
      <c r="L199" s="139">
        <f>$I199*VLOOKUP($A199,'[1]INPUT_ASSUMPTIONS CALC'!$A$13:$CK$1019,I$6,FALSE)*VLOOKUP($A199,'[1]INPUT_ASSUMPTIONS CALC'!$A$13:$CK$1019,L$7,FALSE)</f>
        <v>0</v>
      </c>
      <c r="M199" s="139">
        <f>$I199*VLOOKUP($A199,'[1]INPUT_ASSUMPTIONS CALC'!$A$13:$CK$1019,I$6,FALSE)*VLOOKUP($A199,'[1]INPUT_ASSUMPTIONS CALC'!$A$13:$CK$1019,M$7,FALSE)</f>
        <v>0</v>
      </c>
      <c r="N199" s="140">
        <f t="shared" si="11"/>
        <v>0</v>
      </c>
      <c r="O199" s="141">
        <f>H199*VLOOKUP($A199,'[1]INPUT_ASSUMPTIONS CALC'!$A$13:$CK$1019,H$6,FALSE)*SUMIF('[1]INPUT_ASSUMPTIONS CALC'!$CQ$15:$CQ$17,'[1]Summary calculation'!E199,'[1]INPUT_ASSUMPTIONS CALC'!$CR$15:$CR$17)</f>
        <v>0</v>
      </c>
      <c r="P199" s="141">
        <f>H199*VLOOKUP($A199,'[1]INPUT_ASSUMPTIONS CALC'!$A$13:$CK$1019,H$6,FALSE)*SUMIF('[1]INPUT_ASSUMPTIONS CALC'!$CV$15:$CV$31,'[1]Summary calculation'!E199,'[1]INPUT_ASSUMPTIONS CALC'!$CW$15:$CW$31)</f>
        <v>0</v>
      </c>
      <c r="Q199" s="141">
        <f>O199*VLOOKUP($A199,'[1]INPUT_ASSUMPTIONS CALC'!$A$13:$CK$1019,Q$7,FALSE)</f>
        <v>0</v>
      </c>
      <c r="R199" s="141">
        <f>P199*VLOOKUP($A199,'[1]INPUT_ASSUMPTIONS CALC'!$A$13:$CK$1019,R$7,FALSE)</f>
        <v>0</v>
      </c>
      <c r="S199" s="140">
        <f t="shared" si="9"/>
        <v>0</v>
      </c>
      <c r="T199" s="142">
        <f t="shared" si="10"/>
        <v>0</v>
      </c>
      <c r="U199" s="61"/>
    </row>
    <row r="200" spans="1:21" x14ac:dyDescent="0.35">
      <c r="A200" s="125" t="str">
        <f t="shared" si="8"/>
        <v>192Q2</v>
      </c>
      <c r="B200" s="135">
        <v>192</v>
      </c>
      <c r="C200" s="61" t="str">
        <f>INDEX('[1]INPUT_ASSUMPTIONS CALC'!D:D,MATCH(A200,'[1]INPUT_ASSUMPTIONS CALC'!A:A,0))</f>
        <v/>
      </c>
      <c r="D200" s="61" t="str">
        <f>INDEX('[1]INPUT_ASSUMPTIONS CALC'!I:I,MATCH(A200,'[1]INPUT_ASSUMPTIONS CALC'!A:A,0))</f>
        <v/>
      </c>
      <c r="E200" s="61" t="str">
        <f>INDEX('[1]INPUT_ASSUMPTIONS CALC'!E:E,MATCH(A200,'[1]INPUT_ASSUMPTIONS CALC'!A:A,0))</f>
        <v/>
      </c>
      <c r="F200" s="136">
        <f>IF($F$5="Q1",VLOOKUP($A200,'[1]INPUT_ASSUMPTIONS CALC'!$A$13:$CK$1019,F$7,FALSE),IF($F$5="Q2",VLOOKUP($A200,'[1]INPUT_ASSUMPTIONS CALC'!$A$13:$CK$1019,F$7,FALSE),IF($F$5="Q3",VLOOKUP($A200,'[1]INPUT_ASSUMPTIONS CALC'!$A$13:$CK$1019,F$7,FALSE),IF($F$5="Q4",VLOOKUP($A200,'[1]INPUT_ASSUMPTIONS CALC'!$A$13:$CK$1019,F$7,FALSE),IF($F$5="Year",VLOOKUP($A200,'[1]INPUT_ASSUMPTIONS CALC'!$A$13:$CK$1019,F$7,FALSE),0)))))</f>
        <v>0</v>
      </c>
      <c r="G200" s="137">
        <f>SUMIF('[1]INPUT_ASSUMPTIONS CALC'!A:A,'[1]Summary calculation'!A200,'[1]INPUT_ASSUMPTIONS CALC'!BU:BU)</f>
        <v>0</v>
      </c>
      <c r="H200" s="138">
        <f>IF($F$5="Year",F200*G200*'[1]INPUT_ASSUMPTIONS CALC'!$S$7,F200*G200)</f>
        <v>0</v>
      </c>
      <c r="I200" s="138">
        <f>H200*VLOOKUP($A200,'[1]INPUT_ASSUMPTIONS CALC'!$A$13:$CK$1019,H$6,FALSE)*SUMIF('[1]INPUT_ASSUMPTIONS CALC'!$CL$15:$CL$17,'[1]Summary calculation'!E200,'[1]INPUT_ASSUMPTIONS CALC'!$CM$15:$CM$17)</f>
        <v>0</v>
      </c>
      <c r="J200" s="139">
        <f>$I200*VLOOKUP($A200,'[1]INPUT_ASSUMPTIONS CALC'!$A$13:$CK$1019,I$6,FALSE)*VLOOKUP($A200,'[1]INPUT_ASSUMPTIONS CALC'!$A$13:$CK$1019,J$7,FALSE)</f>
        <v>0</v>
      </c>
      <c r="K200" s="139">
        <f>$I200*VLOOKUP($A200,'[1]INPUT_ASSUMPTIONS CALC'!$A$13:$CK$1019,I$6,FALSE)*VLOOKUP($A200,'[1]INPUT_ASSUMPTIONS CALC'!$A$13:$CK$1019,K$7,FALSE)</f>
        <v>0</v>
      </c>
      <c r="L200" s="139">
        <f>$I200*VLOOKUP($A200,'[1]INPUT_ASSUMPTIONS CALC'!$A$13:$CK$1019,I$6,FALSE)*VLOOKUP($A200,'[1]INPUT_ASSUMPTIONS CALC'!$A$13:$CK$1019,L$7,FALSE)</f>
        <v>0</v>
      </c>
      <c r="M200" s="139">
        <f>$I200*VLOOKUP($A200,'[1]INPUT_ASSUMPTIONS CALC'!$A$13:$CK$1019,I$6,FALSE)*VLOOKUP($A200,'[1]INPUT_ASSUMPTIONS CALC'!$A$13:$CK$1019,M$7,FALSE)</f>
        <v>0</v>
      </c>
      <c r="N200" s="140">
        <f t="shared" si="11"/>
        <v>0</v>
      </c>
      <c r="O200" s="141">
        <f>H200*VLOOKUP($A200,'[1]INPUT_ASSUMPTIONS CALC'!$A$13:$CK$1019,H$6,FALSE)*SUMIF('[1]INPUT_ASSUMPTIONS CALC'!$CQ$15:$CQ$17,'[1]Summary calculation'!E200,'[1]INPUT_ASSUMPTIONS CALC'!$CR$15:$CR$17)</f>
        <v>0</v>
      </c>
      <c r="P200" s="141">
        <f>H200*VLOOKUP($A200,'[1]INPUT_ASSUMPTIONS CALC'!$A$13:$CK$1019,H$6,FALSE)*SUMIF('[1]INPUT_ASSUMPTIONS CALC'!$CV$15:$CV$31,'[1]Summary calculation'!E200,'[1]INPUT_ASSUMPTIONS CALC'!$CW$15:$CW$31)</f>
        <v>0</v>
      </c>
      <c r="Q200" s="141">
        <f>O200*VLOOKUP($A200,'[1]INPUT_ASSUMPTIONS CALC'!$A$13:$CK$1019,Q$7,FALSE)</f>
        <v>0</v>
      </c>
      <c r="R200" s="141">
        <f>P200*VLOOKUP($A200,'[1]INPUT_ASSUMPTIONS CALC'!$A$13:$CK$1019,R$7,FALSE)</f>
        <v>0</v>
      </c>
      <c r="S200" s="140">
        <f t="shared" si="9"/>
        <v>0</v>
      </c>
      <c r="T200" s="142">
        <f t="shared" si="10"/>
        <v>0</v>
      </c>
      <c r="U200" s="61"/>
    </row>
    <row r="201" spans="1:21" x14ac:dyDescent="0.35">
      <c r="A201" s="125" t="str">
        <f t="shared" ref="A201:A208" si="12">CONCATENATE(B201,$F$5)</f>
        <v>193Q2</v>
      </c>
      <c r="B201" s="135">
        <v>193</v>
      </c>
      <c r="C201" s="61" t="str">
        <f>INDEX('[1]INPUT_ASSUMPTIONS CALC'!D:D,MATCH(A201,'[1]INPUT_ASSUMPTIONS CALC'!A:A,0))</f>
        <v/>
      </c>
      <c r="D201" s="61" t="str">
        <f>INDEX('[1]INPUT_ASSUMPTIONS CALC'!I:I,MATCH(A201,'[1]INPUT_ASSUMPTIONS CALC'!A:A,0))</f>
        <v/>
      </c>
      <c r="E201" s="61" t="str">
        <f>INDEX('[1]INPUT_ASSUMPTIONS CALC'!E:E,MATCH(A201,'[1]INPUT_ASSUMPTIONS CALC'!A:A,0))</f>
        <v/>
      </c>
      <c r="F201" s="136">
        <f>IF($F$5="Q1",VLOOKUP($A201,'[1]INPUT_ASSUMPTIONS CALC'!$A$13:$CK$1019,F$7,FALSE),IF($F$5="Q2",VLOOKUP($A201,'[1]INPUT_ASSUMPTIONS CALC'!$A$13:$CK$1019,F$7,FALSE),IF($F$5="Q3",VLOOKUP($A201,'[1]INPUT_ASSUMPTIONS CALC'!$A$13:$CK$1019,F$7,FALSE),IF($F$5="Q4",VLOOKUP($A201,'[1]INPUT_ASSUMPTIONS CALC'!$A$13:$CK$1019,F$7,FALSE),IF($F$5="Year",VLOOKUP($A201,'[1]INPUT_ASSUMPTIONS CALC'!$A$13:$CK$1019,F$7,FALSE),0)))))</f>
        <v>0</v>
      </c>
      <c r="G201" s="137">
        <f>SUMIF('[1]INPUT_ASSUMPTIONS CALC'!A:A,'[1]Summary calculation'!A201,'[1]INPUT_ASSUMPTIONS CALC'!BU:BU)</f>
        <v>0</v>
      </c>
      <c r="H201" s="138">
        <f>IF($F$5="Year",F201*G201*'[1]INPUT_ASSUMPTIONS CALC'!$S$7,F201*G201)</f>
        <v>0</v>
      </c>
      <c r="I201" s="138">
        <f>H201*VLOOKUP($A201,'[1]INPUT_ASSUMPTIONS CALC'!$A$13:$CK$1019,H$6,FALSE)*SUMIF('[1]INPUT_ASSUMPTIONS CALC'!$CL$15:$CL$17,'[1]Summary calculation'!E201,'[1]INPUT_ASSUMPTIONS CALC'!$CM$15:$CM$17)</f>
        <v>0</v>
      </c>
      <c r="J201" s="139">
        <f>$I201*VLOOKUP($A201,'[1]INPUT_ASSUMPTIONS CALC'!$A$13:$CK$1019,I$6,FALSE)*VLOOKUP($A201,'[1]INPUT_ASSUMPTIONS CALC'!$A$13:$CK$1019,J$7,FALSE)</f>
        <v>0</v>
      </c>
      <c r="K201" s="139">
        <f>$I201*VLOOKUP($A201,'[1]INPUT_ASSUMPTIONS CALC'!$A$13:$CK$1019,I$6,FALSE)*VLOOKUP($A201,'[1]INPUT_ASSUMPTIONS CALC'!$A$13:$CK$1019,K$7,FALSE)</f>
        <v>0</v>
      </c>
      <c r="L201" s="139">
        <f>$I201*VLOOKUP($A201,'[1]INPUT_ASSUMPTIONS CALC'!$A$13:$CK$1019,I$6,FALSE)*VLOOKUP($A201,'[1]INPUT_ASSUMPTIONS CALC'!$A$13:$CK$1019,L$7,FALSE)</f>
        <v>0</v>
      </c>
      <c r="M201" s="139">
        <f>$I201*VLOOKUP($A201,'[1]INPUT_ASSUMPTIONS CALC'!$A$13:$CK$1019,I$6,FALSE)*VLOOKUP($A201,'[1]INPUT_ASSUMPTIONS CALC'!$A$13:$CK$1019,M$7,FALSE)</f>
        <v>0</v>
      </c>
      <c r="N201" s="140">
        <f t="shared" si="11"/>
        <v>0</v>
      </c>
      <c r="O201" s="141">
        <f>H201*VLOOKUP($A201,'[1]INPUT_ASSUMPTIONS CALC'!$A$13:$CK$1019,H$6,FALSE)*SUMIF('[1]INPUT_ASSUMPTIONS CALC'!$CQ$15:$CQ$17,'[1]Summary calculation'!E201,'[1]INPUT_ASSUMPTIONS CALC'!$CR$15:$CR$17)</f>
        <v>0</v>
      </c>
      <c r="P201" s="141">
        <f>H201*VLOOKUP($A201,'[1]INPUT_ASSUMPTIONS CALC'!$A$13:$CK$1019,H$6,FALSE)*SUMIF('[1]INPUT_ASSUMPTIONS CALC'!$CV$15:$CV$31,'[1]Summary calculation'!E201,'[1]INPUT_ASSUMPTIONS CALC'!$CW$15:$CW$31)</f>
        <v>0</v>
      </c>
      <c r="Q201" s="141">
        <f>O201*VLOOKUP($A201,'[1]INPUT_ASSUMPTIONS CALC'!$A$13:$CK$1019,Q$7,FALSE)</f>
        <v>0</v>
      </c>
      <c r="R201" s="141">
        <f>P201*VLOOKUP($A201,'[1]INPUT_ASSUMPTIONS CALC'!$A$13:$CK$1019,R$7,FALSE)</f>
        <v>0</v>
      </c>
      <c r="S201" s="140">
        <f t="shared" ref="S201:S208" si="13">SUM(Q201:R201)</f>
        <v>0</v>
      </c>
      <c r="T201" s="142">
        <f t="shared" ref="T201:T208" si="14">ROUND(N201+S201,0)</f>
        <v>0</v>
      </c>
      <c r="U201" s="61"/>
    </row>
    <row r="202" spans="1:21" x14ac:dyDescent="0.35">
      <c r="A202" s="125" t="str">
        <f t="shared" si="12"/>
        <v>194Q2</v>
      </c>
      <c r="B202" s="135">
        <v>194</v>
      </c>
      <c r="C202" s="61" t="str">
        <f>INDEX('[1]INPUT_ASSUMPTIONS CALC'!D:D,MATCH(A202,'[1]INPUT_ASSUMPTIONS CALC'!A:A,0))</f>
        <v/>
      </c>
      <c r="D202" s="61" t="str">
        <f>INDEX('[1]INPUT_ASSUMPTIONS CALC'!I:I,MATCH(A202,'[1]INPUT_ASSUMPTIONS CALC'!A:A,0))</f>
        <v/>
      </c>
      <c r="E202" s="61" t="str">
        <f>INDEX('[1]INPUT_ASSUMPTIONS CALC'!E:E,MATCH(A202,'[1]INPUT_ASSUMPTIONS CALC'!A:A,0))</f>
        <v/>
      </c>
      <c r="F202" s="136">
        <f>IF($F$5="Q1",VLOOKUP($A202,'[1]INPUT_ASSUMPTIONS CALC'!$A$13:$CK$1019,F$7,FALSE),IF($F$5="Q2",VLOOKUP($A202,'[1]INPUT_ASSUMPTIONS CALC'!$A$13:$CK$1019,F$7,FALSE),IF($F$5="Q3",VLOOKUP($A202,'[1]INPUT_ASSUMPTIONS CALC'!$A$13:$CK$1019,F$7,FALSE),IF($F$5="Q4",VLOOKUP($A202,'[1]INPUT_ASSUMPTIONS CALC'!$A$13:$CK$1019,F$7,FALSE),IF($F$5="Year",VLOOKUP($A202,'[1]INPUT_ASSUMPTIONS CALC'!$A$13:$CK$1019,F$7,FALSE),0)))))</f>
        <v>0</v>
      </c>
      <c r="G202" s="137">
        <f>SUMIF('[1]INPUT_ASSUMPTIONS CALC'!A:A,'[1]Summary calculation'!A202,'[1]INPUT_ASSUMPTIONS CALC'!BU:BU)</f>
        <v>0</v>
      </c>
      <c r="H202" s="138">
        <f>IF($F$5="Year",F202*G202*'[1]INPUT_ASSUMPTIONS CALC'!$S$7,F202*G202)</f>
        <v>0</v>
      </c>
      <c r="I202" s="138">
        <f>H202*VLOOKUP($A202,'[1]INPUT_ASSUMPTIONS CALC'!$A$13:$CK$1019,H$6,FALSE)*SUMIF('[1]INPUT_ASSUMPTIONS CALC'!$CL$15:$CL$17,'[1]Summary calculation'!E202,'[1]INPUT_ASSUMPTIONS CALC'!$CM$15:$CM$17)</f>
        <v>0</v>
      </c>
      <c r="J202" s="139">
        <f>$I202*VLOOKUP($A202,'[1]INPUT_ASSUMPTIONS CALC'!$A$13:$CK$1019,I$6,FALSE)*VLOOKUP($A202,'[1]INPUT_ASSUMPTIONS CALC'!$A$13:$CK$1019,J$7,FALSE)</f>
        <v>0</v>
      </c>
      <c r="K202" s="139">
        <f>$I202*VLOOKUP($A202,'[1]INPUT_ASSUMPTIONS CALC'!$A$13:$CK$1019,I$6,FALSE)*VLOOKUP($A202,'[1]INPUT_ASSUMPTIONS CALC'!$A$13:$CK$1019,K$7,FALSE)</f>
        <v>0</v>
      </c>
      <c r="L202" s="139">
        <f>$I202*VLOOKUP($A202,'[1]INPUT_ASSUMPTIONS CALC'!$A$13:$CK$1019,I$6,FALSE)*VLOOKUP($A202,'[1]INPUT_ASSUMPTIONS CALC'!$A$13:$CK$1019,L$7,FALSE)</f>
        <v>0</v>
      </c>
      <c r="M202" s="139">
        <f>$I202*VLOOKUP($A202,'[1]INPUT_ASSUMPTIONS CALC'!$A$13:$CK$1019,I$6,FALSE)*VLOOKUP($A202,'[1]INPUT_ASSUMPTIONS CALC'!$A$13:$CK$1019,M$7,FALSE)</f>
        <v>0</v>
      </c>
      <c r="N202" s="140">
        <f t="shared" ref="N202:N208" si="15">SUM(J202:M202)</f>
        <v>0</v>
      </c>
      <c r="O202" s="141">
        <f>H202*VLOOKUP($A202,'[1]INPUT_ASSUMPTIONS CALC'!$A$13:$CK$1019,H$6,FALSE)*SUMIF('[1]INPUT_ASSUMPTIONS CALC'!$CQ$15:$CQ$17,'[1]Summary calculation'!E202,'[1]INPUT_ASSUMPTIONS CALC'!$CR$15:$CR$17)</f>
        <v>0</v>
      </c>
      <c r="P202" s="141">
        <f>H202*VLOOKUP($A202,'[1]INPUT_ASSUMPTIONS CALC'!$A$13:$CK$1019,H$6,FALSE)*SUMIF('[1]INPUT_ASSUMPTIONS CALC'!$CV$15:$CV$31,'[1]Summary calculation'!E202,'[1]INPUT_ASSUMPTIONS CALC'!$CW$15:$CW$31)</f>
        <v>0</v>
      </c>
      <c r="Q202" s="141">
        <f>O202*VLOOKUP($A202,'[1]INPUT_ASSUMPTIONS CALC'!$A$13:$CK$1019,Q$7,FALSE)</f>
        <v>0</v>
      </c>
      <c r="R202" s="141">
        <f>P202*VLOOKUP($A202,'[1]INPUT_ASSUMPTIONS CALC'!$A$13:$CK$1019,R$7,FALSE)</f>
        <v>0</v>
      </c>
      <c r="S202" s="140">
        <f t="shared" si="13"/>
        <v>0</v>
      </c>
      <c r="T202" s="142">
        <f t="shared" si="14"/>
        <v>0</v>
      </c>
      <c r="U202" s="61"/>
    </row>
    <row r="203" spans="1:21" x14ac:dyDescent="0.35">
      <c r="A203" s="125" t="str">
        <f t="shared" si="12"/>
        <v>195Q2</v>
      </c>
      <c r="B203" s="135">
        <v>195</v>
      </c>
      <c r="C203" s="61" t="str">
        <f>INDEX('[1]INPUT_ASSUMPTIONS CALC'!D:D,MATCH(A203,'[1]INPUT_ASSUMPTIONS CALC'!A:A,0))</f>
        <v/>
      </c>
      <c r="D203" s="61" t="str">
        <f>INDEX('[1]INPUT_ASSUMPTIONS CALC'!I:I,MATCH(A203,'[1]INPUT_ASSUMPTIONS CALC'!A:A,0))</f>
        <v/>
      </c>
      <c r="E203" s="61" t="str">
        <f>INDEX('[1]INPUT_ASSUMPTIONS CALC'!E:E,MATCH(A203,'[1]INPUT_ASSUMPTIONS CALC'!A:A,0))</f>
        <v/>
      </c>
      <c r="F203" s="136">
        <f>IF($F$5="Q1",VLOOKUP($A203,'[1]INPUT_ASSUMPTIONS CALC'!$A$13:$CK$1019,F$7,FALSE),IF($F$5="Q2",VLOOKUP($A203,'[1]INPUT_ASSUMPTIONS CALC'!$A$13:$CK$1019,F$7,FALSE),IF($F$5="Q3",VLOOKUP($A203,'[1]INPUT_ASSUMPTIONS CALC'!$A$13:$CK$1019,F$7,FALSE),IF($F$5="Q4",VLOOKUP($A203,'[1]INPUT_ASSUMPTIONS CALC'!$A$13:$CK$1019,F$7,FALSE),IF($F$5="Year",VLOOKUP($A203,'[1]INPUT_ASSUMPTIONS CALC'!$A$13:$CK$1019,F$7,FALSE),0)))))</f>
        <v>0</v>
      </c>
      <c r="G203" s="137">
        <f>SUMIF('[1]INPUT_ASSUMPTIONS CALC'!A:A,'[1]Summary calculation'!A203,'[1]INPUT_ASSUMPTIONS CALC'!BU:BU)</f>
        <v>0</v>
      </c>
      <c r="H203" s="138">
        <f>IF($F$5="Year",F203*G203*'[1]INPUT_ASSUMPTIONS CALC'!$S$7,F203*G203)</f>
        <v>0</v>
      </c>
      <c r="I203" s="138">
        <f>H203*VLOOKUP($A203,'[1]INPUT_ASSUMPTIONS CALC'!$A$13:$CK$1019,H$6,FALSE)*SUMIF('[1]INPUT_ASSUMPTIONS CALC'!$CL$15:$CL$17,'[1]Summary calculation'!E203,'[1]INPUT_ASSUMPTIONS CALC'!$CM$15:$CM$17)</f>
        <v>0</v>
      </c>
      <c r="J203" s="139">
        <f>$I203*VLOOKUP($A203,'[1]INPUT_ASSUMPTIONS CALC'!$A$13:$CK$1019,I$6,FALSE)*VLOOKUP($A203,'[1]INPUT_ASSUMPTIONS CALC'!$A$13:$CK$1019,J$7,FALSE)</f>
        <v>0</v>
      </c>
      <c r="K203" s="139">
        <f>$I203*VLOOKUP($A203,'[1]INPUT_ASSUMPTIONS CALC'!$A$13:$CK$1019,I$6,FALSE)*VLOOKUP($A203,'[1]INPUT_ASSUMPTIONS CALC'!$A$13:$CK$1019,K$7,FALSE)</f>
        <v>0</v>
      </c>
      <c r="L203" s="139">
        <f>$I203*VLOOKUP($A203,'[1]INPUT_ASSUMPTIONS CALC'!$A$13:$CK$1019,I$6,FALSE)*VLOOKUP($A203,'[1]INPUT_ASSUMPTIONS CALC'!$A$13:$CK$1019,L$7,FALSE)</f>
        <v>0</v>
      </c>
      <c r="M203" s="139">
        <f>$I203*VLOOKUP($A203,'[1]INPUT_ASSUMPTIONS CALC'!$A$13:$CK$1019,I$6,FALSE)*VLOOKUP($A203,'[1]INPUT_ASSUMPTIONS CALC'!$A$13:$CK$1019,M$7,FALSE)</f>
        <v>0</v>
      </c>
      <c r="N203" s="140">
        <f t="shared" si="15"/>
        <v>0</v>
      </c>
      <c r="O203" s="141">
        <f>H203*VLOOKUP($A203,'[1]INPUT_ASSUMPTIONS CALC'!$A$13:$CK$1019,H$6,FALSE)*SUMIF('[1]INPUT_ASSUMPTIONS CALC'!$CQ$15:$CQ$17,'[1]Summary calculation'!E203,'[1]INPUT_ASSUMPTIONS CALC'!$CR$15:$CR$17)</f>
        <v>0</v>
      </c>
      <c r="P203" s="141">
        <f>H203*VLOOKUP($A203,'[1]INPUT_ASSUMPTIONS CALC'!$A$13:$CK$1019,H$6,FALSE)*SUMIF('[1]INPUT_ASSUMPTIONS CALC'!$CV$15:$CV$31,'[1]Summary calculation'!E203,'[1]INPUT_ASSUMPTIONS CALC'!$CW$15:$CW$31)</f>
        <v>0</v>
      </c>
      <c r="Q203" s="141">
        <f>O203*VLOOKUP($A203,'[1]INPUT_ASSUMPTIONS CALC'!$A$13:$CK$1019,Q$7,FALSE)</f>
        <v>0</v>
      </c>
      <c r="R203" s="141">
        <f>P203*VLOOKUP($A203,'[1]INPUT_ASSUMPTIONS CALC'!$A$13:$CK$1019,R$7,FALSE)</f>
        <v>0</v>
      </c>
      <c r="S203" s="140">
        <f t="shared" si="13"/>
        <v>0</v>
      </c>
      <c r="T203" s="142">
        <f t="shared" si="14"/>
        <v>0</v>
      </c>
      <c r="U203" s="61"/>
    </row>
    <row r="204" spans="1:21" x14ac:dyDescent="0.35">
      <c r="A204" s="125" t="str">
        <f t="shared" si="12"/>
        <v>196Q2</v>
      </c>
      <c r="B204" s="135">
        <v>196</v>
      </c>
      <c r="C204" s="61" t="str">
        <f>INDEX('[1]INPUT_ASSUMPTIONS CALC'!D:D,MATCH(A204,'[1]INPUT_ASSUMPTIONS CALC'!A:A,0))</f>
        <v/>
      </c>
      <c r="D204" s="61" t="str">
        <f>INDEX('[1]INPUT_ASSUMPTIONS CALC'!I:I,MATCH(A204,'[1]INPUT_ASSUMPTIONS CALC'!A:A,0))</f>
        <v/>
      </c>
      <c r="E204" s="61" t="str">
        <f>INDEX('[1]INPUT_ASSUMPTIONS CALC'!E:E,MATCH(A204,'[1]INPUT_ASSUMPTIONS CALC'!A:A,0))</f>
        <v/>
      </c>
      <c r="F204" s="136">
        <f>IF($F$5="Q1",VLOOKUP($A204,'[1]INPUT_ASSUMPTIONS CALC'!$A$13:$CK$1019,F$7,FALSE),IF($F$5="Q2",VLOOKUP($A204,'[1]INPUT_ASSUMPTIONS CALC'!$A$13:$CK$1019,F$7,FALSE),IF($F$5="Q3",VLOOKUP($A204,'[1]INPUT_ASSUMPTIONS CALC'!$A$13:$CK$1019,F$7,FALSE),IF($F$5="Q4",VLOOKUP($A204,'[1]INPUT_ASSUMPTIONS CALC'!$A$13:$CK$1019,F$7,FALSE),IF($F$5="Year",VLOOKUP($A204,'[1]INPUT_ASSUMPTIONS CALC'!$A$13:$CK$1019,F$7,FALSE),0)))))</f>
        <v>0</v>
      </c>
      <c r="G204" s="137">
        <f>SUMIF('[1]INPUT_ASSUMPTIONS CALC'!A:A,'[1]Summary calculation'!A204,'[1]INPUT_ASSUMPTIONS CALC'!BU:BU)</f>
        <v>0</v>
      </c>
      <c r="H204" s="138">
        <f>IF($F$5="Year",F204*G204*'[1]INPUT_ASSUMPTIONS CALC'!$S$7,F204*G204)</f>
        <v>0</v>
      </c>
      <c r="I204" s="138">
        <f>H204*VLOOKUP($A204,'[1]INPUT_ASSUMPTIONS CALC'!$A$13:$CK$1019,H$6,FALSE)*SUMIF('[1]INPUT_ASSUMPTIONS CALC'!$CL$15:$CL$17,'[1]Summary calculation'!E204,'[1]INPUT_ASSUMPTIONS CALC'!$CM$15:$CM$17)</f>
        <v>0</v>
      </c>
      <c r="J204" s="139">
        <f>$I204*VLOOKUP($A204,'[1]INPUT_ASSUMPTIONS CALC'!$A$13:$CK$1019,I$6,FALSE)*VLOOKUP($A204,'[1]INPUT_ASSUMPTIONS CALC'!$A$13:$CK$1019,J$7,FALSE)</f>
        <v>0</v>
      </c>
      <c r="K204" s="139">
        <f>$I204*VLOOKUP($A204,'[1]INPUT_ASSUMPTIONS CALC'!$A$13:$CK$1019,I$6,FALSE)*VLOOKUP($A204,'[1]INPUT_ASSUMPTIONS CALC'!$A$13:$CK$1019,K$7,FALSE)</f>
        <v>0</v>
      </c>
      <c r="L204" s="139">
        <f>$I204*VLOOKUP($A204,'[1]INPUT_ASSUMPTIONS CALC'!$A$13:$CK$1019,I$6,FALSE)*VLOOKUP($A204,'[1]INPUT_ASSUMPTIONS CALC'!$A$13:$CK$1019,L$7,FALSE)</f>
        <v>0</v>
      </c>
      <c r="M204" s="139">
        <f>$I204*VLOOKUP($A204,'[1]INPUT_ASSUMPTIONS CALC'!$A$13:$CK$1019,I$6,FALSE)*VLOOKUP($A204,'[1]INPUT_ASSUMPTIONS CALC'!$A$13:$CK$1019,M$7,FALSE)</f>
        <v>0</v>
      </c>
      <c r="N204" s="140">
        <f t="shared" si="15"/>
        <v>0</v>
      </c>
      <c r="O204" s="141">
        <f>H204*VLOOKUP($A204,'[1]INPUT_ASSUMPTIONS CALC'!$A$13:$CK$1019,H$6,FALSE)*SUMIF('[1]INPUT_ASSUMPTIONS CALC'!$CQ$15:$CQ$17,'[1]Summary calculation'!E204,'[1]INPUT_ASSUMPTIONS CALC'!$CR$15:$CR$17)</f>
        <v>0</v>
      </c>
      <c r="P204" s="141">
        <f>H204*VLOOKUP($A204,'[1]INPUT_ASSUMPTIONS CALC'!$A$13:$CK$1019,H$6,FALSE)*SUMIF('[1]INPUT_ASSUMPTIONS CALC'!$CV$15:$CV$31,'[1]Summary calculation'!E204,'[1]INPUT_ASSUMPTIONS CALC'!$CW$15:$CW$31)</f>
        <v>0</v>
      </c>
      <c r="Q204" s="141">
        <f>O204*VLOOKUP($A204,'[1]INPUT_ASSUMPTIONS CALC'!$A$13:$CK$1019,Q$7,FALSE)</f>
        <v>0</v>
      </c>
      <c r="R204" s="141">
        <f>P204*VLOOKUP($A204,'[1]INPUT_ASSUMPTIONS CALC'!$A$13:$CK$1019,R$7,FALSE)</f>
        <v>0</v>
      </c>
      <c r="S204" s="140">
        <f t="shared" si="13"/>
        <v>0</v>
      </c>
      <c r="T204" s="142">
        <f t="shared" si="14"/>
        <v>0</v>
      </c>
      <c r="U204" s="61"/>
    </row>
    <row r="205" spans="1:21" x14ac:dyDescent="0.35">
      <c r="A205" s="125" t="str">
        <f t="shared" si="12"/>
        <v>197Q2</v>
      </c>
      <c r="B205" s="135">
        <v>197</v>
      </c>
      <c r="C205" s="61" t="str">
        <f>INDEX('[1]INPUT_ASSUMPTIONS CALC'!D:D,MATCH(A205,'[1]INPUT_ASSUMPTIONS CALC'!A:A,0))</f>
        <v/>
      </c>
      <c r="D205" s="61" t="str">
        <f>INDEX('[1]INPUT_ASSUMPTIONS CALC'!I:I,MATCH(A205,'[1]INPUT_ASSUMPTIONS CALC'!A:A,0))</f>
        <v/>
      </c>
      <c r="E205" s="61" t="str">
        <f>INDEX('[1]INPUT_ASSUMPTIONS CALC'!E:E,MATCH(A205,'[1]INPUT_ASSUMPTIONS CALC'!A:A,0))</f>
        <v/>
      </c>
      <c r="F205" s="136">
        <f>IF($F$5="Q1",VLOOKUP($A205,'[1]INPUT_ASSUMPTIONS CALC'!$A$13:$CK$1019,F$7,FALSE),IF($F$5="Q2",VLOOKUP($A205,'[1]INPUT_ASSUMPTIONS CALC'!$A$13:$CK$1019,F$7,FALSE),IF($F$5="Q3",VLOOKUP($A205,'[1]INPUT_ASSUMPTIONS CALC'!$A$13:$CK$1019,F$7,FALSE),IF($F$5="Q4",VLOOKUP($A205,'[1]INPUT_ASSUMPTIONS CALC'!$A$13:$CK$1019,F$7,FALSE),IF($F$5="Year",VLOOKUP($A205,'[1]INPUT_ASSUMPTIONS CALC'!$A$13:$CK$1019,F$7,FALSE),0)))))</f>
        <v>0</v>
      </c>
      <c r="G205" s="137">
        <f>SUMIF('[1]INPUT_ASSUMPTIONS CALC'!A:A,'[1]Summary calculation'!A205,'[1]INPUT_ASSUMPTIONS CALC'!BU:BU)</f>
        <v>0</v>
      </c>
      <c r="H205" s="138">
        <f>IF($F$5="Year",F205*G205*'[1]INPUT_ASSUMPTIONS CALC'!$S$7,F205*G205)</f>
        <v>0</v>
      </c>
      <c r="I205" s="138">
        <f>H205*VLOOKUP($A205,'[1]INPUT_ASSUMPTIONS CALC'!$A$13:$CK$1019,H$6,FALSE)*SUMIF('[1]INPUT_ASSUMPTIONS CALC'!$CL$15:$CL$17,'[1]Summary calculation'!E205,'[1]INPUT_ASSUMPTIONS CALC'!$CM$15:$CM$17)</f>
        <v>0</v>
      </c>
      <c r="J205" s="139">
        <f>$I205*VLOOKUP($A205,'[1]INPUT_ASSUMPTIONS CALC'!$A$13:$CK$1019,I$6,FALSE)*VLOOKUP($A205,'[1]INPUT_ASSUMPTIONS CALC'!$A$13:$CK$1019,J$7,FALSE)</f>
        <v>0</v>
      </c>
      <c r="K205" s="139">
        <f>$I205*VLOOKUP($A205,'[1]INPUT_ASSUMPTIONS CALC'!$A$13:$CK$1019,I$6,FALSE)*VLOOKUP($A205,'[1]INPUT_ASSUMPTIONS CALC'!$A$13:$CK$1019,K$7,FALSE)</f>
        <v>0</v>
      </c>
      <c r="L205" s="139">
        <f>$I205*VLOOKUP($A205,'[1]INPUT_ASSUMPTIONS CALC'!$A$13:$CK$1019,I$6,FALSE)*VLOOKUP($A205,'[1]INPUT_ASSUMPTIONS CALC'!$A$13:$CK$1019,L$7,FALSE)</f>
        <v>0</v>
      </c>
      <c r="M205" s="139">
        <f>$I205*VLOOKUP($A205,'[1]INPUT_ASSUMPTIONS CALC'!$A$13:$CK$1019,I$6,FALSE)*VLOOKUP($A205,'[1]INPUT_ASSUMPTIONS CALC'!$A$13:$CK$1019,M$7,FALSE)</f>
        <v>0</v>
      </c>
      <c r="N205" s="140">
        <f t="shared" si="15"/>
        <v>0</v>
      </c>
      <c r="O205" s="141">
        <f>H205*VLOOKUP($A205,'[1]INPUT_ASSUMPTIONS CALC'!$A$13:$CK$1019,H$6,FALSE)*SUMIF('[1]INPUT_ASSUMPTIONS CALC'!$CQ$15:$CQ$17,'[1]Summary calculation'!E205,'[1]INPUT_ASSUMPTIONS CALC'!$CR$15:$CR$17)</f>
        <v>0</v>
      </c>
      <c r="P205" s="141">
        <f>H205*VLOOKUP($A205,'[1]INPUT_ASSUMPTIONS CALC'!$A$13:$CK$1019,H$6,FALSE)*SUMIF('[1]INPUT_ASSUMPTIONS CALC'!$CV$15:$CV$31,'[1]Summary calculation'!E205,'[1]INPUT_ASSUMPTIONS CALC'!$CW$15:$CW$31)</f>
        <v>0</v>
      </c>
      <c r="Q205" s="141">
        <f>O205*VLOOKUP($A205,'[1]INPUT_ASSUMPTIONS CALC'!$A$13:$CK$1019,Q$7,FALSE)</f>
        <v>0</v>
      </c>
      <c r="R205" s="141">
        <f>P205*VLOOKUP($A205,'[1]INPUT_ASSUMPTIONS CALC'!$A$13:$CK$1019,R$7,FALSE)</f>
        <v>0</v>
      </c>
      <c r="S205" s="140">
        <f t="shared" si="13"/>
        <v>0</v>
      </c>
      <c r="T205" s="142">
        <f t="shared" si="14"/>
        <v>0</v>
      </c>
      <c r="U205" s="61"/>
    </row>
    <row r="206" spans="1:21" x14ac:dyDescent="0.35">
      <c r="A206" s="125" t="str">
        <f t="shared" si="12"/>
        <v>198Q2</v>
      </c>
      <c r="B206" s="135">
        <v>198</v>
      </c>
      <c r="C206" s="61" t="str">
        <f>INDEX('[1]INPUT_ASSUMPTIONS CALC'!D:D,MATCH(A206,'[1]INPUT_ASSUMPTIONS CALC'!A:A,0))</f>
        <v/>
      </c>
      <c r="D206" s="61" t="str">
        <f>INDEX('[1]INPUT_ASSUMPTIONS CALC'!I:I,MATCH(A206,'[1]INPUT_ASSUMPTIONS CALC'!A:A,0))</f>
        <v/>
      </c>
      <c r="E206" s="61" t="str">
        <f>INDEX('[1]INPUT_ASSUMPTIONS CALC'!E:E,MATCH(A206,'[1]INPUT_ASSUMPTIONS CALC'!A:A,0))</f>
        <v/>
      </c>
      <c r="F206" s="136">
        <f>IF($F$5="Q1",VLOOKUP($A206,'[1]INPUT_ASSUMPTIONS CALC'!$A$13:$CK$1019,F$7,FALSE),IF($F$5="Q2",VLOOKUP($A206,'[1]INPUT_ASSUMPTIONS CALC'!$A$13:$CK$1019,F$7,FALSE),IF($F$5="Q3",VLOOKUP($A206,'[1]INPUT_ASSUMPTIONS CALC'!$A$13:$CK$1019,F$7,FALSE),IF($F$5="Q4",VLOOKUP($A206,'[1]INPUT_ASSUMPTIONS CALC'!$A$13:$CK$1019,F$7,FALSE),IF($F$5="Year",VLOOKUP($A206,'[1]INPUT_ASSUMPTIONS CALC'!$A$13:$CK$1019,F$7,FALSE),0)))))</f>
        <v>0</v>
      </c>
      <c r="G206" s="137">
        <f>SUMIF('[1]INPUT_ASSUMPTIONS CALC'!A:A,'[1]Summary calculation'!A206,'[1]INPUT_ASSUMPTIONS CALC'!BU:BU)</f>
        <v>0</v>
      </c>
      <c r="H206" s="138">
        <f>IF($F$5="Year",F206*G206*'[1]INPUT_ASSUMPTIONS CALC'!$S$7,F206*G206)</f>
        <v>0</v>
      </c>
      <c r="I206" s="138">
        <f>H206*VLOOKUP($A206,'[1]INPUT_ASSUMPTIONS CALC'!$A$13:$CK$1019,H$6,FALSE)*SUMIF('[1]INPUT_ASSUMPTIONS CALC'!$CL$15:$CL$17,'[1]Summary calculation'!E206,'[1]INPUT_ASSUMPTIONS CALC'!$CM$15:$CM$17)</f>
        <v>0</v>
      </c>
      <c r="J206" s="139">
        <f>$I206*VLOOKUP($A206,'[1]INPUT_ASSUMPTIONS CALC'!$A$13:$CK$1019,I$6,FALSE)*VLOOKUP($A206,'[1]INPUT_ASSUMPTIONS CALC'!$A$13:$CK$1019,J$7,FALSE)</f>
        <v>0</v>
      </c>
      <c r="K206" s="139">
        <f>$I206*VLOOKUP($A206,'[1]INPUT_ASSUMPTIONS CALC'!$A$13:$CK$1019,I$6,FALSE)*VLOOKUP($A206,'[1]INPUT_ASSUMPTIONS CALC'!$A$13:$CK$1019,K$7,FALSE)</f>
        <v>0</v>
      </c>
      <c r="L206" s="139">
        <f>$I206*VLOOKUP($A206,'[1]INPUT_ASSUMPTIONS CALC'!$A$13:$CK$1019,I$6,FALSE)*VLOOKUP($A206,'[1]INPUT_ASSUMPTIONS CALC'!$A$13:$CK$1019,L$7,FALSE)</f>
        <v>0</v>
      </c>
      <c r="M206" s="139">
        <f>$I206*VLOOKUP($A206,'[1]INPUT_ASSUMPTIONS CALC'!$A$13:$CK$1019,I$6,FALSE)*VLOOKUP($A206,'[1]INPUT_ASSUMPTIONS CALC'!$A$13:$CK$1019,M$7,FALSE)</f>
        <v>0</v>
      </c>
      <c r="N206" s="140">
        <f t="shared" si="15"/>
        <v>0</v>
      </c>
      <c r="O206" s="141">
        <f>H206*VLOOKUP($A206,'[1]INPUT_ASSUMPTIONS CALC'!$A$13:$CK$1019,H$6,FALSE)*SUMIF('[1]INPUT_ASSUMPTIONS CALC'!$CQ$15:$CQ$17,'[1]Summary calculation'!E206,'[1]INPUT_ASSUMPTIONS CALC'!$CR$15:$CR$17)</f>
        <v>0</v>
      </c>
      <c r="P206" s="141">
        <f>H206*VLOOKUP($A206,'[1]INPUT_ASSUMPTIONS CALC'!$A$13:$CK$1019,H$6,FALSE)*SUMIF('[1]INPUT_ASSUMPTIONS CALC'!$CV$15:$CV$31,'[1]Summary calculation'!E206,'[1]INPUT_ASSUMPTIONS CALC'!$CW$15:$CW$31)</f>
        <v>0</v>
      </c>
      <c r="Q206" s="141">
        <f>O206*VLOOKUP($A206,'[1]INPUT_ASSUMPTIONS CALC'!$A$13:$CK$1019,Q$7,FALSE)</f>
        <v>0</v>
      </c>
      <c r="R206" s="141">
        <f>P206*VLOOKUP($A206,'[1]INPUT_ASSUMPTIONS CALC'!$A$13:$CK$1019,R$7,FALSE)</f>
        <v>0</v>
      </c>
      <c r="S206" s="140">
        <f t="shared" si="13"/>
        <v>0</v>
      </c>
      <c r="T206" s="142">
        <f t="shared" si="14"/>
        <v>0</v>
      </c>
      <c r="U206" s="61"/>
    </row>
    <row r="207" spans="1:21" x14ac:dyDescent="0.35">
      <c r="A207" s="125" t="str">
        <f t="shared" si="12"/>
        <v>199Q2</v>
      </c>
      <c r="B207" s="135">
        <v>199</v>
      </c>
      <c r="C207" s="61" t="str">
        <f>INDEX('[1]INPUT_ASSUMPTIONS CALC'!D:D,MATCH(A207,'[1]INPUT_ASSUMPTIONS CALC'!A:A,0))</f>
        <v/>
      </c>
      <c r="D207" s="61" t="str">
        <f>INDEX('[1]INPUT_ASSUMPTIONS CALC'!I:I,MATCH(A207,'[1]INPUT_ASSUMPTIONS CALC'!A:A,0))</f>
        <v/>
      </c>
      <c r="E207" s="61" t="str">
        <f>INDEX('[1]INPUT_ASSUMPTIONS CALC'!E:E,MATCH(A207,'[1]INPUT_ASSUMPTIONS CALC'!A:A,0))</f>
        <v/>
      </c>
      <c r="F207" s="136">
        <f>IF($F$5="Q1",VLOOKUP($A207,'[1]INPUT_ASSUMPTIONS CALC'!$A$13:$CK$1019,F$7,FALSE),IF($F$5="Q2",VLOOKUP($A207,'[1]INPUT_ASSUMPTIONS CALC'!$A$13:$CK$1019,F$7,FALSE),IF($F$5="Q3",VLOOKUP($A207,'[1]INPUT_ASSUMPTIONS CALC'!$A$13:$CK$1019,F$7,FALSE),IF($F$5="Q4",VLOOKUP($A207,'[1]INPUT_ASSUMPTIONS CALC'!$A$13:$CK$1019,F$7,FALSE),IF($F$5="Year",VLOOKUP($A207,'[1]INPUT_ASSUMPTIONS CALC'!$A$13:$CK$1019,F$7,FALSE),0)))))</f>
        <v>0</v>
      </c>
      <c r="G207" s="137">
        <f>SUMIF('[1]INPUT_ASSUMPTIONS CALC'!A:A,'[1]Summary calculation'!A207,'[1]INPUT_ASSUMPTIONS CALC'!BU:BU)</f>
        <v>0</v>
      </c>
      <c r="H207" s="138">
        <f>IF($F$5="Year",F207*G207*'[1]INPUT_ASSUMPTIONS CALC'!$S$7,F207*G207)</f>
        <v>0</v>
      </c>
      <c r="I207" s="138">
        <f>H207*VLOOKUP($A207,'[1]INPUT_ASSUMPTIONS CALC'!$A$13:$CK$1019,H$6,FALSE)*SUMIF('[1]INPUT_ASSUMPTIONS CALC'!$CL$15:$CL$17,'[1]Summary calculation'!E207,'[1]INPUT_ASSUMPTIONS CALC'!$CM$15:$CM$17)</f>
        <v>0</v>
      </c>
      <c r="J207" s="139">
        <f>$I207*VLOOKUP($A207,'[1]INPUT_ASSUMPTIONS CALC'!$A$13:$CK$1019,I$6,FALSE)*VLOOKUP($A207,'[1]INPUT_ASSUMPTIONS CALC'!$A$13:$CK$1019,J$7,FALSE)</f>
        <v>0</v>
      </c>
      <c r="K207" s="139">
        <f>$I207*VLOOKUP($A207,'[1]INPUT_ASSUMPTIONS CALC'!$A$13:$CK$1019,I$6,FALSE)*VLOOKUP($A207,'[1]INPUT_ASSUMPTIONS CALC'!$A$13:$CK$1019,K$7,FALSE)</f>
        <v>0</v>
      </c>
      <c r="L207" s="139">
        <f>$I207*VLOOKUP($A207,'[1]INPUT_ASSUMPTIONS CALC'!$A$13:$CK$1019,I$6,FALSE)*VLOOKUP($A207,'[1]INPUT_ASSUMPTIONS CALC'!$A$13:$CK$1019,L$7,FALSE)</f>
        <v>0</v>
      </c>
      <c r="M207" s="139">
        <f>$I207*VLOOKUP($A207,'[1]INPUT_ASSUMPTIONS CALC'!$A$13:$CK$1019,I$6,FALSE)*VLOOKUP($A207,'[1]INPUT_ASSUMPTIONS CALC'!$A$13:$CK$1019,M$7,FALSE)</f>
        <v>0</v>
      </c>
      <c r="N207" s="140">
        <f t="shared" si="15"/>
        <v>0</v>
      </c>
      <c r="O207" s="141">
        <f>H207*VLOOKUP($A207,'[1]INPUT_ASSUMPTIONS CALC'!$A$13:$CK$1019,H$6,FALSE)*SUMIF('[1]INPUT_ASSUMPTIONS CALC'!$CQ$15:$CQ$17,'[1]Summary calculation'!E207,'[1]INPUT_ASSUMPTIONS CALC'!$CR$15:$CR$17)</f>
        <v>0</v>
      </c>
      <c r="P207" s="141">
        <f>H207*VLOOKUP($A207,'[1]INPUT_ASSUMPTIONS CALC'!$A$13:$CK$1019,H$6,FALSE)*SUMIF('[1]INPUT_ASSUMPTIONS CALC'!$CV$15:$CV$31,'[1]Summary calculation'!E207,'[1]INPUT_ASSUMPTIONS CALC'!$CW$15:$CW$31)</f>
        <v>0</v>
      </c>
      <c r="Q207" s="141">
        <f>O207*VLOOKUP($A207,'[1]INPUT_ASSUMPTIONS CALC'!$A$13:$CK$1019,Q$7,FALSE)</f>
        <v>0</v>
      </c>
      <c r="R207" s="141">
        <f>P207*VLOOKUP($A207,'[1]INPUT_ASSUMPTIONS CALC'!$A$13:$CK$1019,R$7,FALSE)</f>
        <v>0</v>
      </c>
      <c r="S207" s="140">
        <f t="shared" si="13"/>
        <v>0</v>
      </c>
      <c r="T207" s="142">
        <f t="shared" si="14"/>
        <v>0</v>
      </c>
      <c r="U207" s="61"/>
    </row>
    <row r="208" spans="1:21" x14ac:dyDescent="0.35">
      <c r="A208" s="125" t="str">
        <f t="shared" si="12"/>
        <v>200Q2</v>
      </c>
      <c r="B208" s="135">
        <v>200</v>
      </c>
      <c r="C208" s="61" t="str">
        <f>INDEX('[1]INPUT_ASSUMPTIONS CALC'!D:D,MATCH(A208,'[1]INPUT_ASSUMPTIONS CALC'!A:A,0))</f>
        <v/>
      </c>
      <c r="D208" s="61" t="str">
        <f>INDEX('[1]INPUT_ASSUMPTIONS CALC'!I:I,MATCH(A208,'[1]INPUT_ASSUMPTIONS CALC'!A:A,0))</f>
        <v/>
      </c>
      <c r="E208" s="61" t="str">
        <f>INDEX('[1]INPUT_ASSUMPTIONS CALC'!E:E,MATCH(A208,'[1]INPUT_ASSUMPTIONS CALC'!A:A,0))</f>
        <v/>
      </c>
      <c r="F208" s="136">
        <f>IF($F$5="Q1",VLOOKUP($A208,'[1]INPUT_ASSUMPTIONS CALC'!$A$13:$CK$1019,F$7,FALSE),IF($F$5="Q2",VLOOKUP($A208,'[1]INPUT_ASSUMPTIONS CALC'!$A$13:$CK$1019,F$7,FALSE),IF($F$5="Q3",VLOOKUP($A208,'[1]INPUT_ASSUMPTIONS CALC'!$A$13:$CK$1019,F$7,FALSE),IF($F$5="Q4",VLOOKUP($A208,'[1]INPUT_ASSUMPTIONS CALC'!$A$13:$CK$1019,F$7,FALSE),IF($F$5="Year",VLOOKUP($A208,'[1]INPUT_ASSUMPTIONS CALC'!$A$13:$CK$1019,F$7,FALSE),0)))))</f>
        <v>0</v>
      </c>
      <c r="G208" s="137">
        <f>SUMIF('[1]INPUT_ASSUMPTIONS CALC'!A:A,'[1]Summary calculation'!A208,'[1]INPUT_ASSUMPTIONS CALC'!BU:BU)</f>
        <v>0</v>
      </c>
      <c r="H208" s="138">
        <f>IF($F$5="Year",F208*G208*'[1]INPUT_ASSUMPTIONS CALC'!$S$7,F208*G208)</f>
        <v>0</v>
      </c>
      <c r="I208" s="138">
        <f>H208*VLOOKUP($A208,'[1]INPUT_ASSUMPTIONS CALC'!$A$13:$CK$1019,H$6,FALSE)*SUMIF('[1]INPUT_ASSUMPTIONS CALC'!$CL$15:$CL$17,'[1]Summary calculation'!E208,'[1]INPUT_ASSUMPTIONS CALC'!$CM$15:$CM$17)</f>
        <v>0</v>
      </c>
      <c r="J208" s="139">
        <f>$I208*VLOOKUP($A208,'[1]INPUT_ASSUMPTIONS CALC'!$A$13:$CK$1019,I$6,FALSE)*VLOOKUP($A208,'[1]INPUT_ASSUMPTIONS CALC'!$A$13:$CK$1019,J$7,FALSE)</f>
        <v>0</v>
      </c>
      <c r="K208" s="139">
        <f>$I208*VLOOKUP($A208,'[1]INPUT_ASSUMPTIONS CALC'!$A$13:$CK$1019,I$6,FALSE)*VLOOKUP($A208,'[1]INPUT_ASSUMPTIONS CALC'!$A$13:$CK$1019,K$7,FALSE)</f>
        <v>0</v>
      </c>
      <c r="L208" s="139">
        <f>$I208*VLOOKUP($A208,'[1]INPUT_ASSUMPTIONS CALC'!$A$13:$CK$1019,I$6,FALSE)*VLOOKUP($A208,'[1]INPUT_ASSUMPTIONS CALC'!$A$13:$CK$1019,L$7,FALSE)</f>
        <v>0</v>
      </c>
      <c r="M208" s="139">
        <f>$I208*VLOOKUP($A208,'[1]INPUT_ASSUMPTIONS CALC'!$A$13:$CK$1019,I$6,FALSE)*VLOOKUP($A208,'[1]INPUT_ASSUMPTIONS CALC'!$A$13:$CK$1019,M$7,FALSE)</f>
        <v>0</v>
      </c>
      <c r="N208" s="140">
        <f t="shared" si="15"/>
        <v>0</v>
      </c>
      <c r="O208" s="141">
        <f>H208*VLOOKUP($A208,'[1]INPUT_ASSUMPTIONS CALC'!$A$13:$CK$1019,H$6,FALSE)*SUMIF('[1]INPUT_ASSUMPTIONS CALC'!$CQ$15:$CQ$17,'[1]Summary calculation'!E208,'[1]INPUT_ASSUMPTIONS CALC'!$CR$15:$CR$17)</f>
        <v>0</v>
      </c>
      <c r="P208" s="141">
        <f>H208*VLOOKUP($A208,'[1]INPUT_ASSUMPTIONS CALC'!$A$13:$CK$1019,H$6,FALSE)*SUMIF('[1]INPUT_ASSUMPTIONS CALC'!$CV$15:$CV$31,'[1]Summary calculation'!E208,'[1]INPUT_ASSUMPTIONS CALC'!$CW$15:$CW$31)</f>
        <v>0</v>
      </c>
      <c r="Q208" s="141">
        <f>O208*VLOOKUP($A208,'[1]INPUT_ASSUMPTIONS CALC'!$A$13:$CK$1019,Q$7,FALSE)</f>
        <v>0</v>
      </c>
      <c r="R208" s="141">
        <f>P208*VLOOKUP($A208,'[1]INPUT_ASSUMPTIONS CALC'!$A$13:$CK$1019,R$7,FALSE)</f>
        <v>0</v>
      </c>
      <c r="S208" s="140">
        <f t="shared" si="13"/>
        <v>0</v>
      </c>
      <c r="T208" s="142">
        <f t="shared" si="14"/>
        <v>0</v>
      </c>
      <c r="U208" s="61"/>
    </row>
    <row r="209" spans="1:21" ht="15" thickBot="1" x14ac:dyDescent="0.4">
      <c r="A209" s="125"/>
      <c r="B209" s="143"/>
      <c r="C209" s="144"/>
      <c r="D209" s="144" t="e">
        <f>INDEX('[1]INPUT_ASSUMPTIONS CALC'!I:I,MATCH(A209,'[1]INPUT_ASSUMPTIONS CALC'!A:A,0))</f>
        <v>#N/A</v>
      </c>
      <c r="E209" s="144"/>
      <c r="F209" s="144"/>
      <c r="G209" s="145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6"/>
      <c r="U209" s="61"/>
    </row>
    <row r="210" spans="1:21" ht="15" thickBot="1" x14ac:dyDescent="0.4">
      <c r="A210" s="125"/>
      <c r="B210" s="61"/>
      <c r="C210" s="61"/>
      <c r="D210" s="61" t="e">
        <f>INDEX('[1]INPUT_ASSUMPTIONS CALC'!I:I,MATCH(A210,'[1]INPUT_ASSUMPTIONS CALC'!A:A,0))</f>
        <v>#N/A</v>
      </c>
      <c r="E210" s="61"/>
      <c r="F210" s="61"/>
      <c r="G210" s="136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</row>
    <row r="211" spans="1:21" ht="15" thickBot="1" x14ac:dyDescent="0.4">
      <c r="A211" s="125"/>
      <c r="B211" s="147" t="s">
        <v>253</v>
      </c>
      <c r="C211" s="148"/>
      <c r="D211" s="149" t="e">
        <f>INDEX('[1]INPUT_ASSUMPTIONS CALC'!I:I,MATCH(A211,'[1]INPUT_ASSUMPTIONS CALC'!A:A,0))</f>
        <v>#N/A</v>
      </c>
      <c r="E211" s="149"/>
      <c r="F211" s="150">
        <f t="shared" ref="F211:S211" si="16">SUBTOTAL(9,F9:F208)</f>
        <v>39362575</v>
      </c>
      <c r="G211" s="150">
        <f t="shared" si="16"/>
        <v>80.833333333333329</v>
      </c>
      <c r="H211" s="150">
        <f t="shared" si="16"/>
        <v>34615404.166666664</v>
      </c>
      <c r="I211" s="150">
        <f t="shared" si="16"/>
        <v>25477383.333333332</v>
      </c>
      <c r="J211" s="150">
        <f t="shared" si="16"/>
        <v>15515246.123333331</v>
      </c>
      <c r="K211" s="150">
        <f t="shared" si="16"/>
        <v>11107007.866666665</v>
      </c>
      <c r="L211" s="150">
        <f t="shared" si="16"/>
        <v>7241382.5</v>
      </c>
      <c r="M211" s="150">
        <f t="shared" si="16"/>
        <v>4379438.71</v>
      </c>
      <c r="N211" s="150">
        <f t="shared" si="16"/>
        <v>38243075.199999981</v>
      </c>
      <c r="O211" s="150">
        <f t="shared" si="16"/>
        <v>5788545.833333334</v>
      </c>
      <c r="P211" s="150">
        <f t="shared" si="16"/>
        <v>580800</v>
      </c>
      <c r="Q211" s="150">
        <f>SUBTOTAL(9,Q9:Q208)</f>
        <v>4921643.333333333</v>
      </c>
      <c r="R211" s="150">
        <f t="shared" si="16"/>
        <v>508200</v>
      </c>
      <c r="S211" s="150">
        <f t="shared" si="16"/>
        <v>5429843.333333333</v>
      </c>
      <c r="T211" s="151">
        <f>SUBTOTAL(9,T9:T208)</f>
        <v>43672924</v>
      </c>
      <c r="U211" s="61"/>
    </row>
    <row r="212" spans="1:21" x14ac:dyDescent="0.35">
      <c r="A212" s="125"/>
      <c r="B212" s="61"/>
      <c r="C212" s="61"/>
      <c r="D212" s="61" t="e">
        <f>INDEX('[1]INPUT_ASSUMPTIONS CALC'!I:I,MATCH(A212,'[1]INPUT_ASSUMPTIONS CALC'!A:A,0))</f>
        <v>#N/A</v>
      </c>
      <c r="E212" s="61"/>
      <c r="F212" s="61"/>
      <c r="G212" s="136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</row>
    <row r="213" spans="1:21" x14ac:dyDescent="0.35">
      <c r="A213" s="125"/>
      <c r="B213" s="61"/>
      <c r="C213" s="61"/>
      <c r="D213" s="61" t="e">
        <f>INDEX('[1]INPUT_ASSUMPTIONS CALC'!I:I,MATCH(A213,'[1]INPUT_ASSUMPTIONS CALC'!A:A,0))</f>
        <v>#N/A</v>
      </c>
      <c r="E213" s="61"/>
      <c r="F213" s="61"/>
      <c r="G213" s="136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</row>
    <row r="214" spans="1:21" x14ac:dyDescent="0.35">
      <c r="A214" s="125"/>
      <c r="B214" s="61"/>
      <c r="C214" s="61"/>
      <c r="D214" s="61" t="e">
        <f>INDEX('[1]INPUT_ASSUMPTIONS CALC'!I:I,MATCH(A214,'[1]INPUT_ASSUMPTIONS CALC'!A:A,0))</f>
        <v>#N/A</v>
      </c>
      <c r="E214" s="61"/>
      <c r="F214" s="61"/>
      <c r="G214" s="136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</row>
    <row r="215" spans="1:21" x14ac:dyDescent="0.35">
      <c r="A215" s="125"/>
      <c r="B215" s="61"/>
      <c r="C215" s="61"/>
      <c r="D215" s="61" t="e">
        <f>INDEX('[1]INPUT_ASSUMPTIONS CALC'!I:I,MATCH(A215,'[1]INPUT_ASSUMPTIONS CALC'!A:A,0))</f>
        <v>#N/A</v>
      </c>
      <c r="E215" s="61"/>
      <c r="F215" s="61"/>
      <c r="G215" s="136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</row>
    <row r="216" spans="1:21" x14ac:dyDescent="0.35">
      <c r="A216" s="125"/>
      <c r="B216" s="61"/>
      <c r="C216" s="61"/>
      <c r="D216" s="61" t="e">
        <f>INDEX('[1]INPUT_ASSUMPTIONS CALC'!I:I,MATCH(A216,'[1]INPUT_ASSUMPTIONS CALC'!A:A,0))</f>
        <v>#N/A</v>
      </c>
      <c r="E216" s="61"/>
      <c r="F216" s="61"/>
      <c r="G216" s="136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</row>
    <row r="217" spans="1:21" x14ac:dyDescent="0.35">
      <c r="A217" s="125"/>
      <c r="B217" s="61"/>
      <c r="C217" s="61"/>
      <c r="D217" s="61" t="e">
        <f>INDEX('[1]INPUT_ASSUMPTIONS CALC'!I:I,MATCH(A217,'[1]INPUT_ASSUMPTIONS CALC'!A:A,0))</f>
        <v>#N/A</v>
      </c>
      <c r="E217" s="61"/>
      <c r="F217" s="61"/>
      <c r="G217" s="136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</row>
    <row r="218" spans="1:21" x14ac:dyDescent="0.35">
      <c r="A218" s="125"/>
      <c r="B218" s="61"/>
      <c r="C218" s="61"/>
      <c r="D218" s="61" t="e">
        <f>INDEX('[1]INPUT_ASSUMPTIONS CALC'!I:I,MATCH(A218,'[1]INPUT_ASSUMPTIONS CALC'!A:A,0))</f>
        <v>#N/A</v>
      </c>
      <c r="E218" s="61"/>
      <c r="F218" s="61"/>
      <c r="G218" s="136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</row>
    <row r="219" spans="1:21" x14ac:dyDescent="0.35">
      <c r="A219" s="125"/>
      <c r="B219" s="61"/>
      <c r="C219" s="61"/>
      <c r="D219" s="61" t="e">
        <f>INDEX('[1]INPUT_ASSUMPTIONS CALC'!I:I,MATCH(A219,'[1]INPUT_ASSUMPTIONS CALC'!A:A,0))</f>
        <v>#N/A</v>
      </c>
      <c r="E219" s="61"/>
      <c r="F219" s="61"/>
      <c r="G219" s="136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</row>
    <row r="220" spans="1:21" x14ac:dyDescent="0.35">
      <c r="A220" s="125"/>
      <c r="B220" s="61"/>
      <c r="C220" s="61"/>
      <c r="D220" s="61" t="e">
        <f>INDEX('[1]INPUT_ASSUMPTIONS CALC'!I:I,MATCH(A220,'[1]INPUT_ASSUMPTIONS CALC'!A:A,0))</f>
        <v>#N/A</v>
      </c>
      <c r="E220" s="61"/>
      <c r="F220" s="61"/>
      <c r="G220" s="136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</row>
    <row r="221" spans="1:21" x14ac:dyDescent="0.35">
      <c r="A221" s="125"/>
      <c r="B221" s="61"/>
      <c r="C221" s="61"/>
      <c r="D221" s="61" t="e">
        <f>INDEX('[1]INPUT_ASSUMPTIONS CALC'!I:I,MATCH(A221,'[1]INPUT_ASSUMPTIONS CALC'!A:A,0))</f>
        <v>#N/A</v>
      </c>
      <c r="E221" s="61"/>
      <c r="F221" s="61"/>
      <c r="G221" s="136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</row>
  </sheetData>
  <mergeCells count="1">
    <mergeCell ref="B211:C211"/>
  </mergeCells>
  <dataValidations count="2">
    <dataValidation type="list" allowBlank="1" showInputMessage="1" showErrorMessage="1" sqref="F3" xr:uid="{9290AE88-BB43-4BB6-B563-D6AD3B4491BE}">
      <formula1>$AF$1:$AF$12</formula1>
    </dataValidation>
    <dataValidation type="list" allowBlank="1" showInputMessage="1" showErrorMessage="1" sqref="F5" xr:uid="{5DB6BC2A-9FD1-496D-9F0A-CE758B214577}">
      <formula1>CycleList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C6E8-3972-4E8A-9D40-2B85FE718C64}">
  <dimension ref="A1:U221"/>
  <sheetViews>
    <sheetView workbookViewId="0">
      <selection activeCell="M6" sqref="M6"/>
    </sheetView>
  </sheetViews>
  <sheetFormatPr defaultRowHeight="14.5" x14ac:dyDescent="0.35"/>
  <sheetData>
    <row r="1" spans="1:21" ht="18.5" thickBot="1" x14ac:dyDescent="0.45">
      <c r="A1" s="121" t="s">
        <v>230</v>
      </c>
      <c r="B1" s="61"/>
      <c r="C1" s="61"/>
      <c r="D1" s="61"/>
      <c r="E1" s="61"/>
      <c r="F1" s="61"/>
      <c r="G1" s="122" t="s">
        <v>231</v>
      </c>
      <c r="H1" s="123" t="s">
        <v>225</v>
      </c>
      <c r="I1" s="124">
        <v>314.79000000000002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 spans="1:21" ht="18.5" thickBot="1" x14ac:dyDescent="0.45">
      <c r="A2" s="121"/>
      <c r="B2" s="61"/>
      <c r="C2" s="61"/>
      <c r="D2" s="61"/>
      <c r="E2" s="61"/>
      <c r="F2" s="61"/>
      <c r="G2" s="61"/>
      <c r="H2" s="123" t="s">
        <v>232</v>
      </c>
      <c r="I2" s="124">
        <v>332.7</v>
      </c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125" t="s">
        <v>225</v>
      </c>
    </row>
    <row r="3" spans="1:21" ht="15" thickBot="1" x14ac:dyDescent="0.4">
      <c r="A3" s="125"/>
      <c r="B3" s="61"/>
      <c r="C3" s="126" t="s">
        <v>233</v>
      </c>
      <c r="D3" s="126"/>
      <c r="E3" s="126"/>
      <c r="F3" s="123" t="s">
        <v>234</v>
      </c>
      <c r="G3" s="61"/>
      <c r="H3" s="123" t="s">
        <v>235</v>
      </c>
      <c r="I3" s="124"/>
      <c r="J3" s="61"/>
      <c r="K3" s="61"/>
      <c r="L3" s="61"/>
      <c r="M3" s="61"/>
      <c r="N3" s="61"/>
      <c r="O3" s="61"/>
      <c r="P3" s="61"/>
      <c r="Q3" s="61"/>
      <c r="R3" s="61"/>
      <c r="S3" s="61"/>
      <c r="T3" s="125" t="s">
        <v>225</v>
      </c>
      <c r="U3" s="125" t="s">
        <v>232</v>
      </c>
    </row>
    <row r="4" spans="1:21" ht="15" thickBot="1" x14ac:dyDescent="0.4">
      <c r="A4" s="125"/>
      <c r="B4" s="61"/>
      <c r="C4" s="61"/>
      <c r="D4" s="61"/>
      <c r="E4" s="61"/>
      <c r="F4" s="61"/>
      <c r="G4" s="61"/>
      <c r="H4" s="123" t="s">
        <v>236</v>
      </c>
      <c r="I4" s="124"/>
      <c r="J4" s="61"/>
      <c r="K4" s="61"/>
      <c r="L4" s="61"/>
      <c r="M4" s="61"/>
      <c r="N4" s="61"/>
      <c r="O4" s="61"/>
      <c r="P4" s="61"/>
      <c r="Q4" s="61"/>
      <c r="R4" s="61"/>
      <c r="S4" s="61"/>
      <c r="T4" s="125" t="s">
        <v>232</v>
      </c>
      <c r="U4" s="125" t="s">
        <v>235</v>
      </c>
    </row>
    <row r="5" spans="1:21" ht="15" thickBot="1" x14ac:dyDescent="0.4">
      <c r="A5" s="125"/>
      <c r="B5" s="61"/>
      <c r="C5" s="127" t="s">
        <v>237</v>
      </c>
      <c r="D5" s="127"/>
      <c r="E5" s="127"/>
      <c r="F5" s="128" t="s">
        <v>232</v>
      </c>
      <c r="G5" s="129">
        <f>VLOOKUP($F$5,$H$1:$I$5,2,FALSE)</f>
        <v>332.7</v>
      </c>
      <c r="H5" s="123" t="s">
        <v>238</v>
      </c>
      <c r="I5" s="124"/>
      <c r="J5" s="61"/>
      <c r="K5" s="61"/>
      <c r="L5" s="61"/>
      <c r="M5" s="61"/>
      <c r="N5" s="61"/>
      <c r="O5" s="61"/>
      <c r="P5" s="61"/>
      <c r="Q5" s="61"/>
      <c r="R5" s="61"/>
      <c r="S5" s="61"/>
      <c r="T5" s="125" t="s">
        <v>235</v>
      </c>
      <c r="U5" s="125" t="s">
        <v>236</v>
      </c>
    </row>
    <row r="6" spans="1:21" x14ac:dyDescent="0.35">
      <c r="A6" s="130"/>
      <c r="B6" s="130"/>
      <c r="C6" s="130"/>
      <c r="D6" s="130"/>
      <c r="E6" s="130"/>
      <c r="F6" s="130"/>
      <c r="G6" s="130"/>
      <c r="H6" s="130">
        <f>'[1]INPUT_ASSUMPTIONS CALC'!CH11</f>
        <v>86</v>
      </c>
      <c r="I6" s="130">
        <f>'[1]INPUT_ASSUMPTIONS CALC'!CI11</f>
        <v>87</v>
      </c>
      <c r="J6" s="130">
        <f>'[1]INPUT_ASSUMPTIONS CALC'!N11</f>
        <v>14</v>
      </c>
      <c r="K6" s="130">
        <f>'[1]INPUT_ASSUMPTIONS CALC'!AA11</f>
        <v>27</v>
      </c>
      <c r="L6" s="130">
        <f>'[1]INPUT_ASSUMPTIONS CALC'!AN11</f>
        <v>40</v>
      </c>
      <c r="M6" s="130">
        <f>'[1]INPUT_ASSUMPTIONS CALC'!BA11</f>
        <v>53</v>
      </c>
      <c r="N6" s="130"/>
      <c r="O6" s="130"/>
      <c r="P6" s="130"/>
      <c r="Q6" s="130"/>
      <c r="R6" s="130"/>
      <c r="S6" s="130"/>
      <c r="T6" s="130" t="s">
        <v>236</v>
      </c>
      <c r="U6" s="130" t="s">
        <v>238</v>
      </c>
    </row>
    <row r="7" spans="1:21" ht="15" thickBot="1" x14ac:dyDescent="0.4">
      <c r="A7" s="130"/>
      <c r="B7" s="130"/>
      <c r="C7" s="130"/>
      <c r="D7" s="130"/>
      <c r="E7" s="130"/>
      <c r="F7" s="130">
        <f>'[1]INPUT_ASSUMPTIONS CALC'!BT11</f>
        <v>72</v>
      </c>
      <c r="G7" s="130"/>
      <c r="H7" s="130"/>
      <c r="I7" s="130"/>
      <c r="J7" s="130">
        <f>'[1]INPUT_ASSUMPTIONS CALC'!N11</f>
        <v>14</v>
      </c>
      <c r="K7" s="130">
        <f>'[1]INPUT_ASSUMPTIONS CALC'!AA11</f>
        <v>27</v>
      </c>
      <c r="L7" s="130">
        <f>'[1]INPUT_ASSUMPTIONS CALC'!AN11</f>
        <v>40</v>
      </c>
      <c r="M7" s="130">
        <f>'[1]INPUT_ASSUMPTIONS CALC'!BA11</f>
        <v>53</v>
      </c>
      <c r="N7" s="130"/>
      <c r="O7" s="130"/>
      <c r="P7" s="130"/>
      <c r="Q7" s="130">
        <f>'[1]INPUT_ASSUMPTIONS CALC'!CK11</f>
        <v>89</v>
      </c>
      <c r="R7" s="130">
        <f>'[1]INPUT_ASSUMPTIONS CALC'!CJ11</f>
        <v>88</v>
      </c>
      <c r="S7" s="130"/>
      <c r="T7" s="130" t="s">
        <v>238</v>
      </c>
      <c r="U7" s="130"/>
    </row>
    <row r="8" spans="1:21" ht="54" thickBot="1" x14ac:dyDescent="0.4">
      <c r="A8" s="125"/>
      <c r="B8" s="131" t="s">
        <v>178</v>
      </c>
      <c r="C8" s="132" t="s">
        <v>1</v>
      </c>
      <c r="D8" s="132"/>
      <c r="E8" s="132" t="str">
        <f>'[1]INPUT_ASSUMPTIONS CALC'!E13</f>
        <v>Position</v>
      </c>
      <c r="F8" s="132" t="s">
        <v>239</v>
      </c>
      <c r="G8" s="132" t="s">
        <v>221</v>
      </c>
      <c r="H8" s="132" t="s">
        <v>240</v>
      </c>
      <c r="I8" s="132" t="s">
        <v>241</v>
      </c>
      <c r="J8" s="132" t="s">
        <v>242</v>
      </c>
      <c r="K8" s="132" t="s">
        <v>243</v>
      </c>
      <c r="L8" s="132" t="s">
        <v>244</v>
      </c>
      <c r="M8" s="132" t="s">
        <v>245</v>
      </c>
      <c r="N8" s="133" t="s">
        <v>246</v>
      </c>
      <c r="O8" s="132" t="s">
        <v>247</v>
      </c>
      <c r="P8" s="132" t="s">
        <v>248</v>
      </c>
      <c r="Q8" s="132" t="s">
        <v>249</v>
      </c>
      <c r="R8" s="132" t="s">
        <v>250</v>
      </c>
      <c r="S8" s="133" t="s">
        <v>251</v>
      </c>
      <c r="T8" s="134" t="s">
        <v>252</v>
      </c>
      <c r="U8" s="61"/>
    </row>
    <row r="9" spans="1:21" x14ac:dyDescent="0.35">
      <c r="A9" s="125" t="str">
        <f t="shared" ref="A9:A72" si="0">CONCATENATE(B9,$F$5)</f>
        <v>1Q2</v>
      </c>
      <c r="B9" s="135">
        <v>1</v>
      </c>
      <c r="C9" s="61" t="str">
        <f>INDEX('[1]INPUT_ASSUMPTIONS CALC'!D:D,MATCH(A9,'[1]INPUT_ASSUMPTIONS CALC'!A:A,0))</f>
        <v>Abasheva Anna</v>
      </c>
      <c r="D9" s="61" t="str">
        <f>INDEX('[1]INPUT_ASSUMPTIONS CALC'!I:I,MATCH(A9,'[1]INPUT_ASSUMPTIONS CALC'!A:A,0))</f>
        <v>Line 2</v>
      </c>
      <c r="E9" s="61" t="str">
        <f>INDEX('[1]INPUT_ASSUMPTIONS CALC'!E:E,MATCH(A9,'[1]INPUT_ASSUMPTIONS CALC'!A:A,0))</f>
        <v>Medical Representative</v>
      </c>
      <c r="F9" s="136">
        <f>IF($F$5="Q1",VLOOKUP($A9,'[1]INPUT_ASSUMPTIONS CALC'!$A$13:$CK$1019,F$7,FALSE),IF($F$5="Q2",VLOOKUP($A9,'[1]INPUT_ASSUMPTIONS CALC'!$A$13:$CK$1019,F$7,FALSE),IF($F$5="Q3",VLOOKUP($A9,'[1]INPUT_ASSUMPTIONS CALC'!$A$13:$CK$1019,F$7,FALSE),IF($F$5="Q4",VLOOKUP($A9,'[1]INPUT_ASSUMPTIONS CALC'!$A$13:$CK$1019,F$7,FALSE),IF($F$5="Year",VLOOKUP($A9,'[1]INPUT_ASSUMPTIONS CALC'!$A$13:$CK$1019,F$7,FALSE),0)))))</f>
        <v>395525</v>
      </c>
      <c r="G9" s="137">
        <f>SUMIF('[1]INPUT_ASSUMPTIONS CALC'!A:A,'[1]Summary calculation'!A9,'[1]INPUT_ASSUMPTIONS CALC'!BU:BU)</f>
        <v>1</v>
      </c>
      <c r="H9" s="138">
        <f>IF($F$5="Year",F9*G9*'[1]INPUT_ASSUMPTIONS CALC'!$S$7,F9*G9)</f>
        <v>395525</v>
      </c>
      <c r="I9" s="138">
        <f>H9*VLOOKUP($A9,'[1]INPUT_ASSUMPTIONS CALC'!$A$13:$CK$1019,H$6,FALSE)*SUMIF('[1]INPUT_ASSUMPTIONS CALC'!$CL$15:$CL$17,'[1]Summary calculation'!E9,'[1]INPUT_ASSUMPTIONS CALC'!$CM$15:$CM$17)</f>
        <v>316420</v>
      </c>
      <c r="J9" s="139">
        <f>$I9*VLOOKUP($A9,'[1]INPUT_ASSUMPTIONS CALC'!$A$13:$CK$1019,I$6,FALSE)*VLOOKUP($A9,'[1]INPUT_ASSUMPTIONS CALC'!$A$13:$CK$1019,J$7,FALSE)</f>
        <v>199344.6</v>
      </c>
      <c r="K9" s="139">
        <f>$I9*VLOOKUP($A9,'[1]INPUT_ASSUMPTIONS CALC'!$A$13:$CK$1019,I$6,FALSE)*VLOOKUP($A9,'[1]INPUT_ASSUMPTIONS CALC'!$A$13:$CK$1019,K$7,FALSE)</f>
        <v>166120.5</v>
      </c>
      <c r="L9" s="139">
        <f>$I9*VLOOKUP($A9,'[1]INPUT_ASSUMPTIONS CALC'!$A$13:$CK$1019,I$6,FALSE)*VLOOKUP($A9,'[1]INPUT_ASSUMPTIONS CALC'!$A$13:$CK$1019,L$7,FALSE)</f>
        <v>166120.5</v>
      </c>
      <c r="M9" s="139">
        <f>$I9*VLOOKUP($A9,'[1]INPUT_ASSUMPTIONS CALC'!$A$13:$CK$1019,I$6,FALSE)*VLOOKUP($A9,'[1]INPUT_ASSUMPTIONS CALC'!$A$13:$CK$1019,M$7,FALSE)</f>
        <v>132896.39999999997</v>
      </c>
      <c r="N9" s="140">
        <f>SUM(J9:M9)</f>
        <v>664482</v>
      </c>
      <c r="O9" s="141">
        <f>H9*VLOOKUP($A9,'[1]INPUT_ASSUMPTIONS CALC'!$A$13:$CK$1019,H$6,FALSE)*SUMIF('[1]INPUT_ASSUMPTIONS CALC'!$CQ$15:$CQ$17,'[1]Summary calculation'!E9,'[1]INPUT_ASSUMPTIONS CALC'!$CR$15:$CR$17)</f>
        <v>79105</v>
      </c>
      <c r="P9" s="141">
        <f>H9*VLOOKUP($A9,'[1]INPUT_ASSUMPTIONS CALC'!$A$13:$CK$1019,H$6,FALSE)*SUMIF('[1]INPUT_ASSUMPTIONS CALC'!$CV$15:$CV$31,'[1]Summary calculation'!E9,'[1]INPUT_ASSUMPTIONS CALC'!$CW$15:$CW$31)</f>
        <v>0</v>
      </c>
      <c r="Q9" s="141">
        <f>O9*VLOOKUP($A9,'[1]INPUT_ASSUMPTIONS CALC'!$A$13:$CK$1019,Q$7,FALSE)</f>
        <v>39552.5</v>
      </c>
      <c r="R9" s="141">
        <f>P9*VLOOKUP($A9,'[1]INPUT_ASSUMPTIONS CALC'!$A$13:$CK$1019,R$7,FALSE)</f>
        <v>0</v>
      </c>
      <c r="S9" s="140">
        <f t="shared" ref="S9:S72" si="1">SUM(Q9:R9)</f>
        <v>39552.5</v>
      </c>
      <c r="T9" s="142">
        <f t="shared" ref="T9:T72" si="2">ROUND(N9+S9,0)</f>
        <v>704035</v>
      </c>
      <c r="U9" s="61"/>
    </row>
    <row r="10" spans="1:21" x14ac:dyDescent="0.35">
      <c r="A10" s="125" t="str">
        <f t="shared" si="0"/>
        <v>2Q2</v>
      </c>
      <c r="B10" s="135">
        <v>2</v>
      </c>
      <c r="C10" s="61" t="str">
        <f>INDEX('[1]INPUT_ASSUMPTIONS CALC'!D:D,MATCH(A10,'[1]INPUT_ASSUMPTIONS CALC'!A:A,0))</f>
        <v>Aitbenbetova Dinara</v>
      </c>
      <c r="D10" s="61" t="str">
        <f>INDEX('[1]INPUT_ASSUMPTIONS CALC'!I:I,MATCH(A10,'[1]INPUT_ASSUMPTIONS CALC'!A:A,0))</f>
        <v>Line 1</v>
      </c>
      <c r="E10" s="61" t="str">
        <f>INDEX('[1]INPUT_ASSUMPTIONS CALC'!E:E,MATCH(A10,'[1]INPUT_ASSUMPTIONS CALC'!A:A,0))</f>
        <v>Medical Representative</v>
      </c>
      <c r="F10" s="136">
        <f>IF($F$5="Q1",VLOOKUP($A10,'[1]INPUT_ASSUMPTIONS CALC'!$A$13:$CK$1019,F$7,FALSE),IF($F$5="Q2",VLOOKUP($A10,'[1]INPUT_ASSUMPTIONS CALC'!$A$13:$CK$1019,F$7,FALSE),IF($F$5="Q3",VLOOKUP($A10,'[1]INPUT_ASSUMPTIONS CALC'!$A$13:$CK$1019,F$7,FALSE),IF($F$5="Q4",VLOOKUP($A10,'[1]INPUT_ASSUMPTIONS CALC'!$A$13:$CK$1019,F$7,FALSE),IF($F$5="Year",VLOOKUP($A10,'[1]INPUT_ASSUMPTIONS CALC'!$A$13:$CK$1019,F$7,FALSE),0)))))</f>
        <v>395525</v>
      </c>
      <c r="G10" s="137">
        <f>SUMIF('[1]INPUT_ASSUMPTIONS CALC'!A:A,'[1]Summary calculation'!A10,'[1]INPUT_ASSUMPTIONS CALC'!BU:BU)</f>
        <v>1</v>
      </c>
      <c r="H10" s="138">
        <f>IF($F$5="Year",F10*G10*'[1]INPUT_ASSUMPTIONS CALC'!$S$7,F10*G10)</f>
        <v>395525</v>
      </c>
      <c r="I10" s="138">
        <f>H10*VLOOKUP($A10,'[1]INPUT_ASSUMPTIONS CALC'!$A$13:$CK$1019,H$6,FALSE)*SUMIF('[1]INPUT_ASSUMPTIONS CALC'!$CL$15:$CL$17,'[1]Summary calculation'!E10,'[1]INPUT_ASSUMPTIONS CALC'!$CM$15:$CM$17)</f>
        <v>316420</v>
      </c>
      <c r="J10" s="139">
        <f>$I10*VLOOKUP($A10,'[1]INPUT_ASSUMPTIONS CALC'!$A$13:$CK$1019,I$6,FALSE)*VLOOKUP($A10,'[1]INPUT_ASSUMPTIONS CALC'!$A$13:$CK$1019,J$7,FALSE)</f>
        <v>158210</v>
      </c>
      <c r="K10" s="139">
        <f>$I10*VLOOKUP($A10,'[1]INPUT_ASSUMPTIONS CALC'!$A$13:$CK$1019,I$6,FALSE)*VLOOKUP($A10,'[1]INPUT_ASSUMPTIONS CALC'!$A$13:$CK$1019,K$7,FALSE)</f>
        <v>110747</v>
      </c>
      <c r="L10" s="139">
        <f>$I10*VLOOKUP($A10,'[1]INPUT_ASSUMPTIONS CALC'!$A$13:$CK$1019,I$6,FALSE)*VLOOKUP($A10,'[1]INPUT_ASSUMPTIONS CALC'!$A$13:$CK$1019,L$7,FALSE)</f>
        <v>31642</v>
      </c>
      <c r="M10" s="139">
        <f>$I10*VLOOKUP($A10,'[1]INPUT_ASSUMPTIONS CALC'!$A$13:$CK$1019,I$6,FALSE)*VLOOKUP($A10,'[1]INPUT_ASSUMPTIONS CALC'!$A$13:$CK$1019,M$7,FALSE)</f>
        <v>15821.000000000005</v>
      </c>
      <c r="N10" s="140">
        <f t="shared" ref="N10:N73" si="3">SUM(J10:M10)</f>
        <v>316420</v>
      </c>
      <c r="O10" s="141">
        <f>H10*VLOOKUP($A10,'[1]INPUT_ASSUMPTIONS CALC'!$A$13:$CK$1019,H$6,FALSE)*SUMIF('[1]INPUT_ASSUMPTIONS CALC'!$CQ$15:$CQ$17,'[1]Summary calculation'!E10,'[1]INPUT_ASSUMPTIONS CALC'!$CR$15:$CR$17)</f>
        <v>79105</v>
      </c>
      <c r="P10" s="141">
        <f>H10*VLOOKUP($A10,'[1]INPUT_ASSUMPTIONS CALC'!$A$13:$CK$1019,H$6,FALSE)*SUMIF('[1]INPUT_ASSUMPTIONS CALC'!$CV$15:$CV$31,'[1]Summary calculation'!E10,'[1]INPUT_ASSUMPTIONS CALC'!$CW$15:$CW$31)</f>
        <v>0</v>
      </c>
      <c r="Q10" s="141">
        <f>O10*VLOOKUP($A10,'[1]INPUT_ASSUMPTIONS CALC'!$A$13:$CK$1019,Q$7,FALSE)</f>
        <v>79105</v>
      </c>
      <c r="R10" s="141">
        <f>P10*VLOOKUP($A10,'[1]INPUT_ASSUMPTIONS CALC'!$A$13:$CK$1019,R$7,FALSE)</f>
        <v>0</v>
      </c>
      <c r="S10" s="140">
        <f t="shared" si="1"/>
        <v>79105</v>
      </c>
      <c r="T10" s="142">
        <f t="shared" si="2"/>
        <v>395525</v>
      </c>
      <c r="U10" s="61"/>
    </row>
    <row r="11" spans="1:21" x14ac:dyDescent="0.35">
      <c r="A11" s="125" t="str">
        <f t="shared" si="0"/>
        <v>3Q2</v>
      </c>
      <c r="B11" s="135">
        <v>3</v>
      </c>
      <c r="C11" s="61" t="str">
        <f>INDEX('[1]INPUT_ASSUMPTIONS CALC'!D:D,MATCH(A11,'[1]INPUT_ASSUMPTIONS CALC'!A:A,0))</f>
        <v>Akhmadiyeva Gulzhan</v>
      </c>
      <c r="D11" s="61" t="str">
        <f>INDEX('[1]INPUT_ASSUMPTIONS CALC'!I:I,MATCH(A11,'[1]INPUT_ASSUMPTIONS CALC'!A:A,0))</f>
        <v>Line 1</v>
      </c>
      <c r="E11" s="61" t="str">
        <f>INDEX('[1]INPUT_ASSUMPTIONS CALC'!E:E,MATCH(A11,'[1]INPUT_ASSUMPTIONS CALC'!A:A,0))</f>
        <v>Medical Representative</v>
      </c>
      <c r="F11" s="136">
        <f>IF($F$5="Q1",VLOOKUP($A11,'[1]INPUT_ASSUMPTIONS CALC'!$A$13:$CK$1019,F$7,FALSE),IF($F$5="Q2",VLOOKUP($A11,'[1]INPUT_ASSUMPTIONS CALC'!$A$13:$CK$1019,F$7,FALSE),IF($F$5="Q3",VLOOKUP($A11,'[1]INPUT_ASSUMPTIONS CALC'!$A$13:$CK$1019,F$7,FALSE),IF($F$5="Q4",VLOOKUP($A11,'[1]INPUT_ASSUMPTIONS CALC'!$A$13:$CK$1019,F$7,FALSE),IF($F$5="Year",VLOOKUP($A11,'[1]INPUT_ASSUMPTIONS CALC'!$A$13:$CK$1019,F$7,FALSE),0)))))</f>
        <v>395525</v>
      </c>
      <c r="G11" s="137">
        <f>SUMIF('[1]INPUT_ASSUMPTIONS CALC'!A:A,'[1]Summary calculation'!A11,'[1]INPUT_ASSUMPTIONS CALC'!BU:BU)</f>
        <v>1</v>
      </c>
      <c r="H11" s="138">
        <f>IF($F$5="Year",F11*G11*'[1]INPUT_ASSUMPTIONS CALC'!$S$7,F11*G11)</f>
        <v>395525</v>
      </c>
      <c r="I11" s="138">
        <f>H11*VLOOKUP($A11,'[1]INPUT_ASSUMPTIONS CALC'!$A$13:$CK$1019,H$6,FALSE)*SUMIF('[1]INPUT_ASSUMPTIONS CALC'!$CL$15:$CL$17,'[1]Summary calculation'!E11,'[1]INPUT_ASSUMPTIONS CALC'!$CM$15:$CM$17)</f>
        <v>316420</v>
      </c>
      <c r="J11" s="139">
        <f>$I11*VLOOKUP($A11,'[1]INPUT_ASSUMPTIONS CALC'!$A$13:$CK$1019,I$6,FALSE)*VLOOKUP($A11,'[1]INPUT_ASSUMPTIONS CALC'!$A$13:$CK$1019,J$7,FALSE)</f>
        <v>142389</v>
      </c>
      <c r="K11" s="139">
        <f>$I11*VLOOKUP($A11,'[1]INPUT_ASSUMPTIONS CALC'!$A$13:$CK$1019,I$6,FALSE)*VLOOKUP($A11,'[1]INPUT_ASSUMPTIONS CALC'!$A$13:$CK$1019,K$7,FALSE)</f>
        <v>99672.299999999988</v>
      </c>
      <c r="L11" s="139">
        <f>$I11*VLOOKUP($A11,'[1]INPUT_ASSUMPTIONS CALC'!$A$13:$CK$1019,I$6,FALSE)*VLOOKUP($A11,'[1]INPUT_ASSUMPTIONS CALC'!$A$13:$CK$1019,L$7,FALSE)</f>
        <v>28477.800000000003</v>
      </c>
      <c r="M11" s="139">
        <f>$I11*VLOOKUP($A11,'[1]INPUT_ASSUMPTIONS CALC'!$A$13:$CK$1019,I$6,FALSE)*VLOOKUP($A11,'[1]INPUT_ASSUMPTIONS CALC'!$A$13:$CK$1019,M$7,FALSE)</f>
        <v>14238.900000000005</v>
      </c>
      <c r="N11" s="140">
        <f t="shared" si="3"/>
        <v>284778</v>
      </c>
      <c r="O11" s="141">
        <f>H11*VLOOKUP($A11,'[1]INPUT_ASSUMPTIONS CALC'!$A$13:$CK$1019,H$6,FALSE)*SUMIF('[1]INPUT_ASSUMPTIONS CALC'!$CQ$15:$CQ$17,'[1]Summary calculation'!E11,'[1]INPUT_ASSUMPTIONS CALC'!$CR$15:$CR$17)</f>
        <v>79105</v>
      </c>
      <c r="P11" s="141">
        <f>H11*VLOOKUP($A11,'[1]INPUT_ASSUMPTIONS CALC'!$A$13:$CK$1019,H$6,FALSE)*SUMIF('[1]INPUT_ASSUMPTIONS CALC'!$CV$15:$CV$31,'[1]Summary calculation'!E11,'[1]INPUT_ASSUMPTIONS CALC'!$CW$15:$CW$31)</f>
        <v>0</v>
      </c>
      <c r="Q11" s="141">
        <f>O11*VLOOKUP($A11,'[1]INPUT_ASSUMPTIONS CALC'!$A$13:$CK$1019,Q$7,FALSE)</f>
        <v>79105</v>
      </c>
      <c r="R11" s="141">
        <f>P11*VLOOKUP($A11,'[1]INPUT_ASSUMPTIONS CALC'!$A$13:$CK$1019,R$7,FALSE)</f>
        <v>0</v>
      </c>
      <c r="S11" s="140">
        <f t="shared" si="1"/>
        <v>79105</v>
      </c>
      <c r="T11" s="142">
        <f t="shared" si="2"/>
        <v>363883</v>
      </c>
      <c r="U11" s="61"/>
    </row>
    <row r="12" spans="1:21" x14ac:dyDescent="0.35">
      <c r="A12" s="125" t="str">
        <f t="shared" si="0"/>
        <v>4Q2</v>
      </c>
      <c r="B12" s="135">
        <v>4</v>
      </c>
      <c r="C12" s="61" t="str">
        <f>INDEX('[1]INPUT_ASSUMPTIONS CALC'!D:D,MATCH(A12,'[1]INPUT_ASSUMPTIONS CALC'!A:A,0))</f>
        <v>Akhmetova (Imanzhanova) Sholpan</v>
      </c>
      <c r="D12" s="61" t="str">
        <f>INDEX('[1]INPUT_ASSUMPTIONS CALC'!I:I,MATCH(A12,'[1]INPUT_ASSUMPTIONS CALC'!A:A,0))</f>
        <v>Line 3 (big cities)</v>
      </c>
      <c r="E12" s="61" t="str">
        <f>INDEX('[1]INPUT_ASSUMPTIONS CALC'!E:E,MATCH(A12,'[1]INPUT_ASSUMPTIONS CALC'!A:A,0))</f>
        <v>Medical Representative</v>
      </c>
      <c r="F12" s="136">
        <f>IF($F$5="Q1",VLOOKUP($A12,'[1]INPUT_ASSUMPTIONS CALC'!$A$13:$CK$1019,F$7,FALSE),IF($F$5="Q2",VLOOKUP($A12,'[1]INPUT_ASSUMPTIONS CALC'!$A$13:$CK$1019,F$7,FALSE),IF($F$5="Q3",VLOOKUP($A12,'[1]INPUT_ASSUMPTIONS CALC'!$A$13:$CK$1019,F$7,FALSE),IF($F$5="Q4",VLOOKUP($A12,'[1]INPUT_ASSUMPTIONS CALC'!$A$13:$CK$1019,F$7,FALSE),IF($F$5="Year",VLOOKUP($A12,'[1]INPUT_ASSUMPTIONS CALC'!$A$13:$CK$1019,F$7,FALSE),0)))))</f>
        <v>395525</v>
      </c>
      <c r="G12" s="137">
        <f>SUMIF('[1]INPUT_ASSUMPTIONS CALC'!A:A,'[1]Summary calculation'!A12,'[1]INPUT_ASSUMPTIONS CALC'!BU:BU)</f>
        <v>1</v>
      </c>
      <c r="H12" s="138">
        <f>IF($F$5="Year",F12*G12*'[1]INPUT_ASSUMPTIONS CALC'!$S$7,F12*G12)</f>
        <v>395525</v>
      </c>
      <c r="I12" s="138">
        <f>H12*VLOOKUP($A12,'[1]INPUT_ASSUMPTIONS CALC'!$A$13:$CK$1019,H$6,FALSE)*SUMIF('[1]INPUT_ASSUMPTIONS CALC'!$CL$15:$CL$17,'[1]Summary calculation'!E12,'[1]INPUT_ASSUMPTIONS CALC'!$CM$15:$CM$17)</f>
        <v>316420</v>
      </c>
      <c r="J12" s="139">
        <f>$I12*VLOOKUP($A12,'[1]INPUT_ASSUMPTIONS CALC'!$A$13:$CK$1019,I$6,FALSE)*VLOOKUP($A12,'[1]INPUT_ASSUMPTIONS CALC'!$A$13:$CK$1019,J$7,FALSE)</f>
        <v>116758.98</v>
      </c>
      <c r="K12" s="139">
        <f>$I12*VLOOKUP($A12,'[1]INPUT_ASSUMPTIONS CALC'!$A$13:$CK$1019,I$6,FALSE)*VLOOKUP($A12,'[1]INPUT_ASSUMPTIONS CALC'!$A$13:$CK$1019,K$7,FALSE)</f>
        <v>64866.1</v>
      </c>
      <c r="L12" s="139">
        <f>$I12*VLOOKUP($A12,'[1]INPUT_ASSUMPTIONS CALC'!$A$13:$CK$1019,I$6,FALSE)*VLOOKUP($A12,'[1]INPUT_ASSUMPTIONS CALC'!$A$13:$CK$1019,L$7,FALSE)</f>
        <v>64866.1</v>
      </c>
      <c r="M12" s="139">
        <f>$I12*VLOOKUP($A12,'[1]INPUT_ASSUMPTIONS CALC'!$A$13:$CK$1019,I$6,FALSE)*VLOOKUP($A12,'[1]INPUT_ASSUMPTIONS CALC'!$A$13:$CK$1019,M$7,FALSE)</f>
        <v>12973.220000000012</v>
      </c>
      <c r="N12" s="140">
        <f t="shared" si="3"/>
        <v>259464.4</v>
      </c>
      <c r="O12" s="141">
        <f>H12*VLOOKUP($A12,'[1]INPUT_ASSUMPTIONS CALC'!$A$13:$CK$1019,H$6,FALSE)*SUMIF('[1]INPUT_ASSUMPTIONS CALC'!$CQ$15:$CQ$17,'[1]Summary calculation'!E12,'[1]INPUT_ASSUMPTIONS CALC'!$CR$15:$CR$17)</f>
        <v>79105</v>
      </c>
      <c r="P12" s="141">
        <f>H12*VLOOKUP($A12,'[1]INPUT_ASSUMPTIONS CALC'!$A$13:$CK$1019,H$6,FALSE)*SUMIF('[1]INPUT_ASSUMPTIONS CALC'!$CV$15:$CV$31,'[1]Summary calculation'!E12,'[1]INPUT_ASSUMPTIONS CALC'!$CW$15:$CW$31)</f>
        <v>0</v>
      </c>
      <c r="Q12" s="141">
        <f>O12*VLOOKUP($A12,'[1]INPUT_ASSUMPTIONS CALC'!$A$13:$CK$1019,Q$7,FALSE)</f>
        <v>79105</v>
      </c>
      <c r="R12" s="141">
        <f>P12*VLOOKUP($A12,'[1]INPUT_ASSUMPTIONS CALC'!$A$13:$CK$1019,R$7,FALSE)</f>
        <v>0</v>
      </c>
      <c r="S12" s="140">
        <f t="shared" si="1"/>
        <v>79105</v>
      </c>
      <c r="T12" s="142">
        <f t="shared" si="2"/>
        <v>338569</v>
      </c>
      <c r="U12" s="61"/>
    </row>
    <row r="13" spans="1:21" x14ac:dyDescent="0.35">
      <c r="A13" s="125" t="str">
        <f t="shared" si="0"/>
        <v>5Q2</v>
      </c>
      <c r="B13" s="135">
        <v>5</v>
      </c>
      <c r="C13" s="61" t="str">
        <f>INDEX('[1]INPUT_ASSUMPTIONS CALC'!D:D,MATCH(A13,'[1]INPUT_ASSUMPTIONS CALC'!A:A,0))</f>
        <v>Aliyev Askar</v>
      </c>
      <c r="D13" s="61" t="str">
        <f>INDEX('[1]INPUT_ASSUMPTIONS CALC'!I:I,MATCH(A13,'[1]INPUT_ASSUMPTIONS CALC'!A:A,0))</f>
        <v>Line 1</v>
      </c>
      <c r="E13" s="61" t="str">
        <f>INDEX('[1]INPUT_ASSUMPTIONS CALC'!E:E,MATCH(A13,'[1]INPUT_ASSUMPTIONS CALC'!A:A,0))</f>
        <v>Medical Representative</v>
      </c>
      <c r="F13" s="136">
        <f>IF($F$5="Q1",VLOOKUP($A13,'[1]INPUT_ASSUMPTIONS CALC'!$A$13:$CK$1019,F$7,FALSE),IF($F$5="Q2",VLOOKUP($A13,'[1]INPUT_ASSUMPTIONS CALC'!$A$13:$CK$1019,F$7,FALSE),IF($F$5="Q3",VLOOKUP($A13,'[1]INPUT_ASSUMPTIONS CALC'!$A$13:$CK$1019,F$7,FALSE),IF($F$5="Q4",VLOOKUP($A13,'[1]INPUT_ASSUMPTIONS CALC'!$A$13:$CK$1019,F$7,FALSE),IF($F$5="Year",VLOOKUP($A13,'[1]INPUT_ASSUMPTIONS CALC'!$A$13:$CK$1019,F$7,FALSE),0)))))</f>
        <v>395525</v>
      </c>
      <c r="G13" s="137">
        <f>SUMIF('[1]INPUT_ASSUMPTIONS CALC'!A:A,'[1]Summary calculation'!A13,'[1]INPUT_ASSUMPTIONS CALC'!BU:BU)</f>
        <v>1</v>
      </c>
      <c r="H13" s="138">
        <f>IF($F$5="Year",F13*G13*'[1]INPUT_ASSUMPTIONS CALC'!$S$7,F13*G13)</f>
        <v>395525</v>
      </c>
      <c r="I13" s="138">
        <f>H13*VLOOKUP($A13,'[1]INPUT_ASSUMPTIONS CALC'!$A$13:$CK$1019,H$6,FALSE)*SUMIF('[1]INPUT_ASSUMPTIONS CALC'!$CL$15:$CL$17,'[1]Summary calculation'!E13,'[1]INPUT_ASSUMPTIONS CALC'!$CM$15:$CM$17)</f>
        <v>316420</v>
      </c>
      <c r="J13" s="139">
        <f>$I13*VLOOKUP($A13,'[1]INPUT_ASSUMPTIONS CALC'!$A$13:$CK$1019,I$6,FALSE)*VLOOKUP($A13,'[1]INPUT_ASSUMPTIONS CALC'!$A$13:$CK$1019,J$7,FALSE)</f>
        <v>395525</v>
      </c>
      <c r="K13" s="139">
        <f>$I13*VLOOKUP($A13,'[1]INPUT_ASSUMPTIONS CALC'!$A$13:$CK$1019,I$6,FALSE)*VLOOKUP($A13,'[1]INPUT_ASSUMPTIONS CALC'!$A$13:$CK$1019,K$7,FALSE)</f>
        <v>276867.5</v>
      </c>
      <c r="L13" s="139">
        <f>$I13*VLOOKUP($A13,'[1]INPUT_ASSUMPTIONS CALC'!$A$13:$CK$1019,I$6,FALSE)*VLOOKUP($A13,'[1]INPUT_ASSUMPTIONS CALC'!$A$13:$CK$1019,L$7,FALSE)</f>
        <v>79105</v>
      </c>
      <c r="M13" s="139">
        <f>$I13*VLOOKUP($A13,'[1]INPUT_ASSUMPTIONS CALC'!$A$13:$CK$1019,I$6,FALSE)*VLOOKUP($A13,'[1]INPUT_ASSUMPTIONS CALC'!$A$13:$CK$1019,M$7,FALSE)</f>
        <v>39552.500000000015</v>
      </c>
      <c r="N13" s="140">
        <f t="shared" si="3"/>
        <v>791050</v>
      </c>
      <c r="O13" s="141">
        <f>H13*VLOOKUP($A13,'[1]INPUT_ASSUMPTIONS CALC'!$A$13:$CK$1019,H$6,FALSE)*SUMIF('[1]INPUT_ASSUMPTIONS CALC'!$CQ$15:$CQ$17,'[1]Summary calculation'!E13,'[1]INPUT_ASSUMPTIONS CALC'!$CR$15:$CR$17)</f>
        <v>79105</v>
      </c>
      <c r="P13" s="141">
        <f>H13*VLOOKUP($A13,'[1]INPUT_ASSUMPTIONS CALC'!$A$13:$CK$1019,H$6,FALSE)*SUMIF('[1]INPUT_ASSUMPTIONS CALC'!$CV$15:$CV$31,'[1]Summary calculation'!E13,'[1]INPUT_ASSUMPTIONS CALC'!$CW$15:$CW$31)</f>
        <v>0</v>
      </c>
      <c r="Q13" s="141">
        <f>O13*VLOOKUP($A13,'[1]INPUT_ASSUMPTIONS CALC'!$A$13:$CK$1019,Q$7,FALSE)</f>
        <v>79105</v>
      </c>
      <c r="R13" s="141">
        <f>P13*VLOOKUP($A13,'[1]INPUT_ASSUMPTIONS CALC'!$A$13:$CK$1019,R$7,FALSE)</f>
        <v>0</v>
      </c>
      <c r="S13" s="140">
        <f t="shared" si="1"/>
        <v>79105</v>
      </c>
      <c r="T13" s="142">
        <f t="shared" si="2"/>
        <v>870155</v>
      </c>
      <c r="U13" s="61"/>
    </row>
    <row r="14" spans="1:21" x14ac:dyDescent="0.35">
      <c r="A14" s="125" t="str">
        <f t="shared" si="0"/>
        <v>6Q2</v>
      </c>
      <c r="B14" s="135">
        <v>6</v>
      </c>
      <c r="C14" s="61" t="str">
        <f>INDEX('[1]INPUT_ASSUMPTIONS CALC'!D:D,MATCH(A14,'[1]INPUT_ASSUMPTIONS CALC'!A:A,0))</f>
        <v>Altynbassova Shynar</v>
      </c>
      <c r="D14" s="61" t="str">
        <f>INDEX('[1]INPUT_ASSUMPTIONS CALC'!I:I,MATCH(A14,'[1]INPUT_ASSUMPTIONS CALC'!A:A,0))</f>
        <v>Line 2</v>
      </c>
      <c r="E14" s="61" t="str">
        <f>INDEX('[1]INPUT_ASSUMPTIONS CALC'!E:E,MATCH(A14,'[1]INPUT_ASSUMPTIONS CALC'!A:A,0))</f>
        <v>Medical Representative</v>
      </c>
      <c r="F14" s="136">
        <f>IF($F$5="Q1",VLOOKUP($A14,'[1]INPUT_ASSUMPTIONS CALC'!$A$13:$CK$1019,F$7,FALSE),IF($F$5="Q2",VLOOKUP($A14,'[1]INPUT_ASSUMPTIONS CALC'!$A$13:$CK$1019,F$7,FALSE),IF($F$5="Q3",VLOOKUP($A14,'[1]INPUT_ASSUMPTIONS CALC'!$A$13:$CK$1019,F$7,FALSE),IF($F$5="Q4",VLOOKUP($A14,'[1]INPUT_ASSUMPTIONS CALC'!$A$13:$CK$1019,F$7,FALSE),IF($F$5="Year",VLOOKUP($A14,'[1]INPUT_ASSUMPTIONS CALC'!$A$13:$CK$1019,F$7,FALSE),0)))))</f>
        <v>395525</v>
      </c>
      <c r="G14" s="137">
        <f>SUMIF('[1]INPUT_ASSUMPTIONS CALC'!A:A,'[1]Summary calculation'!A14,'[1]INPUT_ASSUMPTIONS CALC'!BU:BU)</f>
        <v>1</v>
      </c>
      <c r="H14" s="138">
        <f>IF($F$5="Year",F14*G14*'[1]INPUT_ASSUMPTIONS CALC'!$S$7,F14*G14)</f>
        <v>395525</v>
      </c>
      <c r="I14" s="138">
        <f>H14*VLOOKUP($A14,'[1]INPUT_ASSUMPTIONS CALC'!$A$13:$CK$1019,H$6,FALSE)*SUMIF('[1]INPUT_ASSUMPTIONS CALC'!$CL$15:$CL$17,'[1]Summary calculation'!E14,'[1]INPUT_ASSUMPTIONS CALC'!$CM$15:$CM$17)</f>
        <v>316420</v>
      </c>
      <c r="J14" s="139">
        <f>$I14*VLOOKUP($A14,'[1]INPUT_ASSUMPTIONS CALC'!$A$13:$CK$1019,I$6,FALSE)*VLOOKUP($A14,'[1]INPUT_ASSUMPTIONS CALC'!$A$13:$CK$1019,J$7,FALSE)</f>
        <v>237315</v>
      </c>
      <c r="K14" s="139">
        <f>$I14*VLOOKUP($A14,'[1]INPUT_ASSUMPTIONS CALC'!$A$13:$CK$1019,I$6,FALSE)*VLOOKUP($A14,'[1]INPUT_ASSUMPTIONS CALC'!$A$13:$CK$1019,K$7,FALSE)</f>
        <v>197762.5</v>
      </c>
      <c r="L14" s="139">
        <f>$I14*VLOOKUP($A14,'[1]INPUT_ASSUMPTIONS CALC'!$A$13:$CK$1019,I$6,FALSE)*VLOOKUP($A14,'[1]INPUT_ASSUMPTIONS CALC'!$A$13:$CK$1019,L$7,FALSE)</f>
        <v>197762.5</v>
      </c>
      <c r="M14" s="139">
        <f>$I14*VLOOKUP($A14,'[1]INPUT_ASSUMPTIONS CALC'!$A$13:$CK$1019,I$6,FALSE)*VLOOKUP($A14,'[1]INPUT_ASSUMPTIONS CALC'!$A$13:$CK$1019,M$7,FALSE)</f>
        <v>158209.99999999997</v>
      </c>
      <c r="N14" s="140">
        <f t="shared" si="3"/>
        <v>791050</v>
      </c>
      <c r="O14" s="141">
        <f>H14*VLOOKUP($A14,'[1]INPUT_ASSUMPTIONS CALC'!$A$13:$CK$1019,H$6,FALSE)*SUMIF('[1]INPUT_ASSUMPTIONS CALC'!$CQ$15:$CQ$17,'[1]Summary calculation'!E14,'[1]INPUT_ASSUMPTIONS CALC'!$CR$15:$CR$17)</f>
        <v>79105</v>
      </c>
      <c r="P14" s="141">
        <f>H14*VLOOKUP($A14,'[1]INPUT_ASSUMPTIONS CALC'!$A$13:$CK$1019,H$6,FALSE)*SUMIF('[1]INPUT_ASSUMPTIONS CALC'!$CV$15:$CV$31,'[1]Summary calculation'!E14,'[1]INPUT_ASSUMPTIONS CALC'!$CW$15:$CW$31)</f>
        <v>0</v>
      </c>
      <c r="Q14" s="141">
        <f>O14*VLOOKUP($A14,'[1]INPUT_ASSUMPTIONS CALC'!$A$13:$CK$1019,Q$7,FALSE)</f>
        <v>79105</v>
      </c>
      <c r="R14" s="141">
        <f>P14*VLOOKUP($A14,'[1]INPUT_ASSUMPTIONS CALC'!$A$13:$CK$1019,R$7,FALSE)</f>
        <v>0</v>
      </c>
      <c r="S14" s="140">
        <f t="shared" si="1"/>
        <v>79105</v>
      </c>
      <c r="T14" s="142">
        <f t="shared" si="2"/>
        <v>870155</v>
      </c>
      <c r="U14" s="61"/>
    </row>
    <row r="15" spans="1:21" x14ac:dyDescent="0.35">
      <c r="A15" s="125" t="str">
        <f t="shared" si="0"/>
        <v>7Q2</v>
      </c>
      <c r="B15" s="135">
        <v>7</v>
      </c>
      <c r="C15" s="61" t="str">
        <f>INDEX('[1]INPUT_ASSUMPTIONS CALC'!D:D,MATCH(A15,'[1]INPUT_ASSUMPTIONS CALC'!A:A,0))</f>
        <v>Alzhanova Zhuldyz</v>
      </c>
      <c r="D15" s="61" t="str">
        <f>INDEX('[1]INPUT_ASSUMPTIONS CALC'!I:I,MATCH(A15,'[1]INPUT_ASSUMPTIONS CALC'!A:A,0))</f>
        <v>Pharma line</v>
      </c>
      <c r="E15" s="61" t="str">
        <f>INDEX('[1]INPUT_ASSUMPTIONS CALC'!E:E,MATCH(A15,'[1]INPUT_ASSUMPTIONS CALC'!A:A,0))</f>
        <v>Pharm Representative</v>
      </c>
      <c r="F15" s="136">
        <f>IF($F$5="Q1",VLOOKUP($A15,'[1]INPUT_ASSUMPTIONS CALC'!$A$13:$CK$1019,F$7,FALSE),IF($F$5="Q2",VLOOKUP($A15,'[1]INPUT_ASSUMPTIONS CALC'!$A$13:$CK$1019,F$7,FALSE),IF($F$5="Q3",VLOOKUP($A15,'[1]INPUT_ASSUMPTIONS CALC'!$A$13:$CK$1019,F$7,FALSE),IF($F$5="Q4",VLOOKUP($A15,'[1]INPUT_ASSUMPTIONS CALC'!$A$13:$CK$1019,F$7,FALSE),IF($F$5="Year",VLOOKUP($A15,'[1]INPUT_ASSUMPTIONS CALC'!$A$13:$CK$1019,F$7,FALSE),0)))))</f>
        <v>395525</v>
      </c>
      <c r="G15" s="137">
        <f>SUMIF('[1]INPUT_ASSUMPTIONS CALC'!A:A,'[1]Summary calculation'!A15,'[1]INPUT_ASSUMPTIONS CALC'!BU:BU)</f>
        <v>1</v>
      </c>
      <c r="H15" s="138">
        <f>IF($F$5="Year",F15*G15*'[1]INPUT_ASSUMPTIONS CALC'!$S$7,F15*G15)</f>
        <v>395525</v>
      </c>
      <c r="I15" s="138">
        <f>H15*VLOOKUP($A15,'[1]INPUT_ASSUMPTIONS CALC'!$A$13:$CK$1019,H$6,FALSE)*SUMIF('[1]INPUT_ASSUMPTIONS CALC'!$CL$15:$CL$17,'[1]Summary calculation'!E15,'[1]INPUT_ASSUMPTIONS CALC'!$CM$15:$CM$17)</f>
        <v>316420</v>
      </c>
      <c r="J15" s="139">
        <f>$I15*VLOOKUP($A15,'[1]INPUT_ASSUMPTIONS CALC'!$A$13:$CK$1019,I$6,FALSE)*VLOOKUP($A15,'[1]INPUT_ASSUMPTIONS CALC'!$A$13:$CK$1019,J$7,FALSE)</f>
        <v>227822.4</v>
      </c>
      <c r="K15" s="139">
        <f>$I15*VLOOKUP($A15,'[1]INPUT_ASSUMPTIONS CALC'!$A$13:$CK$1019,I$6,FALSE)*VLOOKUP($A15,'[1]INPUT_ASSUMPTIONS CALC'!$A$13:$CK$1019,K$7,FALSE)</f>
        <v>151881.60000000001</v>
      </c>
      <c r="L15" s="139">
        <f>$I15*VLOOKUP($A15,'[1]INPUT_ASSUMPTIONS CALC'!$A$13:$CK$1019,I$6,FALSE)*VLOOKUP($A15,'[1]INPUT_ASSUMPTIONS CALC'!$A$13:$CK$1019,L$7,FALSE)</f>
        <v>75940.800000000003</v>
      </c>
      <c r="M15" s="139">
        <f>$I15*VLOOKUP($A15,'[1]INPUT_ASSUMPTIONS CALC'!$A$13:$CK$1019,I$6,FALSE)*VLOOKUP($A15,'[1]INPUT_ASSUMPTIONS CALC'!$A$13:$CK$1019,M$7,FALSE)</f>
        <v>50627.200000000033</v>
      </c>
      <c r="N15" s="140">
        <f t="shared" si="3"/>
        <v>506272</v>
      </c>
      <c r="O15" s="141">
        <f>H15*VLOOKUP($A15,'[1]INPUT_ASSUMPTIONS CALC'!$A$13:$CK$1019,H$6,FALSE)*SUMIF('[1]INPUT_ASSUMPTIONS CALC'!$CQ$15:$CQ$17,'[1]Summary calculation'!E15,'[1]INPUT_ASSUMPTIONS CALC'!$CR$15:$CR$17)</f>
        <v>79105</v>
      </c>
      <c r="P15" s="141">
        <f>H15*VLOOKUP($A15,'[1]INPUT_ASSUMPTIONS CALC'!$A$13:$CK$1019,H$6,FALSE)*SUMIF('[1]INPUT_ASSUMPTIONS CALC'!$CV$15:$CV$31,'[1]Summary calculation'!E15,'[1]INPUT_ASSUMPTIONS CALC'!$CW$15:$CW$31)</f>
        <v>0</v>
      </c>
      <c r="Q15" s="141">
        <f>O15*VLOOKUP($A15,'[1]INPUT_ASSUMPTIONS CALC'!$A$13:$CK$1019,Q$7,FALSE)</f>
        <v>79105</v>
      </c>
      <c r="R15" s="141">
        <f>P15*VLOOKUP($A15,'[1]INPUT_ASSUMPTIONS CALC'!$A$13:$CK$1019,R$7,FALSE)</f>
        <v>0</v>
      </c>
      <c r="S15" s="140">
        <f t="shared" si="1"/>
        <v>79105</v>
      </c>
      <c r="T15" s="142">
        <f t="shared" si="2"/>
        <v>585377</v>
      </c>
      <c r="U15" s="61"/>
    </row>
    <row r="16" spans="1:21" x14ac:dyDescent="0.35">
      <c r="A16" s="125" t="str">
        <f t="shared" si="0"/>
        <v>8Q2</v>
      </c>
      <c r="B16" s="135">
        <v>8</v>
      </c>
      <c r="C16" s="61" t="str">
        <f>INDEX('[1]INPUT_ASSUMPTIONS CALC'!D:D,MATCH(A16,'[1]INPUT_ASSUMPTIONS CALC'!A:A,0))</f>
        <v>Arestova Yelena</v>
      </c>
      <c r="D16" s="61" t="str">
        <f>INDEX('[1]INPUT_ASSUMPTIONS CALC'!I:I,MATCH(A16,'[1]INPUT_ASSUMPTIONS CALC'!A:A,0))</f>
        <v>Line 2 (big cities)</v>
      </c>
      <c r="E16" s="61" t="str">
        <f>INDEX('[1]INPUT_ASSUMPTIONS CALC'!E:E,MATCH(A16,'[1]INPUT_ASSUMPTIONS CALC'!A:A,0))</f>
        <v>Medical Representative</v>
      </c>
      <c r="F16" s="136">
        <f>IF($F$5="Q1",VLOOKUP($A16,'[1]INPUT_ASSUMPTIONS CALC'!$A$13:$CK$1019,F$7,FALSE),IF($F$5="Q2",VLOOKUP($A16,'[1]INPUT_ASSUMPTIONS CALC'!$A$13:$CK$1019,F$7,FALSE),IF($F$5="Q3",VLOOKUP($A16,'[1]INPUT_ASSUMPTIONS CALC'!$A$13:$CK$1019,F$7,FALSE),IF($F$5="Q4",VLOOKUP($A16,'[1]INPUT_ASSUMPTIONS CALC'!$A$13:$CK$1019,F$7,FALSE),IF($F$5="Year",VLOOKUP($A16,'[1]INPUT_ASSUMPTIONS CALC'!$A$13:$CK$1019,F$7,FALSE),0)))))</f>
        <v>395525</v>
      </c>
      <c r="G16" s="137">
        <f>SUMIF('[1]INPUT_ASSUMPTIONS CALC'!A:A,'[1]Summary calculation'!A16,'[1]INPUT_ASSUMPTIONS CALC'!BU:BU)</f>
        <v>1</v>
      </c>
      <c r="H16" s="138">
        <f>IF($F$5="Year",F16*G16*'[1]INPUT_ASSUMPTIONS CALC'!$S$7,F16*G16)</f>
        <v>395525</v>
      </c>
      <c r="I16" s="138">
        <f>H16*VLOOKUP($A16,'[1]INPUT_ASSUMPTIONS CALC'!$A$13:$CK$1019,H$6,FALSE)*SUMIF('[1]INPUT_ASSUMPTIONS CALC'!$CL$15:$CL$17,'[1]Summary calculation'!E16,'[1]INPUT_ASSUMPTIONS CALC'!$CM$15:$CM$17)</f>
        <v>316420</v>
      </c>
      <c r="J16" s="139">
        <f>$I16*VLOOKUP($A16,'[1]INPUT_ASSUMPTIONS CALC'!$A$13:$CK$1019,I$6,FALSE)*VLOOKUP($A16,'[1]INPUT_ASSUMPTIONS CALC'!$A$13:$CK$1019,J$7,FALSE)</f>
        <v>31642</v>
      </c>
      <c r="K16" s="139">
        <f>$I16*VLOOKUP($A16,'[1]INPUT_ASSUMPTIONS CALC'!$A$13:$CK$1019,I$6,FALSE)*VLOOKUP($A16,'[1]INPUT_ASSUMPTIONS CALC'!$A$13:$CK$1019,K$7,FALSE)</f>
        <v>94926</v>
      </c>
      <c r="L16" s="139">
        <f>$I16*VLOOKUP($A16,'[1]INPUT_ASSUMPTIONS CALC'!$A$13:$CK$1019,I$6,FALSE)*VLOOKUP($A16,'[1]INPUT_ASSUMPTIONS CALC'!$A$13:$CK$1019,L$7,FALSE)</f>
        <v>94926</v>
      </c>
      <c r="M16" s="139">
        <f>$I16*VLOOKUP($A16,'[1]INPUT_ASSUMPTIONS CALC'!$A$13:$CK$1019,I$6,FALSE)*VLOOKUP($A16,'[1]INPUT_ASSUMPTIONS CALC'!$A$13:$CK$1019,M$7,FALSE)</f>
        <v>94926.000000000029</v>
      </c>
      <c r="N16" s="140">
        <f t="shared" si="3"/>
        <v>316420</v>
      </c>
      <c r="O16" s="141">
        <f>H16*VLOOKUP($A16,'[1]INPUT_ASSUMPTIONS CALC'!$A$13:$CK$1019,H$6,FALSE)*SUMIF('[1]INPUT_ASSUMPTIONS CALC'!$CQ$15:$CQ$17,'[1]Summary calculation'!E16,'[1]INPUT_ASSUMPTIONS CALC'!$CR$15:$CR$17)</f>
        <v>79105</v>
      </c>
      <c r="P16" s="141">
        <f>H16*VLOOKUP($A16,'[1]INPUT_ASSUMPTIONS CALC'!$A$13:$CK$1019,H$6,FALSE)*SUMIF('[1]INPUT_ASSUMPTIONS CALC'!$CV$15:$CV$31,'[1]Summary calculation'!E16,'[1]INPUT_ASSUMPTIONS CALC'!$CW$15:$CW$31)</f>
        <v>0</v>
      </c>
      <c r="Q16" s="141">
        <f>O16*VLOOKUP($A16,'[1]INPUT_ASSUMPTIONS CALC'!$A$13:$CK$1019,Q$7,FALSE)</f>
        <v>79105</v>
      </c>
      <c r="R16" s="141">
        <f>P16*VLOOKUP($A16,'[1]INPUT_ASSUMPTIONS CALC'!$A$13:$CK$1019,R$7,FALSE)</f>
        <v>0</v>
      </c>
      <c r="S16" s="140">
        <f t="shared" si="1"/>
        <v>79105</v>
      </c>
      <c r="T16" s="142">
        <f t="shared" si="2"/>
        <v>395525</v>
      </c>
      <c r="U16" s="61"/>
    </row>
    <row r="17" spans="1:21" x14ac:dyDescent="0.35">
      <c r="A17" s="125" t="str">
        <f t="shared" si="0"/>
        <v>9Q2</v>
      </c>
      <c r="B17" s="135">
        <v>9</v>
      </c>
      <c r="C17" s="61" t="str">
        <f>INDEX('[1]INPUT_ASSUMPTIONS CALC'!D:D,MATCH(A17,'[1]INPUT_ASSUMPTIONS CALC'!A:A,0))</f>
        <v>Auyelbekova Syndykul</v>
      </c>
      <c r="D17" s="61" t="str">
        <f>INDEX('[1]INPUT_ASSUMPTIONS CALC'!I:I,MATCH(A17,'[1]INPUT_ASSUMPTIONS CALC'!A:A,0))</f>
        <v>Line 2</v>
      </c>
      <c r="E17" s="61" t="str">
        <f>INDEX('[1]INPUT_ASSUMPTIONS CALC'!E:E,MATCH(A17,'[1]INPUT_ASSUMPTIONS CALC'!A:A,0))</f>
        <v>Medical Representative</v>
      </c>
      <c r="F17" s="136">
        <f>IF($F$5="Q1",VLOOKUP($A17,'[1]INPUT_ASSUMPTIONS CALC'!$A$13:$CK$1019,F$7,FALSE),IF($F$5="Q2",VLOOKUP($A17,'[1]INPUT_ASSUMPTIONS CALC'!$A$13:$CK$1019,F$7,FALSE),IF($F$5="Q3",VLOOKUP($A17,'[1]INPUT_ASSUMPTIONS CALC'!$A$13:$CK$1019,F$7,FALSE),IF($F$5="Q4",VLOOKUP($A17,'[1]INPUT_ASSUMPTIONS CALC'!$A$13:$CK$1019,F$7,FALSE),IF($F$5="Year",VLOOKUP($A17,'[1]INPUT_ASSUMPTIONS CALC'!$A$13:$CK$1019,F$7,FALSE),0)))))</f>
        <v>395525</v>
      </c>
      <c r="G17" s="137">
        <f>SUMIF('[1]INPUT_ASSUMPTIONS CALC'!A:A,'[1]Summary calculation'!A17,'[1]INPUT_ASSUMPTIONS CALC'!BU:BU)</f>
        <v>1</v>
      </c>
      <c r="H17" s="138">
        <f>IF($F$5="Year",F17*G17*'[1]INPUT_ASSUMPTIONS CALC'!$S$7,F17*G17)</f>
        <v>395525</v>
      </c>
      <c r="I17" s="138">
        <f>H17*VLOOKUP($A17,'[1]INPUT_ASSUMPTIONS CALC'!$A$13:$CK$1019,H$6,FALSE)*SUMIF('[1]INPUT_ASSUMPTIONS CALC'!$CL$15:$CL$17,'[1]Summary calculation'!E17,'[1]INPUT_ASSUMPTIONS CALC'!$CM$15:$CM$17)</f>
        <v>316420</v>
      </c>
      <c r="J17" s="139">
        <f>$I17*VLOOKUP($A17,'[1]INPUT_ASSUMPTIONS CALC'!$A$13:$CK$1019,I$6,FALSE)*VLOOKUP($A17,'[1]INPUT_ASSUMPTIONS CALC'!$A$13:$CK$1019,J$7,FALSE)</f>
        <v>237315</v>
      </c>
      <c r="K17" s="139">
        <f>$I17*VLOOKUP($A17,'[1]INPUT_ASSUMPTIONS CALC'!$A$13:$CK$1019,I$6,FALSE)*VLOOKUP($A17,'[1]INPUT_ASSUMPTIONS CALC'!$A$13:$CK$1019,K$7,FALSE)</f>
        <v>197762.5</v>
      </c>
      <c r="L17" s="139">
        <f>$I17*VLOOKUP($A17,'[1]INPUT_ASSUMPTIONS CALC'!$A$13:$CK$1019,I$6,FALSE)*VLOOKUP($A17,'[1]INPUT_ASSUMPTIONS CALC'!$A$13:$CK$1019,L$7,FALSE)</f>
        <v>197762.5</v>
      </c>
      <c r="M17" s="139">
        <f>$I17*VLOOKUP($A17,'[1]INPUT_ASSUMPTIONS CALC'!$A$13:$CK$1019,I$6,FALSE)*VLOOKUP($A17,'[1]INPUT_ASSUMPTIONS CALC'!$A$13:$CK$1019,M$7,FALSE)</f>
        <v>158209.99999999997</v>
      </c>
      <c r="N17" s="140">
        <f t="shared" si="3"/>
        <v>791050</v>
      </c>
      <c r="O17" s="141">
        <f>H17*VLOOKUP($A17,'[1]INPUT_ASSUMPTIONS CALC'!$A$13:$CK$1019,H$6,FALSE)*SUMIF('[1]INPUT_ASSUMPTIONS CALC'!$CQ$15:$CQ$17,'[1]Summary calculation'!E17,'[1]INPUT_ASSUMPTIONS CALC'!$CR$15:$CR$17)</f>
        <v>79105</v>
      </c>
      <c r="P17" s="141">
        <f>H17*VLOOKUP($A17,'[1]INPUT_ASSUMPTIONS CALC'!$A$13:$CK$1019,H$6,FALSE)*SUMIF('[1]INPUT_ASSUMPTIONS CALC'!$CV$15:$CV$31,'[1]Summary calculation'!E17,'[1]INPUT_ASSUMPTIONS CALC'!$CW$15:$CW$31)</f>
        <v>0</v>
      </c>
      <c r="Q17" s="141">
        <f>O17*VLOOKUP($A17,'[1]INPUT_ASSUMPTIONS CALC'!$A$13:$CK$1019,Q$7,FALSE)</f>
        <v>39552.5</v>
      </c>
      <c r="R17" s="141">
        <f>P17*VLOOKUP($A17,'[1]INPUT_ASSUMPTIONS CALC'!$A$13:$CK$1019,R$7,FALSE)</f>
        <v>0</v>
      </c>
      <c r="S17" s="140">
        <f t="shared" si="1"/>
        <v>39552.5</v>
      </c>
      <c r="T17" s="142">
        <f t="shared" si="2"/>
        <v>830603</v>
      </c>
      <c r="U17" s="61"/>
    </row>
    <row r="18" spans="1:21" x14ac:dyDescent="0.35">
      <c r="A18" s="125" t="str">
        <f t="shared" si="0"/>
        <v>10Q2</v>
      </c>
      <c r="B18" s="135">
        <v>10</v>
      </c>
      <c r="C18" s="61" t="str">
        <f>INDEX('[1]INPUT_ASSUMPTIONS CALC'!D:D,MATCH(A18,'[1]INPUT_ASSUMPTIONS CALC'!A:A,0))</f>
        <v>Aybolova Zhazira</v>
      </c>
      <c r="D18" s="61" t="str">
        <f>INDEX('[1]INPUT_ASSUMPTIONS CALC'!I:I,MATCH(A18,'[1]INPUT_ASSUMPTIONS CALC'!A:A,0))</f>
        <v>Line 2 (big cities)</v>
      </c>
      <c r="E18" s="61" t="str">
        <f>INDEX('[1]INPUT_ASSUMPTIONS CALC'!E:E,MATCH(A18,'[1]INPUT_ASSUMPTIONS CALC'!A:A,0))</f>
        <v>Medical Representative</v>
      </c>
      <c r="F18" s="136">
        <f>IF($F$5="Q1",VLOOKUP($A18,'[1]INPUT_ASSUMPTIONS CALC'!$A$13:$CK$1019,F$7,FALSE),IF($F$5="Q2",VLOOKUP($A18,'[1]INPUT_ASSUMPTIONS CALC'!$A$13:$CK$1019,F$7,FALSE),IF($F$5="Q3",VLOOKUP($A18,'[1]INPUT_ASSUMPTIONS CALC'!$A$13:$CK$1019,F$7,FALSE),IF($F$5="Q4",VLOOKUP($A18,'[1]INPUT_ASSUMPTIONS CALC'!$A$13:$CK$1019,F$7,FALSE),IF($F$5="Year",VLOOKUP($A18,'[1]INPUT_ASSUMPTIONS CALC'!$A$13:$CK$1019,F$7,FALSE),0)))))</f>
        <v>395525</v>
      </c>
      <c r="G18" s="137">
        <f>SUMIF('[1]INPUT_ASSUMPTIONS CALC'!A:A,'[1]Summary calculation'!A18,'[1]INPUT_ASSUMPTIONS CALC'!BU:BU)</f>
        <v>1</v>
      </c>
      <c r="H18" s="138">
        <f>IF($F$5="Year",F18*G18*'[1]INPUT_ASSUMPTIONS CALC'!$S$7,F18*G18)</f>
        <v>395525</v>
      </c>
      <c r="I18" s="138">
        <f>H18*VLOOKUP($A18,'[1]INPUT_ASSUMPTIONS CALC'!$A$13:$CK$1019,H$6,FALSE)*SUMIF('[1]INPUT_ASSUMPTIONS CALC'!$CL$15:$CL$17,'[1]Summary calculation'!E18,'[1]INPUT_ASSUMPTIONS CALC'!$CM$15:$CM$17)</f>
        <v>316420</v>
      </c>
      <c r="J18" s="139">
        <f>$I18*VLOOKUP($A18,'[1]INPUT_ASSUMPTIONS CALC'!$A$13:$CK$1019,I$6,FALSE)*VLOOKUP($A18,'[1]INPUT_ASSUMPTIONS CALC'!$A$13:$CK$1019,J$7,FALSE)</f>
        <v>37970.400000000001</v>
      </c>
      <c r="K18" s="139">
        <f>$I18*VLOOKUP($A18,'[1]INPUT_ASSUMPTIONS CALC'!$A$13:$CK$1019,I$6,FALSE)*VLOOKUP($A18,'[1]INPUT_ASSUMPTIONS CALC'!$A$13:$CK$1019,K$7,FALSE)</f>
        <v>113911.2</v>
      </c>
      <c r="L18" s="139">
        <f>$I18*VLOOKUP($A18,'[1]INPUT_ASSUMPTIONS CALC'!$A$13:$CK$1019,I$6,FALSE)*VLOOKUP($A18,'[1]INPUT_ASSUMPTIONS CALC'!$A$13:$CK$1019,L$7,FALSE)</f>
        <v>113911.2</v>
      </c>
      <c r="M18" s="139">
        <f>$I18*VLOOKUP($A18,'[1]INPUT_ASSUMPTIONS CALC'!$A$13:$CK$1019,I$6,FALSE)*VLOOKUP($A18,'[1]INPUT_ASSUMPTIONS CALC'!$A$13:$CK$1019,M$7,FALSE)</f>
        <v>113911.20000000004</v>
      </c>
      <c r="N18" s="140">
        <f t="shared" si="3"/>
        <v>379704</v>
      </c>
      <c r="O18" s="141">
        <f>H18*VLOOKUP($A18,'[1]INPUT_ASSUMPTIONS CALC'!$A$13:$CK$1019,H$6,FALSE)*SUMIF('[1]INPUT_ASSUMPTIONS CALC'!$CQ$15:$CQ$17,'[1]Summary calculation'!E18,'[1]INPUT_ASSUMPTIONS CALC'!$CR$15:$CR$17)</f>
        <v>79105</v>
      </c>
      <c r="P18" s="141">
        <f>H18*VLOOKUP($A18,'[1]INPUT_ASSUMPTIONS CALC'!$A$13:$CK$1019,H$6,FALSE)*SUMIF('[1]INPUT_ASSUMPTIONS CALC'!$CV$15:$CV$31,'[1]Summary calculation'!E18,'[1]INPUT_ASSUMPTIONS CALC'!$CW$15:$CW$31)</f>
        <v>0</v>
      </c>
      <c r="Q18" s="141">
        <f>O18*VLOOKUP($A18,'[1]INPUT_ASSUMPTIONS CALC'!$A$13:$CK$1019,Q$7,FALSE)</f>
        <v>79105</v>
      </c>
      <c r="R18" s="141">
        <f>P18*VLOOKUP($A18,'[1]INPUT_ASSUMPTIONS CALC'!$A$13:$CK$1019,R$7,FALSE)</f>
        <v>0</v>
      </c>
      <c r="S18" s="140">
        <f t="shared" si="1"/>
        <v>79105</v>
      </c>
      <c r="T18" s="142">
        <f t="shared" si="2"/>
        <v>458809</v>
      </c>
      <c r="U18" s="61"/>
    </row>
    <row r="19" spans="1:21" x14ac:dyDescent="0.35">
      <c r="A19" s="125" t="str">
        <f t="shared" si="0"/>
        <v>11Q2</v>
      </c>
      <c r="B19" s="135">
        <v>11</v>
      </c>
      <c r="C19" s="61" t="str">
        <f>INDEX('[1]INPUT_ASSUMPTIONS CALC'!D:D,MATCH(A19,'[1]INPUT_ASSUMPTIONS CALC'!A:A,0))</f>
        <v>Baimysheva Mariya</v>
      </c>
      <c r="D19" s="61" t="str">
        <f>INDEX('[1]INPUT_ASSUMPTIONS CALC'!I:I,MATCH(A19,'[1]INPUT_ASSUMPTIONS CALC'!A:A,0))</f>
        <v>Line 2</v>
      </c>
      <c r="E19" s="61" t="str">
        <f>INDEX('[1]INPUT_ASSUMPTIONS CALC'!E:E,MATCH(A19,'[1]INPUT_ASSUMPTIONS CALC'!A:A,0))</f>
        <v>Medical Representative</v>
      </c>
      <c r="F19" s="136">
        <f>IF($F$5="Q1",VLOOKUP($A19,'[1]INPUT_ASSUMPTIONS CALC'!$A$13:$CK$1019,F$7,FALSE),IF($F$5="Q2",VLOOKUP($A19,'[1]INPUT_ASSUMPTIONS CALC'!$A$13:$CK$1019,F$7,FALSE),IF($F$5="Q3",VLOOKUP($A19,'[1]INPUT_ASSUMPTIONS CALC'!$A$13:$CK$1019,F$7,FALSE),IF($F$5="Q4",VLOOKUP($A19,'[1]INPUT_ASSUMPTIONS CALC'!$A$13:$CK$1019,F$7,FALSE),IF($F$5="Year",VLOOKUP($A19,'[1]INPUT_ASSUMPTIONS CALC'!$A$13:$CK$1019,F$7,FALSE),0)))))</f>
        <v>395525</v>
      </c>
      <c r="G19" s="137">
        <f>SUMIF('[1]INPUT_ASSUMPTIONS CALC'!A:A,'[1]Summary calculation'!A19,'[1]INPUT_ASSUMPTIONS CALC'!BU:BU)</f>
        <v>1</v>
      </c>
      <c r="H19" s="138">
        <f>IF($F$5="Year",F19*G19*'[1]INPUT_ASSUMPTIONS CALC'!$S$7,F19*G19)</f>
        <v>395525</v>
      </c>
      <c r="I19" s="138">
        <f>H19*VLOOKUP($A19,'[1]INPUT_ASSUMPTIONS CALC'!$A$13:$CK$1019,H$6,FALSE)*SUMIF('[1]INPUT_ASSUMPTIONS CALC'!$CL$15:$CL$17,'[1]Summary calculation'!E19,'[1]INPUT_ASSUMPTIONS CALC'!$CM$15:$CM$17)</f>
        <v>316420</v>
      </c>
      <c r="J19" s="139">
        <f>$I19*VLOOKUP($A19,'[1]INPUT_ASSUMPTIONS CALC'!$A$13:$CK$1019,I$6,FALSE)*VLOOKUP($A19,'[1]INPUT_ASSUMPTIONS CALC'!$A$13:$CK$1019,J$7,FALSE)</f>
        <v>237315</v>
      </c>
      <c r="K19" s="139">
        <f>$I19*VLOOKUP($A19,'[1]INPUT_ASSUMPTIONS CALC'!$A$13:$CK$1019,I$6,FALSE)*VLOOKUP($A19,'[1]INPUT_ASSUMPTIONS CALC'!$A$13:$CK$1019,K$7,FALSE)</f>
        <v>197762.5</v>
      </c>
      <c r="L19" s="139">
        <f>$I19*VLOOKUP($A19,'[1]INPUT_ASSUMPTIONS CALC'!$A$13:$CK$1019,I$6,FALSE)*VLOOKUP($A19,'[1]INPUT_ASSUMPTIONS CALC'!$A$13:$CK$1019,L$7,FALSE)</f>
        <v>197762.5</v>
      </c>
      <c r="M19" s="139">
        <f>$I19*VLOOKUP($A19,'[1]INPUT_ASSUMPTIONS CALC'!$A$13:$CK$1019,I$6,FALSE)*VLOOKUP($A19,'[1]INPUT_ASSUMPTIONS CALC'!$A$13:$CK$1019,M$7,FALSE)</f>
        <v>158209.99999999997</v>
      </c>
      <c r="N19" s="140">
        <f t="shared" si="3"/>
        <v>791050</v>
      </c>
      <c r="O19" s="141">
        <f>H19*VLOOKUP($A19,'[1]INPUT_ASSUMPTIONS CALC'!$A$13:$CK$1019,H$6,FALSE)*SUMIF('[1]INPUT_ASSUMPTIONS CALC'!$CQ$15:$CQ$17,'[1]Summary calculation'!E19,'[1]INPUT_ASSUMPTIONS CALC'!$CR$15:$CR$17)</f>
        <v>79105</v>
      </c>
      <c r="P19" s="141">
        <f>H19*VLOOKUP($A19,'[1]INPUT_ASSUMPTIONS CALC'!$A$13:$CK$1019,H$6,FALSE)*SUMIF('[1]INPUT_ASSUMPTIONS CALC'!$CV$15:$CV$31,'[1]Summary calculation'!E19,'[1]INPUT_ASSUMPTIONS CALC'!$CW$15:$CW$31)</f>
        <v>0</v>
      </c>
      <c r="Q19" s="141">
        <f>O19*VLOOKUP($A19,'[1]INPUT_ASSUMPTIONS CALC'!$A$13:$CK$1019,Q$7,FALSE)</f>
        <v>79105</v>
      </c>
      <c r="R19" s="141">
        <f>P19*VLOOKUP($A19,'[1]INPUT_ASSUMPTIONS CALC'!$A$13:$CK$1019,R$7,FALSE)</f>
        <v>0</v>
      </c>
      <c r="S19" s="140">
        <f t="shared" si="1"/>
        <v>79105</v>
      </c>
      <c r="T19" s="142">
        <f t="shared" si="2"/>
        <v>870155</v>
      </c>
      <c r="U19" s="61"/>
    </row>
    <row r="20" spans="1:21" x14ac:dyDescent="0.35">
      <c r="A20" s="125" t="str">
        <f t="shared" si="0"/>
        <v>12Q2</v>
      </c>
      <c r="B20" s="135">
        <v>12</v>
      </c>
      <c r="C20" s="61" t="str">
        <f>INDEX('[1]INPUT_ASSUMPTIONS CALC'!D:D,MATCH(A20,'[1]INPUT_ASSUMPTIONS CALC'!A:A,0))</f>
        <v>Bakisheva Aliya</v>
      </c>
      <c r="D20" s="61" t="str">
        <f>INDEX('[1]INPUT_ASSUMPTIONS CALC'!I:I,MATCH(A20,'[1]INPUT_ASSUMPTIONS CALC'!A:A,0))</f>
        <v>Line 3 (big cities)</v>
      </c>
      <c r="E20" s="61" t="str">
        <f>INDEX('[1]INPUT_ASSUMPTIONS CALC'!E:E,MATCH(A20,'[1]INPUT_ASSUMPTIONS CALC'!A:A,0))</f>
        <v>Medical Representative</v>
      </c>
      <c r="F20" s="136">
        <f>IF($F$5="Q1",VLOOKUP($A20,'[1]INPUT_ASSUMPTIONS CALC'!$A$13:$CK$1019,F$7,FALSE),IF($F$5="Q2",VLOOKUP($A20,'[1]INPUT_ASSUMPTIONS CALC'!$A$13:$CK$1019,F$7,FALSE),IF($F$5="Q3",VLOOKUP($A20,'[1]INPUT_ASSUMPTIONS CALC'!$A$13:$CK$1019,F$7,FALSE),IF($F$5="Q4",VLOOKUP($A20,'[1]INPUT_ASSUMPTIONS CALC'!$A$13:$CK$1019,F$7,FALSE),IF($F$5="Year",VLOOKUP($A20,'[1]INPUT_ASSUMPTIONS CALC'!$A$13:$CK$1019,F$7,FALSE),0)))))</f>
        <v>395525</v>
      </c>
      <c r="G20" s="137">
        <f>SUMIF('[1]INPUT_ASSUMPTIONS CALC'!A:A,'[1]Summary calculation'!A20,'[1]INPUT_ASSUMPTIONS CALC'!BU:BU)</f>
        <v>1</v>
      </c>
      <c r="H20" s="138">
        <f>IF($F$5="Year",F20*G20*'[1]INPUT_ASSUMPTIONS CALC'!$S$7,F20*G20)</f>
        <v>395525</v>
      </c>
      <c r="I20" s="138">
        <f>H20*VLOOKUP($A20,'[1]INPUT_ASSUMPTIONS CALC'!$A$13:$CK$1019,H$6,FALSE)*SUMIF('[1]INPUT_ASSUMPTIONS CALC'!$CL$15:$CL$17,'[1]Summary calculation'!E20,'[1]INPUT_ASSUMPTIONS CALC'!$CM$15:$CM$17)</f>
        <v>316420</v>
      </c>
      <c r="J20" s="139">
        <f>$I20*VLOOKUP($A20,'[1]INPUT_ASSUMPTIONS CALC'!$A$13:$CK$1019,I$6,FALSE)*VLOOKUP($A20,'[1]INPUT_ASSUMPTIONS CALC'!$A$13:$CK$1019,J$7,FALSE)</f>
        <v>291897.45</v>
      </c>
      <c r="K20" s="139">
        <f>$I20*VLOOKUP($A20,'[1]INPUT_ASSUMPTIONS CALC'!$A$13:$CK$1019,I$6,FALSE)*VLOOKUP($A20,'[1]INPUT_ASSUMPTIONS CALC'!$A$13:$CK$1019,K$7,FALSE)</f>
        <v>162165.25</v>
      </c>
      <c r="L20" s="139">
        <f>$I20*VLOOKUP($A20,'[1]INPUT_ASSUMPTIONS CALC'!$A$13:$CK$1019,I$6,FALSE)*VLOOKUP($A20,'[1]INPUT_ASSUMPTIONS CALC'!$A$13:$CK$1019,L$7,FALSE)</f>
        <v>162165.25</v>
      </c>
      <c r="M20" s="139">
        <f>$I20*VLOOKUP($A20,'[1]INPUT_ASSUMPTIONS CALC'!$A$13:$CK$1019,I$6,FALSE)*VLOOKUP($A20,'[1]INPUT_ASSUMPTIONS CALC'!$A$13:$CK$1019,M$7,FALSE)</f>
        <v>32433.050000000028</v>
      </c>
      <c r="N20" s="140">
        <f t="shared" si="3"/>
        <v>648661</v>
      </c>
      <c r="O20" s="141">
        <f>H20*VLOOKUP($A20,'[1]INPUT_ASSUMPTIONS CALC'!$A$13:$CK$1019,H$6,FALSE)*SUMIF('[1]INPUT_ASSUMPTIONS CALC'!$CQ$15:$CQ$17,'[1]Summary calculation'!E20,'[1]INPUT_ASSUMPTIONS CALC'!$CR$15:$CR$17)</f>
        <v>79105</v>
      </c>
      <c r="P20" s="141">
        <f>H20*VLOOKUP($A20,'[1]INPUT_ASSUMPTIONS CALC'!$A$13:$CK$1019,H$6,FALSE)*SUMIF('[1]INPUT_ASSUMPTIONS CALC'!$CV$15:$CV$31,'[1]Summary calculation'!E20,'[1]INPUT_ASSUMPTIONS CALC'!$CW$15:$CW$31)</f>
        <v>0</v>
      </c>
      <c r="Q20" s="141">
        <f>O20*VLOOKUP($A20,'[1]INPUT_ASSUMPTIONS CALC'!$A$13:$CK$1019,Q$7,FALSE)</f>
        <v>79105</v>
      </c>
      <c r="R20" s="141">
        <f>P20*VLOOKUP($A20,'[1]INPUT_ASSUMPTIONS CALC'!$A$13:$CK$1019,R$7,FALSE)</f>
        <v>0</v>
      </c>
      <c r="S20" s="140">
        <f t="shared" si="1"/>
        <v>79105</v>
      </c>
      <c r="T20" s="142">
        <f t="shared" si="2"/>
        <v>727766</v>
      </c>
      <c r="U20" s="61"/>
    </row>
    <row r="21" spans="1:21" x14ac:dyDescent="0.35">
      <c r="A21" s="125" t="str">
        <f t="shared" si="0"/>
        <v>13Q2</v>
      </c>
      <c r="B21" s="135">
        <v>13</v>
      </c>
      <c r="C21" s="61" t="str">
        <f>INDEX('[1]INPUT_ASSUMPTIONS CALC'!D:D,MATCH(A21,'[1]INPUT_ASSUMPTIONS CALC'!A:A,0))</f>
        <v>Balanesku Irina</v>
      </c>
      <c r="D21" s="61" t="str">
        <f>INDEX('[1]INPUT_ASSUMPTIONS CALC'!I:I,MATCH(A21,'[1]INPUT_ASSUMPTIONS CALC'!A:A,0))</f>
        <v>Line 2 (big cities)</v>
      </c>
      <c r="E21" s="61" t="str">
        <f>INDEX('[1]INPUT_ASSUMPTIONS CALC'!E:E,MATCH(A21,'[1]INPUT_ASSUMPTIONS CALC'!A:A,0))</f>
        <v>Medical Representative</v>
      </c>
      <c r="F21" s="136">
        <f>IF($F$5="Q1",VLOOKUP($A21,'[1]INPUT_ASSUMPTIONS CALC'!$A$13:$CK$1019,F$7,FALSE),IF($F$5="Q2",VLOOKUP($A21,'[1]INPUT_ASSUMPTIONS CALC'!$A$13:$CK$1019,F$7,FALSE),IF($F$5="Q3",VLOOKUP($A21,'[1]INPUT_ASSUMPTIONS CALC'!$A$13:$CK$1019,F$7,FALSE),IF($F$5="Q4",VLOOKUP($A21,'[1]INPUT_ASSUMPTIONS CALC'!$A$13:$CK$1019,F$7,FALSE),IF($F$5="Year",VLOOKUP($A21,'[1]INPUT_ASSUMPTIONS CALC'!$A$13:$CK$1019,F$7,FALSE),0)))))</f>
        <v>395525</v>
      </c>
      <c r="G21" s="137">
        <f>SUMIF('[1]INPUT_ASSUMPTIONS CALC'!A:A,'[1]Summary calculation'!A21,'[1]INPUT_ASSUMPTIONS CALC'!BU:BU)</f>
        <v>1</v>
      </c>
      <c r="H21" s="138">
        <f>IF($F$5="Year",F21*G21*'[1]INPUT_ASSUMPTIONS CALC'!$S$7,F21*G21)</f>
        <v>395525</v>
      </c>
      <c r="I21" s="138">
        <f>H21*VLOOKUP($A21,'[1]INPUT_ASSUMPTIONS CALC'!$A$13:$CK$1019,H$6,FALSE)*SUMIF('[1]INPUT_ASSUMPTIONS CALC'!$CL$15:$CL$17,'[1]Summary calculation'!E21,'[1]INPUT_ASSUMPTIONS CALC'!$CM$15:$CM$17)</f>
        <v>316420</v>
      </c>
      <c r="J21" s="139">
        <f>$I21*VLOOKUP($A21,'[1]INPUT_ASSUMPTIONS CALC'!$A$13:$CK$1019,I$6,FALSE)*VLOOKUP($A21,'[1]INPUT_ASSUMPTIONS CALC'!$A$13:$CK$1019,J$7,FALSE)</f>
        <v>30376.320000000003</v>
      </c>
      <c r="K21" s="139">
        <f>$I21*VLOOKUP($A21,'[1]INPUT_ASSUMPTIONS CALC'!$A$13:$CK$1019,I$6,FALSE)*VLOOKUP($A21,'[1]INPUT_ASSUMPTIONS CALC'!$A$13:$CK$1019,K$7,FALSE)</f>
        <v>91128.960000000006</v>
      </c>
      <c r="L21" s="139">
        <f>$I21*VLOOKUP($A21,'[1]INPUT_ASSUMPTIONS CALC'!$A$13:$CK$1019,I$6,FALSE)*VLOOKUP($A21,'[1]INPUT_ASSUMPTIONS CALC'!$A$13:$CK$1019,L$7,FALSE)</f>
        <v>91128.960000000006</v>
      </c>
      <c r="M21" s="139">
        <f>$I21*VLOOKUP($A21,'[1]INPUT_ASSUMPTIONS CALC'!$A$13:$CK$1019,I$6,FALSE)*VLOOKUP($A21,'[1]INPUT_ASSUMPTIONS CALC'!$A$13:$CK$1019,M$7,FALSE)</f>
        <v>91128.960000000036</v>
      </c>
      <c r="N21" s="140">
        <f t="shared" si="3"/>
        <v>303763.20000000007</v>
      </c>
      <c r="O21" s="141">
        <f>H21*VLOOKUP($A21,'[1]INPUT_ASSUMPTIONS CALC'!$A$13:$CK$1019,H$6,FALSE)*SUMIF('[1]INPUT_ASSUMPTIONS CALC'!$CQ$15:$CQ$17,'[1]Summary calculation'!E21,'[1]INPUT_ASSUMPTIONS CALC'!$CR$15:$CR$17)</f>
        <v>79105</v>
      </c>
      <c r="P21" s="141">
        <f>H21*VLOOKUP($A21,'[1]INPUT_ASSUMPTIONS CALC'!$A$13:$CK$1019,H$6,FALSE)*SUMIF('[1]INPUT_ASSUMPTIONS CALC'!$CV$15:$CV$31,'[1]Summary calculation'!E21,'[1]INPUT_ASSUMPTIONS CALC'!$CW$15:$CW$31)</f>
        <v>0</v>
      </c>
      <c r="Q21" s="141">
        <f>O21*VLOOKUP($A21,'[1]INPUT_ASSUMPTIONS CALC'!$A$13:$CK$1019,Q$7,FALSE)</f>
        <v>79105</v>
      </c>
      <c r="R21" s="141">
        <f>P21*VLOOKUP($A21,'[1]INPUT_ASSUMPTIONS CALC'!$A$13:$CK$1019,R$7,FALSE)</f>
        <v>0</v>
      </c>
      <c r="S21" s="140">
        <f t="shared" si="1"/>
        <v>79105</v>
      </c>
      <c r="T21" s="142">
        <f t="shared" si="2"/>
        <v>382868</v>
      </c>
      <c r="U21" s="61"/>
    </row>
    <row r="22" spans="1:21" x14ac:dyDescent="0.35">
      <c r="A22" s="125" t="str">
        <f t="shared" si="0"/>
        <v>14Q2</v>
      </c>
      <c r="B22" s="135">
        <v>14</v>
      </c>
      <c r="C22" s="61" t="str">
        <f>INDEX('[1]INPUT_ASSUMPTIONS CALC'!D:D,MATCH(A22,'[1]INPUT_ASSUMPTIONS CALC'!A:A,0))</f>
        <v>Balmagambetova Zamza</v>
      </c>
      <c r="D22" s="61" t="str">
        <f>INDEX('[1]INPUT_ASSUMPTIONS CALC'!I:I,MATCH(A22,'[1]INPUT_ASSUMPTIONS CALC'!A:A,0))</f>
        <v>Line 3 (big cities)</v>
      </c>
      <c r="E22" s="61" t="str">
        <f>INDEX('[1]INPUT_ASSUMPTIONS CALC'!E:E,MATCH(A22,'[1]INPUT_ASSUMPTIONS CALC'!A:A,0))</f>
        <v>Medical Representative</v>
      </c>
      <c r="F22" s="136">
        <f>IF($F$5="Q1",VLOOKUP($A22,'[1]INPUT_ASSUMPTIONS CALC'!$A$13:$CK$1019,F$7,FALSE),IF($F$5="Q2",VLOOKUP($A22,'[1]INPUT_ASSUMPTIONS CALC'!$A$13:$CK$1019,F$7,FALSE),IF($F$5="Q3",VLOOKUP($A22,'[1]INPUT_ASSUMPTIONS CALC'!$A$13:$CK$1019,F$7,FALSE),IF($F$5="Q4",VLOOKUP($A22,'[1]INPUT_ASSUMPTIONS CALC'!$A$13:$CK$1019,F$7,FALSE),IF($F$5="Year",VLOOKUP($A22,'[1]INPUT_ASSUMPTIONS CALC'!$A$13:$CK$1019,F$7,FALSE),0)))))</f>
        <v>395525</v>
      </c>
      <c r="G22" s="137">
        <f>SUMIF('[1]INPUT_ASSUMPTIONS CALC'!A:A,'[1]Summary calculation'!A22,'[1]INPUT_ASSUMPTIONS CALC'!BU:BU)</f>
        <v>1</v>
      </c>
      <c r="H22" s="138">
        <f>IF($F$5="Year",F22*G22*'[1]INPUT_ASSUMPTIONS CALC'!$S$7,F22*G22)</f>
        <v>395525</v>
      </c>
      <c r="I22" s="138">
        <f>H22*VLOOKUP($A22,'[1]INPUT_ASSUMPTIONS CALC'!$A$13:$CK$1019,H$6,FALSE)*SUMIF('[1]INPUT_ASSUMPTIONS CALC'!$CL$15:$CL$17,'[1]Summary calculation'!E22,'[1]INPUT_ASSUMPTIONS CALC'!$CM$15:$CM$17)</f>
        <v>316420</v>
      </c>
      <c r="J22" s="139">
        <f>$I22*VLOOKUP($A22,'[1]INPUT_ASSUMPTIONS CALC'!$A$13:$CK$1019,I$6,FALSE)*VLOOKUP($A22,'[1]INPUT_ASSUMPTIONS CALC'!$A$13:$CK$1019,J$7,FALSE)</f>
        <v>116758.98</v>
      </c>
      <c r="K22" s="139">
        <f>$I22*VLOOKUP($A22,'[1]INPUT_ASSUMPTIONS CALC'!$A$13:$CK$1019,I$6,FALSE)*VLOOKUP($A22,'[1]INPUT_ASSUMPTIONS CALC'!$A$13:$CK$1019,K$7,FALSE)</f>
        <v>64866.1</v>
      </c>
      <c r="L22" s="139">
        <f>$I22*VLOOKUP($A22,'[1]INPUT_ASSUMPTIONS CALC'!$A$13:$CK$1019,I$6,FALSE)*VLOOKUP($A22,'[1]INPUT_ASSUMPTIONS CALC'!$A$13:$CK$1019,L$7,FALSE)</f>
        <v>64866.1</v>
      </c>
      <c r="M22" s="139">
        <f>$I22*VLOOKUP($A22,'[1]INPUT_ASSUMPTIONS CALC'!$A$13:$CK$1019,I$6,FALSE)*VLOOKUP($A22,'[1]INPUT_ASSUMPTIONS CALC'!$A$13:$CK$1019,M$7,FALSE)</f>
        <v>12973.220000000012</v>
      </c>
      <c r="N22" s="140">
        <f t="shared" si="3"/>
        <v>259464.4</v>
      </c>
      <c r="O22" s="141">
        <f>H22*VLOOKUP($A22,'[1]INPUT_ASSUMPTIONS CALC'!$A$13:$CK$1019,H$6,FALSE)*SUMIF('[1]INPUT_ASSUMPTIONS CALC'!$CQ$15:$CQ$17,'[1]Summary calculation'!E22,'[1]INPUT_ASSUMPTIONS CALC'!$CR$15:$CR$17)</f>
        <v>79105</v>
      </c>
      <c r="P22" s="141">
        <f>H22*VLOOKUP($A22,'[1]INPUT_ASSUMPTIONS CALC'!$A$13:$CK$1019,H$6,FALSE)*SUMIF('[1]INPUT_ASSUMPTIONS CALC'!$CV$15:$CV$31,'[1]Summary calculation'!E22,'[1]INPUT_ASSUMPTIONS CALC'!$CW$15:$CW$31)</f>
        <v>0</v>
      </c>
      <c r="Q22" s="141">
        <f>O22*VLOOKUP($A22,'[1]INPUT_ASSUMPTIONS CALC'!$A$13:$CK$1019,Q$7,FALSE)</f>
        <v>79105</v>
      </c>
      <c r="R22" s="141">
        <f>P22*VLOOKUP($A22,'[1]INPUT_ASSUMPTIONS CALC'!$A$13:$CK$1019,R$7,FALSE)</f>
        <v>0</v>
      </c>
      <c r="S22" s="140">
        <f t="shared" si="1"/>
        <v>79105</v>
      </c>
      <c r="T22" s="142">
        <f t="shared" si="2"/>
        <v>338569</v>
      </c>
      <c r="U22" s="61"/>
    </row>
    <row r="23" spans="1:21" x14ac:dyDescent="0.35">
      <c r="A23" s="125" t="str">
        <f t="shared" si="0"/>
        <v>15Q2</v>
      </c>
      <c r="B23" s="135">
        <v>15</v>
      </c>
      <c r="C23" s="61" t="str">
        <f>INDEX('[1]INPUT_ASSUMPTIONS CALC'!D:D,MATCH(A23,'[1]INPUT_ASSUMPTIONS CALC'!A:A,0))</f>
        <v>Bayzakova Gulzhan</v>
      </c>
      <c r="D23" s="61" t="str">
        <f>INDEX('[1]INPUT_ASSUMPTIONS CALC'!I:I,MATCH(A23,'[1]INPUT_ASSUMPTIONS CALC'!A:A,0))</f>
        <v>Line 1</v>
      </c>
      <c r="E23" s="61" t="str">
        <f>INDEX('[1]INPUT_ASSUMPTIONS CALC'!E:E,MATCH(A23,'[1]INPUT_ASSUMPTIONS CALC'!A:A,0))</f>
        <v>Medical Representative</v>
      </c>
      <c r="F23" s="136">
        <f>IF($F$5="Q1",VLOOKUP($A23,'[1]INPUT_ASSUMPTIONS CALC'!$A$13:$CK$1019,F$7,FALSE),IF($F$5="Q2",VLOOKUP($A23,'[1]INPUT_ASSUMPTIONS CALC'!$A$13:$CK$1019,F$7,FALSE),IF($F$5="Q3",VLOOKUP($A23,'[1]INPUT_ASSUMPTIONS CALC'!$A$13:$CK$1019,F$7,FALSE),IF($F$5="Q4",VLOOKUP($A23,'[1]INPUT_ASSUMPTIONS CALC'!$A$13:$CK$1019,F$7,FALSE),IF($F$5="Year",VLOOKUP($A23,'[1]INPUT_ASSUMPTIONS CALC'!$A$13:$CK$1019,F$7,FALSE),0)))))</f>
        <v>395525</v>
      </c>
      <c r="G23" s="137">
        <f>SUMIF('[1]INPUT_ASSUMPTIONS CALC'!A:A,'[1]Summary calculation'!A23,'[1]INPUT_ASSUMPTIONS CALC'!BU:BU)</f>
        <v>1</v>
      </c>
      <c r="H23" s="138">
        <f>IF($F$5="Year",F23*G23*'[1]INPUT_ASSUMPTIONS CALC'!$S$7,F23*G23)</f>
        <v>395525</v>
      </c>
      <c r="I23" s="138">
        <f>H23*VLOOKUP($A23,'[1]INPUT_ASSUMPTIONS CALC'!$A$13:$CK$1019,H$6,FALSE)*SUMIF('[1]INPUT_ASSUMPTIONS CALC'!$CL$15:$CL$17,'[1]Summary calculation'!E23,'[1]INPUT_ASSUMPTIONS CALC'!$CM$15:$CM$17)</f>
        <v>316420</v>
      </c>
      <c r="J23" s="139">
        <f>$I23*VLOOKUP($A23,'[1]INPUT_ASSUMPTIONS CALC'!$A$13:$CK$1019,I$6,FALSE)*VLOOKUP($A23,'[1]INPUT_ASSUMPTIONS CALC'!$A$13:$CK$1019,J$7,FALSE)</f>
        <v>237315</v>
      </c>
      <c r="K23" s="139">
        <f>$I23*VLOOKUP($A23,'[1]INPUT_ASSUMPTIONS CALC'!$A$13:$CK$1019,I$6,FALSE)*VLOOKUP($A23,'[1]INPUT_ASSUMPTIONS CALC'!$A$13:$CK$1019,K$7,FALSE)</f>
        <v>166120.5</v>
      </c>
      <c r="L23" s="139">
        <f>$I23*VLOOKUP($A23,'[1]INPUT_ASSUMPTIONS CALC'!$A$13:$CK$1019,I$6,FALSE)*VLOOKUP($A23,'[1]INPUT_ASSUMPTIONS CALC'!$A$13:$CK$1019,L$7,FALSE)</f>
        <v>47463</v>
      </c>
      <c r="M23" s="139">
        <f>$I23*VLOOKUP($A23,'[1]INPUT_ASSUMPTIONS CALC'!$A$13:$CK$1019,I$6,FALSE)*VLOOKUP($A23,'[1]INPUT_ASSUMPTIONS CALC'!$A$13:$CK$1019,M$7,FALSE)</f>
        <v>23731.500000000007</v>
      </c>
      <c r="N23" s="140">
        <f t="shared" si="3"/>
        <v>474630</v>
      </c>
      <c r="O23" s="141">
        <f>H23*VLOOKUP($A23,'[1]INPUT_ASSUMPTIONS CALC'!$A$13:$CK$1019,H$6,FALSE)*SUMIF('[1]INPUT_ASSUMPTIONS CALC'!$CQ$15:$CQ$17,'[1]Summary calculation'!E23,'[1]INPUT_ASSUMPTIONS CALC'!$CR$15:$CR$17)</f>
        <v>79105</v>
      </c>
      <c r="P23" s="141">
        <f>H23*VLOOKUP($A23,'[1]INPUT_ASSUMPTIONS CALC'!$A$13:$CK$1019,H$6,FALSE)*SUMIF('[1]INPUT_ASSUMPTIONS CALC'!$CV$15:$CV$31,'[1]Summary calculation'!E23,'[1]INPUT_ASSUMPTIONS CALC'!$CW$15:$CW$31)</f>
        <v>0</v>
      </c>
      <c r="Q23" s="141">
        <f>O23*VLOOKUP($A23,'[1]INPUT_ASSUMPTIONS CALC'!$A$13:$CK$1019,Q$7,FALSE)</f>
        <v>39552.5</v>
      </c>
      <c r="R23" s="141">
        <f>P23*VLOOKUP($A23,'[1]INPUT_ASSUMPTIONS CALC'!$A$13:$CK$1019,R$7,FALSE)</f>
        <v>0</v>
      </c>
      <c r="S23" s="140">
        <f t="shared" si="1"/>
        <v>39552.5</v>
      </c>
      <c r="T23" s="142">
        <f t="shared" si="2"/>
        <v>514183</v>
      </c>
      <c r="U23" s="61"/>
    </row>
    <row r="24" spans="1:21" x14ac:dyDescent="0.35">
      <c r="A24" s="125" t="str">
        <f t="shared" si="0"/>
        <v>16Q2</v>
      </c>
      <c r="B24" s="135">
        <v>16</v>
      </c>
      <c r="C24" s="61" t="str">
        <f>INDEX('[1]INPUT_ASSUMPTIONS CALC'!D:D,MATCH(A24,'[1]INPUT_ASSUMPTIONS CALC'!A:A,0))</f>
        <v>Bekbauova Saltanat</v>
      </c>
      <c r="D24" s="61" t="str">
        <f>INDEX('[1]INPUT_ASSUMPTIONS CALC'!I:I,MATCH(A24,'[1]INPUT_ASSUMPTIONS CALC'!A:A,0))</f>
        <v>Line 1</v>
      </c>
      <c r="E24" s="61" t="str">
        <f>INDEX('[1]INPUT_ASSUMPTIONS CALC'!E:E,MATCH(A24,'[1]INPUT_ASSUMPTIONS CALC'!A:A,0))</f>
        <v>Medical Representative</v>
      </c>
      <c r="F24" s="136">
        <f>IF($F$5="Q1",VLOOKUP($A24,'[1]INPUT_ASSUMPTIONS CALC'!$A$13:$CK$1019,F$7,FALSE),IF($F$5="Q2",VLOOKUP($A24,'[1]INPUT_ASSUMPTIONS CALC'!$A$13:$CK$1019,F$7,FALSE),IF($F$5="Q3",VLOOKUP($A24,'[1]INPUT_ASSUMPTIONS CALC'!$A$13:$CK$1019,F$7,FALSE),IF($F$5="Q4",VLOOKUP($A24,'[1]INPUT_ASSUMPTIONS CALC'!$A$13:$CK$1019,F$7,FALSE),IF($F$5="Year",VLOOKUP($A24,'[1]INPUT_ASSUMPTIONS CALC'!$A$13:$CK$1019,F$7,FALSE),0)))))</f>
        <v>395525</v>
      </c>
      <c r="G24" s="137">
        <f>SUMIF('[1]INPUT_ASSUMPTIONS CALC'!A:A,'[1]Summary calculation'!A24,'[1]INPUT_ASSUMPTIONS CALC'!BU:BU)</f>
        <v>1</v>
      </c>
      <c r="H24" s="138">
        <f>IF($F$5="Year",F24*G24*'[1]INPUT_ASSUMPTIONS CALC'!$S$7,F24*G24)</f>
        <v>395525</v>
      </c>
      <c r="I24" s="138">
        <f>H24*VLOOKUP($A24,'[1]INPUT_ASSUMPTIONS CALC'!$A$13:$CK$1019,H$6,FALSE)*SUMIF('[1]INPUT_ASSUMPTIONS CALC'!$CL$15:$CL$17,'[1]Summary calculation'!E24,'[1]INPUT_ASSUMPTIONS CALC'!$CM$15:$CM$17)</f>
        <v>316420</v>
      </c>
      <c r="J24" s="139">
        <f>$I24*VLOOKUP($A24,'[1]INPUT_ASSUMPTIONS CALC'!$A$13:$CK$1019,I$6,FALSE)*VLOOKUP($A24,'[1]INPUT_ASSUMPTIONS CALC'!$A$13:$CK$1019,J$7,FALSE)</f>
        <v>268957</v>
      </c>
      <c r="K24" s="139">
        <f>$I24*VLOOKUP($A24,'[1]INPUT_ASSUMPTIONS CALC'!$A$13:$CK$1019,I$6,FALSE)*VLOOKUP($A24,'[1]INPUT_ASSUMPTIONS CALC'!$A$13:$CK$1019,K$7,FALSE)</f>
        <v>188269.9</v>
      </c>
      <c r="L24" s="139">
        <f>$I24*VLOOKUP($A24,'[1]INPUT_ASSUMPTIONS CALC'!$A$13:$CK$1019,I$6,FALSE)*VLOOKUP($A24,'[1]INPUT_ASSUMPTIONS CALC'!$A$13:$CK$1019,L$7,FALSE)</f>
        <v>53791.4</v>
      </c>
      <c r="M24" s="139">
        <f>$I24*VLOOKUP($A24,'[1]INPUT_ASSUMPTIONS CALC'!$A$13:$CK$1019,I$6,FALSE)*VLOOKUP($A24,'[1]INPUT_ASSUMPTIONS CALC'!$A$13:$CK$1019,M$7,FALSE)</f>
        <v>26895.700000000008</v>
      </c>
      <c r="N24" s="140">
        <f t="shared" si="3"/>
        <v>537914</v>
      </c>
      <c r="O24" s="141">
        <f>H24*VLOOKUP($A24,'[1]INPUT_ASSUMPTIONS CALC'!$A$13:$CK$1019,H$6,FALSE)*SUMIF('[1]INPUT_ASSUMPTIONS CALC'!$CQ$15:$CQ$17,'[1]Summary calculation'!E24,'[1]INPUT_ASSUMPTIONS CALC'!$CR$15:$CR$17)</f>
        <v>79105</v>
      </c>
      <c r="P24" s="141">
        <f>H24*VLOOKUP($A24,'[1]INPUT_ASSUMPTIONS CALC'!$A$13:$CK$1019,H$6,FALSE)*SUMIF('[1]INPUT_ASSUMPTIONS CALC'!$CV$15:$CV$31,'[1]Summary calculation'!E24,'[1]INPUT_ASSUMPTIONS CALC'!$CW$15:$CW$31)</f>
        <v>0</v>
      </c>
      <c r="Q24" s="141">
        <f>O24*VLOOKUP($A24,'[1]INPUT_ASSUMPTIONS CALC'!$A$13:$CK$1019,Q$7,FALSE)</f>
        <v>79105</v>
      </c>
      <c r="R24" s="141">
        <f>P24*VLOOKUP($A24,'[1]INPUT_ASSUMPTIONS CALC'!$A$13:$CK$1019,R$7,FALSE)</f>
        <v>0</v>
      </c>
      <c r="S24" s="140">
        <f t="shared" si="1"/>
        <v>79105</v>
      </c>
      <c r="T24" s="142">
        <f t="shared" si="2"/>
        <v>617019</v>
      </c>
      <c r="U24" s="61"/>
    </row>
    <row r="25" spans="1:21" x14ac:dyDescent="0.35">
      <c r="A25" s="125" t="str">
        <f t="shared" si="0"/>
        <v>17Q2</v>
      </c>
      <c r="B25" s="135">
        <v>17</v>
      </c>
      <c r="C25" s="61" t="str">
        <f>INDEX('[1]INPUT_ASSUMPTIONS CALC'!D:D,MATCH(A25,'[1]INPUT_ASSUMPTIONS CALC'!A:A,0))</f>
        <v>Boyarova Alfiya</v>
      </c>
      <c r="D25" s="61" t="str">
        <f>INDEX('[1]INPUT_ASSUMPTIONS CALC'!I:I,MATCH(A25,'[1]INPUT_ASSUMPTIONS CALC'!A:A,0))</f>
        <v>Line 2</v>
      </c>
      <c r="E25" s="61" t="str">
        <f>INDEX('[1]INPUT_ASSUMPTIONS CALC'!E:E,MATCH(A25,'[1]INPUT_ASSUMPTIONS CALC'!A:A,0))</f>
        <v>Medical Representative</v>
      </c>
      <c r="F25" s="136">
        <f>IF($F$5="Q1",VLOOKUP($A25,'[1]INPUT_ASSUMPTIONS CALC'!$A$13:$CK$1019,F$7,FALSE),IF($F$5="Q2",VLOOKUP($A25,'[1]INPUT_ASSUMPTIONS CALC'!$A$13:$CK$1019,F$7,FALSE),IF($F$5="Q3",VLOOKUP($A25,'[1]INPUT_ASSUMPTIONS CALC'!$A$13:$CK$1019,F$7,FALSE),IF($F$5="Q4",VLOOKUP($A25,'[1]INPUT_ASSUMPTIONS CALC'!$A$13:$CK$1019,F$7,FALSE),IF($F$5="Year",VLOOKUP($A25,'[1]INPUT_ASSUMPTIONS CALC'!$A$13:$CK$1019,F$7,FALSE),0)))))</f>
        <v>395525</v>
      </c>
      <c r="G25" s="137">
        <f>SUMIF('[1]INPUT_ASSUMPTIONS CALC'!A:A,'[1]Summary calculation'!A25,'[1]INPUT_ASSUMPTIONS CALC'!BU:BU)</f>
        <v>1</v>
      </c>
      <c r="H25" s="138">
        <f>IF($F$5="Year",F25*G25*'[1]INPUT_ASSUMPTIONS CALC'!$S$7,F25*G25)</f>
        <v>395525</v>
      </c>
      <c r="I25" s="138">
        <f>H25*VLOOKUP($A25,'[1]INPUT_ASSUMPTIONS CALC'!$A$13:$CK$1019,H$6,FALSE)*SUMIF('[1]INPUT_ASSUMPTIONS CALC'!$CL$15:$CL$17,'[1]Summary calculation'!E25,'[1]INPUT_ASSUMPTIONS CALC'!$CM$15:$CM$17)</f>
        <v>0</v>
      </c>
      <c r="J25" s="139">
        <f>$I25*VLOOKUP($A25,'[1]INPUT_ASSUMPTIONS CALC'!$A$13:$CK$1019,I$6,FALSE)*VLOOKUP($A25,'[1]INPUT_ASSUMPTIONS CALC'!$A$13:$CK$1019,J$7,FALSE)</f>
        <v>0</v>
      </c>
      <c r="K25" s="139">
        <f>$I25*VLOOKUP($A25,'[1]INPUT_ASSUMPTIONS CALC'!$A$13:$CK$1019,I$6,FALSE)*VLOOKUP($A25,'[1]INPUT_ASSUMPTIONS CALC'!$A$13:$CK$1019,K$7,FALSE)</f>
        <v>0</v>
      </c>
      <c r="L25" s="139">
        <f>$I25*VLOOKUP($A25,'[1]INPUT_ASSUMPTIONS CALC'!$A$13:$CK$1019,I$6,FALSE)*VLOOKUP($A25,'[1]INPUT_ASSUMPTIONS CALC'!$A$13:$CK$1019,L$7,FALSE)</f>
        <v>0</v>
      </c>
      <c r="M25" s="139">
        <f>$I25*VLOOKUP($A25,'[1]INPUT_ASSUMPTIONS CALC'!$A$13:$CK$1019,I$6,FALSE)*VLOOKUP($A25,'[1]INPUT_ASSUMPTIONS CALC'!$A$13:$CK$1019,M$7,FALSE)</f>
        <v>0</v>
      </c>
      <c r="N25" s="140">
        <f t="shared" si="3"/>
        <v>0</v>
      </c>
      <c r="O25" s="141">
        <f>H25*VLOOKUP($A25,'[1]INPUT_ASSUMPTIONS CALC'!$A$13:$CK$1019,H$6,FALSE)*SUMIF('[1]INPUT_ASSUMPTIONS CALC'!$CQ$15:$CQ$17,'[1]Summary calculation'!E25,'[1]INPUT_ASSUMPTIONS CALC'!$CR$15:$CR$17)</f>
        <v>0</v>
      </c>
      <c r="P25" s="141">
        <f>H25*VLOOKUP($A25,'[1]INPUT_ASSUMPTIONS CALC'!$A$13:$CK$1019,H$6,FALSE)*SUMIF('[1]INPUT_ASSUMPTIONS CALC'!$CV$15:$CV$31,'[1]Summary calculation'!E25,'[1]INPUT_ASSUMPTIONS CALC'!$CW$15:$CW$31)</f>
        <v>0</v>
      </c>
      <c r="Q25" s="141">
        <f>O25*VLOOKUP($A25,'[1]INPUT_ASSUMPTIONS CALC'!$A$13:$CK$1019,Q$7,FALSE)</f>
        <v>0</v>
      </c>
      <c r="R25" s="141">
        <f>P25*VLOOKUP($A25,'[1]INPUT_ASSUMPTIONS CALC'!$A$13:$CK$1019,R$7,FALSE)</f>
        <v>0</v>
      </c>
      <c r="S25" s="140">
        <f t="shared" si="1"/>
        <v>0</v>
      </c>
      <c r="T25" s="142">
        <f t="shared" si="2"/>
        <v>0</v>
      </c>
      <c r="U25" s="61"/>
    </row>
    <row r="26" spans="1:21" x14ac:dyDescent="0.35">
      <c r="A26" s="125" t="str">
        <f t="shared" si="0"/>
        <v>18Q2</v>
      </c>
      <c r="B26" s="135">
        <v>18</v>
      </c>
      <c r="C26" s="61" t="str">
        <f>INDEX('[1]INPUT_ASSUMPTIONS CALC'!D:D,MATCH(A26,'[1]INPUT_ASSUMPTIONS CALC'!A:A,0))</f>
        <v>Brialinova Inkar</v>
      </c>
      <c r="D26" s="61" t="str">
        <f>INDEX('[1]INPUT_ASSUMPTIONS CALC'!I:I,MATCH(A26,'[1]INPUT_ASSUMPTIONS CALC'!A:A,0))</f>
        <v>Line 1</v>
      </c>
      <c r="E26" s="61" t="str">
        <f>INDEX('[1]INPUT_ASSUMPTIONS CALC'!E:E,MATCH(A26,'[1]INPUT_ASSUMPTIONS CALC'!A:A,0))</f>
        <v>Medical Representative</v>
      </c>
      <c r="F26" s="136">
        <f>IF($F$5="Q1",VLOOKUP($A26,'[1]INPUT_ASSUMPTIONS CALC'!$A$13:$CK$1019,F$7,FALSE),IF($F$5="Q2",VLOOKUP($A26,'[1]INPUT_ASSUMPTIONS CALC'!$A$13:$CK$1019,F$7,FALSE),IF($F$5="Q3",VLOOKUP($A26,'[1]INPUT_ASSUMPTIONS CALC'!$A$13:$CK$1019,F$7,FALSE),IF($F$5="Q4",VLOOKUP($A26,'[1]INPUT_ASSUMPTIONS CALC'!$A$13:$CK$1019,F$7,FALSE),IF($F$5="Year",VLOOKUP($A26,'[1]INPUT_ASSUMPTIONS CALC'!$A$13:$CK$1019,F$7,FALSE),0)))))</f>
        <v>395525</v>
      </c>
      <c r="G26" s="137">
        <f>SUMIF('[1]INPUT_ASSUMPTIONS CALC'!A:A,'[1]Summary calculation'!A26,'[1]INPUT_ASSUMPTIONS CALC'!BU:BU)</f>
        <v>1</v>
      </c>
      <c r="H26" s="138">
        <f>IF($F$5="Year",F26*G26*'[1]INPUT_ASSUMPTIONS CALC'!$S$7,F26*G26)</f>
        <v>395525</v>
      </c>
      <c r="I26" s="138">
        <f>H26*VLOOKUP($A26,'[1]INPUT_ASSUMPTIONS CALC'!$A$13:$CK$1019,H$6,FALSE)*SUMIF('[1]INPUT_ASSUMPTIONS CALC'!$CL$15:$CL$17,'[1]Summary calculation'!E26,'[1]INPUT_ASSUMPTIONS CALC'!$CM$15:$CM$17)</f>
        <v>0</v>
      </c>
      <c r="J26" s="139">
        <f>$I26*VLOOKUP($A26,'[1]INPUT_ASSUMPTIONS CALC'!$A$13:$CK$1019,I$6,FALSE)*VLOOKUP($A26,'[1]INPUT_ASSUMPTIONS CALC'!$A$13:$CK$1019,J$7,FALSE)</f>
        <v>0</v>
      </c>
      <c r="K26" s="139">
        <f>$I26*VLOOKUP($A26,'[1]INPUT_ASSUMPTIONS CALC'!$A$13:$CK$1019,I$6,FALSE)*VLOOKUP($A26,'[1]INPUT_ASSUMPTIONS CALC'!$A$13:$CK$1019,K$7,FALSE)</f>
        <v>0</v>
      </c>
      <c r="L26" s="139">
        <f>$I26*VLOOKUP($A26,'[1]INPUT_ASSUMPTIONS CALC'!$A$13:$CK$1019,I$6,FALSE)*VLOOKUP($A26,'[1]INPUT_ASSUMPTIONS CALC'!$A$13:$CK$1019,L$7,FALSE)</f>
        <v>0</v>
      </c>
      <c r="M26" s="139">
        <f>$I26*VLOOKUP($A26,'[1]INPUT_ASSUMPTIONS CALC'!$A$13:$CK$1019,I$6,FALSE)*VLOOKUP($A26,'[1]INPUT_ASSUMPTIONS CALC'!$A$13:$CK$1019,M$7,FALSE)</f>
        <v>0</v>
      </c>
      <c r="N26" s="140">
        <f t="shared" si="3"/>
        <v>0</v>
      </c>
      <c r="O26" s="141">
        <f>H26*VLOOKUP($A26,'[1]INPUT_ASSUMPTIONS CALC'!$A$13:$CK$1019,H$6,FALSE)*SUMIF('[1]INPUT_ASSUMPTIONS CALC'!$CQ$15:$CQ$17,'[1]Summary calculation'!E26,'[1]INPUT_ASSUMPTIONS CALC'!$CR$15:$CR$17)</f>
        <v>0</v>
      </c>
      <c r="P26" s="141">
        <f>H26*VLOOKUP($A26,'[1]INPUT_ASSUMPTIONS CALC'!$A$13:$CK$1019,H$6,FALSE)*SUMIF('[1]INPUT_ASSUMPTIONS CALC'!$CV$15:$CV$31,'[1]Summary calculation'!E26,'[1]INPUT_ASSUMPTIONS CALC'!$CW$15:$CW$31)</f>
        <v>0</v>
      </c>
      <c r="Q26" s="141">
        <f>O26*VLOOKUP($A26,'[1]INPUT_ASSUMPTIONS CALC'!$A$13:$CK$1019,Q$7,FALSE)</f>
        <v>0</v>
      </c>
      <c r="R26" s="141">
        <f>P26*VLOOKUP($A26,'[1]INPUT_ASSUMPTIONS CALC'!$A$13:$CK$1019,R$7,FALSE)</f>
        <v>0</v>
      </c>
      <c r="S26" s="140">
        <f t="shared" si="1"/>
        <v>0</v>
      </c>
      <c r="T26" s="142">
        <f t="shared" si="2"/>
        <v>0</v>
      </c>
      <c r="U26" s="61"/>
    </row>
    <row r="27" spans="1:21" x14ac:dyDescent="0.35">
      <c r="A27" s="125" t="str">
        <f t="shared" si="0"/>
        <v>19Q2</v>
      </c>
      <c r="B27" s="135">
        <v>19</v>
      </c>
      <c r="C27" s="61" t="str">
        <f>INDEX('[1]INPUT_ASSUMPTIONS CALC'!D:D,MATCH(A27,'[1]INPUT_ASSUMPTIONS CALC'!A:A,0))</f>
        <v>Donayeva Nazira</v>
      </c>
      <c r="D27" s="61" t="str">
        <f>INDEX('[1]INPUT_ASSUMPTIONS CALC'!I:I,MATCH(A27,'[1]INPUT_ASSUMPTIONS CALC'!A:A,0))</f>
        <v>Line 1</v>
      </c>
      <c r="E27" s="61" t="str">
        <f>INDEX('[1]INPUT_ASSUMPTIONS CALC'!E:E,MATCH(A27,'[1]INPUT_ASSUMPTIONS CALC'!A:A,0))</f>
        <v>Medical Representative</v>
      </c>
      <c r="F27" s="136">
        <f>IF($F$5="Q1",VLOOKUP($A27,'[1]INPUT_ASSUMPTIONS CALC'!$A$13:$CK$1019,F$7,FALSE),IF($F$5="Q2",VLOOKUP($A27,'[1]INPUT_ASSUMPTIONS CALC'!$A$13:$CK$1019,F$7,FALSE),IF($F$5="Q3",VLOOKUP($A27,'[1]INPUT_ASSUMPTIONS CALC'!$A$13:$CK$1019,F$7,FALSE),IF($F$5="Q4",VLOOKUP($A27,'[1]INPUT_ASSUMPTIONS CALC'!$A$13:$CK$1019,F$7,FALSE),IF($F$5="Year",VLOOKUP($A27,'[1]INPUT_ASSUMPTIONS CALC'!$A$13:$CK$1019,F$7,FALSE),0)))))</f>
        <v>395525</v>
      </c>
      <c r="G27" s="137">
        <f>SUMIF('[1]INPUT_ASSUMPTIONS CALC'!A:A,'[1]Summary calculation'!A27,'[1]INPUT_ASSUMPTIONS CALC'!BU:BU)</f>
        <v>1</v>
      </c>
      <c r="H27" s="138">
        <f>IF($F$5="Year",F27*G27*'[1]INPUT_ASSUMPTIONS CALC'!$S$7,F27*G27)</f>
        <v>395525</v>
      </c>
      <c r="I27" s="138">
        <f>H27*VLOOKUP($A27,'[1]INPUT_ASSUMPTIONS CALC'!$A$13:$CK$1019,H$6,FALSE)*SUMIF('[1]INPUT_ASSUMPTIONS CALC'!$CL$15:$CL$17,'[1]Summary calculation'!E27,'[1]INPUT_ASSUMPTIONS CALC'!$CM$15:$CM$17)</f>
        <v>316420</v>
      </c>
      <c r="J27" s="139">
        <f>$I27*VLOOKUP($A27,'[1]INPUT_ASSUMPTIONS CALC'!$A$13:$CK$1019,I$6,FALSE)*VLOOKUP($A27,'[1]INPUT_ASSUMPTIONS CALC'!$A$13:$CK$1019,J$7,FALSE)</f>
        <v>158210</v>
      </c>
      <c r="K27" s="139">
        <f>$I27*VLOOKUP($A27,'[1]INPUT_ASSUMPTIONS CALC'!$A$13:$CK$1019,I$6,FALSE)*VLOOKUP($A27,'[1]INPUT_ASSUMPTIONS CALC'!$A$13:$CK$1019,K$7,FALSE)</f>
        <v>110747</v>
      </c>
      <c r="L27" s="139">
        <f>$I27*VLOOKUP($A27,'[1]INPUT_ASSUMPTIONS CALC'!$A$13:$CK$1019,I$6,FALSE)*VLOOKUP($A27,'[1]INPUT_ASSUMPTIONS CALC'!$A$13:$CK$1019,L$7,FALSE)</f>
        <v>31642</v>
      </c>
      <c r="M27" s="139">
        <f>$I27*VLOOKUP($A27,'[1]INPUT_ASSUMPTIONS CALC'!$A$13:$CK$1019,I$6,FALSE)*VLOOKUP($A27,'[1]INPUT_ASSUMPTIONS CALC'!$A$13:$CK$1019,M$7,FALSE)</f>
        <v>15821.000000000005</v>
      </c>
      <c r="N27" s="140">
        <f t="shared" si="3"/>
        <v>316420</v>
      </c>
      <c r="O27" s="141">
        <f>H27*VLOOKUP($A27,'[1]INPUT_ASSUMPTIONS CALC'!$A$13:$CK$1019,H$6,FALSE)*SUMIF('[1]INPUT_ASSUMPTIONS CALC'!$CQ$15:$CQ$17,'[1]Summary calculation'!E27,'[1]INPUT_ASSUMPTIONS CALC'!$CR$15:$CR$17)</f>
        <v>79105</v>
      </c>
      <c r="P27" s="141">
        <f>H27*VLOOKUP($A27,'[1]INPUT_ASSUMPTIONS CALC'!$A$13:$CK$1019,H$6,FALSE)*SUMIF('[1]INPUT_ASSUMPTIONS CALC'!$CV$15:$CV$31,'[1]Summary calculation'!E27,'[1]INPUT_ASSUMPTIONS CALC'!$CW$15:$CW$31)</f>
        <v>0</v>
      </c>
      <c r="Q27" s="141">
        <f>O27*VLOOKUP($A27,'[1]INPUT_ASSUMPTIONS CALC'!$A$13:$CK$1019,Q$7,FALSE)</f>
        <v>79105</v>
      </c>
      <c r="R27" s="141">
        <f>P27*VLOOKUP($A27,'[1]INPUT_ASSUMPTIONS CALC'!$A$13:$CK$1019,R$7,FALSE)</f>
        <v>0</v>
      </c>
      <c r="S27" s="140">
        <f t="shared" si="1"/>
        <v>79105</v>
      </c>
      <c r="T27" s="142">
        <f t="shared" si="2"/>
        <v>395525</v>
      </c>
      <c r="U27" s="61"/>
    </row>
    <row r="28" spans="1:21" x14ac:dyDescent="0.35">
      <c r="A28" s="125" t="str">
        <f t="shared" si="0"/>
        <v>20Q2</v>
      </c>
      <c r="B28" s="135">
        <v>20</v>
      </c>
      <c r="C28" s="61" t="str">
        <f>INDEX('[1]INPUT_ASSUMPTIONS CALC'!D:D,MATCH(A28,'[1]INPUT_ASSUMPTIONS CALC'!A:A,0))</f>
        <v>Dratkov Grigoriy</v>
      </c>
      <c r="D28" s="61" t="str">
        <f>INDEX('[1]INPUT_ASSUMPTIONS CALC'!I:I,MATCH(A28,'[1]INPUT_ASSUMPTIONS CALC'!A:A,0))</f>
        <v>Pharma line</v>
      </c>
      <c r="E28" s="61" t="str">
        <f>INDEX('[1]INPUT_ASSUMPTIONS CALC'!E:E,MATCH(A28,'[1]INPUT_ASSUMPTIONS CALC'!A:A,0))</f>
        <v>Pharm Representative</v>
      </c>
      <c r="F28" s="136">
        <f>IF($F$5="Q1",VLOOKUP($A28,'[1]INPUT_ASSUMPTIONS CALC'!$A$13:$CK$1019,F$7,FALSE),IF($F$5="Q2",VLOOKUP($A28,'[1]INPUT_ASSUMPTIONS CALC'!$A$13:$CK$1019,F$7,FALSE),IF($F$5="Q3",VLOOKUP($A28,'[1]INPUT_ASSUMPTIONS CALC'!$A$13:$CK$1019,F$7,FALSE),IF($F$5="Q4",VLOOKUP($A28,'[1]INPUT_ASSUMPTIONS CALC'!$A$13:$CK$1019,F$7,FALSE),IF($F$5="Year",VLOOKUP($A28,'[1]INPUT_ASSUMPTIONS CALC'!$A$13:$CK$1019,F$7,FALSE),0)))))</f>
        <v>395525</v>
      </c>
      <c r="G28" s="137">
        <f>SUMIF('[1]INPUT_ASSUMPTIONS CALC'!A:A,'[1]Summary calculation'!A28,'[1]INPUT_ASSUMPTIONS CALC'!BU:BU)</f>
        <v>1</v>
      </c>
      <c r="H28" s="138">
        <f>IF($F$5="Year",F28*G28*'[1]INPUT_ASSUMPTIONS CALC'!$S$7,F28*G28)</f>
        <v>395525</v>
      </c>
      <c r="I28" s="138">
        <f>H28*VLOOKUP($A28,'[1]INPUT_ASSUMPTIONS CALC'!$A$13:$CK$1019,H$6,FALSE)*SUMIF('[1]INPUT_ASSUMPTIONS CALC'!$CL$15:$CL$17,'[1]Summary calculation'!E28,'[1]INPUT_ASSUMPTIONS CALC'!$CM$15:$CM$17)</f>
        <v>316420</v>
      </c>
      <c r="J28" s="139">
        <f>$I28*VLOOKUP($A28,'[1]INPUT_ASSUMPTIONS CALC'!$A$13:$CK$1019,I$6,FALSE)*VLOOKUP($A28,'[1]INPUT_ASSUMPTIONS CALC'!$A$13:$CK$1019,J$7,FALSE)</f>
        <v>227822.4</v>
      </c>
      <c r="K28" s="139">
        <f>$I28*VLOOKUP($A28,'[1]INPUT_ASSUMPTIONS CALC'!$A$13:$CK$1019,I$6,FALSE)*VLOOKUP($A28,'[1]INPUT_ASSUMPTIONS CALC'!$A$13:$CK$1019,K$7,FALSE)</f>
        <v>151881.60000000001</v>
      </c>
      <c r="L28" s="139">
        <f>$I28*VLOOKUP($A28,'[1]INPUT_ASSUMPTIONS CALC'!$A$13:$CK$1019,I$6,FALSE)*VLOOKUP($A28,'[1]INPUT_ASSUMPTIONS CALC'!$A$13:$CK$1019,L$7,FALSE)</f>
        <v>75940.800000000003</v>
      </c>
      <c r="M28" s="139">
        <f>$I28*VLOOKUP($A28,'[1]INPUT_ASSUMPTIONS CALC'!$A$13:$CK$1019,I$6,FALSE)*VLOOKUP($A28,'[1]INPUT_ASSUMPTIONS CALC'!$A$13:$CK$1019,M$7,FALSE)</f>
        <v>50627.200000000033</v>
      </c>
      <c r="N28" s="140">
        <f t="shared" si="3"/>
        <v>506272</v>
      </c>
      <c r="O28" s="141">
        <f>H28*VLOOKUP($A28,'[1]INPUT_ASSUMPTIONS CALC'!$A$13:$CK$1019,H$6,FALSE)*SUMIF('[1]INPUT_ASSUMPTIONS CALC'!$CQ$15:$CQ$17,'[1]Summary calculation'!E28,'[1]INPUT_ASSUMPTIONS CALC'!$CR$15:$CR$17)</f>
        <v>79105</v>
      </c>
      <c r="P28" s="141">
        <f>H28*VLOOKUP($A28,'[1]INPUT_ASSUMPTIONS CALC'!$A$13:$CK$1019,H$6,FALSE)*SUMIF('[1]INPUT_ASSUMPTIONS CALC'!$CV$15:$CV$31,'[1]Summary calculation'!E28,'[1]INPUT_ASSUMPTIONS CALC'!$CW$15:$CW$31)</f>
        <v>0</v>
      </c>
      <c r="Q28" s="141">
        <f>O28*VLOOKUP($A28,'[1]INPUT_ASSUMPTIONS CALC'!$A$13:$CK$1019,Q$7,FALSE)</f>
        <v>79105</v>
      </c>
      <c r="R28" s="141">
        <f>P28*VLOOKUP($A28,'[1]INPUT_ASSUMPTIONS CALC'!$A$13:$CK$1019,R$7,FALSE)</f>
        <v>0</v>
      </c>
      <c r="S28" s="140">
        <f t="shared" si="1"/>
        <v>79105</v>
      </c>
      <c r="T28" s="142">
        <f t="shared" si="2"/>
        <v>585377</v>
      </c>
      <c r="U28" s="61"/>
    </row>
    <row r="29" spans="1:21" x14ac:dyDescent="0.35">
      <c r="A29" s="125" t="str">
        <f t="shared" si="0"/>
        <v>21Q2</v>
      </c>
      <c r="B29" s="135">
        <v>21</v>
      </c>
      <c r="C29" s="61" t="str">
        <f>INDEX('[1]INPUT_ASSUMPTIONS CALC'!D:D,MATCH(A29,'[1]INPUT_ASSUMPTIONS CALC'!A:A,0))</f>
        <v>Feist Yekaterina</v>
      </c>
      <c r="D29" s="61" t="str">
        <f>INDEX('[1]INPUT_ASSUMPTIONS CALC'!I:I,MATCH(A29,'[1]INPUT_ASSUMPTIONS CALC'!A:A,0))</f>
        <v>Line 1</v>
      </c>
      <c r="E29" s="61" t="str">
        <f>INDEX('[1]INPUT_ASSUMPTIONS CALC'!E:E,MATCH(A29,'[1]INPUT_ASSUMPTIONS CALC'!A:A,0))</f>
        <v>Medical Representative</v>
      </c>
      <c r="F29" s="136">
        <f>IF($F$5="Q1",VLOOKUP($A29,'[1]INPUT_ASSUMPTIONS CALC'!$A$13:$CK$1019,F$7,FALSE),IF($F$5="Q2",VLOOKUP($A29,'[1]INPUT_ASSUMPTIONS CALC'!$A$13:$CK$1019,F$7,FALSE),IF($F$5="Q3",VLOOKUP($A29,'[1]INPUT_ASSUMPTIONS CALC'!$A$13:$CK$1019,F$7,FALSE),IF($F$5="Q4",VLOOKUP($A29,'[1]INPUT_ASSUMPTIONS CALC'!$A$13:$CK$1019,F$7,FALSE),IF($F$5="Year",VLOOKUP($A29,'[1]INPUT_ASSUMPTIONS CALC'!$A$13:$CK$1019,F$7,FALSE),0)))))</f>
        <v>395525</v>
      </c>
      <c r="G29" s="137">
        <f>SUMIF('[1]INPUT_ASSUMPTIONS CALC'!A:A,'[1]Summary calculation'!A29,'[1]INPUT_ASSUMPTIONS CALC'!BU:BU)</f>
        <v>1</v>
      </c>
      <c r="H29" s="138">
        <f>IF($F$5="Year",F29*G29*'[1]INPUT_ASSUMPTIONS CALC'!$S$7,F29*G29)</f>
        <v>395525</v>
      </c>
      <c r="I29" s="138">
        <f>H29*VLOOKUP($A29,'[1]INPUT_ASSUMPTIONS CALC'!$A$13:$CK$1019,H$6,FALSE)*SUMIF('[1]INPUT_ASSUMPTIONS CALC'!$CL$15:$CL$17,'[1]Summary calculation'!E29,'[1]INPUT_ASSUMPTIONS CALC'!$CM$15:$CM$17)</f>
        <v>316420</v>
      </c>
      <c r="J29" s="139">
        <f>$I29*VLOOKUP($A29,'[1]INPUT_ASSUMPTIONS CALC'!$A$13:$CK$1019,I$6,FALSE)*VLOOKUP($A29,'[1]INPUT_ASSUMPTIONS CALC'!$A$13:$CK$1019,J$7,FALSE)</f>
        <v>237315</v>
      </c>
      <c r="K29" s="139">
        <f>$I29*VLOOKUP($A29,'[1]INPUT_ASSUMPTIONS CALC'!$A$13:$CK$1019,I$6,FALSE)*VLOOKUP($A29,'[1]INPUT_ASSUMPTIONS CALC'!$A$13:$CK$1019,K$7,FALSE)</f>
        <v>166120.5</v>
      </c>
      <c r="L29" s="139">
        <f>$I29*VLOOKUP($A29,'[1]INPUT_ASSUMPTIONS CALC'!$A$13:$CK$1019,I$6,FALSE)*VLOOKUP($A29,'[1]INPUT_ASSUMPTIONS CALC'!$A$13:$CK$1019,L$7,FALSE)</f>
        <v>47463</v>
      </c>
      <c r="M29" s="139">
        <f>$I29*VLOOKUP($A29,'[1]INPUT_ASSUMPTIONS CALC'!$A$13:$CK$1019,I$6,FALSE)*VLOOKUP($A29,'[1]INPUT_ASSUMPTIONS CALC'!$A$13:$CK$1019,M$7,FALSE)</f>
        <v>23731.500000000007</v>
      </c>
      <c r="N29" s="140">
        <f t="shared" si="3"/>
        <v>474630</v>
      </c>
      <c r="O29" s="141">
        <f>H29*VLOOKUP($A29,'[1]INPUT_ASSUMPTIONS CALC'!$A$13:$CK$1019,H$6,FALSE)*SUMIF('[1]INPUT_ASSUMPTIONS CALC'!$CQ$15:$CQ$17,'[1]Summary calculation'!E29,'[1]INPUT_ASSUMPTIONS CALC'!$CR$15:$CR$17)</f>
        <v>79105</v>
      </c>
      <c r="P29" s="141">
        <f>H29*VLOOKUP($A29,'[1]INPUT_ASSUMPTIONS CALC'!$A$13:$CK$1019,H$6,FALSE)*SUMIF('[1]INPUT_ASSUMPTIONS CALC'!$CV$15:$CV$31,'[1]Summary calculation'!E29,'[1]INPUT_ASSUMPTIONS CALC'!$CW$15:$CW$31)</f>
        <v>0</v>
      </c>
      <c r="Q29" s="141">
        <f>O29*VLOOKUP($A29,'[1]INPUT_ASSUMPTIONS CALC'!$A$13:$CK$1019,Q$7,FALSE)</f>
        <v>79105</v>
      </c>
      <c r="R29" s="141">
        <f>P29*VLOOKUP($A29,'[1]INPUT_ASSUMPTIONS CALC'!$A$13:$CK$1019,R$7,FALSE)</f>
        <v>0</v>
      </c>
      <c r="S29" s="140">
        <f t="shared" si="1"/>
        <v>79105</v>
      </c>
      <c r="T29" s="142">
        <f t="shared" si="2"/>
        <v>553735</v>
      </c>
      <c r="U29" s="61"/>
    </row>
    <row r="30" spans="1:21" x14ac:dyDescent="0.35">
      <c r="A30" s="125" t="str">
        <f t="shared" si="0"/>
        <v>22Q2</v>
      </c>
      <c r="B30" s="135">
        <v>22</v>
      </c>
      <c r="C30" s="61" t="str">
        <f>INDEX('[1]INPUT_ASSUMPTIONS CALC'!D:D,MATCH(A30,'[1]INPUT_ASSUMPTIONS CALC'!A:A,0))</f>
        <v>Galiyeva Saule</v>
      </c>
      <c r="D30" s="61" t="str">
        <f>INDEX('[1]INPUT_ASSUMPTIONS CALC'!I:I,MATCH(A30,'[1]INPUT_ASSUMPTIONS CALC'!A:A,0))</f>
        <v>Regional Manager-1</v>
      </c>
      <c r="E30" s="61" t="str">
        <f>INDEX('[1]INPUT_ASSUMPTIONS CALC'!E:E,MATCH(A30,'[1]INPUT_ASSUMPTIONS CALC'!A:A,0))</f>
        <v>Regional Manager</v>
      </c>
      <c r="F30" s="136">
        <f>IF($F$5="Q1",VLOOKUP($A30,'[1]INPUT_ASSUMPTIONS CALC'!$A$13:$CK$1019,F$7,FALSE),IF($F$5="Q2",VLOOKUP($A30,'[1]INPUT_ASSUMPTIONS CALC'!$A$13:$CK$1019,F$7,FALSE),IF($F$5="Q3",VLOOKUP($A30,'[1]INPUT_ASSUMPTIONS CALC'!$A$13:$CK$1019,F$7,FALSE),IF($F$5="Q4",VLOOKUP($A30,'[1]INPUT_ASSUMPTIONS CALC'!$A$13:$CK$1019,F$7,FALSE),IF($F$5="Year",VLOOKUP($A30,'[1]INPUT_ASSUMPTIONS CALC'!$A$13:$CK$1019,F$7,FALSE),0)))))</f>
        <v>726000</v>
      </c>
      <c r="G30" s="137">
        <f>SUMIF('[1]INPUT_ASSUMPTIONS CALC'!A:A,'[1]Summary calculation'!A30,'[1]INPUT_ASSUMPTIONS CALC'!BU:BU)</f>
        <v>1</v>
      </c>
      <c r="H30" s="138">
        <f>IF($F$5="Year",F30*G30*'[1]INPUT_ASSUMPTIONS CALC'!$S$7,F30*G30)</f>
        <v>726000</v>
      </c>
      <c r="I30" s="138">
        <f>H30*VLOOKUP($A30,'[1]INPUT_ASSUMPTIONS CALC'!$A$13:$CK$1019,H$6,FALSE)*SUMIF('[1]INPUT_ASSUMPTIONS CALC'!$CL$15:$CL$17,'[1]Summary calculation'!E30,'[1]INPUT_ASSUMPTIONS CALC'!$CM$15:$CM$17)</f>
        <v>580800</v>
      </c>
      <c r="J30" s="139">
        <f>$I30*VLOOKUP($A30,'[1]INPUT_ASSUMPTIONS CALC'!$A$13:$CK$1019,I$6,FALSE)*VLOOKUP($A30,'[1]INPUT_ASSUMPTIONS CALC'!$A$13:$CK$1019,J$7,FALSE)</f>
        <v>435600</v>
      </c>
      <c r="K30" s="139">
        <f>$I30*VLOOKUP($A30,'[1]INPUT_ASSUMPTIONS CALC'!$A$13:$CK$1019,I$6,FALSE)*VLOOKUP($A30,'[1]INPUT_ASSUMPTIONS CALC'!$A$13:$CK$1019,K$7,FALSE)</f>
        <v>217800</v>
      </c>
      <c r="L30" s="139">
        <f>$I30*VLOOKUP($A30,'[1]INPUT_ASSUMPTIONS CALC'!$A$13:$CK$1019,I$6,FALSE)*VLOOKUP($A30,'[1]INPUT_ASSUMPTIONS CALC'!$A$13:$CK$1019,L$7,FALSE)</f>
        <v>174240</v>
      </c>
      <c r="M30" s="139">
        <f>$I30*VLOOKUP($A30,'[1]INPUT_ASSUMPTIONS CALC'!$A$13:$CK$1019,I$6,FALSE)*VLOOKUP($A30,'[1]INPUT_ASSUMPTIONS CALC'!$A$13:$CK$1019,M$7,FALSE)</f>
        <v>43559.999999999993</v>
      </c>
      <c r="N30" s="140">
        <f t="shared" si="3"/>
        <v>871200</v>
      </c>
      <c r="O30" s="141">
        <f>H30*VLOOKUP($A30,'[1]INPUT_ASSUMPTIONS CALC'!$A$13:$CK$1019,H$6,FALSE)*SUMIF('[1]INPUT_ASSUMPTIONS CALC'!$CQ$15:$CQ$17,'[1]Summary calculation'!E30,'[1]INPUT_ASSUMPTIONS CALC'!$CR$15:$CR$17)</f>
        <v>72600</v>
      </c>
      <c r="P30" s="141">
        <f>H30*VLOOKUP($A30,'[1]INPUT_ASSUMPTIONS CALC'!$A$13:$CK$1019,H$6,FALSE)*SUMIF('[1]INPUT_ASSUMPTIONS CALC'!$CV$15:$CV$31,'[1]Summary calculation'!E30,'[1]INPUT_ASSUMPTIONS CALC'!$CW$15:$CW$31)</f>
        <v>72600</v>
      </c>
      <c r="Q30" s="141">
        <f>O30*VLOOKUP($A30,'[1]INPUT_ASSUMPTIONS CALC'!$A$13:$CK$1019,Q$7,FALSE)</f>
        <v>72600</v>
      </c>
      <c r="R30" s="141">
        <f>P30*VLOOKUP($A30,'[1]INPUT_ASSUMPTIONS CALC'!$A$13:$CK$1019,R$7,FALSE)</f>
        <v>72600</v>
      </c>
      <c r="S30" s="140">
        <f t="shared" si="1"/>
        <v>145200</v>
      </c>
      <c r="T30" s="142">
        <f t="shared" si="2"/>
        <v>1016400</v>
      </c>
      <c r="U30" s="61"/>
    </row>
    <row r="31" spans="1:21" x14ac:dyDescent="0.35">
      <c r="A31" s="125" t="str">
        <f t="shared" si="0"/>
        <v>23Q2</v>
      </c>
      <c r="B31" s="135">
        <v>23</v>
      </c>
      <c r="C31" s="61" t="str">
        <f>INDEX('[1]INPUT_ASSUMPTIONS CALC'!D:D,MATCH(A31,'[1]INPUT_ASSUMPTIONS CALC'!A:A,0))</f>
        <v>Gulyakova Olga</v>
      </c>
      <c r="D31" s="61" t="str">
        <f>INDEX('[1]INPUT_ASSUMPTIONS CALC'!I:I,MATCH(A31,'[1]INPUT_ASSUMPTIONS CALC'!A:A,0))</f>
        <v>Line 1</v>
      </c>
      <c r="E31" s="61" t="str">
        <f>INDEX('[1]INPUT_ASSUMPTIONS CALC'!E:E,MATCH(A31,'[1]INPUT_ASSUMPTIONS CALC'!A:A,0))</f>
        <v>Medical Representative</v>
      </c>
      <c r="F31" s="136">
        <f>IF($F$5="Q1",VLOOKUP($A31,'[1]INPUT_ASSUMPTIONS CALC'!$A$13:$CK$1019,F$7,FALSE),IF($F$5="Q2",VLOOKUP($A31,'[1]INPUT_ASSUMPTIONS CALC'!$A$13:$CK$1019,F$7,FALSE),IF($F$5="Q3",VLOOKUP($A31,'[1]INPUT_ASSUMPTIONS CALC'!$A$13:$CK$1019,F$7,FALSE),IF($F$5="Q4",VLOOKUP($A31,'[1]INPUT_ASSUMPTIONS CALC'!$A$13:$CK$1019,F$7,FALSE),IF($F$5="Year",VLOOKUP($A31,'[1]INPUT_ASSUMPTIONS CALC'!$A$13:$CK$1019,F$7,FALSE),0)))))</f>
        <v>395525</v>
      </c>
      <c r="G31" s="137">
        <f>SUMIF('[1]INPUT_ASSUMPTIONS CALC'!A:A,'[1]Summary calculation'!A31,'[1]INPUT_ASSUMPTIONS CALC'!BU:BU)</f>
        <v>1</v>
      </c>
      <c r="H31" s="138">
        <f>IF($F$5="Year",F31*G31*'[1]INPUT_ASSUMPTIONS CALC'!$S$7,F31*G31)</f>
        <v>395525</v>
      </c>
      <c r="I31" s="138">
        <f>H31*VLOOKUP($A31,'[1]INPUT_ASSUMPTIONS CALC'!$A$13:$CK$1019,H$6,FALSE)*SUMIF('[1]INPUT_ASSUMPTIONS CALC'!$CL$15:$CL$17,'[1]Summary calculation'!E31,'[1]INPUT_ASSUMPTIONS CALC'!$CM$15:$CM$17)</f>
        <v>316420</v>
      </c>
      <c r="J31" s="139">
        <f>$I31*VLOOKUP($A31,'[1]INPUT_ASSUMPTIONS CALC'!$A$13:$CK$1019,I$6,FALSE)*VLOOKUP($A31,'[1]INPUT_ASSUMPTIONS CALC'!$A$13:$CK$1019,J$7,FALSE)</f>
        <v>174031</v>
      </c>
      <c r="K31" s="139">
        <f>$I31*VLOOKUP($A31,'[1]INPUT_ASSUMPTIONS CALC'!$A$13:$CK$1019,I$6,FALSE)*VLOOKUP($A31,'[1]INPUT_ASSUMPTIONS CALC'!$A$13:$CK$1019,K$7,FALSE)</f>
        <v>121821.7</v>
      </c>
      <c r="L31" s="139">
        <f>$I31*VLOOKUP($A31,'[1]INPUT_ASSUMPTIONS CALC'!$A$13:$CK$1019,I$6,FALSE)*VLOOKUP($A31,'[1]INPUT_ASSUMPTIONS CALC'!$A$13:$CK$1019,L$7,FALSE)</f>
        <v>34806.200000000004</v>
      </c>
      <c r="M31" s="139">
        <f>$I31*VLOOKUP($A31,'[1]INPUT_ASSUMPTIONS CALC'!$A$13:$CK$1019,I$6,FALSE)*VLOOKUP($A31,'[1]INPUT_ASSUMPTIONS CALC'!$A$13:$CK$1019,M$7,FALSE)</f>
        <v>17403.100000000006</v>
      </c>
      <c r="N31" s="140">
        <f t="shared" si="3"/>
        <v>348062</v>
      </c>
      <c r="O31" s="141">
        <f>H31*VLOOKUP($A31,'[1]INPUT_ASSUMPTIONS CALC'!$A$13:$CK$1019,H$6,FALSE)*SUMIF('[1]INPUT_ASSUMPTIONS CALC'!$CQ$15:$CQ$17,'[1]Summary calculation'!E31,'[1]INPUT_ASSUMPTIONS CALC'!$CR$15:$CR$17)</f>
        <v>79105</v>
      </c>
      <c r="P31" s="141">
        <f>H31*VLOOKUP($A31,'[1]INPUT_ASSUMPTIONS CALC'!$A$13:$CK$1019,H$6,FALSE)*SUMIF('[1]INPUT_ASSUMPTIONS CALC'!$CV$15:$CV$31,'[1]Summary calculation'!E31,'[1]INPUT_ASSUMPTIONS CALC'!$CW$15:$CW$31)</f>
        <v>0</v>
      </c>
      <c r="Q31" s="141">
        <f>O31*VLOOKUP($A31,'[1]INPUT_ASSUMPTIONS CALC'!$A$13:$CK$1019,Q$7,FALSE)</f>
        <v>39552.5</v>
      </c>
      <c r="R31" s="141">
        <f>P31*VLOOKUP($A31,'[1]INPUT_ASSUMPTIONS CALC'!$A$13:$CK$1019,R$7,FALSE)</f>
        <v>0</v>
      </c>
      <c r="S31" s="140">
        <f t="shared" si="1"/>
        <v>39552.5</v>
      </c>
      <c r="T31" s="142">
        <f t="shared" si="2"/>
        <v>387615</v>
      </c>
      <c r="U31" s="61"/>
    </row>
    <row r="32" spans="1:21" x14ac:dyDescent="0.35">
      <c r="A32" s="125" t="str">
        <f t="shared" si="0"/>
        <v>24Q2</v>
      </c>
      <c r="B32" s="135">
        <v>24</v>
      </c>
      <c r="C32" s="61" t="str">
        <f>INDEX('[1]INPUT_ASSUMPTIONS CALC'!D:D,MATCH(A32,'[1]INPUT_ASSUMPTIONS CALC'!A:A,0))</f>
        <v>Inkarbekova Nurbibi</v>
      </c>
      <c r="D32" s="61" t="str">
        <f>INDEX('[1]INPUT_ASSUMPTIONS CALC'!I:I,MATCH(A32,'[1]INPUT_ASSUMPTIONS CALC'!A:A,0))</f>
        <v>Line 1</v>
      </c>
      <c r="E32" s="61" t="str">
        <f>INDEX('[1]INPUT_ASSUMPTIONS CALC'!E:E,MATCH(A32,'[1]INPUT_ASSUMPTIONS CALC'!A:A,0))</f>
        <v>Medical Representative</v>
      </c>
      <c r="F32" s="136">
        <f>IF($F$5="Q1",VLOOKUP($A32,'[1]INPUT_ASSUMPTIONS CALC'!$A$13:$CK$1019,F$7,FALSE),IF($F$5="Q2",VLOOKUP($A32,'[1]INPUT_ASSUMPTIONS CALC'!$A$13:$CK$1019,F$7,FALSE),IF($F$5="Q3",VLOOKUP($A32,'[1]INPUT_ASSUMPTIONS CALC'!$A$13:$CK$1019,F$7,FALSE),IF($F$5="Q4",VLOOKUP($A32,'[1]INPUT_ASSUMPTIONS CALC'!$A$13:$CK$1019,F$7,FALSE),IF($F$5="Year",VLOOKUP($A32,'[1]INPUT_ASSUMPTIONS CALC'!$A$13:$CK$1019,F$7,FALSE),0)))))</f>
        <v>395525</v>
      </c>
      <c r="G32" s="137">
        <f>SUMIF('[1]INPUT_ASSUMPTIONS CALC'!A:A,'[1]Summary calculation'!A32,'[1]INPUT_ASSUMPTIONS CALC'!BU:BU)</f>
        <v>1</v>
      </c>
      <c r="H32" s="138">
        <f>IF($F$5="Year",F32*G32*'[1]INPUT_ASSUMPTIONS CALC'!$S$7,F32*G32)</f>
        <v>395525</v>
      </c>
      <c r="I32" s="138">
        <f>H32*VLOOKUP($A32,'[1]INPUT_ASSUMPTIONS CALC'!$A$13:$CK$1019,H$6,FALSE)*SUMIF('[1]INPUT_ASSUMPTIONS CALC'!$CL$15:$CL$17,'[1]Summary calculation'!E32,'[1]INPUT_ASSUMPTIONS CALC'!$CM$15:$CM$17)</f>
        <v>316420</v>
      </c>
      <c r="J32" s="139">
        <f>$I32*VLOOKUP($A32,'[1]INPUT_ASSUMPTIONS CALC'!$A$13:$CK$1019,I$6,FALSE)*VLOOKUP($A32,'[1]INPUT_ASSUMPTIONS CALC'!$A$13:$CK$1019,J$7,FALSE)</f>
        <v>158210</v>
      </c>
      <c r="K32" s="139">
        <f>$I32*VLOOKUP($A32,'[1]INPUT_ASSUMPTIONS CALC'!$A$13:$CK$1019,I$6,FALSE)*VLOOKUP($A32,'[1]INPUT_ASSUMPTIONS CALC'!$A$13:$CK$1019,K$7,FALSE)</f>
        <v>110747</v>
      </c>
      <c r="L32" s="139">
        <f>$I32*VLOOKUP($A32,'[1]INPUT_ASSUMPTIONS CALC'!$A$13:$CK$1019,I$6,FALSE)*VLOOKUP($A32,'[1]INPUT_ASSUMPTIONS CALC'!$A$13:$CK$1019,L$7,FALSE)</f>
        <v>31642</v>
      </c>
      <c r="M32" s="139">
        <f>$I32*VLOOKUP($A32,'[1]INPUT_ASSUMPTIONS CALC'!$A$13:$CK$1019,I$6,FALSE)*VLOOKUP($A32,'[1]INPUT_ASSUMPTIONS CALC'!$A$13:$CK$1019,M$7,FALSE)</f>
        <v>15821.000000000005</v>
      </c>
      <c r="N32" s="140">
        <f t="shared" si="3"/>
        <v>316420</v>
      </c>
      <c r="O32" s="141">
        <f>H32*VLOOKUP($A32,'[1]INPUT_ASSUMPTIONS CALC'!$A$13:$CK$1019,H$6,FALSE)*SUMIF('[1]INPUT_ASSUMPTIONS CALC'!$CQ$15:$CQ$17,'[1]Summary calculation'!E32,'[1]INPUT_ASSUMPTIONS CALC'!$CR$15:$CR$17)</f>
        <v>79105</v>
      </c>
      <c r="P32" s="141">
        <f>H32*VLOOKUP($A32,'[1]INPUT_ASSUMPTIONS CALC'!$A$13:$CK$1019,H$6,FALSE)*SUMIF('[1]INPUT_ASSUMPTIONS CALC'!$CV$15:$CV$31,'[1]Summary calculation'!E32,'[1]INPUT_ASSUMPTIONS CALC'!$CW$15:$CW$31)</f>
        <v>0</v>
      </c>
      <c r="Q32" s="141">
        <f>O32*VLOOKUP($A32,'[1]INPUT_ASSUMPTIONS CALC'!$A$13:$CK$1019,Q$7,FALSE)</f>
        <v>79105</v>
      </c>
      <c r="R32" s="141">
        <f>P32*VLOOKUP($A32,'[1]INPUT_ASSUMPTIONS CALC'!$A$13:$CK$1019,R$7,FALSE)</f>
        <v>0</v>
      </c>
      <c r="S32" s="140">
        <f t="shared" si="1"/>
        <v>79105</v>
      </c>
      <c r="T32" s="142">
        <f t="shared" si="2"/>
        <v>395525</v>
      </c>
      <c r="U32" s="61"/>
    </row>
    <row r="33" spans="1:21" x14ac:dyDescent="0.35">
      <c r="A33" s="125" t="str">
        <f t="shared" si="0"/>
        <v>25Q2</v>
      </c>
      <c r="B33" s="135">
        <v>25</v>
      </c>
      <c r="C33" s="61" t="str">
        <f>INDEX('[1]INPUT_ASSUMPTIONS CALC'!D:D,MATCH(A33,'[1]INPUT_ASSUMPTIONS CALC'!A:A,0))</f>
        <v>Issakhanova Assem</v>
      </c>
      <c r="D33" s="61" t="str">
        <f>INDEX('[1]INPUT_ASSUMPTIONS CALC'!I:I,MATCH(A33,'[1]INPUT_ASSUMPTIONS CALC'!A:A,0))</f>
        <v>Line 2</v>
      </c>
      <c r="E33" s="61" t="str">
        <f>INDEX('[1]INPUT_ASSUMPTIONS CALC'!E:E,MATCH(A33,'[1]INPUT_ASSUMPTIONS CALC'!A:A,0))</f>
        <v>Medical Representative</v>
      </c>
      <c r="F33" s="136">
        <f>IF($F$5="Q1",VLOOKUP($A33,'[1]INPUT_ASSUMPTIONS CALC'!$A$13:$CK$1019,F$7,FALSE),IF($F$5="Q2",VLOOKUP($A33,'[1]INPUT_ASSUMPTIONS CALC'!$A$13:$CK$1019,F$7,FALSE),IF($F$5="Q3",VLOOKUP($A33,'[1]INPUT_ASSUMPTIONS CALC'!$A$13:$CK$1019,F$7,FALSE),IF($F$5="Q4",VLOOKUP($A33,'[1]INPUT_ASSUMPTIONS CALC'!$A$13:$CK$1019,F$7,FALSE),IF($F$5="Year",VLOOKUP($A33,'[1]INPUT_ASSUMPTIONS CALC'!$A$13:$CK$1019,F$7,FALSE),0)))))</f>
        <v>395525</v>
      </c>
      <c r="G33" s="137">
        <f>SUMIF('[1]INPUT_ASSUMPTIONS CALC'!A:A,'[1]Summary calculation'!A33,'[1]INPUT_ASSUMPTIONS CALC'!BU:BU)</f>
        <v>1</v>
      </c>
      <c r="H33" s="138">
        <f>IF($F$5="Year",F33*G33*'[1]INPUT_ASSUMPTIONS CALC'!$S$7,F33*G33)</f>
        <v>395525</v>
      </c>
      <c r="I33" s="138">
        <f>H33*VLOOKUP($A33,'[1]INPUT_ASSUMPTIONS CALC'!$A$13:$CK$1019,H$6,FALSE)*SUMIF('[1]INPUT_ASSUMPTIONS CALC'!$CL$15:$CL$17,'[1]Summary calculation'!E33,'[1]INPUT_ASSUMPTIONS CALC'!$CM$15:$CM$17)</f>
        <v>316420</v>
      </c>
      <c r="J33" s="139">
        <f>$I33*VLOOKUP($A33,'[1]INPUT_ASSUMPTIONS CALC'!$A$13:$CK$1019,I$6,FALSE)*VLOOKUP($A33,'[1]INPUT_ASSUMPTIONS CALC'!$A$13:$CK$1019,J$7,FALSE)</f>
        <v>104418.59999999999</v>
      </c>
      <c r="K33" s="139">
        <f>$I33*VLOOKUP($A33,'[1]INPUT_ASSUMPTIONS CALC'!$A$13:$CK$1019,I$6,FALSE)*VLOOKUP($A33,'[1]INPUT_ASSUMPTIONS CALC'!$A$13:$CK$1019,K$7,FALSE)</f>
        <v>87015.5</v>
      </c>
      <c r="L33" s="139">
        <f>$I33*VLOOKUP($A33,'[1]INPUT_ASSUMPTIONS CALC'!$A$13:$CK$1019,I$6,FALSE)*VLOOKUP($A33,'[1]INPUT_ASSUMPTIONS CALC'!$A$13:$CK$1019,L$7,FALSE)</f>
        <v>87015.5</v>
      </c>
      <c r="M33" s="139">
        <f>$I33*VLOOKUP($A33,'[1]INPUT_ASSUMPTIONS CALC'!$A$13:$CK$1019,I$6,FALSE)*VLOOKUP($A33,'[1]INPUT_ASSUMPTIONS CALC'!$A$13:$CK$1019,M$7,FALSE)</f>
        <v>69612.39999999998</v>
      </c>
      <c r="N33" s="140">
        <f t="shared" si="3"/>
        <v>348061.99999999994</v>
      </c>
      <c r="O33" s="141">
        <f>H33*VLOOKUP($A33,'[1]INPUT_ASSUMPTIONS CALC'!$A$13:$CK$1019,H$6,FALSE)*SUMIF('[1]INPUT_ASSUMPTIONS CALC'!$CQ$15:$CQ$17,'[1]Summary calculation'!E33,'[1]INPUT_ASSUMPTIONS CALC'!$CR$15:$CR$17)</f>
        <v>79105</v>
      </c>
      <c r="P33" s="141">
        <f>H33*VLOOKUP($A33,'[1]INPUT_ASSUMPTIONS CALC'!$A$13:$CK$1019,H$6,FALSE)*SUMIF('[1]INPUT_ASSUMPTIONS CALC'!$CV$15:$CV$31,'[1]Summary calculation'!E33,'[1]INPUT_ASSUMPTIONS CALC'!$CW$15:$CW$31)</f>
        <v>0</v>
      </c>
      <c r="Q33" s="141">
        <f>O33*VLOOKUP($A33,'[1]INPUT_ASSUMPTIONS CALC'!$A$13:$CK$1019,Q$7,FALSE)</f>
        <v>39552.5</v>
      </c>
      <c r="R33" s="141">
        <f>P33*VLOOKUP($A33,'[1]INPUT_ASSUMPTIONS CALC'!$A$13:$CK$1019,R$7,FALSE)</f>
        <v>0</v>
      </c>
      <c r="S33" s="140">
        <f t="shared" si="1"/>
        <v>39552.5</v>
      </c>
      <c r="T33" s="142">
        <f t="shared" si="2"/>
        <v>387615</v>
      </c>
      <c r="U33" s="61"/>
    </row>
    <row r="34" spans="1:21" x14ac:dyDescent="0.35">
      <c r="A34" s="125" t="str">
        <f t="shared" si="0"/>
        <v>26Q2</v>
      </c>
      <c r="B34" s="135">
        <v>26</v>
      </c>
      <c r="C34" s="61" t="str">
        <f>INDEX('[1]INPUT_ASSUMPTIONS CALC'!D:D,MATCH(A34,'[1]INPUT_ASSUMPTIONS CALC'!A:A,0))</f>
        <v>Issakova Dina</v>
      </c>
      <c r="D34" s="61" t="str">
        <f>INDEX('[1]INPUT_ASSUMPTIONS CALC'!I:I,MATCH(A34,'[1]INPUT_ASSUMPTIONS CALC'!A:A,0))</f>
        <v>Line 1</v>
      </c>
      <c r="E34" s="61" t="str">
        <f>INDEX('[1]INPUT_ASSUMPTIONS CALC'!E:E,MATCH(A34,'[1]INPUT_ASSUMPTIONS CALC'!A:A,0))</f>
        <v>Medical Representative</v>
      </c>
      <c r="F34" s="136">
        <f>IF($F$5="Q1",VLOOKUP($A34,'[1]INPUT_ASSUMPTIONS CALC'!$A$13:$CK$1019,F$7,FALSE),IF($F$5="Q2",VLOOKUP($A34,'[1]INPUT_ASSUMPTIONS CALC'!$A$13:$CK$1019,F$7,FALSE),IF($F$5="Q3",VLOOKUP($A34,'[1]INPUT_ASSUMPTIONS CALC'!$A$13:$CK$1019,F$7,FALSE),IF($F$5="Q4",VLOOKUP($A34,'[1]INPUT_ASSUMPTIONS CALC'!$A$13:$CK$1019,F$7,FALSE),IF($F$5="Year",VLOOKUP($A34,'[1]INPUT_ASSUMPTIONS CALC'!$A$13:$CK$1019,F$7,FALSE),0)))))</f>
        <v>395525</v>
      </c>
      <c r="G34" s="137">
        <f>SUMIF('[1]INPUT_ASSUMPTIONS CALC'!A:A,'[1]Summary calculation'!A34,'[1]INPUT_ASSUMPTIONS CALC'!BU:BU)</f>
        <v>1</v>
      </c>
      <c r="H34" s="138">
        <f>IF($F$5="Year",F34*G34*'[1]INPUT_ASSUMPTIONS CALC'!$S$7,F34*G34)</f>
        <v>395525</v>
      </c>
      <c r="I34" s="138">
        <f>H34*VLOOKUP($A34,'[1]INPUT_ASSUMPTIONS CALC'!$A$13:$CK$1019,H$6,FALSE)*SUMIF('[1]INPUT_ASSUMPTIONS CALC'!$CL$15:$CL$17,'[1]Summary calculation'!E34,'[1]INPUT_ASSUMPTIONS CALC'!$CM$15:$CM$17)</f>
        <v>316420</v>
      </c>
      <c r="J34" s="139">
        <f>$I34*VLOOKUP($A34,'[1]INPUT_ASSUMPTIONS CALC'!$A$13:$CK$1019,I$6,FALSE)*VLOOKUP($A34,'[1]INPUT_ASSUMPTIONS CALC'!$A$13:$CK$1019,J$7,FALSE)</f>
        <v>158210</v>
      </c>
      <c r="K34" s="139">
        <f>$I34*VLOOKUP($A34,'[1]INPUT_ASSUMPTIONS CALC'!$A$13:$CK$1019,I$6,FALSE)*VLOOKUP($A34,'[1]INPUT_ASSUMPTIONS CALC'!$A$13:$CK$1019,K$7,FALSE)</f>
        <v>110747</v>
      </c>
      <c r="L34" s="139">
        <f>$I34*VLOOKUP($A34,'[1]INPUT_ASSUMPTIONS CALC'!$A$13:$CK$1019,I$6,FALSE)*VLOOKUP($A34,'[1]INPUT_ASSUMPTIONS CALC'!$A$13:$CK$1019,L$7,FALSE)</f>
        <v>31642</v>
      </c>
      <c r="M34" s="139">
        <f>$I34*VLOOKUP($A34,'[1]INPUT_ASSUMPTIONS CALC'!$A$13:$CK$1019,I$6,FALSE)*VLOOKUP($A34,'[1]INPUT_ASSUMPTIONS CALC'!$A$13:$CK$1019,M$7,FALSE)</f>
        <v>15821.000000000005</v>
      </c>
      <c r="N34" s="140">
        <f t="shared" si="3"/>
        <v>316420</v>
      </c>
      <c r="O34" s="141">
        <f>H34*VLOOKUP($A34,'[1]INPUT_ASSUMPTIONS CALC'!$A$13:$CK$1019,H$6,FALSE)*SUMIF('[1]INPUT_ASSUMPTIONS CALC'!$CQ$15:$CQ$17,'[1]Summary calculation'!E34,'[1]INPUT_ASSUMPTIONS CALC'!$CR$15:$CR$17)</f>
        <v>79105</v>
      </c>
      <c r="P34" s="141">
        <f>H34*VLOOKUP($A34,'[1]INPUT_ASSUMPTIONS CALC'!$A$13:$CK$1019,H$6,FALSE)*SUMIF('[1]INPUT_ASSUMPTIONS CALC'!$CV$15:$CV$31,'[1]Summary calculation'!E34,'[1]INPUT_ASSUMPTIONS CALC'!$CW$15:$CW$31)</f>
        <v>0</v>
      </c>
      <c r="Q34" s="141">
        <f>O34*VLOOKUP($A34,'[1]INPUT_ASSUMPTIONS CALC'!$A$13:$CK$1019,Q$7,FALSE)</f>
        <v>79105</v>
      </c>
      <c r="R34" s="141">
        <f>P34*VLOOKUP($A34,'[1]INPUT_ASSUMPTIONS CALC'!$A$13:$CK$1019,R$7,FALSE)</f>
        <v>0</v>
      </c>
      <c r="S34" s="140">
        <f t="shared" si="1"/>
        <v>79105</v>
      </c>
      <c r="T34" s="142">
        <f t="shared" si="2"/>
        <v>395525</v>
      </c>
      <c r="U34" s="61"/>
    </row>
    <row r="35" spans="1:21" x14ac:dyDescent="0.35">
      <c r="A35" s="125" t="str">
        <f t="shared" si="0"/>
        <v>27Q2</v>
      </c>
      <c r="B35" s="135">
        <v>27</v>
      </c>
      <c r="C35" s="61" t="str">
        <f>INDEX('[1]INPUT_ASSUMPTIONS CALC'!D:D,MATCH(A35,'[1]INPUT_ASSUMPTIONS CALC'!A:A,0))</f>
        <v>Itakhunov Rassul</v>
      </c>
      <c r="D35" s="61" t="str">
        <f>INDEX('[1]INPUT_ASSUMPTIONS CALC'!I:I,MATCH(A35,'[1]INPUT_ASSUMPTIONS CALC'!A:A,0))</f>
        <v>Pharma line</v>
      </c>
      <c r="E35" s="61" t="str">
        <f>INDEX('[1]INPUT_ASSUMPTIONS CALC'!E:E,MATCH(A35,'[1]INPUT_ASSUMPTIONS CALC'!A:A,0))</f>
        <v>Pharm Representative</v>
      </c>
      <c r="F35" s="136">
        <f>IF($F$5="Q1",VLOOKUP($A35,'[1]INPUT_ASSUMPTIONS CALC'!$A$13:$CK$1019,F$7,FALSE),IF($F$5="Q2",VLOOKUP($A35,'[1]INPUT_ASSUMPTIONS CALC'!$A$13:$CK$1019,F$7,FALSE),IF($F$5="Q3",VLOOKUP($A35,'[1]INPUT_ASSUMPTIONS CALC'!$A$13:$CK$1019,F$7,FALSE),IF($F$5="Q4",VLOOKUP($A35,'[1]INPUT_ASSUMPTIONS CALC'!$A$13:$CK$1019,F$7,FALSE),IF($F$5="Year",VLOOKUP($A35,'[1]INPUT_ASSUMPTIONS CALC'!$A$13:$CK$1019,F$7,FALSE),0)))))</f>
        <v>395525</v>
      </c>
      <c r="G35" s="137">
        <f>SUMIF('[1]INPUT_ASSUMPTIONS CALC'!A:A,'[1]Summary calculation'!A35,'[1]INPUT_ASSUMPTIONS CALC'!BU:BU)</f>
        <v>1</v>
      </c>
      <c r="H35" s="138">
        <f>IF($F$5="Year",F35*G35*'[1]INPUT_ASSUMPTIONS CALC'!$S$7,F35*G35)</f>
        <v>395525</v>
      </c>
      <c r="I35" s="138">
        <f>H35*VLOOKUP($A35,'[1]INPUT_ASSUMPTIONS CALC'!$A$13:$CK$1019,H$6,FALSE)*SUMIF('[1]INPUT_ASSUMPTIONS CALC'!$CL$15:$CL$17,'[1]Summary calculation'!E35,'[1]INPUT_ASSUMPTIONS CALC'!$CM$15:$CM$17)</f>
        <v>316420</v>
      </c>
      <c r="J35" s="139">
        <f>$I35*VLOOKUP($A35,'[1]INPUT_ASSUMPTIONS CALC'!$A$13:$CK$1019,I$6,FALSE)*VLOOKUP($A35,'[1]INPUT_ASSUMPTIONS CALC'!$A$13:$CK$1019,J$7,FALSE)</f>
        <v>227822.4</v>
      </c>
      <c r="K35" s="139">
        <f>$I35*VLOOKUP($A35,'[1]INPUT_ASSUMPTIONS CALC'!$A$13:$CK$1019,I$6,FALSE)*VLOOKUP($A35,'[1]INPUT_ASSUMPTIONS CALC'!$A$13:$CK$1019,K$7,FALSE)</f>
        <v>151881.60000000001</v>
      </c>
      <c r="L35" s="139">
        <f>$I35*VLOOKUP($A35,'[1]INPUT_ASSUMPTIONS CALC'!$A$13:$CK$1019,I$6,FALSE)*VLOOKUP($A35,'[1]INPUT_ASSUMPTIONS CALC'!$A$13:$CK$1019,L$7,FALSE)</f>
        <v>75940.800000000003</v>
      </c>
      <c r="M35" s="139">
        <f>$I35*VLOOKUP($A35,'[1]INPUT_ASSUMPTIONS CALC'!$A$13:$CK$1019,I$6,FALSE)*VLOOKUP($A35,'[1]INPUT_ASSUMPTIONS CALC'!$A$13:$CK$1019,M$7,FALSE)</f>
        <v>50627.200000000033</v>
      </c>
      <c r="N35" s="140">
        <f t="shared" si="3"/>
        <v>506272</v>
      </c>
      <c r="O35" s="141">
        <f>H35*VLOOKUP($A35,'[1]INPUT_ASSUMPTIONS CALC'!$A$13:$CK$1019,H$6,FALSE)*SUMIF('[1]INPUT_ASSUMPTIONS CALC'!$CQ$15:$CQ$17,'[1]Summary calculation'!E35,'[1]INPUT_ASSUMPTIONS CALC'!$CR$15:$CR$17)</f>
        <v>79105</v>
      </c>
      <c r="P35" s="141">
        <f>H35*VLOOKUP($A35,'[1]INPUT_ASSUMPTIONS CALC'!$A$13:$CK$1019,H$6,FALSE)*SUMIF('[1]INPUT_ASSUMPTIONS CALC'!$CV$15:$CV$31,'[1]Summary calculation'!E35,'[1]INPUT_ASSUMPTIONS CALC'!$CW$15:$CW$31)</f>
        <v>0</v>
      </c>
      <c r="Q35" s="141">
        <f>O35*VLOOKUP($A35,'[1]INPUT_ASSUMPTIONS CALC'!$A$13:$CK$1019,Q$7,FALSE)</f>
        <v>79105</v>
      </c>
      <c r="R35" s="141">
        <f>P35*VLOOKUP($A35,'[1]INPUT_ASSUMPTIONS CALC'!$A$13:$CK$1019,R$7,FALSE)</f>
        <v>0</v>
      </c>
      <c r="S35" s="140">
        <f t="shared" si="1"/>
        <v>79105</v>
      </c>
      <c r="T35" s="142">
        <f t="shared" si="2"/>
        <v>585377</v>
      </c>
      <c r="U35" s="61"/>
    </row>
    <row r="36" spans="1:21" x14ac:dyDescent="0.35">
      <c r="A36" s="125" t="str">
        <f t="shared" si="0"/>
        <v>28Q2</v>
      </c>
      <c r="B36" s="135">
        <v>28</v>
      </c>
      <c r="C36" s="61" t="str">
        <f>INDEX('[1]INPUT_ASSUMPTIONS CALC'!D:D,MATCH(A36,'[1]INPUT_ASSUMPTIONS CALC'!A:A,0))</f>
        <v>Kadyrova Azaliya</v>
      </c>
      <c r="D36" s="61" t="str">
        <f>INDEX('[1]INPUT_ASSUMPTIONS CALC'!I:I,MATCH(A36,'[1]INPUT_ASSUMPTIONS CALC'!A:A,0))</f>
        <v>Line 2 (big cities)</v>
      </c>
      <c r="E36" s="61" t="str">
        <f>INDEX('[1]INPUT_ASSUMPTIONS CALC'!E:E,MATCH(A36,'[1]INPUT_ASSUMPTIONS CALC'!A:A,0))</f>
        <v>Medical Representative</v>
      </c>
      <c r="F36" s="136">
        <f>IF($F$5="Q1",VLOOKUP($A36,'[1]INPUT_ASSUMPTIONS CALC'!$A$13:$CK$1019,F$7,FALSE),IF($F$5="Q2",VLOOKUP($A36,'[1]INPUT_ASSUMPTIONS CALC'!$A$13:$CK$1019,F$7,FALSE),IF($F$5="Q3",VLOOKUP($A36,'[1]INPUT_ASSUMPTIONS CALC'!$A$13:$CK$1019,F$7,FALSE),IF($F$5="Q4",VLOOKUP($A36,'[1]INPUT_ASSUMPTIONS CALC'!$A$13:$CK$1019,F$7,FALSE),IF($F$5="Year",VLOOKUP($A36,'[1]INPUT_ASSUMPTIONS CALC'!$A$13:$CK$1019,F$7,FALSE),0)))))</f>
        <v>395525</v>
      </c>
      <c r="G36" s="137">
        <f>SUMIF('[1]INPUT_ASSUMPTIONS CALC'!A:A,'[1]Summary calculation'!A36,'[1]INPUT_ASSUMPTIONS CALC'!BU:BU)</f>
        <v>1</v>
      </c>
      <c r="H36" s="138">
        <f>IF($F$5="Year",F36*G36*'[1]INPUT_ASSUMPTIONS CALC'!$S$7,F36*G36)</f>
        <v>395525</v>
      </c>
      <c r="I36" s="138">
        <f>H36*VLOOKUP($A36,'[1]INPUT_ASSUMPTIONS CALC'!$A$13:$CK$1019,H$6,FALSE)*SUMIF('[1]INPUT_ASSUMPTIONS CALC'!$CL$15:$CL$17,'[1]Summary calculation'!E36,'[1]INPUT_ASSUMPTIONS CALC'!$CM$15:$CM$17)</f>
        <v>316420</v>
      </c>
      <c r="J36" s="139">
        <f>$I36*VLOOKUP($A36,'[1]INPUT_ASSUMPTIONS CALC'!$A$13:$CK$1019,I$6,FALSE)*VLOOKUP($A36,'[1]INPUT_ASSUMPTIONS CALC'!$A$13:$CK$1019,J$7,FALSE)</f>
        <v>37970.400000000001</v>
      </c>
      <c r="K36" s="139">
        <f>$I36*VLOOKUP($A36,'[1]INPUT_ASSUMPTIONS CALC'!$A$13:$CK$1019,I$6,FALSE)*VLOOKUP($A36,'[1]INPUT_ASSUMPTIONS CALC'!$A$13:$CK$1019,K$7,FALSE)</f>
        <v>113911.2</v>
      </c>
      <c r="L36" s="139">
        <f>$I36*VLOOKUP($A36,'[1]INPUT_ASSUMPTIONS CALC'!$A$13:$CK$1019,I$6,FALSE)*VLOOKUP($A36,'[1]INPUT_ASSUMPTIONS CALC'!$A$13:$CK$1019,L$7,FALSE)</f>
        <v>113911.2</v>
      </c>
      <c r="M36" s="139">
        <f>$I36*VLOOKUP($A36,'[1]INPUT_ASSUMPTIONS CALC'!$A$13:$CK$1019,I$6,FALSE)*VLOOKUP($A36,'[1]INPUT_ASSUMPTIONS CALC'!$A$13:$CK$1019,M$7,FALSE)</f>
        <v>113911.20000000004</v>
      </c>
      <c r="N36" s="140">
        <f t="shared" si="3"/>
        <v>379704</v>
      </c>
      <c r="O36" s="141">
        <f>H36*VLOOKUP($A36,'[1]INPUT_ASSUMPTIONS CALC'!$A$13:$CK$1019,H$6,FALSE)*SUMIF('[1]INPUT_ASSUMPTIONS CALC'!$CQ$15:$CQ$17,'[1]Summary calculation'!E36,'[1]INPUT_ASSUMPTIONS CALC'!$CR$15:$CR$17)</f>
        <v>79105</v>
      </c>
      <c r="P36" s="141">
        <f>H36*VLOOKUP($A36,'[1]INPUT_ASSUMPTIONS CALC'!$A$13:$CK$1019,H$6,FALSE)*SUMIF('[1]INPUT_ASSUMPTIONS CALC'!$CV$15:$CV$31,'[1]Summary calculation'!E36,'[1]INPUT_ASSUMPTIONS CALC'!$CW$15:$CW$31)</f>
        <v>0</v>
      </c>
      <c r="Q36" s="141">
        <f>O36*VLOOKUP($A36,'[1]INPUT_ASSUMPTIONS CALC'!$A$13:$CK$1019,Q$7,FALSE)</f>
        <v>39552.5</v>
      </c>
      <c r="R36" s="141">
        <f>P36*VLOOKUP($A36,'[1]INPUT_ASSUMPTIONS CALC'!$A$13:$CK$1019,R$7,FALSE)</f>
        <v>0</v>
      </c>
      <c r="S36" s="140">
        <f t="shared" si="1"/>
        <v>39552.5</v>
      </c>
      <c r="T36" s="142">
        <f t="shared" si="2"/>
        <v>419257</v>
      </c>
      <c r="U36" s="61"/>
    </row>
    <row r="37" spans="1:21" x14ac:dyDescent="0.35">
      <c r="A37" s="125" t="str">
        <f t="shared" si="0"/>
        <v>29Q2</v>
      </c>
      <c r="B37" s="135">
        <v>29</v>
      </c>
      <c r="C37" s="61" t="str">
        <f>INDEX('[1]INPUT_ASSUMPTIONS CALC'!D:D,MATCH(A37,'[1]INPUT_ASSUMPTIONS CALC'!A:A,0))</f>
        <v>Kalistratova Alexandra</v>
      </c>
      <c r="D37" s="61" t="str">
        <f>INDEX('[1]INPUT_ASSUMPTIONS CALC'!I:I,MATCH(A37,'[1]INPUT_ASSUMPTIONS CALC'!A:A,0))</f>
        <v>Line 2</v>
      </c>
      <c r="E37" s="61" t="str">
        <f>INDEX('[1]INPUT_ASSUMPTIONS CALC'!E:E,MATCH(A37,'[1]INPUT_ASSUMPTIONS CALC'!A:A,0))</f>
        <v>Medical Representative</v>
      </c>
      <c r="F37" s="136">
        <f>IF($F$5="Q1",VLOOKUP($A37,'[1]INPUT_ASSUMPTIONS CALC'!$A$13:$CK$1019,F$7,FALSE),IF($F$5="Q2",VLOOKUP($A37,'[1]INPUT_ASSUMPTIONS CALC'!$A$13:$CK$1019,F$7,FALSE),IF($F$5="Q3",VLOOKUP($A37,'[1]INPUT_ASSUMPTIONS CALC'!$A$13:$CK$1019,F$7,FALSE),IF($F$5="Q4",VLOOKUP($A37,'[1]INPUT_ASSUMPTIONS CALC'!$A$13:$CK$1019,F$7,FALSE),IF($F$5="Year",VLOOKUP($A37,'[1]INPUT_ASSUMPTIONS CALC'!$A$13:$CK$1019,F$7,FALSE),0)))))</f>
        <v>395525</v>
      </c>
      <c r="G37" s="137">
        <f>SUMIF('[1]INPUT_ASSUMPTIONS CALC'!A:A,'[1]Summary calculation'!A37,'[1]INPUT_ASSUMPTIONS CALC'!BU:BU)</f>
        <v>1</v>
      </c>
      <c r="H37" s="138">
        <f>IF($F$5="Year",F37*G37*'[1]INPUT_ASSUMPTIONS CALC'!$S$7,F37*G37)</f>
        <v>395525</v>
      </c>
      <c r="I37" s="138">
        <f>H37*VLOOKUP($A37,'[1]INPUT_ASSUMPTIONS CALC'!$A$13:$CK$1019,H$6,FALSE)*SUMIF('[1]INPUT_ASSUMPTIONS CALC'!$CL$15:$CL$17,'[1]Summary calculation'!E37,'[1]INPUT_ASSUMPTIONS CALC'!$CM$15:$CM$17)</f>
        <v>316420</v>
      </c>
      <c r="J37" s="139">
        <f>$I37*VLOOKUP($A37,'[1]INPUT_ASSUMPTIONS CALC'!$A$13:$CK$1019,I$6,FALSE)*VLOOKUP($A37,'[1]INPUT_ASSUMPTIONS CALC'!$A$13:$CK$1019,J$7,FALSE)</f>
        <v>104418.59999999999</v>
      </c>
      <c r="K37" s="139">
        <f>$I37*VLOOKUP($A37,'[1]INPUT_ASSUMPTIONS CALC'!$A$13:$CK$1019,I$6,FALSE)*VLOOKUP($A37,'[1]INPUT_ASSUMPTIONS CALC'!$A$13:$CK$1019,K$7,FALSE)</f>
        <v>87015.5</v>
      </c>
      <c r="L37" s="139">
        <f>$I37*VLOOKUP($A37,'[1]INPUT_ASSUMPTIONS CALC'!$A$13:$CK$1019,I$6,FALSE)*VLOOKUP($A37,'[1]INPUT_ASSUMPTIONS CALC'!$A$13:$CK$1019,L$7,FALSE)</f>
        <v>87015.5</v>
      </c>
      <c r="M37" s="139">
        <f>$I37*VLOOKUP($A37,'[1]INPUT_ASSUMPTIONS CALC'!$A$13:$CK$1019,I$6,FALSE)*VLOOKUP($A37,'[1]INPUT_ASSUMPTIONS CALC'!$A$13:$CK$1019,M$7,FALSE)</f>
        <v>69612.39999999998</v>
      </c>
      <c r="N37" s="140">
        <f t="shared" si="3"/>
        <v>348061.99999999994</v>
      </c>
      <c r="O37" s="141">
        <f>H37*VLOOKUP($A37,'[1]INPUT_ASSUMPTIONS CALC'!$A$13:$CK$1019,H$6,FALSE)*SUMIF('[1]INPUT_ASSUMPTIONS CALC'!$CQ$15:$CQ$17,'[1]Summary calculation'!E37,'[1]INPUT_ASSUMPTIONS CALC'!$CR$15:$CR$17)</f>
        <v>79105</v>
      </c>
      <c r="P37" s="141">
        <f>H37*VLOOKUP($A37,'[1]INPUT_ASSUMPTIONS CALC'!$A$13:$CK$1019,H$6,FALSE)*SUMIF('[1]INPUT_ASSUMPTIONS CALC'!$CV$15:$CV$31,'[1]Summary calculation'!E37,'[1]INPUT_ASSUMPTIONS CALC'!$CW$15:$CW$31)</f>
        <v>0</v>
      </c>
      <c r="Q37" s="141">
        <f>O37*VLOOKUP($A37,'[1]INPUT_ASSUMPTIONS CALC'!$A$13:$CK$1019,Q$7,FALSE)</f>
        <v>79105</v>
      </c>
      <c r="R37" s="141">
        <f>P37*VLOOKUP($A37,'[1]INPUT_ASSUMPTIONS CALC'!$A$13:$CK$1019,R$7,FALSE)</f>
        <v>0</v>
      </c>
      <c r="S37" s="140">
        <f t="shared" si="1"/>
        <v>79105</v>
      </c>
      <c r="T37" s="142">
        <f t="shared" si="2"/>
        <v>427167</v>
      </c>
      <c r="U37" s="61"/>
    </row>
    <row r="38" spans="1:21" x14ac:dyDescent="0.35">
      <c r="A38" s="125" t="str">
        <f t="shared" si="0"/>
        <v>30Q2</v>
      </c>
      <c r="B38" s="135">
        <v>30</v>
      </c>
      <c r="C38" s="61" t="str">
        <f>INDEX('[1]INPUT_ASSUMPTIONS CALC'!D:D,MATCH(A38,'[1]INPUT_ASSUMPTIONS CALC'!A:A,0))</f>
        <v>Kassenova Gulshat</v>
      </c>
      <c r="D38" s="61" t="str">
        <f>INDEX('[1]INPUT_ASSUMPTIONS CALC'!I:I,MATCH(A38,'[1]INPUT_ASSUMPTIONS CALC'!A:A,0))</f>
        <v>Line 1</v>
      </c>
      <c r="E38" s="61" t="str">
        <f>INDEX('[1]INPUT_ASSUMPTIONS CALC'!E:E,MATCH(A38,'[1]INPUT_ASSUMPTIONS CALC'!A:A,0))</f>
        <v>Medical Representative</v>
      </c>
      <c r="F38" s="136">
        <f>IF($F$5="Q1",VLOOKUP($A38,'[1]INPUT_ASSUMPTIONS CALC'!$A$13:$CK$1019,F$7,FALSE),IF($F$5="Q2",VLOOKUP($A38,'[1]INPUT_ASSUMPTIONS CALC'!$A$13:$CK$1019,F$7,FALSE),IF($F$5="Q3",VLOOKUP($A38,'[1]INPUT_ASSUMPTIONS CALC'!$A$13:$CK$1019,F$7,FALSE),IF($F$5="Q4",VLOOKUP($A38,'[1]INPUT_ASSUMPTIONS CALC'!$A$13:$CK$1019,F$7,FALSE),IF($F$5="Year",VLOOKUP($A38,'[1]INPUT_ASSUMPTIONS CALC'!$A$13:$CK$1019,F$7,FALSE),0)))))</f>
        <v>395525</v>
      </c>
      <c r="G38" s="137">
        <f>SUMIF('[1]INPUT_ASSUMPTIONS CALC'!A:A,'[1]Summary calculation'!A38,'[1]INPUT_ASSUMPTIONS CALC'!BU:BU)</f>
        <v>1</v>
      </c>
      <c r="H38" s="138">
        <f>IF($F$5="Year",F38*G38*'[1]INPUT_ASSUMPTIONS CALC'!$S$7,F38*G38)</f>
        <v>395525</v>
      </c>
      <c r="I38" s="138">
        <f>H38*VLOOKUP($A38,'[1]INPUT_ASSUMPTIONS CALC'!$A$13:$CK$1019,H$6,FALSE)*SUMIF('[1]INPUT_ASSUMPTIONS CALC'!$CL$15:$CL$17,'[1]Summary calculation'!E38,'[1]INPUT_ASSUMPTIONS CALC'!$CM$15:$CM$17)</f>
        <v>316420</v>
      </c>
      <c r="J38" s="139">
        <f>$I38*VLOOKUP($A38,'[1]INPUT_ASSUMPTIONS CALC'!$A$13:$CK$1019,I$6,FALSE)*VLOOKUP($A38,'[1]INPUT_ASSUMPTIONS CALC'!$A$13:$CK$1019,J$7,FALSE)</f>
        <v>268957</v>
      </c>
      <c r="K38" s="139">
        <f>$I38*VLOOKUP($A38,'[1]INPUT_ASSUMPTIONS CALC'!$A$13:$CK$1019,I$6,FALSE)*VLOOKUP($A38,'[1]INPUT_ASSUMPTIONS CALC'!$A$13:$CK$1019,K$7,FALSE)</f>
        <v>188269.9</v>
      </c>
      <c r="L38" s="139">
        <f>$I38*VLOOKUP($A38,'[1]INPUT_ASSUMPTIONS CALC'!$A$13:$CK$1019,I$6,FALSE)*VLOOKUP($A38,'[1]INPUT_ASSUMPTIONS CALC'!$A$13:$CK$1019,L$7,FALSE)</f>
        <v>53791.4</v>
      </c>
      <c r="M38" s="139">
        <f>$I38*VLOOKUP($A38,'[1]INPUT_ASSUMPTIONS CALC'!$A$13:$CK$1019,I$6,FALSE)*VLOOKUP($A38,'[1]INPUT_ASSUMPTIONS CALC'!$A$13:$CK$1019,M$7,FALSE)</f>
        <v>26895.700000000008</v>
      </c>
      <c r="N38" s="140">
        <f t="shared" si="3"/>
        <v>537914</v>
      </c>
      <c r="O38" s="141">
        <f>H38*VLOOKUP($A38,'[1]INPUT_ASSUMPTIONS CALC'!$A$13:$CK$1019,H$6,FALSE)*SUMIF('[1]INPUT_ASSUMPTIONS CALC'!$CQ$15:$CQ$17,'[1]Summary calculation'!E38,'[1]INPUT_ASSUMPTIONS CALC'!$CR$15:$CR$17)</f>
        <v>79105</v>
      </c>
      <c r="P38" s="141">
        <f>H38*VLOOKUP($A38,'[1]INPUT_ASSUMPTIONS CALC'!$A$13:$CK$1019,H$6,FALSE)*SUMIF('[1]INPUT_ASSUMPTIONS CALC'!$CV$15:$CV$31,'[1]Summary calculation'!E38,'[1]INPUT_ASSUMPTIONS CALC'!$CW$15:$CW$31)</f>
        <v>0</v>
      </c>
      <c r="Q38" s="141">
        <f>O38*VLOOKUP($A38,'[1]INPUT_ASSUMPTIONS CALC'!$A$13:$CK$1019,Q$7,FALSE)</f>
        <v>39552.5</v>
      </c>
      <c r="R38" s="141">
        <f>P38*VLOOKUP($A38,'[1]INPUT_ASSUMPTIONS CALC'!$A$13:$CK$1019,R$7,FALSE)</f>
        <v>0</v>
      </c>
      <c r="S38" s="140">
        <f t="shared" si="1"/>
        <v>39552.5</v>
      </c>
      <c r="T38" s="142">
        <f t="shared" si="2"/>
        <v>577467</v>
      </c>
      <c r="U38" s="61"/>
    </row>
    <row r="39" spans="1:21" x14ac:dyDescent="0.35">
      <c r="A39" s="125" t="str">
        <f t="shared" si="0"/>
        <v>31Q2</v>
      </c>
      <c r="B39" s="135">
        <v>31</v>
      </c>
      <c r="C39" s="61" t="str">
        <f>INDEX('[1]INPUT_ASSUMPTIONS CALC'!D:D,MATCH(A39,'[1]INPUT_ASSUMPTIONS CALC'!A:A,0))</f>
        <v>Khalikova Nuriya</v>
      </c>
      <c r="D39" s="61" t="str">
        <f>INDEX('[1]INPUT_ASSUMPTIONS CALC'!I:I,MATCH(A39,'[1]INPUT_ASSUMPTIONS CALC'!A:A,0))</f>
        <v>Line 1</v>
      </c>
      <c r="E39" s="61" t="str">
        <f>INDEX('[1]INPUT_ASSUMPTIONS CALC'!E:E,MATCH(A39,'[1]INPUT_ASSUMPTIONS CALC'!A:A,0))</f>
        <v>Medical Representative</v>
      </c>
      <c r="F39" s="136">
        <f>IF($F$5="Q1",VLOOKUP($A39,'[1]INPUT_ASSUMPTIONS CALC'!$A$13:$CK$1019,F$7,FALSE),IF($F$5="Q2",VLOOKUP($A39,'[1]INPUT_ASSUMPTIONS CALC'!$A$13:$CK$1019,F$7,FALSE),IF($F$5="Q3",VLOOKUP($A39,'[1]INPUT_ASSUMPTIONS CALC'!$A$13:$CK$1019,F$7,FALSE),IF($F$5="Q4",VLOOKUP($A39,'[1]INPUT_ASSUMPTIONS CALC'!$A$13:$CK$1019,F$7,FALSE),IF($F$5="Year",VLOOKUP($A39,'[1]INPUT_ASSUMPTIONS CALC'!$A$13:$CK$1019,F$7,FALSE),0)))))</f>
        <v>395525</v>
      </c>
      <c r="G39" s="137">
        <f>SUMIF('[1]INPUT_ASSUMPTIONS CALC'!A:A,'[1]Summary calculation'!A39,'[1]INPUT_ASSUMPTIONS CALC'!BU:BU)</f>
        <v>1</v>
      </c>
      <c r="H39" s="138">
        <f>IF($F$5="Year",F39*G39*'[1]INPUT_ASSUMPTIONS CALC'!$S$7,F39*G39)</f>
        <v>395525</v>
      </c>
      <c r="I39" s="138">
        <f>H39*VLOOKUP($A39,'[1]INPUT_ASSUMPTIONS CALC'!$A$13:$CK$1019,H$6,FALSE)*SUMIF('[1]INPUT_ASSUMPTIONS CALC'!$CL$15:$CL$17,'[1]Summary calculation'!E39,'[1]INPUT_ASSUMPTIONS CALC'!$CM$15:$CM$17)</f>
        <v>316420</v>
      </c>
      <c r="J39" s="139">
        <f>$I39*VLOOKUP($A39,'[1]INPUT_ASSUMPTIONS CALC'!$A$13:$CK$1019,I$6,FALSE)*VLOOKUP($A39,'[1]INPUT_ASSUMPTIONS CALC'!$A$13:$CK$1019,J$7,FALSE)</f>
        <v>395525</v>
      </c>
      <c r="K39" s="139">
        <f>$I39*VLOOKUP($A39,'[1]INPUT_ASSUMPTIONS CALC'!$A$13:$CK$1019,I$6,FALSE)*VLOOKUP($A39,'[1]INPUT_ASSUMPTIONS CALC'!$A$13:$CK$1019,K$7,FALSE)</f>
        <v>276867.5</v>
      </c>
      <c r="L39" s="139">
        <f>$I39*VLOOKUP($A39,'[1]INPUT_ASSUMPTIONS CALC'!$A$13:$CK$1019,I$6,FALSE)*VLOOKUP($A39,'[1]INPUT_ASSUMPTIONS CALC'!$A$13:$CK$1019,L$7,FALSE)</f>
        <v>79105</v>
      </c>
      <c r="M39" s="139">
        <f>$I39*VLOOKUP($A39,'[1]INPUT_ASSUMPTIONS CALC'!$A$13:$CK$1019,I$6,FALSE)*VLOOKUP($A39,'[1]INPUT_ASSUMPTIONS CALC'!$A$13:$CK$1019,M$7,FALSE)</f>
        <v>39552.500000000015</v>
      </c>
      <c r="N39" s="140">
        <f t="shared" si="3"/>
        <v>791050</v>
      </c>
      <c r="O39" s="141">
        <f>H39*VLOOKUP($A39,'[1]INPUT_ASSUMPTIONS CALC'!$A$13:$CK$1019,H$6,FALSE)*SUMIF('[1]INPUT_ASSUMPTIONS CALC'!$CQ$15:$CQ$17,'[1]Summary calculation'!E39,'[1]INPUT_ASSUMPTIONS CALC'!$CR$15:$CR$17)</f>
        <v>79105</v>
      </c>
      <c r="P39" s="141">
        <f>H39*VLOOKUP($A39,'[1]INPUT_ASSUMPTIONS CALC'!$A$13:$CK$1019,H$6,FALSE)*SUMIF('[1]INPUT_ASSUMPTIONS CALC'!$CV$15:$CV$31,'[1]Summary calculation'!E39,'[1]INPUT_ASSUMPTIONS CALC'!$CW$15:$CW$31)</f>
        <v>0</v>
      </c>
      <c r="Q39" s="141">
        <f>O39*VLOOKUP($A39,'[1]INPUT_ASSUMPTIONS CALC'!$A$13:$CK$1019,Q$7,FALSE)</f>
        <v>79105</v>
      </c>
      <c r="R39" s="141">
        <f>P39*VLOOKUP($A39,'[1]INPUT_ASSUMPTIONS CALC'!$A$13:$CK$1019,R$7,FALSE)</f>
        <v>0</v>
      </c>
      <c r="S39" s="140">
        <f t="shared" si="1"/>
        <v>79105</v>
      </c>
      <c r="T39" s="142">
        <f t="shared" si="2"/>
        <v>870155</v>
      </c>
      <c r="U39" s="61"/>
    </row>
    <row r="40" spans="1:21" x14ac:dyDescent="0.35">
      <c r="A40" s="125" t="str">
        <f t="shared" si="0"/>
        <v>32Q2</v>
      </c>
      <c r="B40" s="135">
        <v>32</v>
      </c>
      <c r="C40" s="61" t="str">
        <f>INDEX('[1]INPUT_ASSUMPTIONS CALC'!D:D,MATCH(A40,'[1]INPUT_ASSUMPTIONS CALC'!A:A,0))</f>
        <v>Kuchshanova Akmaral</v>
      </c>
      <c r="D40" s="61" t="str">
        <f>INDEX('[1]INPUT_ASSUMPTIONS CALC'!I:I,MATCH(A40,'[1]INPUT_ASSUMPTIONS CALC'!A:A,0))</f>
        <v>Line 2 (big cities)</v>
      </c>
      <c r="E40" s="61" t="str">
        <f>INDEX('[1]INPUT_ASSUMPTIONS CALC'!E:E,MATCH(A40,'[1]INPUT_ASSUMPTIONS CALC'!A:A,0))</f>
        <v>Medical Representative</v>
      </c>
      <c r="F40" s="136">
        <f>IF($F$5="Q1",VLOOKUP($A40,'[1]INPUT_ASSUMPTIONS CALC'!$A$13:$CK$1019,F$7,FALSE),IF($F$5="Q2",VLOOKUP($A40,'[1]INPUT_ASSUMPTIONS CALC'!$A$13:$CK$1019,F$7,FALSE),IF($F$5="Q3",VLOOKUP($A40,'[1]INPUT_ASSUMPTIONS CALC'!$A$13:$CK$1019,F$7,FALSE),IF($F$5="Q4",VLOOKUP($A40,'[1]INPUT_ASSUMPTIONS CALC'!$A$13:$CK$1019,F$7,FALSE),IF($F$5="Year",VLOOKUP($A40,'[1]INPUT_ASSUMPTIONS CALC'!$A$13:$CK$1019,F$7,FALSE),0)))))</f>
        <v>395525</v>
      </c>
      <c r="G40" s="137">
        <f>SUMIF('[1]INPUT_ASSUMPTIONS CALC'!A:A,'[1]Summary calculation'!A40,'[1]INPUT_ASSUMPTIONS CALC'!BU:BU)</f>
        <v>1</v>
      </c>
      <c r="H40" s="138">
        <f>IF($F$5="Year",F40*G40*'[1]INPUT_ASSUMPTIONS CALC'!$S$7,F40*G40)</f>
        <v>395525</v>
      </c>
      <c r="I40" s="138">
        <f>H40*VLOOKUP($A40,'[1]INPUT_ASSUMPTIONS CALC'!$A$13:$CK$1019,H$6,FALSE)*SUMIF('[1]INPUT_ASSUMPTIONS CALC'!$CL$15:$CL$17,'[1]Summary calculation'!E40,'[1]INPUT_ASSUMPTIONS CALC'!$CM$15:$CM$17)</f>
        <v>316420</v>
      </c>
      <c r="J40" s="139">
        <f>$I40*VLOOKUP($A40,'[1]INPUT_ASSUMPTIONS CALC'!$A$13:$CK$1019,I$6,FALSE)*VLOOKUP($A40,'[1]INPUT_ASSUMPTIONS CALC'!$A$13:$CK$1019,J$7,FALSE)</f>
        <v>31642</v>
      </c>
      <c r="K40" s="139">
        <f>$I40*VLOOKUP($A40,'[1]INPUT_ASSUMPTIONS CALC'!$A$13:$CK$1019,I$6,FALSE)*VLOOKUP($A40,'[1]INPUT_ASSUMPTIONS CALC'!$A$13:$CK$1019,K$7,FALSE)</f>
        <v>94926</v>
      </c>
      <c r="L40" s="139">
        <f>$I40*VLOOKUP($A40,'[1]INPUT_ASSUMPTIONS CALC'!$A$13:$CK$1019,I$6,FALSE)*VLOOKUP($A40,'[1]INPUT_ASSUMPTIONS CALC'!$A$13:$CK$1019,L$7,FALSE)</f>
        <v>94926</v>
      </c>
      <c r="M40" s="139">
        <f>$I40*VLOOKUP($A40,'[1]INPUT_ASSUMPTIONS CALC'!$A$13:$CK$1019,I$6,FALSE)*VLOOKUP($A40,'[1]INPUT_ASSUMPTIONS CALC'!$A$13:$CK$1019,M$7,FALSE)</f>
        <v>94926.000000000029</v>
      </c>
      <c r="N40" s="140">
        <f t="shared" si="3"/>
        <v>316420</v>
      </c>
      <c r="O40" s="141">
        <f>H40*VLOOKUP($A40,'[1]INPUT_ASSUMPTIONS CALC'!$A$13:$CK$1019,H$6,FALSE)*SUMIF('[1]INPUT_ASSUMPTIONS CALC'!$CQ$15:$CQ$17,'[1]Summary calculation'!E40,'[1]INPUT_ASSUMPTIONS CALC'!$CR$15:$CR$17)</f>
        <v>79105</v>
      </c>
      <c r="P40" s="141">
        <f>H40*VLOOKUP($A40,'[1]INPUT_ASSUMPTIONS CALC'!$A$13:$CK$1019,H$6,FALSE)*SUMIF('[1]INPUT_ASSUMPTIONS CALC'!$CV$15:$CV$31,'[1]Summary calculation'!E40,'[1]INPUT_ASSUMPTIONS CALC'!$CW$15:$CW$31)</f>
        <v>0</v>
      </c>
      <c r="Q40" s="141">
        <f>O40*VLOOKUP($A40,'[1]INPUT_ASSUMPTIONS CALC'!$A$13:$CK$1019,Q$7,FALSE)</f>
        <v>79105</v>
      </c>
      <c r="R40" s="141">
        <f>P40*VLOOKUP($A40,'[1]INPUT_ASSUMPTIONS CALC'!$A$13:$CK$1019,R$7,FALSE)</f>
        <v>0</v>
      </c>
      <c r="S40" s="140">
        <f t="shared" si="1"/>
        <v>79105</v>
      </c>
      <c r="T40" s="142">
        <f t="shared" si="2"/>
        <v>395525</v>
      </c>
      <c r="U40" s="61"/>
    </row>
    <row r="41" spans="1:21" x14ac:dyDescent="0.35">
      <c r="A41" s="125" t="str">
        <f t="shared" si="0"/>
        <v>33Q2</v>
      </c>
      <c r="B41" s="135">
        <v>33</v>
      </c>
      <c r="C41" s="61" t="str">
        <f>INDEX('[1]INPUT_ASSUMPTIONS CALC'!D:D,MATCH(A41,'[1]INPUT_ASSUMPTIONS CALC'!A:A,0))</f>
        <v>Kussainova Dilara</v>
      </c>
      <c r="D41" s="61" t="str">
        <f>INDEX('[1]INPUT_ASSUMPTIONS CALC'!I:I,MATCH(A41,'[1]INPUT_ASSUMPTIONS CALC'!A:A,0))</f>
        <v>Line 2 (big cities)</v>
      </c>
      <c r="E41" s="61" t="str">
        <f>INDEX('[1]INPUT_ASSUMPTIONS CALC'!E:E,MATCH(A41,'[1]INPUT_ASSUMPTIONS CALC'!A:A,0))</f>
        <v>Medical Representative</v>
      </c>
      <c r="F41" s="136">
        <f>IF($F$5="Q1",VLOOKUP($A41,'[1]INPUT_ASSUMPTIONS CALC'!$A$13:$CK$1019,F$7,FALSE),IF($F$5="Q2",VLOOKUP($A41,'[1]INPUT_ASSUMPTIONS CALC'!$A$13:$CK$1019,F$7,FALSE),IF($F$5="Q3",VLOOKUP($A41,'[1]INPUT_ASSUMPTIONS CALC'!$A$13:$CK$1019,F$7,FALSE),IF($F$5="Q4",VLOOKUP($A41,'[1]INPUT_ASSUMPTIONS CALC'!$A$13:$CK$1019,F$7,FALSE),IF($F$5="Year",VLOOKUP($A41,'[1]INPUT_ASSUMPTIONS CALC'!$A$13:$CK$1019,F$7,FALSE),0)))))</f>
        <v>395525</v>
      </c>
      <c r="G41" s="137">
        <f>SUMIF('[1]INPUT_ASSUMPTIONS CALC'!A:A,'[1]Summary calculation'!A41,'[1]INPUT_ASSUMPTIONS CALC'!BU:BU)</f>
        <v>1</v>
      </c>
      <c r="H41" s="138">
        <f>IF($F$5="Year",F41*G41*'[1]INPUT_ASSUMPTIONS CALC'!$S$7,F41*G41)</f>
        <v>395525</v>
      </c>
      <c r="I41" s="138">
        <f>H41*VLOOKUP($A41,'[1]INPUT_ASSUMPTIONS CALC'!$A$13:$CK$1019,H$6,FALSE)*SUMIF('[1]INPUT_ASSUMPTIONS CALC'!$CL$15:$CL$17,'[1]Summary calculation'!E41,'[1]INPUT_ASSUMPTIONS CALC'!$CM$15:$CM$17)</f>
        <v>316420</v>
      </c>
      <c r="J41" s="139">
        <f>$I41*VLOOKUP($A41,'[1]INPUT_ASSUMPTIONS CALC'!$A$13:$CK$1019,I$6,FALSE)*VLOOKUP($A41,'[1]INPUT_ASSUMPTIONS CALC'!$A$13:$CK$1019,J$7,FALSE)</f>
        <v>44298.8</v>
      </c>
      <c r="K41" s="139">
        <f>$I41*VLOOKUP($A41,'[1]INPUT_ASSUMPTIONS CALC'!$A$13:$CK$1019,I$6,FALSE)*VLOOKUP($A41,'[1]INPUT_ASSUMPTIONS CALC'!$A$13:$CK$1019,K$7,FALSE)</f>
        <v>132896.4</v>
      </c>
      <c r="L41" s="139">
        <f>$I41*VLOOKUP($A41,'[1]INPUT_ASSUMPTIONS CALC'!$A$13:$CK$1019,I$6,FALSE)*VLOOKUP($A41,'[1]INPUT_ASSUMPTIONS CALC'!$A$13:$CK$1019,L$7,FALSE)</f>
        <v>132896.4</v>
      </c>
      <c r="M41" s="139">
        <f>$I41*VLOOKUP($A41,'[1]INPUT_ASSUMPTIONS CALC'!$A$13:$CK$1019,I$6,FALSE)*VLOOKUP($A41,'[1]INPUT_ASSUMPTIONS CALC'!$A$13:$CK$1019,M$7,FALSE)</f>
        <v>132896.40000000005</v>
      </c>
      <c r="N41" s="140">
        <f t="shared" si="3"/>
        <v>442988</v>
      </c>
      <c r="O41" s="141">
        <f>H41*VLOOKUP($A41,'[1]INPUT_ASSUMPTIONS CALC'!$A$13:$CK$1019,H$6,FALSE)*SUMIF('[1]INPUT_ASSUMPTIONS CALC'!$CQ$15:$CQ$17,'[1]Summary calculation'!E41,'[1]INPUT_ASSUMPTIONS CALC'!$CR$15:$CR$17)</f>
        <v>79105</v>
      </c>
      <c r="P41" s="141">
        <f>H41*VLOOKUP($A41,'[1]INPUT_ASSUMPTIONS CALC'!$A$13:$CK$1019,H$6,FALSE)*SUMIF('[1]INPUT_ASSUMPTIONS CALC'!$CV$15:$CV$31,'[1]Summary calculation'!E41,'[1]INPUT_ASSUMPTIONS CALC'!$CW$15:$CW$31)</f>
        <v>0</v>
      </c>
      <c r="Q41" s="141">
        <f>O41*VLOOKUP($A41,'[1]INPUT_ASSUMPTIONS CALC'!$A$13:$CK$1019,Q$7,FALSE)</f>
        <v>79105</v>
      </c>
      <c r="R41" s="141">
        <f>P41*VLOOKUP($A41,'[1]INPUT_ASSUMPTIONS CALC'!$A$13:$CK$1019,R$7,FALSE)</f>
        <v>0</v>
      </c>
      <c r="S41" s="140">
        <f t="shared" si="1"/>
        <v>79105</v>
      </c>
      <c r="T41" s="142">
        <f t="shared" si="2"/>
        <v>522093</v>
      </c>
      <c r="U41" s="61"/>
    </row>
    <row r="42" spans="1:21" x14ac:dyDescent="0.35">
      <c r="A42" s="125" t="str">
        <f t="shared" si="0"/>
        <v>34Q2</v>
      </c>
      <c r="B42" s="135">
        <v>34</v>
      </c>
      <c r="C42" s="61" t="str">
        <f>INDEX('[1]INPUT_ASSUMPTIONS CALC'!D:D,MATCH(A42,'[1]INPUT_ASSUMPTIONS CALC'!A:A,0))</f>
        <v>Kutdussova Liliya</v>
      </c>
      <c r="D42" s="61" t="str">
        <f>INDEX('[1]INPUT_ASSUMPTIONS CALC'!I:I,MATCH(A42,'[1]INPUT_ASSUMPTIONS CALC'!A:A,0))</f>
        <v>Line 2 (big cities)</v>
      </c>
      <c r="E42" s="61" t="str">
        <f>INDEX('[1]INPUT_ASSUMPTIONS CALC'!E:E,MATCH(A42,'[1]INPUT_ASSUMPTIONS CALC'!A:A,0))</f>
        <v>Medical Representative</v>
      </c>
      <c r="F42" s="136">
        <f>IF($F$5="Q1",VLOOKUP($A42,'[1]INPUT_ASSUMPTIONS CALC'!$A$13:$CK$1019,F$7,FALSE),IF($F$5="Q2",VLOOKUP($A42,'[1]INPUT_ASSUMPTIONS CALC'!$A$13:$CK$1019,F$7,FALSE),IF($F$5="Q3",VLOOKUP($A42,'[1]INPUT_ASSUMPTIONS CALC'!$A$13:$CK$1019,F$7,FALSE),IF($F$5="Q4",VLOOKUP($A42,'[1]INPUT_ASSUMPTIONS CALC'!$A$13:$CK$1019,F$7,FALSE),IF($F$5="Year",VLOOKUP($A42,'[1]INPUT_ASSUMPTIONS CALC'!$A$13:$CK$1019,F$7,FALSE),0)))))</f>
        <v>395525</v>
      </c>
      <c r="G42" s="137">
        <f>SUMIF('[1]INPUT_ASSUMPTIONS CALC'!A:A,'[1]Summary calculation'!A42,'[1]INPUT_ASSUMPTIONS CALC'!BU:BU)</f>
        <v>1</v>
      </c>
      <c r="H42" s="138">
        <f>IF($F$5="Year",F42*G42*'[1]INPUT_ASSUMPTIONS CALC'!$S$7,F42*G42)</f>
        <v>395525</v>
      </c>
      <c r="I42" s="138">
        <f>H42*VLOOKUP($A42,'[1]INPUT_ASSUMPTIONS CALC'!$A$13:$CK$1019,H$6,FALSE)*SUMIF('[1]INPUT_ASSUMPTIONS CALC'!$CL$15:$CL$17,'[1]Summary calculation'!E42,'[1]INPUT_ASSUMPTIONS CALC'!$CM$15:$CM$17)</f>
        <v>0</v>
      </c>
      <c r="J42" s="139">
        <f>$I42*VLOOKUP($A42,'[1]INPUT_ASSUMPTIONS CALC'!$A$13:$CK$1019,I$6,FALSE)*VLOOKUP($A42,'[1]INPUT_ASSUMPTIONS CALC'!$A$13:$CK$1019,J$7,FALSE)</f>
        <v>0</v>
      </c>
      <c r="K42" s="139">
        <f>$I42*VLOOKUP($A42,'[1]INPUT_ASSUMPTIONS CALC'!$A$13:$CK$1019,I$6,FALSE)*VLOOKUP($A42,'[1]INPUT_ASSUMPTIONS CALC'!$A$13:$CK$1019,K$7,FALSE)</f>
        <v>0</v>
      </c>
      <c r="L42" s="139">
        <f>$I42*VLOOKUP($A42,'[1]INPUT_ASSUMPTIONS CALC'!$A$13:$CK$1019,I$6,FALSE)*VLOOKUP($A42,'[1]INPUT_ASSUMPTIONS CALC'!$A$13:$CK$1019,L$7,FALSE)</f>
        <v>0</v>
      </c>
      <c r="M42" s="139">
        <f>$I42*VLOOKUP($A42,'[1]INPUT_ASSUMPTIONS CALC'!$A$13:$CK$1019,I$6,FALSE)*VLOOKUP($A42,'[1]INPUT_ASSUMPTIONS CALC'!$A$13:$CK$1019,M$7,FALSE)</f>
        <v>0</v>
      </c>
      <c r="N42" s="140">
        <f t="shared" si="3"/>
        <v>0</v>
      </c>
      <c r="O42" s="141">
        <f>H42*VLOOKUP($A42,'[1]INPUT_ASSUMPTIONS CALC'!$A$13:$CK$1019,H$6,FALSE)*SUMIF('[1]INPUT_ASSUMPTIONS CALC'!$CQ$15:$CQ$17,'[1]Summary calculation'!E42,'[1]INPUT_ASSUMPTIONS CALC'!$CR$15:$CR$17)</f>
        <v>0</v>
      </c>
      <c r="P42" s="141">
        <f>H42*VLOOKUP($A42,'[1]INPUT_ASSUMPTIONS CALC'!$A$13:$CK$1019,H$6,FALSE)*SUMIF('[1]INPUT_ASSUMPTIONS CALC'!$CV$15:$CV$31,'[1]Summary calculation'!E42,'[1]INPUT_ASSUMPTIONS CALC'!$CW$15:$CW$31)</f>
        <v>0</v>
      </c>
      <c r="Q42" s="141">
        <f>O42*VLOOKUP($A42,'[1]INPUT_ASSUMPTIONS CALC'!$A$13:$CK$1019,Q$7,FALSE)</f>
        <v>0</v>
      </c>
      <c r="R42" s="141">
        <f>P42*VLOOKUP($A42,'[1]INPUT_ASSUMPTIONS CALC'!$A$13:$CK$1019,R$7,FALSE)</f>
        <v>0</v>
      </c>
      <c r="S42" s="140">
        <f t="shared" si="1"/>
        <v>0</v>
      </c>
      <c r="T42" s="142">
        <f t="shared" si="2"/>
        <v>0</v>
      </c>
      <c r="U42" s="61"/>
    </row>
    <row r="43" spans="1:21" x14ac:dyDescent="0.35">
      <c r="A43" s="125" t="str">
        <f t="shared" si="0"/>
        <v>35Q2</v>
      </c>
      <c r="B43" s="135">
        <v>35</v>
      </c>
      <c r="C43" s="61" t="str">
        <f>INDEX('[1]INPUT_ASSUMPTIONS CALC'!D:D,MATCH(A43,'[1]INPUT_ASSUMPTIONS CALC'!A:A,0))</f>
        <v>Kutlymuratov Assylatdin</v>
      </c>
      <c r="D43" s="61" t="str">
        <f>INDEX('[1]INPUT_ASSUMPTIONS CALC'!I:I,MATCH(A43,'[1]INPUT_ASSUMPTIONS CALC'!A:A,0))</f>
        <v>Line 2 (big cities)</v>
      </c>
      <c r="E43" s="61" t="str">
        <f>INDEX('[1]INPUT_ASSUMPTIONS CALC'!E:E,MATCH(A43,'[1]INPUT_ASSUMPTIONS CALC'!A:A,0))</f>
        <v>Medical Representative</v>
      </c>
      <c r="F43" s="136">
        <f>IF($F$5="Q1",VLOOKUP($A43,'[1]INPUT_ASSUMPTIONS CALC'!$A$13:$CK$1019,F$7,FALSE),IF($F$5="Q2",VLOOKUP($A43,'[1]INPUT_ASSUMPTIONS CALC'!$A$13:$CK$1019,F$7,FALSE),IF($F$5="Q3",VLOOKUP($A43,'[1]INPUT_ASSUMPTIONS CALC'!$A$13:$CK$1019,F$7,FALSE),IF($F$5="Q4",VLOOKUP($A43,'[1]INPUT_ASSUMPTIONS CALC'!$A$13:$CK$1019,F$7,FALSE),IF($F$5="Year",VLOOKUP($A43,'[1]INPUT_ASSUMPTIONS CALC'!$A$13:$CK$1019,F$7,FALSE),0)))))</f>
        <v>395525</v>
      </c>
      <c r="G43" s="137">
        <f>SUMIF('[1]INPUT_ASSUMPTIONS CALC'!A:A,'[1]Summary calculation'!A43,'[1]INPUT_ASSUMPTIONS CALC'!BU:BU)</f>
        <v>1</v>
      </c>
      <c r="H43" s="138">
        <f>IF($F$5="Year",F43*G43*'[1]INPUT_ASSUMPTIONS CALC'!$S$7,F43*G43)</f>
        <v>395525</v>
      </c>
      <c r="I43" s="138">
        <f>H43*VLOOKUP($A43,'[1]INPUT_ASSUMPTIONS CALC'!$A$13:$CK$1019,H$6,FALSE)*SUMIF('[1]INPUT_ASSUMPTIONS CALC'!$CL$15:$CL$17,'[1]Summary calculation'!E43,'[1]INPUT_ASSUMPTIONS CALC'!$CM$15:$CM$17)</f>
        <v>316420</v>
      </c>
      <c r="J43" s="139">
        <f>$I43*VLOOKUP($A43,'[1]INPUT_ASSUMPTIONS CALC'!$A$13:$CK$1019,I$6,FALSE)*VLOOKUP($A43,'[1]INPUT_ASSUMPTIONS CALC'!$A$13:$CK$1019,J$7,FALSE)</f>
        <v>31642</v>
      </c>
      <c r="K43" s="139">
        <f>$I43*VLOOKUP($A43,'[1]INPUT_ASSUMPTIONS CALC'!$A$13:$CK$1019,I$6,FALSE)*VLOOKUP($A43,'[1]INPUT_ASSUMPTIONS CALC'!$A$13:$CK$1019,K$7,FALSE)</f>
        <v>94926</v>
      </c>
      <c r="L43" s="139">
        <f>$I43*VLOOKUP($A43,'[1]INPUT_ASSUMPTIONS CALC'!$A$13:$CK$1019,I$6,FALSE)*VLOOKUP($A43,'[1]INPUT_ASSUMPTIONS CALC'!$A$13:$CK$1019,L$7,FALSE)</f>
        <v>94926</v>
      </c>
      <c r="M43" s="139">
        <f>$I43*VLOOKUP($A43,'[1]INPUT_ASSUMPTIONS CALC'!$A$13:$CK$1019,I$6,FALSE)*VLOOKUP($A43,'[1]INPUT_ASSUMPTIONS CALC'!$A$13:$CK$1019,M$7,FALSE)</f>
        <v>94926.000000000029</v>
      </c>
      <c r="N43" s="140">
        <f t="shared" si="3"/>
        <v>316420</v>
      </c>
      <c r="O43" s="141">
        <f>H43*VLOOKUP($A43,'[1]INPUT_ASSUMPTIONS CALC'!$A$13:$CK$1019,H$6,FALSE)*SUMIF('[1]INPUT_ASSUMPTIONS CALC'!$CQ$15:$CQ$17,'[1]Summary calculation'!E43,'[1]INPUT_ASSUMPTIONS CALC'!$CR$15:$CR$17)</f>
        <v>79105</v>
      </c>
      <c r="P43" s="141">
        <f>H43*VLOOKUP($A43,'[1]INPUT_ASSUMPTIONS CALC'!$A$13:$CK$1019,H$6,FALSE)*SUMIF('[1]INPUT_ASSUMPTIONS CALC'!$CV$15:$CV$31,'[1]Summary calculation'!E43,'[1]INPUT_ASSUMPTIONS CALC'!$CW$15:$CW$31)</f>
        <v>0</v>
      </c>
      <c r="Q43" s="141">
        <f>O43*VLOOKUP($A43,'[1]INPUT_ASSUMPTIONS CALC'!$A$13:$CK$1019,Q$7,FALSE)</f>
        <v>39552.5</v>
      </c>
      <c r="R43" s="141">
        <f>P43*VLOOKUP($A43,'[1]INPUT_ASSUMPTIONS CALC'!$A$13:$CK$1019,R$7,FALSE)</f>
        <v>0</v>
      </c>
      <c r="S43" s="140">
        <f t="shared" si="1"/>
        <v>39552.5</v>
      </c>
      <c r="T43" s="142">
        <f t="shared" si="2"/>
        <v>355973</v>
      </c>
      <c r="U43" s="61"/>
    </row>
    <row r="44" spans="1:21" x14ac:dyDescent="0.35">
      <c r="A44" s="125" t="str">
        <f t="shared" si="0"/>
        <v>36Q2</v>
      </c>
      <c r="B44" s="135">
        <v>36</v>
      </c>
      <c r="C44" s="61" t="str">
        <f>INDEX('[1]INPUT_ASSUMPTIONS CALC'!D:D,MATCH(A44,'[1]INPUT_ASSUMPTIONS CALC'!A:A,0))</f>
        <v>Kuxa Anna</v>
      </c>
      <c r="D44" s="61" t="str">
        <f>INDEX('[1]INPUT_ASSUMPTIONS CALC'!I:I,MATCH(A44,'[1]INPUT_ASSUMPTIONS CALC'!A:A,0))</f>
        <v>Regional Manager-1</v>
      </c>
      <c r="E44" s="61" t="str">
        <f>INDEX('[1]INPUT_ASSUMPTIONS CALC'!E:E,MATCH(A44,'[1]INPUT_ASSUMPTIONS CALC'!A:A,0))</f>
        <v>Regional Manager</v>
      </c>
      <c r="F44" s="136">
        <f>IF($F$5="Q1",VLOOKUP($A44,'[1]INPUT_ASSUMPTIONS CALC'!$A$13:$CK$1019,F$7,FALSE),IF($F$5="Q2",VLOOKUP($A44,'[1]INPUT_ASSUMPTIONS CALC'!$A$13:$CK$1019,F$7,FALSE),IF($F$5="Q3",VLOOKUP($A44,'[1]INPUT_ASSUMPTIONS CALC'!$A$13:$CK$1019,F$7,FALSE),IF($F$5="Q4",VLOOKUP($A44,'[1]INPUT_ASSUMPTIONS CALC'!$A$13:$CK$1019,F$7,FALSE),IF($F$5="Year",VLOOKUP($A44,'[1]INPUT_ASSUMPTIONS CALC'!$A$13:$CK$1019,F$7,FALSE),0)))))</f>
        <v>726000</v>
      </c>
      <c r="G44" s="137">
        <f>SUMIF('[1]INPUT_ASSUMPTIONS CALC'!A:A,'[1]Summary calculation'!A44,'[1]INPUT_ASSUMPTIONS CALC'!BU:BU)</f>
        <v>1</v>
      </c>
      <c r="H44" s="138">
        <f>IF($F$5="Year",F44*G44*'[1]INPUT_ASSUMPTIONS CALC'!$S$7,F44*G44)</f>
        <v>726000</v>
      </c>
      <c r="I44" s="138">
        <f>H44*VLOOKUP($A44,'[1]INPUT_ASSUMPTIONS CALC'!$A$13:$CK$1019,H$6,FALSE)*SUMIF('[1]INPUT_ASSUMPTIONS CALC'!$CL$15:$CL$17,'[1]Summary calculation'!E44,'[1]INPUT_ASSUMPTIONS CALC'!$CM$15:$CM$17)</f>
        <v>580800</v>
      </c>
      <c r="J44" s="139">
        <f>$I44*VLOOKUP($A44,'[1]INPUT_ASSUMPTIONS CALC'!$A$13:$CK$1019,I$6,FALSE)*VLOOKUP($A44,'[1]INPUT_ASSUMPTIONS CALC'!$A$13:$CK$1019,J$7,FALSE)</f>
        <v>319440</v>
      </c>
      <c r="K44" s="139">
        <f>$I44*VLOOKUP($A44,'[1]INPUT_ASSUMPTIONS CALC'!$A$13:$CK$1019,I$6,FALSE)*VLOOKUP($A44,'[1]INPUT_ASSUMPTIONS CALC'!$A$13:$CK$1019,K$7,FALSE)</f>
        <v>159720</v>
      </c>
      <c r="L44" s="139">
        <f>$I44*VLOOKUP($A44,'[1]INPUT_ASSUMPTIONS CALC'!$A$13:$CK$1019,I$6,FALSE)*VLOOKUP($A44,'[1]INPUT_ASSUMPTIONS CALC'!$A$13:$CK$1019,L$7,FALSE)</f>
        <v>127776</v>
      </c>
      <c r="M44" s="139">
        <f>$I44*VLOOKUP($A44,'[1]INPUT_ASSUMPTIONS CALC'!$A$13:$CK$1019,I$6,FALSE)*VLOOKUP($A44,'[1]INPUT_ASSUMPTIONS CALC'!$A$13:$CK$1019,M$7,FALSE)</f>
        <v>31943.999999999993</v>
      </c>
      <c r="N44" s="140">
        <f t="shared" si="3"/>
        <v>638880</v>
      </c>
      <c r="O44" s="141">
        <f>H44*VLOOKUP($A44,'[1]INPUT_ASSUMPTIONS CALC'!$A$13:$CK$1019,H$6,FALSE)*SUMIF('[1]INPUT_ASSUMPTIONS CALC'!$CQ$15:$CQ$17,'[1]Summary calculation'!E44,'[1]INPUT_ASSUMPTIONS CALC'!$CR$15:$CR$17)</f>
        <v>72600</v>
      </c>
      <c r="P44" s="141">
        <f>H44*VLOOKUP($A44,'[1]INPUT_ASSUMPTIONS CALC'!$A$13:$CK$1019,H$6,FALSE)*SUMIF('[1]INPUT_ASSUMPTIONS CALC'!$CV$15:$CV$31,'[1]Summary calculation'!E44,'[1]INPUT_ASSUMPTIONS CALC'!$CW$15:$CW$31)</f>
        <v>72600</v>
      </c>
      <c r="Q44" s="141">
        <f>O44*VLOOKUP($A44,'[1]INPUT_ASSUMPTIONS CALC'!$A$13:$CK$1019,Q$7,FALSE)</f>
        <v>36300</v>
      </c>
      <c r="R44" s="141">
        <f>P44*VLOOKUP($A44,'[1]INPUT_ASSUMPTIONS CALC'!$A$13:$CK$1019,R$7,FALSE)</f>
        <v>72600</v>
      </c>
      <c r="S44" s="140">
        <f t="shared" si="1"/>
        <v>108900</v>
      </c>
      <c r="T44" s="142">
        <f t="shared" si="2"/>
        <v>747780</v>
      </c>
      <c r="U44" s="61"/>
    </row>
    <row r="45" spans="1:21" x14ac:dyDescent="0.35">
      <c r="A45" s="125" t="str">
        <f t="shared" si="0"/>
        <v>37Q2</v>
      </c>
      <c r="B45" s="135">
        <v>37</v>
      </c>
      <c r="C45" s="61" t="str">
        <f>INDEX('[1]INPUT_ASSUMPTIONS CALC'!D:D,MATCH(A45,'[1]INPUT_ASSUMPTIONS CALC'!A:A,0))</f>
        <v>Kuzikeyeva Dinara</v>
      </c>
      <c r="D45" s="61" t="str">
        <f>INDEX('[1]INPUT_ASSUMPTIONS CALC'!I:I,MATCH(A45,'[1]INPUT_ASSUMPTIONS CALC'!A:A,0))</f>
        <v>Regional Manager-1</v>
      </c>
      <c r="E45" s="61" t="str">
        <f>INDEX('[1]INPUT_ASSUMPTIONS CALC'!E:E,MATCH(A45,'[1]INPUT_ASSUMPTIONS CALC'!A:A,0))</f>
        <v>Regional Manager</v>
      </c>
      <c r="F45" s="136">
        <f>IF($F$5="Q1",VLOOKUP($A45,'[1]INPUT_ASSUMPTIONS CALC'!$A$13:$CK$1019,F$7,FALSE),IF($F$5="Q2",VLOOKUP($A45,'[1]INPUT_ASSUMPTIONS CALC'!$A$13:$CK$1019,F$7,FALSE),IF($F$5="Q3",VLOOKUP($A45,'[1]INPUT_ASSUMPTIONS CALC'!$A$13:$CK$1019,F$7,FALSE),IF($F$5="Q4",VLOOKUP($A45,'[1]INPUT_ASSUMPTIONS CALC'!$A$13:$CK$1019,F$7,FALSE),IF($F$5="Year",VLOOKUP($A45,'[1]INPUT_ASSUMPTIONS CALC'!$A$13:$CK$1019,F$7,FALSE),0)))))</f>
        <v>726000</v>
      </c>
      <c r="G45" s="137">
        <f>SUMIF('[1]INPUT_ASSUMPTIONS CALC'!A:A,'[1]Summary calculation'!A45,'[1]INPUT_ASSUMPTIONS CALC'!BU:BU)</f>
        <v>1</v>
      </c>
      <c r="H45" s="138">
        <f>IF($F$5="Year",F45*G45*'[1]INPUT_ASSUMPTIONS CALC'!$S$7,F45*G45)</f>
        <v>726000</v>
      </c>
      <c r="I45" s="138">
        <f>H45*VLOOKUP($A45,'[1]INPUT_ASSUMPTIONS CALC'!$A$13:$CK$1019,H$6,FALSE)*SUMIF('[1]INPUT_ASSUMPTIONS CALC'!$CL$15:$CL$17,'[1]Summary calculation'!E45,'[1]INPUT_ASSUMPTIONS CALC'!$CM$15:$CM$17)</f>
        <v>580800</v>
      </c>
      <c r="J45" s="139">
        <f>$I45*VLOOKUP($A45,'[1]INPUT_ASSUMPTIONS CALC'!$A$13:$CK$1019,I$6,FALSE)*VLOOKUP($A45,'[1]INPUT_ASSUMPTIONS CALC'!$A$13:$CK$1019,J$7,FALSE)</f>
        <v>726000</v>
      </c>
      <c r="K45" s="139">
        <f>$I45*VLOOKUP($A45,'[1]INPUT_ASSUMPTIONS CALC'!$A$13:$CK$1019,I$6,FALSE)*VLOOKUP($A45,'[1]INPUT_ASSUMPTIONS CALC'!$A$13:$CK$1019,K$7,FALSE)</f>
        <v>363000</v>
      </c>
      <c r="L45" s="139">
        <f>$I45*VLOOKUP($A45,'[1]INPUT_ASSUMPTIONS CALC'!$A$13:$CK$1019,I$6,FALSE)*VLOOKUP($A45,'[1]INPUT_ASSUMPTIONS CALC'!$A$13:$CK$1019,L$7,FALSE)</f>
        <v>290400</v>
      </c>
      <c r="M45" s="139">
        <f>$I45*VLOOKUP($A45,'[1]INPUT_ASSUMPTIONS CALC'!$A$13:$CK$1019,I$6,FALSE)*VLOOKUP($A45,'[1]INPUT_ASSUMPTIONS CALC'!$A$13:$CK$1019,M$7,FALSE)</f>
        <v>72599.999999999985</v>
      </c>
      <c r="N45" s="140">
        <f t="shared" si="3"/>
        <v>1452000</v>
      </c>
      <c r="O45" s="141">
        <f>H45*VLOOKUP($A45,'[1]INPUT_ASSUMPTIONS CALC'!$A$13:$CK$1019,H$6,FALSE)*SUMIF('[1]INPUT_ASSUMPTIONS CALC'!$CQ$15:$CQ$17,'[1]Summary calculation'!E45,'[1]INPUT_ASSUMPTIONS CALC'!$CR$15:$CR$17)</f>
        <v>72600</v>
      </c>
      <c r="P45" s="141">
        <f>H45*VLOOKUP($A45,'[1]INPUT_ASSUMPTIONS CALC'!$A$13:$CK$1019,H$6,FALSE)*SUMIF('[1]INPUT_ASSUMPTIONS CALC'!$CV$15:$CV$31,'[1]Summary calculation'!E45,'[1]INPUT_ASSUMPTIONS CALC'!$CW$15:$CW$31)</f>
        <v>72600</v>
      </c>
      <c r="Q45" s="141">
        <f>O45*VLOOKUP($A45,'[1]INPUT_ASSUMPTIONS CALC'!$A$13:$CK$1019,Q$7,FALSE)</f>
        <v>72600</v>
      </c>
      <c r="R45" s="141">
        <f>P45*VLOOKUP($A45,'[1]INPUT_ASSUMPTIONS CALC'!$A$13:$CK$1019,R$7,FALSE)</f>
        <v>72600</v>
      </c>
      <c r="S45" s="140">
        <f t="shared" si="1"/>
        <v>145200</v>
      </c>
      <c r="T45" s="142">
        <f t="shared" si="2"/>
        <v>1597200</v>
      </c>
      <c r="U45" s="61"/>
    </row>
    <row r="46" spans="1:21" x14ac:dyDescent="0.35">
      <c r="A46" s="125" t="str">
        <f t="shared" si="0"/>
        <v>38Q2</v>
      </c>
      <c r="B46" s="135">
        <v>38</v>
      </c>
      <c r="C46" s="61" t="str">
        <f>INDEX('[1]INPUT_ASSUMPTIONS CALC'!D:D,MATCH(A46,'[1]INPUT_ASSUMPTIONS CALC'!A:A,0))</f>
        <v>Kuznetsova Natalya</v>
      </c>
      <c r="D46" s="61" t="str">
        <f>INDEX('[1]INPUT_ASSUMPTIONS CALC'!I:I,MATCH(A46,'[1]INPUT_ASSUMPTIONS CALC'!A:A,0))</f>
        <v>Line 2 (big cities)</v>
      </c>
      <c r="E46" s="61" t="str">
        <f>INDEX('[1]INPUT_ASSUMPTIONS CALC'!E:E,MATCH(A46,'[1]INPUT_ASSUMPTIONS CALC'!A:A,0))</f>
        <v>Medical Representative</v>
      </c>
      <c r="F46" s="136">
        <f>IF($F$5="Q1",VLOOKUP($A46,'[1]INPUT_ASSUMPTIONS CALC'!$A$13:$CK$1019,F$7,FALSE),IF($F$5="Q2",VLOOKUP($A46,'[1]INPUT_ASSUMPTIONS CALC'!$A$13:$CK$1019,F$7,FALSE),IF($F$5="Q3",VLOOKUP($A46,'[1]INPUT_ASSUMPTIONS CALC'!$A$13:$CK$1019,F$7,FALSE),IF($F$5="Q4",VLOOKUP($A46,'[1]INPUT_ASSUMPTIONS CALC'!$A$13:$CK$1019,F$7,FALSE),IF($F$5="Year",VLOOKUP($A46,'[1]INPUT_ASSUMPTIONS CALC'!$A$13:$CK$1019,F$7,FALSE),0)))))</f>
        <v>395525</v>
      </c>
      <c r="G46" s="137">
        <f>SUMIF('[1]INPUT_ASSUMPTIONS CALC'!A:A,'[1]Summary calculation'!A46,'[1]INPUT_ASSUMPTIONS CALC'!BU:BU)</f>
        <v>1</v>
      </c>
      <c r="H46" s="138">
        <f>IF($F$5="Year",F46*G46*'[1]INPUT_ASSUMPTIONS CALC'!$S$7,F46*G46)</f>
        <v>395525</v>
      </c>
      <c r="I46" s="138">
        <f>H46*VLOOKUP($A46,'[1]INPUT_ASSUMPTIONS CALC'!$A$13:$CK$1019,H$6,FALSE)*SUMIF('[1]INPUT_ASSUMPTIONS CALC'!$CL$15:$CL$17,'[1]Summary calculation'!E46,'[1]INPUT_ASSUMPTIONS CALC'!$CM$15:$CM$17)</f>
        <v>316420</v>
      </c>
      <c r="J46" s="139">
        <f>$I46*VLOOKUP($A46,'[1]INPUT_ASSUMPTIONS CALC'!$A$13:$CK$1019,I$6,FALSE)*VLOOKUP($A46,'[1]INPUT_ASSUMPTIONS CALC'!$A$13:$CK$1019,J$7,FALSE)</f>
        <v>30376.320000000003</v>
      </c>
      <c r="K46" s="139">
        <f>$I46*VLOOKUP($A46,'[1]INPUT_ASSUMPTIONS CALC'!$A$13:$CK$1019,I$6,FALSE)*VLOOKUP($A46,'[1]INPUT_ASSUMPTIONS CALC'!$A$13:$CK$1019,K$7,FALSE)</f>
        <v>91128.960000000006</v>
      </c>
      <c r="L46" s="139">
        <f>$I46*VLOOKUP($A46,'[1]INPUT_ASSUMPTIONS CALC'!$A$13:$CK$1019,I$6,FALSE)*VLOOKUP($A46,'[1]INPUT_ASSUMPTIONS CALC'!$A$13:$CK$1019,L$7,FALSE)</f>
        <v>91128.960000000006</v>
      </c>
      <c r="M46" s="139">
        <f>$I46*VLOOKUP($A46,'[1]INPUT_ASSUMPTIONS CALC'!$A$13:$CK$1019,I$6,FALSE)*VLOOKUP($A46,'[1]INPUT_ASSUMPTIONS CALC'!$A$13:$CK$1019,M$7,FALSE)</f>
        <v>91128.960000000036</v>
      </c>
      <c r="N46" s="140">
        <f t="shared" si="3"/>
        <v>303763.20000000007</v>
      </c>
      <c r="O46" s="141">
        <f>H46*VLOOKUP($A46,'[1]INPUT_ASSUMPTIONS CALC'!$A$13:$CK$1019,H$6,FALSE)*SUMIF('[1]INPUT_ASSUMPTIONS CALC'!$CQ$15:$CQ$17,'[1]Summary calculation'!E46,'[1]INPUT_ASSUMPTIONS CALC'!$CR$15:$CR$17)</f>
        <v>79105</v>
      </c>
      <c r="P46" s="141">
        <f>H46*VLOOKUP($A46,'[1]INPUT_ASSUMPTIONS CALC'!$A$13:$CK$1019,H$6,FALSE)*SUMIF('[1]INPUT_ASSUMPTIONS CALC'!$CV$15:$CV$31,'[1]Summary calculation'!E46,'[1]INPUT_ASSUMPTIONS CALC'!$CW$15:$CW$31)</f>
        <v>0</v>
      </c>
      <c r="Q46" s="141">
        <f>O46*VLOOKUP($A46,'[1]INPUT_ASSUMPTIONS CALC'!$A$13:$CK$1019,Q$7,FALSE)</f>
        <v>79105</v>
      </c>
      <c r="R46" s="141">
        <f>P46*VLOOKUP($A46,'[1]INPUT_ASSUMPTIONS CALC'!$A$13:$CK$1019,R$7,FALSE)</f>
        <v>0</v>
      </c>
      <c r="S46" s="140">
        <f t="shared" si="1"/>
        <v>79105</v>
      </c>
      <c r="T46" s="142">
        <f t="shared" si="2"/>
        <v>382868</v>
      </c>
      <c r="U46" s="61"/>
    </row>
    <row r="47" spans="1:21" x14ac:dyDescent="0.35">
      <c r="A47" s="125" t="str">
        <f t="shared" si="0"/>
        <v>39Q2</v>
      </c>
      <c r="B47" s="135">
        <v>39</v>
      </c>
      <c r="C47" s="61" t="str">
        <f>INDEX('[1]INPUT_ASSUMPTIONS CALC'!D:D,MATCH(A47,'[1]INPUT_ASSUMPTIONS CALC'!A:A,0))</f>
        <v>Litvinenko Tatyana</v>
      </c>
      <c r="D47" s="61" t="str">
        <f>INDEX('[1]INPUT_ASSUMPTIONS CALC'!I:I,MATCH(A47,'[1]INPUT_ASSUMPTIONS CALC'!A:A,0))</f>
        <v>Pharma line</v>
      </c>
      <c r="E47" s="61" t="str">
        <f>INDEX('[1]INPUT_ASSUMPTIONS CALC'!E:E,MATCH(A47,'[1]INPUT_ASSUMPTIONS CALC'!A:A,0))</f>
        <v>Pharm Representative</v>
      </c>
      <c r="F47" s="136">
        <f>IF($F$5="Q1",VLOOKUP($A47,'[1]INPUT_ASSUMPTIONS CALC'!$A$13:$CK$1019,F$7,FALSE),IF($F$5="Q2",VLOOKUP($A47,'[1]INPUT_ASSUMPTIONS CALC'!$A$13:$CK$1019,F$7,FALSE),IF($F$5="Q3",VLOOKUP($A47,'[1]INPUT_ASSUMPTIONS CALC'!$A$13:$CK$1019,F$7,FALSE),IF($F$5="Q4",VLOOKUP($A47,'[1]INPUT_ASSUMPTIONS CALC'!$A$13:$CK$1019,F$7,FALSE),IF($F$5="Year",VLOOKUP($A47,'[1]INPUT_ASSUMPTIONS CALC'!$A$13:$CK$1019,F$7,FALSE),0)))))</f>
        <v>395525</v>
      </c>
      <c r="G47" s="137">
        <f>SUMIF('[1]INPUT_ASSUMPTIONS CALC'!A:A,'[1]Summary calculation'!A47,'[1]INPUT_ASSUMPTIONS CALC'!BU:BU)</f>
        <v>1</v>
      </c>
      <c r="H47" s="138">
        <f>IF($F$5="Year",F47*G47*'[1]INPUT_ASSUMPTIONS CALC'!$S$7,F47*G47)</f>
        <v>395525</v>
      </c>
      <c r="I47" s="138">
        <f>H47*VLOOKUP($A47,'[1]INPUT_ASSUMPTIONS CALC'!$A$13:$CK$1019,H$6,FALSE)*SUMIF('[1]INPUT_ASSUMPTIONS CALC'!$CL$15:$CL$17,'[1]Summary calculation'!E47,'[1]INPUT_ASSUMPTIONS CALC'!$CM$15:$CM$17)</f>
        <v>316420</v>
      </c>
      <c r="J47" s="139">
        <f>$I47*VLOOKUP($A47,'[1]INPUT_ASSUMPTIONS CALC'!$A$13:$CK$1019,I$6,FALSE)*VLOOKUP($A47,'[1]INPUT_ASSUMPTIONS CALC'!$A$13:$CK$1019,J$7,FALSE)</f>
        <v>242061.30000000002</v>
      </c>
      <c r="K47" s="139">
        <f>$I47*VLOOKUP($A47,'[1]INPUT_ASSUMPTIONS CALC'!$A$13:$CK$1019,I$6,FALSE)*VLOOKUP($A47,'[1]INPUT_ASSUMPTIONS CALC'!$A$13:$CK$1019,K$7,FALSE)</f>
        <v>161374.19999999998</v>
      </c>
      <c r="L47" s="139">
        <f>$I47*VLOOKUP($A47,'[1]INPUT_ASSUMPTIONS CALC'!$A$13:$CK$1019,I$6,FALSE)*VLOOKUP($A47,'[1]INPUT_ASSUMPTIONS CALC'!$A$13:$CK$1019,L$7,FALSE)</f>
        <v>80687.099999999991</v>
      </c>
      <c r="M47" s="139">
        <f>$I47*VLOOKUP($A47,'[1]INPUT_ASSUMPTIONS CALC'!$A$13:$CK$1019,I$6,FALSE)*VLOOKUP($A47,'[1]INPUT_ASSUMPTIONS CALC'!$A$13:$CK$1019,M$7,FALSE)</f>
        <v>53791.400000000031</v>
      </c>
      <c r="N47" s="140">
        <f t="shared" si="3"/>
        <v>537914</v>
      </c>
      <c r="O47" s="141">
        <f>H47*VLOOKUP($A47,'[1]INPUT_ASSUMPTIONS CALC'!$A$13:$CK$1019,H$6,FALSE)*SUMIF('[1]INPUT_ASSUMPTIONS CALC'!$CQ$15:$CQ$17,'[1]Summary calculation'!E47,'[1]INPUT_ASSUMPTIONS CALC'!$CR$15:$CR$17)</f>
        <v>79105</v>
      </c>
      <c r="P47" s="141">
        <f>H47*VLOOKUP($A47,'[1]INPUT_ASSUMPTIONS CALC'!$A$13:$CK$1019,H$6,FALSE)*SUMIF('[1]INPUT_ASSUMPTIONS CALC'!$CV$15:$CV$31,'[1]Summary calculation'!E47,'[1]INPUT_ASSUMPTIONS CALC'!$CW$15:$CW$31)</f>
        <v>0</v>
      </c>
      <c r="Q47" s="141">
        <f>O47*VLOOKUP($A47,'[1]INPUT_ASSUMPTIONS CALC'!$A$13:$CK$1019,Q$7,FALSE)</f>
        <v>79105</v>
      </c>
      <c r="R47" s="141">
        <f>P47*VLOOKUP($A47,'[1]INPUT_ASSUMPTIONS CALC'!$A$13:$CK$1019,R$7,FALSE)</f>
        <v>0</v>
      </c>
      <c r="S47" s="140">
        <f t="shared" si="1"/>
        <v>79105</v>
      </c>
      <c r="T47" s="142">
        <f t="shared" si="2"/>
        <v>617019</v>
      </c>
      <c r="U47" s="61"/>
    </row>
    <row r="48" spans="1:21" x14ac:dyDescent="0.35">
      <c r="A48" s="125" t="str">
        <f t="shared" si="0"/>
        <v>40Q2</v>
      </c>
      <c r="B48" s="135">
        <v>40</v>
      </c>
      <c r="C48" s="61" t="str">
        <f>INDEX('[1]INPUT_ASSUMPTIONS CALC'!D:D,MATCH(A48,'[1]INPUT_ASSUMPTIONS CALC'!A:A,0))</f>
        <v>Maisutova Almagul</v>
      </c>
      <c r="D48" s="61" t="str">
        <f>INDEX('[1]INPUT_ASSUMPTIONS CALC'!I:I,MATCH(A48,'[1]INPUT_ASSUMPTIONS CALC'!A:A,0))</f>
        <v>Regional Manager-1</v>
      </c>
      <c r="E48" s="61" t="str">
        <f>INDEX('[1]INPUT_ASSUMPTIONS CALC'!E:E,MATCH(A48,'[1]INPUT_ASSUMPTIONS CALC'!A:A,0))</f>
        <v>Regional Manager</v>
      </c>
      <c r="F48" s="136">
        <f>IF($F$5="Q1",VLOOKUP($A48,'[1]INPUT_ASSUMPTIONS CALC'!$A$13:$CK$1019,F$7,FALSE),IF($F$5="Q2",VLOOKUP($A48,'[1]INPUT_ASSUMPTIONS CALC'!$A$13:$CK$1019,F$7,FALSE),IF($F$5="Q3",VLOOKUP($A48,'[1]INPUT_ASSUMPTIONS CALC'!$A$13:$CK$1019,F$7,FALSE),IF($F$5="Q4",VLOOKUP($A48,'[1]INPUT_ASSUMPTIONS CALC'!$A$13:$CK$1019,F$7,FALSE),IF($F$5="Year",VLOOKUP($A48,'[1]INPUT_ASSUMPTIONS CALC'!$A$13:$CK$1019,F$7,FALSE),0)))))</f>
        <v>726000</v>
      </c>
      <c r="G48" s="137">
        <f>SUMIF('[1]INPUT_ASSUMPTIONS CALC'!A:A,'[1]Summary calculation'!A48,'[1]INPUT_ASSUMPTIONS CALC'!BU:BU)</f>
        <v>1</v>
      </c>
      <c r="H48" s="138">
        <f>IF($F$5="Year",F48*G48*'[1]INPUT_ASSUMPTIONS CALC'!$S$7,F48*G48)</f>
        <v>726000</v>
      </c>
      <c r="I48" s="138">
        <f>H48*VLOOKUP($A48,'[1]INPUT_ASSUMPTIONS CALC'!$A$13:$CK$1019,H$6,FALSE)*SUMIF('[1]INPUT_ASSUMPTIONS CALC'!$CL$15:$CL$17,'[1]Summary calculation'!E48,'[1]INPUT_ASSUMPTIONS CALC'!$CM$15:$CM$17)</f>
        <v>580800</v>
      </c>
      <c r="J48" s="139">
        <f>$I48*VLOOKUP($A48,'[1]INPUT_ASSUMPTIONS CALC'!$A$13:$CK$1019,I$6,FALSE)*VLOOKUP($A48,'[1]INPUT_ASSUMPTIONS CALC'!$A$13:$CK$1019,J$7,FALSE)</f>
        <v>290400</v>
      </c>
      <c r="K48" s="139">
        <f>$I48*VLOOKUP($A48,'[1]INPUT_ASSUMPTIONS CALC'!$A$13:$CK$1019,I$6,FALSE)*VLOOKUP($A48,'[1]INPUT_ASSUMPTIONS CALC'!$A$13:$CK$1019,K$7,FALSE)</f>
        <v>145200</v>
      </c>
      <c r="L48" s="139">
        <f>$I48*VLOOKUP($A48,'[1]INPUT_ASSUMPTIONS CALC'!$A$13:$CK$1019,I$6,FALSE)*VLOOKUP($A48,'[1]INPUT_ASSUMPTIONS CALC'!$A$13:$CK$1019,L$7,FALSE)</f>
        <v>116160</v>
      </c>
      <c r="M48" s="139">
        <f>$I48*VLOOKUP($A48,'[1]INPUT_ASSUMPTIONS CALC'!$A$13:$CK$1019,I$6,FALSE)*VLOOKUP($A48,'[1]INPUT_ASSUMPTIONS CALC'!$A$13:$CK$1019,M$7,FALSE)</f>
        <v>29039.999999999993</v>
      </c>
      <c r="N48" s="140">
        <f t="shared" si="3"/>
        <v>580800</v>
      </c>
      <c r="O48" s="141">
        <f>H48*VLOOKUP($A48,'[1]INPUT_ASSUMPTIONS CALC'!$A$13:$CK$1019,H$6,FALSE)*SUMIF('[1]INPUT_ASSUMPTIONS CALC'!$CQ$15:$CQ$17,'[1]Summary calculation'!E48,'[1]INPUT_ASSUMPTIONS CALC'!$CR$15:$CR$17)</f>
        <v>72600</v>
      </c>
      <c r="P48" s="141">
        <f>H48*VLOOKUP($A48,'[1]INPUT_ASSUMPTIONS CALC'!$A$13:$CK$1019,H$6,FALSE)*SUMIF('[1]INPUT_ASSUMPTIONS CALC'!$CV$15:$CV$31,'[1]Summary calculation'!E48,'[1]INPUT_ASSUMPTIONS CALC'!$CW$15:$CW$31)</f>
        <v>72600</v>
      </c>
      <c r="Q48" s="141">
        <f>O48*VLOOKUP($A48,'[1]INPUT_ASSUMPTIONS CALC'!$A$13:$CK$1019,Q$7,FALSE)</f>
        <v>72600</v>
      </c>
      <c r="R48" s="141">
        <f>P48*VLOOKUP($A48,'[1]INPUT_ASSUMPTIONS CALC'!$A$13:$CK$1019,R$7,FALSE)</f>
        <v>72600</v>
      </c>
      <c r="S48" s="140">
        <f t="shared" si="1"/>
        <v>145200</v>
      </c>
      <c r="T48" s="142">
        <f t="shared" si="2"/>
        <v>726000</v>
      </c>
      <c r="U48" s="61"/>
    </row>
    <row r="49" spans="1:21" x14ac:dyDescent="0.35">
      <c r="A49" s="125" t="str">
        <f t="shared" si="0"/>
        <v>41Q2</v>
      </c>
      <c r="B49" s="135">
        <v>41</v>
      </c>
      <c r="C49" s="61" t="str">
        <f>INDEX('[1]INPUT_ASSUMPTIONS CALC'!D:D,MATCH(A49,'[1]INPUT_ASSUMPTIONS CALC'!A:A,0))</f>
        <v>Mamedova Zarina</v>
      </c>
      <c r="D49" s="61" t="str">
        <f>INDEX('[1]INPUT_ASSUMPTIONS CALC'!I:I,MATCH(A49,'[1]INPUT_ASSUMPTIONS CALC'!A:A,0))</f>
        <v>Line 3 (big cities)</v>
      </c>
      <c r="E49" s="61" t="str">
        <f>INDEX('[1]INPUT_ASSUMPTIONS CALC'!E:E,MATCH(A49,'[1]INPUT_ASSUMPTIONS CALC'!A:A,0))</f>
        <v>Medical Representative</v>
      </c>
      <c r="F49" s="136">
        <f>IF($F$5="Q1",VLOOKUP($A49,'[1]INPUT_ASSUMPTIONS CALC'!$A$13:$CK$1019,F$7,FALSE),IF($F$5="Q2",VLOOKUP($A49,'[1]INPUT_ASSUMPTIONS CALC'!$A$13:$CK$1019,F$7,FALSE),IF($F$5="Q3",VLOOKUP($A49,'[1]INPUT_ASSUMPTIONS CALC'!$A$13:$CK$1019,F$7,FALSE),IF($F$5="Q4",VLOOKUP($A49,'[1]INPUT_ASSUMPTIONS CALC'!$A$13:$CK$1019,F$7,FALSE),IF($F$5="Year",VLOOKUP($A49,'[1]INPUT_ASSUMPTIONS CALC'!$A$13:$CK$1019,F$7,FALSE),0)))))</f>
        <v>395525</v>
      </c>
      <c r="G49" s="137">
        <f>SUMIF('[1]INPUT_ASSUMPTIONS CALC'!A:A,'[1]Summary calculation'!A49,'[1]INPUT_ASSUMPTIONS CALC'!BU:BU)</f>
        <v>1</v>
      </c>
      <c r="H49" s="138">
        <f>IF($F$5="Year",F49*G49*'[1]INPUT_ASSUMPTIONS CALC'!$S$7,F49*G49)</f>
        <v>395525</v>
      </c>
      <c r="I49" s="138">
        <f>H49*VLOOKUP($A49,'[1]INPUT_ASSUMPTIONS CALC'!$A$13:$CK$1019,H$6,FALSE)*SUMIF('[1]INPUT_ASSUMPTIONS CALC'!$CL$15:$CL$17,'[1]Summary calculation'!E49,'[1]INPUT_ASSUMPTIONS CALC'!$CM$15:$CM$17)</f>
        <v>0</v>
      </c>
      <c r="J49" s="139">
        <f>$I49*VLOOKUP($A49,'[1]INPUT_ASSUMPTIONS CALC'!$A$13:$CK$1019,I$6,FALSE)*VLOOKUP($A49,'[1]INPUT_ASSUMPTIONS CALC'!$A$13:$CK$1019,J$7,FALSE)</f>
        <v>0</v>
      </c>
      <c r="K49" s="139">
        <f>$I49*VLOOKUP($A49,'[1]INPUT_ASSUMPTIONS CALC'!$A$13:$CK$1019,I$6,FALSE)*VLOOKUP($A49,'[1]INPUT_ASSUMPTIONS CALC'!$A$13:$CK$1019,K$7,FALSE)</f>
        <v>0</v>
      </c>
      <c r="L49" s="139">
        <f>$I49*VLOOKUP($A49,'[1]INPUT_ASSUMPTIONS CALC'!$A$13:$CK$1019,I$6,FALSE)*VLOOKUP($A49,'[1]INPUT_ASSUMPTIONS CALC'!$A$13:$CK$1019,L$7,FALSE)</f>
        <v>0</v>
      </c>
      <c r="M49" s="139">
        <f>$I49*VLOOKUP($A49,'[1]INPUT_ASSUMPTIONS CALC'!$A$13:$CK$1019,I$6,FALSE)*VLOOKUP($A49,'[1]INPUT_ASSUMPTIONS CALC'!$A$13:$CK$1019,M$7,FALSE)</f>
        <v>0</v>
      </c>
      <c r="N49" s="140">
        <f t="shared" si="3"/>
        <v>0</v>
      </c>
      <c r="O49" s="141">
        <f>H49*VLOOKUP($A49,'[1]INPUT_ASSUMPTIONS CALC'!$A$13:$CK$1019,H$6,FALSE)*SUMIF('[1]INPUT_ASSUMPTIONS CALC'!$CQ$15:$CQ$17,'[1]Summary calculation'!E49,'[1]INPUT_ASSUMPTIONS CALC'!$CR$15:$CR$17)</f>
        <v>0</v>
      </c>
      <c r="P49" s="141">
        <f>H49*VLOOKUP($A49,'[1]INPUT_ASSUMPTIONS CALC'!$A$13:$CK$1019,H$6,FALSE)*SUMIF('[1]INPUT_ASSUMPTIONS CALC'!$CV$15:$CV$31,'[1]Summary calculation'!E49,'[1]INPUT_ASSUMPTIONS CALC'!$CW$15:$CW$31)</f>
        <v>0</v>
      </c>
      <c r="Q49" s="141">
        <f>O49*VLOOKUP($A49,'[1]INPUT_ASSUMPTIONS CALC'!$A$13:$CK$1019,Q$7,FALSE)</f>
        <v>0</v>
      </c>
      <c r="R49" s="141">
        <f>P49*VLOOKUP($A49,'[1]INPUT_ASSUMPTIONS CALC'!$A$13:$CK$1019,R$7,FALSE)</f>
        <v>0</v>
      </c>
      <c r="S49" s="140">
        <f t="shared" si="1"/>
        <v>0</v>
      </c>
      <c r="T49" s="142">
        <f t="shared" si="2"/>
        <v>0</v>
      </c>
      <c r="U49" s="61"/>
    </row>
    <row r="50" spans="1:21" x14ac:dyDescent="0.35">
      <c r="A50" s="125" t="str">
        <f t="shared" si="0"/>
        <v>42Q2</v>
      </c>
      <c r="B50" s="135">
        <v>42</v>
      </c>
      <c r="C50" s="61" t="str">
        <f>INDEX('[1]INPUT_ASSUMPTIONS CALC'!D:D,MATCH(A50,'[1]INPUT_ASSUMPTIONS CALC'!A:A,0))</f>
        <v>Mamutova Aliya</v>
      </c>
      <c r="D50" s="61" t="str">
        <f>INDEX('[1]INPUT_ASSUMPTIONS CALC'!I:I,MATCH(A50,'[1]INPUT_ASSUMPTIONS CALC'!A:A,0))</f>
        <v>Line 1</v>
      </c>
      <c r="E50" s="61" t="str">
        <f>INDEX('[1]INPUT_ASSUMPTIONS CALC'!E:E,MATCH(A50,'[1]INPUT_ASSUMPTIONS CALC'!A:A,0))</f>
        <v>Medical Representative</v>
      </c>
      <c r="F50" s="136">
        <f>IF($F$5="Q1",VLOOKUP($A50,'[1]INPUT_ASSUMPTIONS CALC'!$A$13:$CK$1019,F$7,FALSE),IF($F$5="Q2",VLOOKUP($A50,'[1]INPUT_ASSUMPTIONS CALC'!$A$13:$CK$1019,F$7,FALSE),IF($F$5="Q3",VLOOKUP($A50,'[1]INPUT_ASSUMPTIONS CALC'!$A$13:$CK$1019,F$7,FALSE),IF($F$5="Q4",VLOOKUP($A50,'[1]INPUT_ASSUMPTIONS CALC'!$A$13:$CK$1019,F$7,FALSE),IF($F$5="Year",VLOOKUP($A50,'[1]INPUT_ASSUMPTIONS CALC'!$A$13:$CK$1019,F$7,FALSE),0)))))</f>
        <v>395525</v>
      </c>
      <c r="G50" s="137">
        <f>SUMIF('[1]INPUT_ASSUMPTIONS CALC'!A:A,'[1]Summary calculation'!A50,'[1]INPUT_ASSUMPTIONS CALC'!BU:BU)</f>
        <v>1</v>
      </c>
      <c r="H50" s="138">
        <f>IF($F$5="Year",F50*G50*'[1]INPUT_ASSUMPTIONS CALC'!$S$7,F50*G50)</f>
        <v>395525</v>
      </c>
      <c r="I50" s="138">
        <f>H50*VLOOKUP($A50,'[1]INPUT_ASSUMPTIONS CALC'!$A$13:$CK$1019,H$6,FALSE)*SUMIF('[1]INPUT_ASSUMPTIONS CALC'!$CL$15:$CL$17,'[1]Summary calculation'!E50,'[1]INPUT_ASSUMPTIONS CALC'!$CM$15:$CM$17)</f>
        <v>316420</v>
      </c>
      <c r="J50" s="139">
        <f>$I50*VLOOKUP($A50,'[1]INPUT_ASSUMPTIONS CALC'!$A$13:$CK$1019,I$6,FALSE)*VLOOKUP($A50,'[1]INPUT_ASSUMPTIONS CALC'!$A$13:$CK$1019,J$7,FALSE)</f>
        <v>379704</v>
      </c>
      <c r="K50" s="139">
        <f>$I50*VLOOKUP($A50,'[1]INPUT_ASSUMPTIONS CALC'!$A$13:$CK$1019,I$6,FALSE)*VLOOKUP($A50,'[1]INPUT_ASSUMPTIONS CALC'!$A$13:$CK$1019,K$7,FALSE)</f>
        <v>265792.8</v>
      </c>
      <c r="L50" s="139">
        <f>$I50*VLOOKUP($A50,'[1]INPUT_ASSUMPTIONS CALC'!$A$13:$CK$1019,I$6,FALSE)*VLOOKUP($A50,'[1]INPUT_ASSUMPTIONS CALC'!$A$13:$CK$1019,L$7,FALSE)</f>
        <v>75940.800000000003</v>
      </c>
      <c r="M50" s="139">
        <f>$I50*VLOOKUP($A50,'[1]INPUT_ASSUMPTIONS CALC'!$A$13:$CK$1019,I$6,FALSE)*VLOOKUP($A50,'[1]INPUT_ASSUMPTIONS CALC'!$A$13:$CK$1019,M$7,FALSE)</f>
        <v>37970.400000000016</v>
      </c>
      <c r="N50" s="140">
        <f t="shared" si="3"/>
        <v>759408.00000000012</v>
      </c>
      <c r="O50" s="141">
        <f>H50*VLOOKUP($A50,'[1]INPUT_ASSUMPTIONS CALC'!$A$13:$CK$1019,H$6,FALSE)*SUMIF('[1]INPUT_ASSUMPTIONS CALC'!$CQ$15:$CQ$17,'[1]Summary calculation'!E50,'[1]INPUT_ASSUMPTIONS CALC'!$CR$15:$CR$17)</f>
        <v>79105</v>
      </c>
      <c r="P50" s="141">
        <f>H50*VLOOKUP($A50,'[1]INPUT_ASSUMPTIONS CALC'!$A$13:$CK$1019,H$6,FALSE)*SUMIF('[1]INPUT_ASSUMPTIONS CALC'!$CV$15:$CV$31,'[1]Summary calculation'!E50,'[1]INPUT_ASSUMPTIONS CALC'!$CW$15:$CW$31)</f>
        <v>0</v>
      </c>
      <c r="Q50" s="141">
        <f>O50*VLOOKUP($A50,'[1]INPUT_ASSUMPTIONS CALC'!$A$13:$CK$1019,Q$7,FALSE)</f>
        <v>79105</v>
      </c>
      <c r="R50" s="141">
        <f>P50*VLOOKUP($A50,'[1]INPUT_ASSUMPTIONS CALC'!$A$13:$CK$1019,R$7,FALSE)</f>
        <v>0</v>
      </c>
      <c r="S50" s="140">
        <f t="shared" si="1"/>
        <v>79105</v>
      </c>
      <c r="T50" s="142">
        <f t="shared" si="2"/>
        <v>838513</v>
      </c>
      <c r="U50" s="61"/>
    </row>
    <row r="51" spans="1:21" x14ac:dyDescent="0.35">
      <c r="A51" s="125" t="str">
        <f t="shared" si="0"/>
        <v>43Q2</v>
      </c>
      <c r="B51" s="135">
        <v>43</v>
      </c>
      <c r="C51" s="61" t="str">
        <f>INDEX('[1]INPUT_ASSUMPTIONS CALC'!D:D,MATCH(A51,'[1]INPUT_ASSUMPTIONS CALC'!A:A,0))</f>
        <v>Manapbayeva Assel</v>
      </c>
      <c r="D51" s="61" t="str">
        <f>INDEX('[1]INPUT_ASSUMPTIONS CALC'!I:I,MATCH(A51,'[1]INPUT_ASSUMPTIONS CALC'!A:A,0))</f>
        <v>Line 2 (big cities)</v>
      </c>
      <c r="E51" s="61" t="str">
        <f>INDEX('[1]INPUT_ASSUMPTIONS CALC'!E:E,MATCH(A51,'[1]INPUT_ASSUMPTIONS CALC'!A:A,0))</f>
        <v>Medical Representative</v>
      </c>
      <c r="F51" s="136">
        <f>IF($F$5="Q1",VLOOKUP($A51,'[1]INPUT_ASSUMPTIONS CALC'!$A$13:$CK$1019,F$7,FALSE),IF($F$5="Q2",VLOOKUP($A51,'[1]INPUT_ASSUMPTIONS CALC'!$A$13:$CK$1019,F$7,FALSE),IF($F$5="Q3",VLOOKUP($A51,'[1]INPUT_ASSUMPTIONS CALC'!$A$13:$CK$1019,F$7,FALSE),IF($F$5="Q4",VLOOKUP($A51,'[1]INPUT_ASSUMPTIONS CALC'!$A$13:$CK$1019,F$7,FALSE),IF($F$5="Year",VLOOKUP($A51,'[1]INPUT_ASSUMPTIONS CALC'!$A$13:$CK$1019,F$7,FALSE),0)))))</f>
        <v>395525</v>
      </c>
      <c r="G51" s="137">
        <f>SUMIF('[1]INPUT_ASSUMPTIONS CALC'!A:A,'[1]Summary calculation'!A51,'[1]INPUT_ASSUMPTIONS CALC'!BU:BU)</f>
        <v>1</v>
      </c>
      <c r="H51" s="138">
        <f>IF($F$5="Year",F51*G51*'[1]INPUT_ASSUMPTIONS CALC'!$S$7,F51*G51)</f>
        <v>395525</v>
      </c>
      <c r="I51" s="138">
        <f>H51*VLOOKUP($A51,'[1]INPUT_ASSUMPTIONS CALC'!$A$13:$CK$1019,H$6,FALSE)*SUMIF('[1]INPUT_ASSUMPTIONS CALC'!$CL$15:$CL$17,'[1]Summary calculation'!E51,'[1]INPUT_ASSUMPTIONS CALC'!$CM$15:$CM$17)</f>
        <v>316420</v>
      </c>
      <c r="J51" s="139">
        <f>$I51*VLOOKUP($A51,'[1]INPUT_ASSUMPTIONS CALC'!$A$13:$CK$1019,I$6,FALSE)*VLOOKUP($A51,'[1]INPUT_ASSUMPTIONS CALC'!$A$13:$CK$1019,J$7,FALSE)</f>
        <v>31642</v>
      </c>
      <c r="K51" s="139">
        <f>$I51*VLOOKUP($A51,'[1]INPUT_ASSUMPTIONS CALC'!$A$13:$CK$1019,I$6,FALSE)*VLOOKUP($A51,'[1]INPUT_ASSUMPTIONS CALC'!$A$13:$CK$1019,K$7,FALSE)</f>
        <v>94926</v>
      </c>
      <c r="L51" s="139">
        <f>$I51*VLOOKUP($A51,'[1]INPUT_ASSUMPTIONS CALC'!$A$13:$CK$1019,I$6,FALSE)*VLOOKUP($A51,'[1]INPUT_ASSUMPTIONS CALC'!$A$13:$CK$1019,L$7,FALSE)</f>
        <v>94926</v>
      </c>
      <c r="M51" s="139">
        <f>$I51*VLOOKUP($A51,'[1]INPUT_ASSUMPTIONS CALC'!$A$13:$CK$1019,I$6,FALSE)*VLOOKUP($A51,'[1]INPUT_ASSUMPTIONS CALC'!$A$13:$CK$1019,M$7,FALSE)</f>
        <v>94926.000000000029</v>
      </c>
      <c r="N51" s="140">
        <f t="shared" si="3"/>
        <v>316420</v>
      </c>
      <c r="O51" s="141">
        <f>H51*VLOOKUP($A51,'[1]INPUT_ASSUMPTIONS CALC'!$A$13:$CK$1019,H$6,FALSE)*SUMIF('[1]INPUT_ASSUMPTIONS CALC'!$CQ$15:$CQ$17,'[1]Summary calculation'!E51,'[1]INPUT_ASSUMPTIONS CALC'!$CR$15:$CR$17)</f>
        <v>79105</v>
      </c>
      <c r="P51" s="141">
        <f>H51*VLOOKUP($A51,'[1]INPUT_ASSUMPTIONS CALC'!$A$13:$CK$1019,H$6,FALSE)*SUMIF('[1]INPUT_ASSUMPTIONS CALC'!$CV$15:$CV$31,'[1]Summary calculation'!E51,'[1]INPUT_ASSUMPTIONS CALC'!$CW$15:$CW$31)</f>
        <v>0</v>
      </c>
      <c r="Q51" s="141">
        <f>O51*VLOOKUP($A51,'[1]INPUT_ASSUMPTIONS CALC'!$A$13:$CK$1019,Q$7,FALSE)</f>
        <v>79105</v>
      </c>
      <c r="R51" s="141">
        <f>P51*VLOOKUP($A51,'[1]INPUT_ASSUMPTIONS CALC'!$A$13:$CK$1019,R$7,FALSE)</f>
        <v>0</v>
      </c>
      <c r="S51" s="140">
        <f t="shared" si="1"/>
        <v>79105</v>
      </c>
      <c r="T51" s="142">
        <f t="shared" si="2"/>
        <v>395525</v>
      </c>
      <c r="U51" s="61"/>
    </row>
    <row r="52" spans="1:21" x14ac:dyDescent="0.35">
      <c r="A52" s="125" t="str">
        <f t="shared" si="0"/>
        <v>44Q2</v>
      </c>
      <c r="B52" s="135">
        <v>44</v>
      </c>
      <c r="C52" s="61" t="str">
        <f>INDEX('[1]INPUT_ASSUMPTIONS CALC'!D:D,MATCH(A52,'[1]INPUT_ASSUMPTIONS CALC'!A:A,0))</f>
        <v>Maximenko Alexandr</v>
      </c>
      <c r="D52" s="61" t="str">
        <f>INDEX('[1]INPUT_ASSUMPTIONS CALC'!I:I,MATCH(A52,'[1]INPUT_ASSUMPTIONS CALC'!A:A,0))</f>
        <v>Pharma line</v>
      </c>
      <c r="E52" s="61" t="str">
        <f>INDEX('[1]INPUT_ASSUMPTIONS CALC'!E:E,MATCH(A52,'[1]INPUT_ASSUMPTIONS CALC'!A:A,0))</f>
        <v>Pharm Representative</v>
      </c>
      <c r="F52" s="136">
        <f>IF($F$5="Q1",VLOOKUP($A52,'[1]INPUT_ASSUMPTIONS CALC'!$A$13:$CK$1019,F$7,FALSE),IF($F$5="Q2",VLOOKUP($A52,'[1]INPUT_ASSUMPTIONS CALC'!$A$13:$CK$1019,F$7,FALSE),IF($F$5="Q3",VLOOKUP($A52,'[1]INPUT_ASSUMPTIONS CALC'!$A$13:$CK$1019,F$7,FALSE),IF($F$5="Q4",VLOOKUP($A52,'[1]INPUT_ASSUMPTIONS CALC'!$A$13:$CK$1019,F$7,FALSE),IF($F$5="Year",VLOOKUP($A52,'[1]INPUT_ASSUMPTIONS CALC'!$A$13:$CK$1019,F$7,FALSE),0)))))</f>
        <v>395525</v>
      </c>
      <c r="G52" s="137">
        <f>SUMIF('[1]INPUT_ASSUMPTIONS CALC'!A:A,'[1]Summary calculation'!A52,'[1]INPUT_ASSUMPTIONS CALC'!BU:BU)</f>
        <v>1</v>
      </c>
      <c r="H52" s="138">
        <f>IF($F$5="Year",F52*G52*'[1]INPUT_ASSUMPTIONS CALC'!$S$7,F52*G52)</f>
        <v>395525</v>
      </c>
      <c r="I52" s="138">
        <f>H52*VLOOKUP($A52,'[1]INPUT_ASSUMPTIONS CALC'!$A$13:$CK$1019,H$6,FALSE)*SUMIF('[1]INPUT_ASSUMPTIONS CALC'!$CL$15:$CL$17,'[1]Summary calculation'!E52,'[1]INPUT_ASSUMPTIONS CALC'!$CM$15:$CM$17)</f>
        <v>316420</v>
      </c>
      <c r="J52" s="139">
        <f>$I52*VLOOKUP($A52,'[1]INPUT_ASSUMPTIONS CALC'!$A$13:$CK$1019,I$6,FALSE)*VLOOKUP($A52,'[1]INPUT_ASSUMPTIONS CALC'!$A$13:$CK$1019,J$7,FALSE)</f>
        <v>199344.6</v>
      </c>
      <c r="K52" s="139">
        <f>$I52*VLOOKUP($A52,'[1]INPUT_ASSUMPTIONS CALC'!$A$13:$CK$1019,I$6,FALSE)*VLOOKUP($A52,'[1]INPUT_ASSUMPTIONS CALC'!$A$13:$CK$1019,K$7,FALSE)</f>
        <v>132896.4</v>
      </c>
      <c r="L52" s="139">
        <f>$I52*VLOOKUP($A52,'[1]INPUT_ASSUMPTIONS CALC'!$A$13:$CK$1019,I$6,FALSE)*VLOOKUP($A52,'[1]INPUT_ASSUMPTIONS CALC'!$A$13:$CK$1019,L$7,FALSE)</f>
        <v>66448.2</v>
      </c>
      <c r="M52" s="139">
        <f>$I52*VLOOKUP($A52,'[1]INPUT_ASSUMPTIONS CALC'!$A$13:$CK$1019,I$6,FALSE)*VLOOKUP($A52,'[1]INPUT_ASSUMPTIONS CALC'!$A$13:$CK$1019,M$7,FALSE)</f>
        <v>44298.800000000025</v>
      </c>
      <c r="N52" s="140">
        <f t="shared" si="3"/>
        <v>442988.00000000006</v>
      </c>
      <c r="O52" s="141">
        <f>H52*VLOOKUP($A52,'[1]INPUT_ASSUMPTIONS CALC'!$A$13:$CK$1019,H$6,FALSE)*SUMIF('[1]INPUT_ASSUMPTIONS CALC'!$CQ$15:$CQ$17,'[1]Summary calculation'!E52,'[1]INPUT_ASSUMPTIONS CALC'!$CR$15:$CR$17)</f>
        <v>79105</v>
      </c>
      <c r="P52" s="141">
        <f>H52*VLOOKUP($A52,'[1]INPUT_ASSUMPTIONS CALC'!$A$13:$CK$1019,H$6,FALSE)*SUMIF('[1]INPUT_ASSUMPTIONS CALC'!$CV$15:$CV$31,'[1]Summary calculation'!E52,'[1]INPUT_ASSUMPTIONS CALC'!$CW$15:$CW$31)</f>
        <v>0</v>
      </c>
      <c r="Q52" s="141">
        <f>O52*VLOOKUP($A52,'[1]INPUT_ASSUMPTIONS CALC'!$A$13:$CK$1019,Q$7,FALSE)</f>
        <v>79105</v>
      </c>
      <c r="R52" s="141">
        <f>P52*VLOOKUP($A52,'[1]INPUT_ASSUMPTIONS CALC'!$A$13:$CK$1019,R$7,FALSE)</f>
        <v>0</v>
      </c>
      <c r="S52" s="140">
        <f t="shared" si="1"/>
        <v>79105</v>
      </c>
      <c r="T52" s="142">
        <f t="shared" si="2"/>
        <v>522093</v>
      </c>
      <c r="U52" s="61"/>
    </row>
    <row r="53" spans="1:21" x14ac:dyDescent="0.35">
      <c r="A53" s="125" t="str">
        <f t="shared" si="0"/>
        <v>45Q2</v>
      </c>
      <c r="B53" s="135">
        <v>45</v>
      </c>
      <c r="C53" s="61" t="str">
        <f>INDEX('[1]INPUT_ASSUMPTIONS CALC'!D:D,MATCH(A53,'[1]INPUT_ASSUMPTIONS CALC'!A:A,0))</f>
        <v>Meirbek Ainur</v>
      </c>
      <c r="D53" s="61" t="str">
        <f>INDEX('[1]INPUT_ASSUMPTIONS CALC'!I:I,MATCH(A53,'[1]INPUT_ASSUMPTIONS CALC'!A:A,0))</f>
        <v>Line 1</v>
      </c>
      <c r="E53" s="61" t="str">
        <f>INDEX('[1]INPUT_ASSUMPTIONS CALC'!E:E,MATCH(A53,'[1]INPUT_ASSUMPTIONS CALC'!A:A,0))</f>
        <v>Medical Representative</v>
      </c>
      <c r="F53" s="136">
        <f>IF($F$5="Q1",VLOOKUP($A53,'[1]INPUT_ASSUMPTIONS CALC'!$A$13:$CK$1019,F$7,FALSE),IF($F$5="Q2",VLOOKUP($A53,'[1]INPUT_ASSUMPTIONS CALC'!$A$13:$CK$1019,F$7,FALSE),IF($F$5="Q3",VLOOKUP($A53,'[1]INPUT_ASSUMPTIONS CALC'!$A$13:$CK$1019,F$7,FALSE),IF($F$5="Q4",VLOOKUP($A53,'[1]INPUT_ASSUMPTIONS CALC'!$A$13:$CK$1019,F$7,FALSE),IF($F$5="Year",VLOOKUP($A53,'[1]INPUT_ASSUMPTIONS CALC'!$A$13:$CK$1019,F$7,FALSE),0)))))</f>
        <v>395525</v>
      </c>
      <c r="G53" s="137">
        <f>SUMIF('[1]INPUT_ASSUMPTIONS CALC'!A:A,'[1]Summary calculation'!A53,'[1]INPUT_ASSUMPTIONS CALC'!BU:BU)</f>
        <v>1</v>
      </c>
      <c r="H53" s="138">
        <f>IF($F$5="Year",F53*G53*'[1]INPUT_ASSUMPTIONS CALC'!$S$7,F53*G53)</f>
        <v>395525</v>
      </c>
      <c r="I53" s="138">
        <f>H53*VLOOKUP($A53,'[1]INPUT_ASSUMPTIONS CALC'!$A$13:$CK$1019,H$6,FALSE)*SUMIF('[1]INPUT_ASSUMPTIONS CALC'!$CL$15:$CL$17,'[1]Summary calculation'!E53,'[1]INPUT_ASSUMPTIONS CALC'!$CM$15:$CM$17)</f>
        <v>316420</v>
      </c>
      <c r="J53" s="139">
        <f>$I53*VLOOKUP($A53,'[1]INPUT_ASSUMPTIONS CALC'!$A$13:$CK$1019,I$6,FALSE)*VLOOKUP($A53,'[1]INPUT_ASSUMPTIONS CALC'!$A$13:$CK$1019,J$7,FALSE)</f>
        <v>129732.2</v>
      </c>
      <c r="K53" s="139">
        <f>$I53*VLOOKUP($A53,'[1]INPUT_ASSUMPTIONS CALC'!$A$13:$CK$1019,I$6,FALSE)*VLOOKUP($A53,'[1]INPUT_ASSUMPTIONS CALC'!$A$13:$CK$1019,K$7,FALSE)</f>
        <v>90812.54</v>
      </c>
      <c r="L53" s="139">
        <f>$I53*VLOOKUP($A53,'[1]INPUT_ASSUMPTIONS CALC'!$A$13:$CK$1019,I$6,FALSE)*VLOOKUP($A53,'[1]INPUT_ASSUMPTIONS CALC'!$A$13:$CK$1019,L$7,FALSE)</f>
        <v>25946.440000000002</v>
      </c>
      <c r="M53" s="139">
        <f>$I53*VLOOKUP($A53,'[1]INPUT_ASSUMPTIONS CALC'!$A$13:$CK$1019,I$6,FALSE)*VLOOKUP($A53,'[1]INPUT_ASSUMPTIONS CALC'!$A$13:$CK$1019,M$7,FALSE)</f>
        <v>12973.220000000005</v>
      </c>
      <c r="N53" s="140">
        <f t="shared" si="3"/>
        <v>259464.4</v>
      </c>
      <c r="O53" s="141">
        <f>H53*VLOOKUP($A53,'[1]INPUT_ASSUMPTIONS CALC'!$A$13:$CK$1019,H$6,FALSE)*SUMIF('[1]INPUT_ASSUMPTIONS CALC'!$CQ$15:$CQ$17,'[1]Summary calculation'!E53,'[1]INPUT_ASSUMPTIONS CALC'!$CR$15:$CR$17)</f>
        <v>79105</v>
      </c>
      <c r="P53" s="141">
        <f>H53*VLOOKUP($A53,'[1]INPUT_ASSUMPTIONS CALC'!$A$13:$CK$1019,H$6,FALSE)*SUMIF('[1]INPUT_ASSUMPTIONS CALC'!$CV$15:$CV$31,'[1]Summary calculation'!E53,'[1]INPUT_ASSUMPTIONS CALC'!$CW$15:$CW$31)</f>
        <v>0</v>
      </c>
      <c r="Q53" s="141">
        <f>O53*VLOOKUP($A53,'[1]INPUT_ASSUMPTIONS CALC'!$A$13:$CK$1019,Q$7,FALSE)</f>
        <v>79105</v>
      </c>
      <c r="R53" s="141">
        <f>P53*VLOOKUP($A53,'[1]INPUT_ASSUMPTIONS CALC'!$A$13:$CK$1019,R$7,FALSE)</f>
        <v>0</v>
      </c>
      <c r="S53" s="140">
        <f t="shared" si="1"/>
        <v>79105</v>
      </c>
      <c r="T53" s="142">
        <f t="shared" si="2"/>
        <v>338569</v>
      </c>
      <c r="U53" s="61"/>
    </row>
    <row r="54" spans="1:21" x14ac:dyDescent="0.35">
      <c r="A54" s="125" t="str">
        <f t="shared" si="0"/>
        <v>46Q2</v>
      </c>
      <c r="B54" s="135">
        <v>46</v>
      </c>
      <c r="C54" s="61" t="str">
        <f>INDEX('[1]INPUT_ASSUMPTIONS CALC'!D:D,MATCH(A54,'[1]INPUT_ASSUMPTIONS CALC'!A:A,0))</f>
        <v>Nakipbekova Gulzhan</v>
      </c>
      <c r="D54" s="61" t="str">
        <f>INDEX('[1]INPUT_ASSUMPTIONS CALC'!I:I,MATCH(A54,'[1]INPUT_ASSUMPTIONS CALC'!A:A,0))</f>
        <v>Line 1</v>
      </c>
      <c r="E54" s="61" t="str">
        <f>INDEX('[1]INPUT_ASSUMPTIONS CALC'!E:E,MATCH(A54,'[1]INPUT_ASSUMPTIONS CALC'!A:A,0))</f>
        <v>Medical Representative</v>
      </c>
      <c r="F54" s="136">
        <f>IF($F$5="Q1",VLOOKUP($A54,'[1]INPUT_ASSUMPTIONS CALC'!$A$13:$CK$1019,F$7,FALSE),IF($F$5="Q2",VLOOKUP($A54,'[1]INPUT_ASSUMPTIONS CALC'!$A$13:$CK$1019,F$7,FALSE),IF($F$5="Q3",VLOOKUP($A54,'[1]INPUT_ASSUMPTIONS CALC'!$A$13:$CK$1019,F$7,FALSE),IF($F$5="Q4",VLOOKUP($A54,'[1]INPUT_ASSUMPTIONS CALC'!$A$13:$CK$1019,F$7,FALSE),IF($F$5="Year",VLOOKUP($A54,'[1]INPUT_ASSUMPTIONS CALC'!$A$13:$CK$1019,F$7,FALSE),0)))))</f>
        <v>395525</v>
      </c>
      <c r="G54" s="137">
        <f>SUMIF('[1]INPUT_ASSUMPTIONS CALC'!A:A,'[1]Summary calculation'!A54,'[1]INPUT_ASSUMPTIONS CALC'!BU:BU)</f>
        <v>1</v>
      </c>
      <c r="H54" s="138">
        <f>IF($F$5="Year",F54*G54*'[1]INPUT_ASSUMPTIONS CALC'!$S$7,F54*G54)</f>
        <v>395525</v>
      </c>
      <c r="I54" s="138">
        <f>H54*VLOOKUP($A54,'[1]INPUT_ASSUMPTIONS CALC'!$A$13:$CK$1019,H$6,FALSE)*SUMIF('[1]INPUT_ASSUMPTIONS CALC'!$CL$15:$CL$17,'[1]Summary calculation'!E54,'[1]INPUT_ASSUMPTIONS CALC'!$CM$15:$CM$17)</f>
        <v>316420</v>
      </c>
      <c r="J54" s="139">
        <f>$I54*VLOOKUP($A54,'[1]INPUT_ASSUMPTIONS CALC'!$A$13:$CK$1019,I$6,FALSE)*VLOOKUP($A54,'[1]INPUT_ASSUMPTIONS CALC'!$A$13:$CK$1019,J$7,FALSE)</f>
        <v>129732.2</v>
      </c>
      <c r="K54" s="139">
        <f>$I54*VLOOKUP($A54,'[1]INPUT_ASSUMPTIONS CALC'!$A$13:$CK$1019,I$6,FALSE)*VLOOKUP($A54,'[1]INPUT_ASSUMPTIONS CALC'!$A$13:$CK$1019,K$7,FALSE)</f>
        <v>90812.54</v>
      </c>
      <c r="L54" s="139">
        <f>$I54*VLOOKUP($A54,'[1]INPUT_ASSUMPTIONS CALC'!$A$13:$CK$1019,I$6,FALSE)*VLOOKUP($A54,'[1]INPUT_ASSUMPTIONS CALC'!$A$13:$CK$1019,L$7,FALSE)</f>
        <v>25946.440000000002</v>
      </c>
      <c r="M54" s="139">
        <f>$I54*VLOOKUP($A54,'[1]INPUT_ASSUMPTIONS CALC'!$A$13:$CK$1019,I$6,FALSE)*VLOOKUP($A54,'[1]INPUT_ASSUMPTIONS CALC'!$A$13:$CK$1019,M$7,FALSE)</f>
        <v>12973.220000000005</v>
      </c>
      <c r="N54" s="140">
        <f t="shared" si="3"/>
        <v>259464.4</v>
      </c>
      <c r="O54" s="141">
        <f>H54*VLOOKUP($A54,'[1]INPUT_ASSUMPTIONS CALC'!$A$13:$CK$1019,H$6,FALSE)*SUMIF('[1]INPUT_ASSUMPTIONS CALC'!$CQ$15:$CQ$17,'[1]Summary calculation'!E54,'[1]INPUT_ASSUMPTIONS CALC'!$CR$15:$CR$17)</f>
        <v>79105</v>
      </c>
      <c r="P54" s="141">
        <f>H54*VLOOKUP($A54,'[1]INPUT_ASSUMPTIONS CALC'!$A$13:$CK$1019,H$6,FALSE)*SUMIF('[1]INPUT_ASSUMPTIONS CALC'!$CV$15:$CV$31,'[1]Summary calculation'!E54,'[1]INPUT_ASSUMPTIONS CALC'!$CW$15:$CW$31)</f>
        <v>0</v>
      </c>
      <c r="Q54" s="141">
        <f>O54*VLOOKUP($A54,'[1]INPUT_ASSUMPTIONS CALC'!$A$13:$CK$1019,Q$7,FALSE)</f>
        <v>39552.5</v>
      </c>
      <c r="R54" s="141">
        <f>P54*VLOOKUP($A54,'[1]INPUT_ASSUMPTIONS CALC'!$A$13:$CK$1019,R$7,FALSE)</f>
        <v>0</v>
      </c>
      <c r="S54" s="140">
        <f t="shared" si="1"/>
        <v>39552.5</v>
      </c>
      <c r="T54" s="142">
        <f t="shared" si="2"/>
        <v>299017</v>
      </c>
      <c r="U54" s="61"/>
    </row>
    <row r="55" spans="1:21" x14ac:dyDescent="0.35">
      <c r="A55" s="125" t="str">
        <f t="shared" si="0"/>
        <v>47Q2</v>
      </c>
      <c r="B55" s="135">
        <v>47</v>
      </c>
      <c r="C55" s="61" t="str">
        <f>INDEX('[1]INPUT_ASSUMPTIONS CALC'!D:D,MATCH(A55,'[1]INPUT_ASSUMPTIONS CALC'!A:A,0))</f>
        <v>Novokhatnyaya Anastasiya</v>
      </c>
      <c r="D55" s="61" t="str">
        <f>INDEX('[1]INPUT_ASSUMPTIONS CALC'!I:I,MATCH(A55,'[1]INPUT_ASSUMPTIONS CALC'!A:A,0))</f>
        <v>Line 3 (big cities)</v>
      </c>
      <c r="E55" s="61" t="str">
        <f>INDEX('[1]INPUT_ASSUMPTIONS CALC'!E:E,MATCH(A55,'[1]INPUT_ASSUMPTIONS CALC'!A:A,0))</f>
        <v>Medical Representative</v>
      </c>
      <c r="F55" s="136">
        <f>IF($F$5="Q1",VLOOKUP($A55,'[1]INPUT_ASSUMPTIONS CALC'!$A$13:$CK$1019,F$7,FALSE),IF($F$5="Q2",VLOOKUP($A55,'[1]INPUT_ASSUMPTIONS CALC'!$A$13:$CK$1019,F$7,FALSE),IF($F$5="Q3",VLOOKUP($A55,'[1]INPUT_ASSUMPTIONS CALC'!$A$13:$CK$1019,F$7,FALSE),IF($F$5="Q4",VLOOKUP($A55,'[1]INPUT_ASSUMPTIONS CALC'!$A$13:$CK$1019,F$7,FALSE),IF($F$5="Year",VLOOKUP($A55,'[1]INPUT_ASSUMPTIONS CALC'!$A$13:$CK$1019,F$7,FALSE),0)))))</f>
        <v>395525</v>
      </c>
      <c r="G55" s="137">
        <f>SUMIF('[1]INPUT_ASSUMPTIONS CALC'!A:A,'[1]Summary calculation'!A55,'[1]INPUT_ASSUMPTIONS CALC'!BU:BU)</f>
        <v>1</v>
      </c>
      <c r="H55" s="138">
        <f>IF($F$5="Year",F55*G55*'[1]INPUT_ASSUMPTIONS CALC'!$S$7,F55*G55)</f>
        <v>395525</v>
      </c>
      <c r="I55" s="138">
        <f>H55*VLOOKUP($A55,'[1]INPUT_ASSUMPTIONS CALC'!$A$13:$CK$1019,H$6,FALSE)*SUMIF('[1]INPUT_ASSUMPTIONS CALC'!$CL$15:$CL$17,'[1]Summary calculation'!E55,'[1]INPUT_ASSUMPTIONS CALC'!$CM$15:$CM$17)</f>
        <v>316420</v>
      </c>
      <c r="J55" s="139">
        <f>$I55*VLOOKUP($A55,'[1]INPUT_ASSUMPTIONS CALC'!$A$13:$CK$1019,I$6,FALSE)*VLOOKUP($A55,'[1]INPUT_ASSUMPTIONS CALC'!$A$13:$CK$1019,J$7,FALSE)</f>
        <v>291897.45</v>
      </c>
      <c r="K55" s="139">
        <f>$I55*VLOOKUP($A55,'[1]INPUT_ASSUMPTIONS CALC'!$A$13:$CK$1019,I$6,FALSE)*VLOOKUP($A55,'[1]INPUT_ASSUMPTIONS CALC'!$A$13:$CK$1019,K$7,FALSE)</f>
        <v>162165.25</v>
      </c>
      <c r="L55" s="139">
        <f>$I55*VLOOKUP($A55,'[1]INPUT_ASSUMPTIONS CALC'!$A$13:$CK$1019,I$6,FALSE)*VLOOKUP($A55,'[1]INPUT_ASSUMPTIONS CALC'!$A$13:$CK$1019,L$7,FALSE)</f>
        <v>162165.25</v>
      </c>
      <c r="M55" s="139">
        <f>$I55*VLOOKUP($A55,'[1]INPUT_ASSUMPTIONS CALC'!$A$13:$CK$1019,I$6,FALSE)*VLOOKUP($A55,'[1]INPUT_ASSUMPTIONS CALC'!$A$13:$CK$1019,M$7,FALSE)</f>
        <v>32433.050000000028</v>
      </c>
      <c r="N55" s="140">
        <f t="shared" si="3"/>
        <v>648661</v>
      </c>
      <c r="O55" s="141">
        <f>H55*VLOOKUP($A55,'[1]INPUT_ASSUMPTIONS CALC'!$A$13:$CK$1019,H$6,FALSE)*SUMIF('[1]INPUT_ASSUMPTIONS CALC'!$CQ$15:$CQ$17,'[1]Summary calculation'!E55,'[1]INPUT_ASSUMPTIONS CALC'!$CR$15:$CR$17)</f>
        <v>79105</v>
      </c>
      <c r="P55" s="141">
        <f>H55*VLOOKUP($A55,'[1]INPUT_ASSUMPTIONS CALC'!$A$13:$CK$1019,H$6,FALSE)*SUMIF('[1]INPUT_ASSUMPTIONS CALC'!$CV$15:$CV$31,'[1]Summary calculation'!E55,'[1]INPUT_ASSUMPTIONS CALC'!$CW$15:$CW$31)</f>
        <v>0</v>
      </c>
      <c r="Q55" s="141">
        <f>O55*VLOOKUP($A55,'[1]INPUT_ASSUMPTIONS CALC'!$A$13:$CK$1019,Q$7,FALSE)</f>
        <v>39552.5</v>
      </c>
      <c r="R55" s="141">
        <f>P55*VLOOKUP($A55,'[1]INPUT_ASSUMPTIONS CALC'!$A$13:$CK$1019,R$7,FALSE)</f>
        <v>0</v>
      </c>
      <c r="S55" s="140">
        <f t="shared" si="1"/>
        <v>39552.5</v>
      </c>
      <c r="T55" s="142">
        <f t="shared" si="2"/>
        <v>688214</v>
      </c>
      <c r="U55" s="61"/>
    </row>
    <row r="56" spans="1:21" x14ac:dyDescent="0.35">
      <c r="A56" s="125" t="str">
        <f t="shared" si="0"/>
        <v>48Q2</v>
      </c>
      <c r="B56" s="135">
        <v>48</v>
      </c>
      <c r="C56" s="61" t="str">
        <f>INDEX('[1]INPUT_ASSUMPTIONS CALC'!D:D,MATCH(A56,'[1]INPUT_ASSUMPTIONS CALC'!A:A,0))</f>
        <v>Omarova Aizhan</v>
      </c>
      <c r="D56" s="61" t="str">
        <f>INDEX('[1]INPUT_ASSUMPTIONS CALC'!I:I,MATCH(A56,'[1]INPUT_ASSUMPTIONS CALC'!A:A,0))</f>
        <v>Line 1</v>
      </c>
      <c r="E56" s="61" t="str">
        <f>INDEX('[1]INPUT_ASSUMPTIONS CALC'!E:E,MATCH(A56,'[1]INPUT_ASSUMPTIONS CALC'!A:A,0))</f>
        <v>Medical Representative</v>
      </c>
      <c r="F56" s="136">
        <f>IF($F$5="Q1",VLOOKUP($A56,'[1]INPUT_ASSUMPTIONS CALC'!$A$13:$CK$1019,F$7,FALSE),IF($F$5="Q2",VLOOKUP($A56,'[1]INPUT_ASSUMPTIONS CALC'!$A$13:$CK$1019,F$7,FALSE),IF($F$5="Q3",VLOOKUP($A56,'[1]INPUT_ASSUMPTIONS CALC'!$A$13:$CK$1019,F$7,FALSE),IF($F$5="Q4",VLOOKUP($A56,'[1]INPUT_ASSUMPTIONS CALC'!$A$13:$CK$1019,F$7,FALSE),IF($F$5="Year",VLOOKUP($A56,'[1]INPUT_ASSUMPTIONS CALC'!$A$13:$CK$1019,F$7,FALSE),0)))))</f>
        <v>395525</v>
      </c>
      <c r="G56" s="137">
        <f>SUMIF('[1]INPUT_ASSUMPTIONS CALC'!A:A,'[1]Summary calculation'!A56,'[1]INPUT_ASSUMPTIONS CALC'!BU:BU)</f>
        <v>1</v>
      </c>
      <c r="H56" s="138">
        <f>IF($F$5="Year",F56*G56*'[1]INPUT_ASSUMPTIONS CALC'!$S$7,F56*G56)</f>
        <v>395525</v>
      </c>
      <c r="I56" s="138">
        <f>H56*VLOOKUP($A56,'[1]INPUT_ASSUMPTIONS CALC'!$A$13:$CK$1019,H$6,FALSE)*SUMIF('[1]INPUT_ASSUMPTIONS CALC'!$CL$15:$CL$17,'[1]Summary calculation'!E56,'[1]INPUT_ASSUMPTIONS CALC'!$CM$15:$CM$17)</f>
        <v>316420</v>
      </c>
      <c r="J56" s="139">
        <f>$I56*VLOOKUP($A56,'[1]INPUT_ASSUMPTIONS CALC'!$A$13:$CK$1019,I$6,FALSE)*VLOOKUP($A56,'[1]INPUT_ASSUMPTIONS CALC'!$A$13:$CK$1019,J$7,FALSE)</f>
        <v>395525</v>
      </c>
      <c r="K56" s="139">
        <f>$I56*VLOOKUP($A56,'[1]INPUT_ASSUMPTIONS CALC'!$A$13:$CK$1019,I$6,FALSE)*VLOOKUP($A56,'[1]INPUT_ASSUMPTIONS CALC'!$A$13:$CK$1019,K$7,FALSE)</f>
        <v>276867.5</v>
      </c>
      <c r="L56" s="139">
        <f>$I56*VLOOKUP($A56,'[1]INPUT_ASSUMPTIONS CALC'!$A$13:$CK$1019,I$6,FALSE)*VLOOKUP($A56,'[1]INPUT_ASSUMPTIONS CALC'!$A$13:$CK$1019,L$7,FALSE)</f>
        <v>79105</v>
      </c>
      <c r="M56" s="139">
        <f>$I56*VLOOKUP($A56,'[1]INPUT_ASSUMPTIONS CALC'!$A$13:$CK$1019,I$6,FALSE)*VLOOKUP($A56,'[1]INPUT_ASSUMPTIONS CALC'!$A$13:$CK$1019,M$7,FALSE)</f>
        <v>39552.500000000015</v>
      </c>
      <c r="N56" s="140">
        <f t="shared" si="3"/>
        <v>791050</v>
      </c>
      <c r="O56" s="141">
        <f>H56*VLOOKUP($A56,'[1]INPUT_ASSUMPTIONS CALC'!$A$13:$CK$1019,H$6,FALSE)*SUMIF('[1]INPUT_ASSUMPTIONS CALC'!$CQ$15:$CQ$17,'[1]Summary calculation'!E56,'[1]INPUT_ASSUMPTIONS CALC'!$CR$15:$CR$17)</f>
        <v>79105</v>
      </c>
      <c r="P56" s="141">
        <f>H56*VLOOKUP($A56,'[1]INPUT_ASSUMPTIONS CALC'!$A$13:$CK$1019,H$6,FALSE)*SUMIF('[1]INPUT_ASSUMPTIONS CALC'!$CV$15:$CV$31,'[1]Summary calculation'!E56,'[1]INPUT_ASSUMPTIONS CALC'!$CW$15:$CW$31)</f>
        <v>0</v>
      </c>
      <c r="Q56" s="141">
        <f>O56*VLOOKUP($A56,'[1]INPUT_ASSUMPTIONS CALC'!$A$13:$CK$1019,Q$7,FALSE)</f>
        <v>39552.5</v>
      </c>
      <c r="R56" s="141">
        <f>P56*VLOOKUP($A56,'[1]INPUT_ASSUMPTIONS CALC'!$A$13:$CK$1019,R$7,FALSE)</f>
        <v>0</v>
      </c>
      <c r="S56" s="140">
        <f t="shared" si="1"/>
        <v>39552.5</v>
      </c>
      <c r="T56" s="142">
        <f t="shared" si="2"/>
        <v>830603</v>
      </c>
      <c r="U56" s="61"/>
    </row>
    <row r="57" spans="1:21" x14ac:dyDescent="0.35">
      <c r="A57" s="125" t="str">
        <f t="shared" si="0"/>
        <v>49Q2</v>
      </c>
      <c r="B57" s="135">
        <v>49</v>
      </c>
      <c r="C57" s="61" t="str">
        <f>INDEX('[1]INPUT_ASSUMPTIONS CALC'!D:D,MATCH(A57,'[1]INPUT_ASSUMPTIONS CALC'!A:A,0))</f>
        <v>Ospanova Anar</v>
      </c>
      <c r="D57" s="61" t="str">
        <f>INDEX('[1]INPUT_ASSUMPTIONS CALC'!I:I,MATCH(A57,'[1]INPUT_ASSUMPTIONS CALC'!A:A,0))</f>
        <v>Line 2</v>
      </c>
      <c r="E57" s="61" t="str">
        <f>INDEX('[1]INPUT_ASSUMPTIONS CALC'!E:E,MATCH(A57,'[1]INPUT_ASSUMPTIONS CALC'!A:A,0))</f>
        <v>Medical Representative</v>
      </c>
      <c r="F57" s="136">
        <f>IF($F$5="Q1",VLOOKUP($A57,'[1]INPUT_ASSUMPTIONS CALC'!$A$13:$CK$1019,F$7,FALSE),IF($F$5="Q2",VLOOKUP($A57,'[1]INPUT_ASSUMPTIONS CALC'!$A$13:$CK$1019,F$7,FALSE),IF($F$5="Q3",VLOOKUP($A57,'[1]INPUT_ASSUMPTIONS CALC'!$A$13:$CK$1019,F$7,FALSE),IF($F$5="Q4",VLOOKUP($A57,'[1]INPUT_ASSUMPTIONS CALC'!$A$13:$CK$1019,F$7,FALSE),IF($F$5="Year",VLOOKUP($A57,'[1]INPUT_ASSUMPTIONS CALC'!$A$13:$CK$1019,F$7,FALSE),0)))))</f>
        <v>395525</v>
      </c>
      <c r="G57" s="137">
        <f>SUMIF('[1]INPUT_ASSUMPTIONS CALC'!A:A,'[1]Summary calculation'!A57,'[1]INPUT_ASSUMPTIONS CALC'!BU:BU)</f>
        <v>1</v>
      </c>
      <c r="H57" s="138">
        <f>IF($F$5="Year",F57*G57*'[1]INPUT_ASSUMPTIONS CALC'!$S$7,F57*G57)</f>
        <v>395525</v>
      </c>
      <c r="I57" s="138">
        <f>H57*VLOOKUP($A57,'[1]INPUT_ASSUMPTIONS CALC'!$A$13:$CK$1019,H$6,FALSE)*SUMIF('[1]INPUT_ASSUMPTIONS CALC'!$CL$15:$CL$17,'[1]Summary calculation'!E57,'[1]INPUT_ASSUMPTIONS CALC'!$CM$15:$CM$17)</f>
        <v>316420</v>
      </c>
      <c r="J57" s="139">
        <f>$I57*VLOOKUP($A57,'[1]INPUT_ASSUMPTIONS CALC'!$A$13:$CK$1019,I$6,FALSE)*VLOOKUP($A57,'[1]INPUT_ASSUMPTIONS CALC'!$A$13:$CK$1019,J$7,FALSE)</f>
        <v>199344.6</v>
      </c>
      <c r="K57" s="139">
        <f>$I57*VLOOKUP($A57,'[1]INPUT_ASSUMPTIONS CALC'!$A$13:$CK$1019,I$6,FALSE)*VLOOKUP($A57,'[1]INPUT_ASSUMPTIONS CALC'!$A$13:$CK$1019,K$7,FALSE)</f>
        <v>166120.5</v>
      </c>
      <c r="L57" s="139">
        <f>$I57*VLOOKUP($A57,'[1]INPUT_ASSUMPTIONS CALC'!$A$13:$CK$1019,I$6,FALSE)*VLOOKUP($A57,'[1]INPUT_ASSUMPTIONS CALC'!$A$13:$CK$1019,L$7,FALSE)</f>
        <v>166120.5</v>
      </c>
      <c r="M57" s="139">
        <f>$I57*VLOOKUP($A57,'[1]INPUT_ASSUMPTIONS CALC'!$A$13:$CK$1019,I$6,FALSE)*VLOOKUP($A57,'[1]INPUT_ASSUMPTIONS CALC'!$A$13:$CK$1019,M$7,FALSE)</f>
        <v>132896.39999999997</v>
      </c>
      <c r="N57" s="140">
        <f t="shared" si="3"/>
        <v>664482</v>
      </c>
      <c r="O57" s="141">
        <f>H57*VLOOKUP($A57,'[1]INPUT_ASSUMPTIONS CALC'!$A$13:$CK$1019,H$6,FALSE)*SUMIF('[1]INPUT_ASSUMPTIONS CALC'!$CQ$15:$CQ$17,'[1]Summary calculation'!E57,'[1]INPUT_ASSUMPTIONS CALC'!$CR$15:$CR$17)</f>
        <v>79105</v>
      </c>
      <c r="P57" s="141">
        <f>H57*VLOOKUP($A57,'[1]INPUT_ASSUMPTIONS CALC'!$A$13:$CK$1019,H$6,FALSE)*SUMIF('[1]INPUT_ASSUMPTIONS CALC'!$CV$15:$CV$31,'[1]Summary calculation'!E57,'[1]INPUT_ASSUMPTIONS CALC'!$CW$15:$CW$31)</f>
        <v>0</v>
      </c>
      <c r="Q57" s="141">
        <f>O57*VLOOKUP($A57,'[1]INPUT_ASSUMPTIONS CALC'!$A$13:$CK$1019,Q$7,FALSE)</f>
        <v>79105</v>
      </c>
      <c r="R57" s="141">
        <f>P57*VLOOKUP($A57,'[1]INPUT_ASSUMPTIONS CALC'!$A$13:$CK$1019,R$7,FALSE)</f>
        <v>0</v>
      </c>
      <c r="S57" s="140">
        <f t="shared" si="1"/>
        <v>79105</v>
      </c>
      <c r="T57" s="142">
        <f t="shared" si="2"/>
        <v>743587</v>
      </c>
      <c r="U57" s="61"/>
    </row>
    <row r="58" spans="1:21" x14ac:dyDescent="0.35">
      <c r="A58" s="125" t="str">
        <f t="shared" si="0"/>
        <v>50Q2</v>
      </c>
      <c r="B58" s="135">
        <v>50</v>
      </c>
      <c r="C58" s="61" t="str">
        <f>INDEX('[1]INPUT_ASSUMPTIONS CALC'!D:D,MATCH(A58,'[1]INPUT_ASSUMPTIONS CALC'!A:A,0))</f>
        <v>Ossipova Anna</v>
      </c>
      <c r="D58" s="61" t="str">
        <f>INDEX('[1]INPUT_ASSUMPTIONS CALC'!I:I,MATCH(A58,'[1]INPUT_ASSUMPTIONS CALC'!A:A,0))</f>
        <v>Pharma line</v>
      </c>
      <c r="E58" s="61" t="str">
        <f>INDEX('[1]INPUT_ASSUMPTIONS CALC'!E:E,MATCH(A58,'[1]INPUT_ASSUMPTIONS CALC'!A:A,0))</f>
        <v>Pharm Representative</v>
      </c>
      <c r="F58" s="136">
        <f>IF($F$5="Q1",VLOOKUP($A58,'[1]INPUT_ASSUMPTIONS CALC'!$A$13:$CK$1019,F$7,FALSE),IF($F$5="Q2",VLOOKUP($A58,'[1]INPUT_ASSUMPTIONS CALC'!$A$13:$CK$1019,F$7,FALSE),IF($F$5="Q3",VLOOKUP($A58,'[1]INPUT_ASSUMPTIONS CALC'!$A$13:$CK$1019,F$7,FALSE),IF($F$5="Q4",VLOOKUP($A58,'[1]INPUT_ASSUMPTIONS CALC'!$A$13:$CK$1019,F$7,FALSE),IF($F$5="Year",VLOOKUP($A58,'[1]INPUT_ASSUMPTIONS CALC'!$A$13:$CK$1019,F$7,FALSE),0)))))</f>
        <v>395525</v>
      </c>
      <c r="G58" s="137">
        <f>SUMIF('[1]INPUT_ASSUMPTIONS CALC'!A:A,'[1]Summary calculation'!A58,'[1]INPUT_ASSUMPTIONS CALC'!BU:BU)</f>
        <v>1</v>
      </c>
      <c r="H58" s="138">
        <f>IF($F$5="Year",F58*G58*'[1]INPUT_ASSUMPTIONS CALC'!$S$7,F58*G58)</f>
        <v>395525</v>
      </c>
      <c r="I58" s="138">
        <f>H58*VLOOKUP($A58,'[1]INPUT_ASSUMPTIONS CALC'!$A$13:$CK$1019,H$6,FALSE)*SUMIF('[1]INPUT_ASSUMPTIONS CALC'!$CL$15:$CL$17,'[1]Summary calculation'!E58,'[1]INPUT_ASSUMPTIONS CALC'!$CM$15:$CM$17)</f>
        <v>316420</v>
      </c>
      <c r="J58" s="139">
        <f>$I58*VLOOKUP($A58,'[1]INPUT_ASSUMPTIONS CALC'!$A$13:$CK$1019,I$6,FALSE)*VLOOKUP($A58,'[1]INPUT_ASSUMPTIONS CALC'!$A$13:$CK$1019,J$7,FALSE)</f>
        <v>334614.15000000002</v>
      </c>
      <c r="K58" s="139">
        <f>$I58*VLOOKUP($A58,'[1]INPUT_ASSUMPTIONS CALC'!$A$13:$CK$1019,I$6,FALSE)*VLOOKUP($A58,'[1]INPUT_ASSUMPTIONS CALC'!$A$13:$CK$1019,K$7,FALSE)</f>
        <v>223076.1</v>
      </c>
      <c r="L58" s="139">
        <f>$I58*VLOOKUP($A58,'[1]INPUT_ASSUMPTIONS CALC'!$A$13:$CK$1019,I$6,FALSE)*VLOOKUP($A58,'[1]INPUT_ASSUMPTIONS CALC'!$A$13:$CK$1019,L$7,FALSE)</f>
        <v>111538.05</v>
      </c>
      <c r="M58" s="139">
        <f>$I58*VLOOKUP($A58,'[1]INPUT_ASSUMPTIONS CALC'!$A$13:$CK$1019,I$6,FALSE)*VLOOKUP($A58,'[1]INPUT_ASSUMPTIONS CALC'!$A$13:$CK$1019,M$7,FALSE)</f>
        <v>74358.700000000041</v>
      </c>
      <c r="N58" s="140">
        <f t="shared" si="3"/>
        <v>743587.00000000012</v>
      </c>
      <c r="O58" s="141">
        <f>H58*VLOOKUP($A58,'[1]INPUT_ASSUMPTIONS CALC'!$A$13:$CK$1019,H$6,FALSE)*SUMIF('[1]INPUT_ASSUMPTIONS CALC'!$CQ$15:$CQ$17,'[1]Summary calculation'!E58,'[1]INPUT_ASSUMPTIONS CALC'!$CR$15:$CR$17)</f>
        <v>79105</v>
      </c>
      <c r="P58" s="141">
        <f>H58*VLOOKUP($A58,'[1]INPUT_ASSUMPTIONS CALC'!$A$13:$CK$1019,H$6,FALSE)*SUMIF('[1]INPUT_ASSUMPTIONS CALC'!$CV$15:$CV$31,'[1]Summary calculation'!E58,'[1]INPUT_ASSUMPTIONS CALC'!$CW$15:$CW$31)</f>
        <v>0</v>
      </c>
      <c r="Q58" s="141">
        <f>O58*VLOOKUP($A58,'[1]INPUT_ASSUMPTIONS CALC'!$A$13:$CK$1019,Q$7,FALSE)</f>
        <v>39552.5</v>
      </c>
      <c r="R58" s="141">
        <f>P58*VLOOKUP($A58,'[1]INPUT_ASSUMPTIONS CALC'!$A$13:$CK$1019,R$7,FALSE)</f>
        <v>0</v>
      </c>
      <c r="S58" s="140">
        <f t="shared" si="1"/>
        <v>39552.5</v>
      </c>
      <c r="T58" s="142">
        <f t="shared" si="2"/>
        <v>783140</v>
      </c>
      <c r="U58" s="61"/>
    </row>
    <row r="59" spans="1:21" x14ac:dyDescent="0.35">
      <c r="A59" s="125" t="str">
        <f t="shared" si="0"/>
        <v>51Q2</v>
      </c>
      <c r="B59" s="135">
        <v>51</v>
      </c>
      <c r="C59" s="61" t="str">
        <f>INDEX('[1]INPUT_ASSUMPTIONS CALC'!D:D,MATCH(A59,'[1]INPUT_ASSUMPTIONS CALC'!A:A,0))</f>
        <v>Pavlutskikh Yelena</v>
      </c>
      <c r="D59" s="61" t="str">
        <f>INDEX('[1]INPUT_ASSUMPTIONS CALC'!I:I,MATCH(A59,'[1]INPUT_ASSUMPTIONS CALC'!A:A,0))</f>
        <v>Line 1</v>
      </c>
      <c r="E59" s="61" t="str">
        <f>INDEX('[1]INPUT_ASSUMPTIONS CALC'!E:E,MATCH(A59,'[1]INPUT_ASSUMPTIONS CALC'!A:A,0))</f>
        <v>Medical Representative</v>
      </c>
      <c r="F59" s="136">
        <f>IF($F$5="Q1",VLOOKUP($A59,'[1]INPUT_ASSUMPTIONS CALC'!$A$13:$CK$1019,F$7,FALSE),IF($F$5="Q2",VLOOKUP($A59,'[1]INPUT_ASSUMPTIONS CALC'!$A$13:$CK$1019,F$7,FALSE),IF($F$5="Q3",VLOOKUP($A59,'[1]INPUT_ASSUMPTIONS CALC'!$A$13:$CK$1019,F$7,FALSE),IF($F$5="Q4",VLOOKUP($A59,'[1]INPUT_ASSUMPTIONS CALC'!$A$13:$CK$1019,F$7,FALSE),IF($F$5="Year",VLOOKUP($A59,'[1]INPUT_ASSUMPTIONS CALC'!$A$13:$CK$1019,F$7,FALSE),0)))))</f>
        <v>395525</v>
      </c>
      <c r="G59" s="137">
        <f>SUMIF('[1]INPUT_ASSUMPTIONS CALC'!A:A,'[1]Summary calculation'!A59,'[1]INPUT_ASSUMPTIONS CALC'!BU:BU)</f>
        <v>1</v>
      </c>
      <c r="H59" s="138">
        <f>IF($F$5="Year",F59*G59*'[1]INPUT_ASSUMPTIONS CALC'!$S$7,F59*G59)</f>
        <v>395525</v>
      </c>
      <c r="I59" s="138">
        <f>H59*VLOOKUP($A59,'[1]INPUT_ASSUMPTIONS CALC'!$A$13:$CK$1019,H$6,FALSE)*SUMIF('[1]INPUT_ASSUMPTIONS CALC'!$CL$15:$CL$17,'[1]Summary calculation'!E59,'[1]INPUT_ASSUMPTIONS CALC'!$CM$15:$CM$17)</f>
        <v>316420</v>
      </c>
      <c r="J59" s="139">
        <f>$I59*VLOOKUP($A59,'[1]INPUT_ASSUMPTIONS CALC'!$A$13:$CK$1019,I$6,FALSE)*VLOOKUP($A59,'[1]INPUT_ASSUMPTIONS CALC'!$A$13:$CK$1019,J$7,FALSE)</f>
        <v>253136</v>
      </c>
      <c r="K59" s="139">
        <f>$I59*VLOOKUP($A59,'[1]INPUT_ASSUMPTIONS CALC'!$A$13:$CK$1019,I$6,FALSE)*VLOOKUP($A59,'[1]INPUT_ASSUMPTIONS CALC'!$A$13:$CK$1019,K$7,FALSE)</f>
        <v>177195.19999999998</v>
      </c>
      <c r="L59" s="139">
        <f>$I59*VLOOKUP($A59,'[1]INPUT_ASSUMPTIONS CALC'!$A$13:$CK$1019,I$6,FALSE)*VLOOKUP($A59,'[1]INPUT_ASSUMPTIONS CALC'!$A$13:$CK$1019,L$7,FALSE)</f>
        <v>50627.200000000004</v>
      </c>
      <c r="M59" s="139">
        <f>$I59*VLOOKUP($A59,'[1]INPUT_ASSUMPTIONS CALC'!$A$13:$CK$1019,I$6,FALSE)*VLOOKUP($A59,'[1]INPUT_ASSUMPTIONS CALC'!$A$13:$CK$1019,M$7,FALSE)</f>
        <v>25313.600000000009</v>
      </c>
      <c r="N59" s="140">
        <f t="shared" si="3"/>
        <v>506272</v>
      </c>
      <c r="O59" s="141">
        <f>H59*VLOOKUP($A59,'[1]INPUT_ASSUMPTIONS CALC'!$A$13:$CK$1019,H$6,FALSE)*SUMIF('[1]INPUT_ASSUMPTIONS CALC'!$CQ$15:$CQ$17,'[1]Summary calculation'!E59,'[1]INPUT_ASSUMPTIONS CALC'!$CR$15:$CR$17)</f>
        <v>79105</v>
      </c>
      <c r="P59" s="141">
        <f>H59*VLOOKUP($A59,'[1]INPUT_ASSUMPTIONS CALC'!$A$13:$CK$1019,H$6,FALSE)*SUMIF('[1]INPUT_ASSUMPTIONS CALC'!$CV$15:$CV$31,'[1]Summary calculation'!E59,'[1]INPUT_ASSUMPTIONS CALC'!$CW$15:$CW$31)</f>
        <v>0</v>
      </c>
      <c r="Q59" s="141">
        <f>O59*VLOOKUP($A59,'[1]INPUT_ASSUMPTIONS CALC'!$A$13:$CK$1019,Q$7,FALSE)</f>
        <v>39552.5</v>
      </c>
      <c r="R59" s="141">
        <f>P59*VLOOKUP($A59,'[1]INPUT_ASSUMPTIONS CALC'!$A$13:$CK$1019,R$7,FALSE)</f>
        <v>0</v>
      </c>
      <c r="S59" s="140">
        <f t="shared" si="1"/>
        <v>39552.5</v>
      </c>
      <c r="T59" s="142">
        <f t="shared" si="2"/>
        <v>545825</v>
      </c>
      <c r="U59" s="61"/>
    </row>
    <row r="60" spans="1:21" x14ac:dyDescent="0.35">
      <c r="A60" s="125" t="str">
        <f t="shared" si="0"/>
        <v>52Q2</v>
      </c>
      <c r="B60" s="135">
        <v>52</v>
      </c>
      <c r="C60" s="61" t="str">
        <f>INDEX('[1]INPUT_ASSUMPTIONS CALC'!D:D,MATCH(A60,'[1]INPUT_ASSUMPTIONS CALC'!A:A,0))</f>
        <v>Rakhimzhanova Gulnar</v>
      </c>
      <c r="D60" s="61" t="str">
        <f>INDEX('[1]INPUT_ASSUMPTIONS CALC'!I:I,MATCH(A60,'[1]INPUT_ASSUMPTIONS CALC'!A:A,0))</f>
        <v>Line 1</v>
      </c>
      <c r="E60" s="61" t="str">
        <f>INDEX('[1]INPUT_ASSUMPTIONS CALC'!E:E,MATCH(A60,'[1]INPUT_ASSUMPTIONS CALC'!A:A,0))</f>
        <v>Medical Representative</v>
      </c>
      <c r="F60" s="136">
        <f>IF($F$5="Q1",VLOOKUP($A60,'[1]INPUT_ASSUMPTIONS CALC'!$A$13:$CK$1019,F$7,FALSE),IF($F$5="Q2",VLOOKUP($A60,'[1]INPUT_ASSUMPTIONS CALC'!$A$13:$CK$1019,F$7,FALSE),IF($F$5="Q3",VLOOKUP($A60,'[1]INPUT_ASSUMPTIONS CALC'!$A$13:$CK$1019,F$7,FALSE),IF($F$5="Q4",VLOOKUP($A60,'[1]INPUT_ASSUMPTIONS CALC'!$A$13:$CK$1019,F$7,FALSE),IF($F$5="Year",VLOOKUP($A60,'[1]INPUT_ASSUMPTIONS CALC'!$A$13:$CK$1019,F$7,FALSE),0)))))</f>
        <v>395525</v>
      </c>
      <c r="G60" s="137">
        <f>SUMIF('[1]INPUT_ASSUMPTIONS CALC'!A:A,'[1]Summary calculation'!A60,'[1]INPUT_ASSUMPTIONS CALC'!BU:BU)</f>
        <v>1</v>
      </c>
      <c r="H60" s="138">
        <f>IF($F$5="Year",F60*G60*'[1]INPUT_ASSUMPTIONS CALC'!$S$7,F60*G60)</f>
        <v>395525</v>
      </c>
      <c r="I60" s="138">
        <f>H60*VLOOKUP($A60,'[1]INPUT_ASSUMPTIONS CALC'!$A$13:$CK$1019,H$6,FALSE)*SUMIF('[1]INPUT_ASSUMPTIONS CALC'!$CL$15:$CL$17,'[1]Summary calculation'!E60,'[1]INPUT_ASSUMPTIONS CALC'!$CM$15:$CM$17)</f>
        <v>316420</v>
      </c>
      <c r="J60" s="139">
        <f>$I60*VLOOKUP($A60,'[1]INPUT_ASSUMPTIONS CALC'!$A$13:$CK$1019,I$6,FALSE)*VLOOKUP($A60,'[1]INPUT_ASSUMPTIONS CALC'!$A$13:$CK$1019,J$7,FALSE)</f>
        <v>237315</v>
      </c>
      <c r="K60" s="139">
        <f>$I60*VLOOKUP($A60,'[1]INPUT_ASSUMPTIONS CALC'!$A$13:$CK$1019,I$6,FALSE)*VLOOKUP($A60,'[1]INPUT_ASSUMPTIONS CALC'!$A$13:$CK$1019,K$7,FALSE)</f>
        <v>166120.5</v>
      </c>
      <c r="L60" s="139">
        <f>$I60*VLOOKUP($A60,'[1]INPUT_ASSUMPTIONS CALC'!$A$13:$CK$1019,I$6,FALSE)*VLOOKUP($A60,'[1]INPUT_ASSUMPTIONS CALC'!$A$13:$CK$1019,L$7,FALSE)</f>
        <v>47463</v>
      </c>
      <c r="M60" s="139">
        <f>$I60*VLOOKUP($A60,'[1]INPUT_ASSUMPTIONS CALC'!$A$13:$CK$1019,I$6,FALSE)*VLOOKUP($A60,'[1]INPUT_ASSUMPTIONS CALC'!$A$13:$CK$1019,M$7,FALSE)</f>
        <v>23731.500000000007</v>
      </c>
      <c r="N60" s="140">
        <f t="shared" si="3"/>
        <v>474630</v>
      </c>
      <c r="O60" s="141">
        <f>H60*VLOOKUP($A60,'[1]INPUT_ASSUMPTIONS CALC'!$A$13:$CK$1019,H$6,FALSE)*SUMIF('[1]INPUT_ASSUMPTIONS CALC'!$CQ$15:$CQ$17,'[1]Summary calculation'!E60,'[1]INPUT_ASSUMPTIONS CALC'!$CR$15:$CR$17)</f>
        <v>79105</v>
      </c>
      <c r="P60" s="141">
        <f>H60*VLOOKUP($A60,'[1]INPUT_ASSUMPTIONS CALC'!$A$13:$CK$1019,H$6,FALSE)*SUMIF('[1]INPUT_ASSUMPTIONS CALC'!$CV$15:$CV$31,'[1]Summary calculation'!E60,'[1]INPUT_ASSUMPTIONS CALC'!$CW$15:$CW$31)</f>
        <v>0</v>
      </c>
      <c r="Q60" s="141">
        <f>O60*VLOOKUP($A60,'[1]INPUT_ASSUMPTIONS CALC'!$A$13:$CK$1019,Q$7,FALSE)</f>
        <v>79105</v>
      </c>
      <c r="R60" s="141">
        <f>P60*VLOOKUP($A60,'[1]INPUT_ASSUMPTIONS CALC'!$A$13:$CK$1019,R$7,FALSE)</f>
        <v>0</v>
      </c>
      <c r="S60" s="140">
        <f t="shared" si="1"/>
        <v>79105</v>
      </c>
      <c r="T60" s="142">
        <f t="shared" si="2"/>
        <v>553735</v>
      </c>
      <c r="U60" s="61"/>
    </row>
    <row r="61" spans="1:21" x14ac:dyDescent="0.35">
      <c r="A61" s="125" t="str">
        <f t="shared" si="0"/>
        <v>53Q2</v>
      </c>
      <c r="B61" s="135">
        <v>53</v>
      </c>
      <c r="C61" s="61" t="str">
        <f>INDEX('[1]INPUT_ASSUMPTIONS CALC'!D:D,MATCH(A61,'[1]INPUT_ASSUMPTIONS CALC'!A:A,0))</f>
        <v>Sadvakassova Zhanat</v>
      </c>
      <c r="D61" s="61" t="str">
        <f>INDEX('[1]INPUT_ASSUMPTIONS CALC'!I:I,MATCH(A61,'[1]INPUT_ASSUMPTIONS CALC'!A:A,0))</f>
        <v>Pharma line</v>
      </c>
      <c r="E61" s="61" t="str">
        <f>INDEX('[1]INPUT_ASSUMPTIONS CALC'!E:E,MATCH(A61,'[1]INPUT_ASSUMPTIONS CALC'!A:A,0))</f>
        <v>Pharm Representative</v>
      </c>
      <c r="F61" s="136">
        <f>IF($F$5="Q1",VLOOKUP($A61,'[1]INPUT_ASSUMPTIONS CALC'!$A$13:$CK$1019,F$7,FALSE),IF($F$5="Q2",VLOOKUP($A61,'[1]INPUT_ASSUMPTIONS CALC'!$A$13:$CK$1019,F$7,FALSE),IF($F$5="Q3",VLOOKUP($A61,'[1]INPUT_ASSUMPTIONS CALC'!$A$13:$CK$1019,F$7,FALSE),IF($F$5="Q4",VLOOKUP($A61,'[1]INPUT_ASSUMPTIONS CALC'!$A$13:$CK$1019,F$7,FALSE),IF($F$5="Year",VLOOKUP($A61,'[1]INPUT_ASSUMPTIONS CALC'!$A$13:$CK$1019,F$7,FALSE),0)))))</f>
        <v>395525</v>
      </c>
      <c r="G61" s="137">
        <f>SUMIF('[1]INPUT_ASSUMPTIONS CALC'!A:A,'[1]Summary calculation'!A61,'[1]INPUT_ASSUMPTIONS CALC'!BU:BU)</f>
        <v>1</v>
      </c>
      <c r="H61" s="138">
        <f>IF($F$5="Year",F61*G61*'[1]INPUT_ASSUMPTIONS CALC'!$S$7,F61*G61)</f>
        <v>395525</v>
      </c>
      <c r="I61" s="138">
        <f>H61*VLOOKUP($A61,'[1]INPUT_ASSUMPTIONS CALC'!$A$13:$CK$1019,H$6,FALSE)*SUMIF('[1]INPUT_ASSUMPTIONS CALC'!$CL$15:$CL$17,'[1]Summary calculation'!E61,'[1]INPUT_ASSUMPTIONS CALC'!$CM$15:$CM$17)</f>
        <v>316420</v>
      </c>
      <c r="J61" s="139">
        <f>$I61*VLOOKUP($A61,'[1]INPUT_ASSUMPTIONS CALC'!$A$13:$CK$1019,I$6,FALSE)*VLOOKUP($A61,'[1]INPUT_ASSUMPTIONS CALC'!$A$13:$CK$1019,J$7,FALSE)</f>
        <v>227822.4</v>
      </c>
      <c r="K61" s="139">
        <f>$I61*VLOOKUP($A61,'[1]INPUT_ASSUMPTIONS CALC'!$A$13:$CK$1019,I$6,FALSE)*VLOOKUP($A61,'[1]INPUT_ASSUMPTIONS CALC'!$A$13:$CK$1019,K$7,FALSE)</f>
        <v>151881.60000000001</v>
      </c>
      <c r="L61" s="139">
        <f>$I61*VLOOKUP($A61,'[1]INPUT_ASSUMPTIONS CALC'!$A$13:$CK$1019,I$6,FALSE)*VLOOKUP($A61,'[1]INPUT_ASSUMPTIONS CALC'!$A$13:$CK$1019,L$7,FALSE)</f>
        <v>75940.800000000003</v>
      </c>
      <c r="M61" s="139">
        <f>$I61*VLOOKUP($A61,'[1]INPUT_ASSUMPTIONS CALC'!$A$13:$CK$1019,I$6,FALSE)*VLOOKUP($A61,'[1]INPUT_ASSUMPTIONS CALC'!$A$13:$CK$1019,M$7,FALSE)</f>
        <v>50627.200000000033</v>
      </c>
      <c r="N61" s="140">
        <f t="shared" si="3"/>
        <v>506272</v>
      </c>
      <c r="O61" s="141">
        <f>H61*VLOOKUP($A61,'[1]INPUT_ASSUMPTIONS CALC'!$A$13:$CK$1019,H$6,FALSE)*SUMIF('[1]INPUT_ASSUMPTIONS CALC'!$CQ$15:$CQ$17,'[1]Summary calculation'!E61,'[1]INPUT_ASSUMPTIONS CALC'!$CR$15:$CR$17)</f>
        <v>79105</v>
      </c>
      <c r="P61" s="141">
        <f>H61*VLOOKUP($A61,'[1]INPUT_ASSUMPTIONS CALC'!$A$13:$CK$1019,H$6,FALSE)*SUMIF('[1]INPUT_ASSUMPTIONS CALC'!$CV$15:$CV$31,'[1]Summary calculation'!E61,'[1]INPUT_ASSUMPTIONS CALC'!$CW$15:$CW$31)</f>
        <v>0</v>
      </c>
      <c r="Q61" s="141">
        <f>O61*VLOOKUP($A61,'[1]INPUT_ASSUMPTIONS CALC'!$A$13:$CK$1019,Q$7,FALSE)</f>
        <v>79105</v>
      </c>
      <c r="R61" s="141">
        <f>P61*VLOOKUP($A61,'[1]INPUT_ASSUMPTIONS CALC'!$A$13:$CK$1019,R$7,FALSE)</f>
        <v>0</v>
      </c>
      <c r="S61" s="140">
        <f t="shared" si="1"/>
        <v>79105</v>
      </c>
      <c r="T61" s="142">
        <f t="shared" si="2"/>
        <v>585377</v>
      </c>
      <c r="U61" s="61"/>
    </row>
    <row r="62" spans="1:21" x14ac:dyDescent="0.35">
      <c r="A62" s="125" t="str">
        <f t="shared" si="0"/>
        <v>54Q2</v>
      </c>
      <c r="B62" s="135">
        <v>54</v>
      </c>
      <c r="C62" s="61" t="str">
        <f>INDEX('[1]INPUT_ASSUMPTIONS CALC'!D:D,MATCH(A62,'[1]INPUT_ASSUMPTIONS CALC'!A:A,0))</f>
        <v>Sagimbayeva Lyazat</v>
      </c>
      <c r="D62" s="61" t="str">
        <f>INDEX('[1]INPUT_ASSUMPTIONS CALC'!I:I,MATCH(A62,'[1]INPUT_ASSUMPTIONS CALC'!A:A,0))</f>
        <v>Pharma line</v>
      </c>
      <c r="E62" s="61" t="str">
        <f>INDEX('[1]INPUT_ASSUMPTIONS CALC'!E:E,MATCH(A62,'[1]INPUT_ASSUMPTIONS CALC'!A:A,0))</f>
        <v>Pharm Representative</v>
      </c>
      <c r="F62" s="136">
        <f>IF($F$5="Q1",VLOOKUP($A62,'[1]INPUT_ASSUMPTIONS CALC'!$A$13:$CK$1019,F$7,FALSE),IF($F$5="Q2",VLOOKUP($A62,'[1]INPUT_ASSUMPTIONS CALC'!$A$13:$CK$1019,F$7,FALSE),IF($F$5="Q3",VLOOKUP($A62,'[1]INPUT_ASSUMPTIONS CALC'!$A$13:$CK$1019,F$7,FALSE),IF($F$5="Q4",VLOOKUP($A62,'[1]INPUT_ASSUMPTIONS CALC'!$A$13:$CK$1019,F$7,FALSE),IF($F$5="Year",VLOOKUP($A62,'[1]INPUT_ASSUMPTIONS CALC'!$A$13:$CK$1019,F$7,FALSE),0)))))</f>
        <v>395525</v>
      </c>
      <c r="G62" s="137">
        <f>SUMIF('[1]INPUT_ASSUMPTIONS CALC'!A:A,'[1]Summary calculation'!A62,'[1]INPUT_ASSUMPTIONS CALC'!BU:BU)</f>
        <v>1</v>
      </c>
      <c r="H62" s="138">
        <f>IF($F$5="Year",F62*G62*'[1]INPUT_ASSUMPTIONS CALC'!$S$7,F62*G62)</f>
        <v>395525</v>
      </c>
      <c r="I62" s="138">
        <f>H62*VLOOKUP($A62,'[1]INPUT_ASSUMPTIONS CALC'!$A$13:$CK$1019,H$6,FALSE)*SUMIF('[1]INPUT_ASSUMPTIONS CALC'!$CL$15:$CL$17,'[1]Summary calculation'!E62,'[1]INPUT_ASSUMPTIONS CALC'!$CM$15:$CM$17)</f>
        <v>0</v>
      </c>
      <c r="J62" s="139">
        <f>$I62*VLOOKUP($A62,'[1]INPUT_ASSUMPTIONS CALC'!$A$13:$CK$1019,I$6,FALSE)*VLOOKUP($A62,'[1]INPUT_ASSUMPTIONS CALC'!$A$13:$CK$1019,J$7,FALSE)</f>
        <v>0</v>
      </c>
      <c r="K62" s="139">
        <f>$I62*VLOOKUP($A62,'[1]INPUT_ASSUMPTIONS CALC'!$A$13:$CK$1019,I$6,FALSE)*VLOOKUP($A62,'[1]INPUT_ASSUMPTIONS CALC'!$A$13:$CK$1019,K$7,FALSE)</f>
        <v>0</v>
      </c>
      <c r="L62" s="139">
        <f>$I62*VLOOKUP($A62,'[1]INPUT_ASSUMPTIONS CALC'!$A$13:$CK$1019,I$6,FALSE)*VLOOKUP($A62,'[1]INPUT_ASSUMPTIONS CALC'!$A$13:$CK$1019,L$7,FALSE)</f>
        <v>0</v>
      </c>
      <c r="M62" s="139">
        <f>$I62*VLOOKUP($A62,'[1]INPUT_ASSUMPTIONS CALC'!$A$13:$CK$1019,I$6,FALSE)*VLOOKUP($A62,'[1]INPUT_ASSUMPTIONS CALC'!$A$13:$CK$1019,M$7,FALSE)</f>
        <v>0</v>
      </c>
      <c r="N62" s="140">
        <f t="shared" si="3"/>
        <v>0</v>
      </c>
      <c r="O62" s="141">
        <f>H62*VLOOKUP($A62,'[1]INPUT_ASSUMPTIONS CALC'!$A$13:$CK$1019,H$6,FALSE)*SUMIF('[1]INPUT_ASSUMPTIONS CALC'!$CQ$15:$CQ$17,'[1]Summary calculation'!E62,'[1]INPUT_ASSUMPTIONS CALC'!$CR$15:$CR$17)</f>
        <v>0</v>
      </c>
      <c r="P62" s="141">
        <f>H62*VLOOKUP($A62,'[1]INPUT_ASSUMPTIONS CALC'!$A$13:$CK$1019,H$6,FALSE)*SUMIF('[1]INPUT_ASSUMPTIONS CALC'!$CV$15:$CV$31,'[1]Summary calculation'!E62,'[1]INPUT_ASSUMPTIONS CALC'!$CW$15:$CW$31)</f>
        <v>0</v>
      </c>
      <c r="Q62" s="141">
        <f>O62*VLOOKUP($A62,'[1]INPUT_ASSUMPTIONS CALC'!$A$13:$CK$1019,Q$7,FALSE)</f>
        <v>0</v>
      </c>
      <c r="R62" s="141">
        <f>P62*VLOOKUP($A62,'[1]INPUT_ASSUMPTIONS CALC'!$A$13:$CK$1019,R$7,FALSE)</f>
        <v>0</v>
      </c>
      <c r="S62" s="140">
        <f t="shared" si="1"/>
        <v>0</v>
      </c>
      <c r="T62" s="142">
        <f t="shared" si="2"/>
        <v>0</v>
      </c>
      <c r="U62" s="61"/>
    </row>
    <row r="63" spans="1:21" x14ac:dyDescent="0.35">
      <c r="A63" s="125" t="str">
        <f t="shared" si="0"/>
        <v>55Q2</v>
      </c>
      <c r="B63" s="135">
        <v>55</v>
      </c>
      <c r="C63" s="61" t="str">
        <f>INDEX('[1]INPUT_ASSUMPTIONS CALC'!D:D,MATCH(A63,'[1]INPUT_ASSUMPTIONS CALC'!A:A,0))</f>
        <v>Sakalbayeva Aliya</v>
      </c>
      <c r="D63" s="61" t="str">
        <f>INDEX('[1]INPUT_ASSUMPTIONS CALC'!I:I,MATCH(A63,'[1]INPUT_ASSUMPTIONS CALC'!A:A,0))</f>
        <v>Line 2</v>
      </c>
      <c r="E63" s="61" t="str">
        <f>INDEX('[1]INPUT_ASSUMPTIONS CALC'!E:E,MATCH(A63,'[1]INPUT_ASSUMPTIONS CALC'!A:A,0))</f>
        <v>Medical Representative</v>
      </c>
      <c r="F63" s="136">
        <f>IF($F$5="Q1",VLOOKUP($A63,'[1]INPUT_ASSUMPTIONS CALC'!$A$13:$CK$1019,F$7,FALSE),IF($F$5="Q2",VLOOKUP($A63,'[1]INPUT_ASSUMPTIONS CALC'!$A$13:$CK$1019,F$7,FALSE),IF($F$5="Q3",VLOOKUP($A63,'[1]INPUT_ASSUMPTIONS CALC'!$A$13:$CK$1019,F$7,FALSE),IF($F$5="Q4",VLOOKUP($A63,'[1]INPUT_ASSUMPTIONS CALC'!$A$13:$CK$1019,F$7,FALSE),IF($F$5="Year",VLOOKUP($A63,'[1]INPUT_ASSUMPTIONS CALC'!$A$13:$CK$1019,F$7,FALSE),0)))))</f>
        <v>395525</v>
      </c>
      <c r="G63" s="137">
        <f>SUMIF('[1]INPUT_ASSUMPTIONS CALC'!A:A,'[1]Summary calculation'!A63,'[1]INPUT_ASSUMPTIONS CALC'!BU:BU)</f>
        <v>1</v>
      </c>
      <c r="H63" s="138">
        <f>IF($F$5="Year",F63*G63*'[1]INPUT_ASSUMPTIONS CALC'!$S$7,F63*G63)</f>
        <v>395525</v>
      </c>
      <c r="I63" s="138">
        <f>H63*VLOOKUP($A63,'[1]INPUT_ASSUMPTIONS CALC'!$A$13:$CK$1019,H$6,FALSE)*SUMIF('[1]INPUT_ASSUMPTIONS CALC'!$CL$15:$CL$17,'[1]Summary calculation'!E63,'[1]INPUT_ASSUMPTIONS CALC'!$CM$15:$CM$17)</f>
        <v>316420</v>
      </c>
      <c r="J63" s="139">
        <f>$I63*VLOOKUP($A63,'[1]INPUT_ASSUMPTIONS CALC'!$A$13:$CK$1019,I$6,FALSE)*VLOOKUP($A63,'[1]INPUT_ASSUMPTIONS CALC'!$A$13:$CK$1019,J$7,FALSE)</f>
        <v>66448.2</v>
      </c>
      <c r="K63" s="139">
        <f>$I63*VLOOKUP($A63,'[1]INPUT_ASSUMPTIONS CALC'!$A$13:$CK$1019,I$6,FALSE)*VLOOKUP($A63,'[1]INPUT_ASSUMPTIONS CALC'!$A$13:$CK$1019,K$7,FALSE)</f>
        <v>55373.5</v>
      </c>
      <c r="L63" s="139">
        <f>$I63*VLOOKUP($A63,'[1]INPUT_ASSUMPTIONS CALC'!$A$13:$CK$1019,I$6,FALSE)*VLOOKUP($A63,'[1]INPUT_ASSUMPTIONS CALC'!$A$13:$CK$1019,L$7,FALSE)</f>
        <v>55373.5</v>
      </c>
      <c r="M63" s="139">
        <f>$I63*VLOOKUP($A63,'[1]INPUT_ASSUMPTIONS CALC'!$A$13:$CK$1019,I$6,FALSE)*VLOOKUP($A63,'[1]INPUT_ASSUMPTIONS CALC'!$A$13:$CK$1019,M$7,FALSE)</f>
        <v>44298.799999999988</v>
      </c>
      <c r="N63" s="140">
        <f t="shared" si="3"/>
        <v>221494</v>
      </c>
      <c r="O63" s="141">
        <f>H63*VLOOKUP($A63,'[1]INPUT_ASSUMPTIONS CALC'!$A$13:$CK$1019,H$6,FALSE)*SUMIF('[1]INPUT_ASSUMPTIONS CALC'!$CQ$15:$CQ$17,'[1]Summary calculation'!E63,'[1]INPUT_ASSUMPTIONS CALC'!$CR$15:$CR$17)</f>
        <v>79105</v>
      </c>
      <c r="P63" s="141">
        <f>H63*VLOOKUP($A63,'[1]INPUT_ASSUMPTIONS CALC'!$A$13:$CK$1019,H$6,FALSE)*SUMIF('[1]INPUT_ASSUMPTIONS CALC'!$CV$15:$CV$31,'[1]Summary calculation'!E63,'[1]INPUT_ASSUMPTIONS CALC'!$CW$15:$CW$31)</f>
        <v>0</v>
      </c>
      <c r="Q63" s="141">
        <f>O63*VLOOKUP($A63,'[1]INPUT_ASSUMPTIONS CALC'!$A$13:$CK$1019,Q$7,FALSE)</f>
        <v>39552.5</v>
      </c>
      <c r="R63" s="141">
        <f>P63*VLOOKUP($A63,'[1]INPUT_ASSUMPTIONS CALC'!$A$13:$CK$1019,R$7,FALSE)</f>
        <v>0</v>
      </c>
      <c r="S63" s="140">
        <f t="shared" si="1"/>
        <v>39552.5</v>
      </c>
      <c r="T63" s="142">
        <f t="shared" si="2"/>
        <v>261047</v>
      </c>
      <c r="U63" s="61"/>
    </row>
    <row r="64" spans="1:21" x14ac:dyDescent="0.35">
      <c r="A64" s="125" t="str">
        <f t="shared" si="0"/>
        <v>56Q2</v>
      </c>
      <c r="B64" s="135">
        <v>56</v>
      </c>
      <c r="C64" s="61" t="str">
        <f>INDEX('[1]INPUT_ASSUMPTIONS CALC'!D:D,MATCH(A64,'[1]INPUT_ASSUMPTIONS CALC'!A:A,0))</f>
        <v>Sarbassova Dina (Shymkent)</v>
      </c>
      <c r="D64" s="61" t="str">
        <f>INDEX('[1]INPUT_ASSUMPTIONS CALC'!I:I,MATCH(A64,'[1]INPUT_ASSUMPTIONS CALC'!A:A,0))</f>
        <v>Pharma line</v>
      </c>
      <c r="E64" s="61" t="str">
        <f>INDEX('[1]INPUT_ASSUMPTIONS CALC'!E:E,MATCH(A64,'[1]INPUT_ASSUMPTIONS CALC'!A:A,0))</f>
        <v>Pharm Representative</v>
      </c>
      <c r="F64" s="136">
        <f>IF($F$5="Q1",VLOOKUP($A64,'[1]INPUT_ASSUMPTIONS CALC'!$A$13:$CK$1019,F$7,FALSE),IF($F$5="Q2",VLOOKUP($A64,'[1]INPUT_ASSUMPTIONS CALC'!$A$13:$CK$1019,F$7,FALSE),IF($F$5="Q3",VLOOKUP($A64,'[1]INPUT_ASSUMPTIONS CALC'!$A$13:$CK$1019,F$7,FALSE),IF($F$5="Q4",VLOOKUP($A64,'[1]INPUT_ASSUMPTIONS CALC'!$A$13:$CK$1019,F$7,FALSE),IF($F$5="Year",VLOOKUP($A64,'[1]INPUT_ASSUMPTIONS CALC'!$A$13:$CK$1019,F$7,FALSE),0)))))</f>
        <v>395525</v>
      </c>
      <c r="G64" s="137">
        <f>SUMIF('[1]INPUT_ASSUMPTIONS CALC'!A:A,'[1]Summary calculation'!A64,'[1]INPUT_ASSUMPTIONS CALC'!BU:BU)</f>
        <v>0.66666666666666663</v>
      </c>
      <c r="H64" s="138">
        <f>IF($F$5="Year",F64*G64*'[1]INPUT_ASSUMPTIONS CALC'!$S$7,F64*G64)</f>
        <v>263683.33333333331</v>
      </c>
      <c r="I64" s="138">
        <f>H64*VLOOKUP($A64,'[1]INPUT_ASSUMPTIONS CALC'!$A$13:$CK$1019,H$6,FALSE)*SUMIF('[1]INPUT_ASSUMPTIONS CALC'!$CL$15:$CL$17,'[1]Summary calculation'!E64,'[1]INPUT_ASSUMPTIONS CALC'!$CM$15:$CM$17)</f>
        <v>0</v>
      </c>
      <c r="J64" s="139">
        <f>$I64*VLOOKUP($A64,'[1]INPUT_ASSUMPTIONS CALC'!$A$13:$CK$1019,I$6,FALSE)*VLOOKUP($A64,'[1]INPUT_ASSUMPTIONS CALC'!$A$13:$CK$1019,J$7,FALSE)</f>
        <v>0</v>
      </c>
      <c r="K64" s="139">
        <f>$I64*VLOOKUP($A64,'[1]INPUT_ASSUMPTIONS CALC'!$A$13:$CK$1019,I$6,FALSE)*VLOOKUP($A64,'[1]INPUT_ASSUMPTIONS CALC'!$A$13:$CK$1019,K$7,FALSE)</f>
        <v>0</v>
      </c>
      <c r="L64" s="139">
        <f>$I64*VLOOKUP($A64,'[1]INPUT_ASSUMPTIONS CALC'!$A$13:$CK$1019,I$6,FALSE)*VLOOKUP($A64,'[1]INPUT_ASSUMPTIONS CALC'!$A$13:$CK$1019,L$7,FALSE)</f>
        <v>0</v>
      </c>
      <c r="M64" s="139">
        <f>$I64*VLOOKUP($A64,'[1]INPUT_ASSUMPTIONS CALC'!$A$13:$CK$1019,I$6,FALSE)*VLOOKUP($A64,'[1]INPUT_ASSUMPTIONS CALC'!$A$13:$CK$1019,M$7,FALSE)</f>
        <v>0</v>
      </c>
      <c r="N64" s="140">
        <f t="shared" si="3"/>
        <v>0</v>
      </c>
      <c r="O64" s="141">
        <f>H64*VLOOKUP($A64,'[1]INPUT_ASSUMPTIONS CALC'!$A$13:$CK$1019,H$6,FALSE)*SUMIF('[1]INPUT_ASSUMPTIONS CALC'!$CQ$15:$CQ$17,'[1]Summary calculation'!E64,'[1]INPUT_ASSUMPTIONS CALC'!$CR$15:$CR$17)</f>
        <v>0</v>
      </c>
      <c r="P64" s="141">
        <f>H64*VLOOKUP($A64,'[1]INPUT_ASSUMPTIONS CALC'!$A$13:$CK$1019,H$6,FALSE)*SUMIF('[1]INPUT_ASSUMPTIONS CALC'!$CV$15:$CV$31,'[1]Summary calculation'!E64,'[1]INPUT_ASSUMPTIONS CALC'!$CW$15:$CW$31)</f>
        <v>0</v>
      </c>
      <c r="Q64" s="141">
        <f>O64*VLOOKUP($A64,'[1]INPUT_ASSUMPTIONS CALC'!$A$13:$CK$1019,Q$7,FALSE)</f>
        <v>0</v>
      </c>
      <c r="R64" s="141">
        <f>P64*VLOOKUP($A64,'[1]INPUT_ASSUMPTIONS CALC'!$A$13:$CK$1019,R$7,FALSE)</f>
        <v>0</v>
      </c>
      <c r="S64" s="140">
        <f t="shared" si="1"/>
        <v>0</v>
      </c>
      <c r="T64" s="142">
        <f t="shared" si="2"/>
        <v>0</v>
      </c>
      <c r="U64" s="61"/>
    </row>
    <row r="65" spans="1:21" x14ac:dyDescent="0.35">
      <c r="A65" s="125" t="str">
        <f t="shared" si="0"/>
        <v>57Q2</v>
      </c>
      <c r="B65" s="135">
        <v>57</v>
      </c>
      <c r="C65" s="61" t="str">
        <f>INDEX('[1]INPUT_ASSUMPTIONS CALC'!D:D,MATCH(A65,'[1]INPUT_ASSUMPTIONS CALC'!A:A,0))</f>
        <v>Sariyeva Ainur</v>
      </c>
      <c r="D65" s="61" t="str">
        <f>INDEX('[1]INPUT_ASSUMPTIONS CALC'!I:I,MATCH(A65,'[1]INPUT_ASSUMPTIONS CALC'!A:A,0))</f>
        <v>Pharma line</v>
      </c>
      <c r="E65" s="61" t="str">
        <f>INDEX('[1]INPUT_ASSUMPTIONS CALC'!E:E,MATCH(A65,'[1]INPUT_ASSUMPTIONS CALC'!A:A,0))</f>
        <v>Pharm Representative</v>
      </c>
      <c r="F65" s="136">
        <f>IF($F$5="Q1",VLOOKUP($A65,'[1]INPUT_ASSUMPTIONS CALC'!$A$13:$CK$1019,F$7,FALSE),IF($F$5="Q2",VLOOKUP($A65,'[1]INPUT_ASSUMPTIONS CALC'!$A$13:$CK$1019,F$7,FALSE),IF($F$5="Q3",VLOOKUP($A65,'[1]INPUT_ASSUMPTIONS CALC'!$A$13:$CK$1019,F$7,FALSE),IF($F$5="Q4",VLOOKUP($A65,'[1]INPUT_ASSUMPTIONS CALC'!$A$13:$CK$1019,F$7,FALSE),IF($F$5="Year",VLOOKUP($A65,'[1]INPUT_ASSUMPTIONS CALC'!$A$13:$CK$1019,F$7,FALSE),0)))))</f>
        <v>395525</v>
      </c>
      <c r="G65" s="137">
        <f>SUMIF('[1]INPUT_ASSUMPTIONS CALC'!A:A,'[1]Summary calculation'!A65,'[1]INPUT_ASSUMPTIONS CALC'!BU:BU)</f>
        <v>1</v>
      </c>
      <c r="H65" s="138">
        <f>IF($F$5="Year",F65*G65*'[1]INPUT_ASSUMPTIONS CALC'!$S$7,F65*G65)</f>
        <v>395525</v>
      </c>
      <c r="I65" s="138">
        <f>H65*VLOOKUP($A65,'[1]INPUT_ASSUMPTIONS CALC'!$A$13:$CK$1019,H$6,FALSE)*SUMIF('[1]INPUT_ASSUMPTIONS CALC'!$CL$15:$CL$17,'[1]Summary calculation'!E65,'[1]INPUT_ASSUMPTIONS CALC'!$CM$15:$CM$17)</f>
        <v>316420</v>
      </c>
      <c r="J65" s="139">
        <f>$I65*VLOOKUP($A65,'[1]INPUT_ASSUMPTIONS CALC'!$A$13:$CK$1019,I$6,FALSE)*VLOOKUP($A65,'[1]INPUT_ASSUMPTIONS CALC'!$A$13:$CK$1019,J$7,FALSE)</f>
        <v>99672.3</v>
      </c>
      <c r="K65" s="139">
        <f>$I65*VLOOKUP($A65,'[1]INPUT_ASSUMPTIONS CALC'!$A$13:$CK$1019,I$6,FALSE)*VLOOKUP($A65,'[1]INPUT_ASSUMPTIONS CALC'!$A$13:$CK$1019,K$7,FALSE)</f>
        <v>66448.2</v>
      </c>
      <c r="L65" s="139">
        <f>$I65*VLOOKUP($A65,'[1]INPUT_ASSUMPTIONS CALC'!$A$13:$CK$1019,I$6,FALSE)*VLOOKUP($A65,'[1]INPUT_ASSUMPTIONS CALC'!$A$13:$CK$1019,L$7,FALSE)</f>
        <v>33224.1</v>
      </c>
      <c r="M65" s="139">
        <f>$I65*VLOOKUP($A65,'[1]INPUT_ASSUMPTIONS CALC'!$A$13:$CK$1019,I$6,FALSE)*VLOOKUP($A65,'[1]INPUT_ASSUMPTIONS CALC'!$A$13:$CK$1019,M$7,FALSE)</f>
        <v>22149.400000000012</v>
      </c>
      <c r="N65" s="140">
        <f t="shared" si="3"/>
        <v>221494.00000000003</v>
      </c>
      <c r="O65" s="141">
        <f>H65*VLOOKUP($A65,'[1]INPUT_ASSUMPTIONS CALC'!$A$13:$CK$1019,H$6,FALSE)*SUMIF('[1]INPUT_ASSUMPTIONS CALC'!$CQ$15:$CQ$17,'[1]Summary calculation'!E65,'[1]INPUT_ASSUMPTIONS CALC'!$CR$15:$CR$17)</f>
        <v>79105</v>
      </c>
      <c r="P65" s="141">
        <f>H65*VLOOKUP($A65,'[1]INPUT_ASSUMPTIONS CALC'!$A$13:$CK$1019,H$6,FALSE)*SUMIF('[1]INPUT_ASSUMPTIONS CALC'!$CV$15:$CV$31,'[1]Summary calculation'!E65,'[1]INPUT_ASSUMPTIONS CALC'!$CW$15:$CW$31)</f>
        <v>0</v>
      </c>
      <c r="Q65" s="141">
        <f>O65*VLOOKUP($A65,'[1]INPUT_ASSUMPTIONS CALC'!$A$13:$CK$1019,Q$7,FALSE)</f>
        <v>79105</v>
      </c>
      <c r="R65" s="141">
        <f>P65*VLOOKUP($A65,'[1]INPUT_ASSUMPTIONS CALC'!$A$13:$CK$1019,R$7,FALSE)</f>
        <v>0</v>
      </c>
      <c r="S65" s="140">
        <f t="shared" si="1"/>
        <v>79105</v>
      </c>
      <c r="T65" s="142">
        <f t="shared" si="2"/>
        <v>300599</v>
      </c>
      <c r="U65" s="61"/>
    </row>
    <row r="66" spans="1:21" x14ac:dyDescent="0.35">
      <c r="A66" s="125" t="str">
        <f t="shared" si="0"/>
        <v>58Q2</v>
      </c>
      <c r="B66" s="135">
        <v>58</v>
      </c>
      <c r="C66" s="61" t="str">
        <f>INDEX('[1]INPUT_ASSUMPTIONS CALC'!D:D,MATCH(A66,'[1]INPUT_ASSUMPTIONS CALC'!A:A,0))</f>
        <v>Sarsenbayeva Saniya</v>
      </c>
      <c r="D66" s="61" t="str">
        <f>INDEX('[1]INPUT_ASSUMPTIONS CALC'!I:I,MATCH(A66,'[1]INPUT_ASSUMPTIONS CALC'!A:A,0))</f>
        <v>Line 1</v>
      </c>
      <c r="E66" s="61" t="str">
        <f>INDEX('[1]INPUT_ASSUMPTIONS CALC'!E:E,MATCH(A66,'[1]INPUT_ASSUMPTIONS CALC'!A:A,0))</f>
        <v>Medical Representative</v>
      </c>
      <c r="F66" s="136">
        <f>IF($F$5="Q1",VLOOKUP($A66,'[1]INPUT_ASSUMPTIONS CALC'!$A$13:$CK$1019,F$7,FALSE),IF($F$5="Q2",VLOOKUP($A66,'[1]INPUT_ASSUMPTIONS CALC'!$A$13:$CK$1019,F$7,FALSE),IF($F$5="Q3",VLOOKUP($A66,'[1]INPUT_ASSUMPTIONS CALC'!$A$13:$CK$1019,F$7,FALSE),IF($F$5="Q4",VLOOKUP($A66,'[1]INPUT_ASSUMPTIONS CALC'!$A$13:$CK$1019,F$7,FALSE),IF($F$5="Year",VLOOKUP($A66,'[1]INPUT_ASSUMPTIONS CALC'!$A$13:$CK$1019,F$7,FALSE),0)))))</f>
        <v>395525</v>
      </c>
      <c r="G66" s="137">
        <f>SUMIF('[1]INPUT_ASSUMPTIONS CALC'!A:A,'[1]Summary calculation'!A66,'[1]INPUT_ASSUMPTIONS CALC'!BU:BU)</f>
        <v>1</v>
      </c>
      <c r="H66" s="138">
        <f>IF($F$5="Year",F66*G66*'[1]INPUT_ASSUMPTIONS CALC'!$S$7,F66*G66)</f>
        <v>395525</v>
      </c>
      <c r="I66" s="138">
        <f>H66*VLOOKUP($A66,'[1]INPUT_ASSUMPTIONS CALC'!$A$13:$CK$1019,H$6,FALSE)*SUMIF('[1]INPUT_ASSUMPTIONS CALC'!$CL$15:$CL$17,'[1]Summary calculation'!E66,'[1]INPUT_ASSUMPTIONS CALC'!$CM$15:$CM$17)</f>
        <v>316420</v>
      </c>
      <c r="J66" s="139">
        <f>$I66*VLOOKUP($A66,'[1]INPUT_ASSUMPTIONS CALC'!$A$13:$CK$1019,I$6,FALSE)*VLOOKUP($A66,'[1]INPUT_ASSUMPTIONS CALC'!$A$13:$CK$1019,J$7,FALSE)</f>
        <v>237315</v>
      </c>
      <c r="K66" s="139">
        <f>$I66*VLOOKUP($A66,'[1]INPUT_ASSUMPTIONS CALC'!$A$13:$CK$1019,I$6,FALSE)*VLOOKUP($A66,'[1]INPUT_ASSUMPTIONS CALC'!$A$13:$CK$1019,K$7,FALSE)</f>
        <v>166120.5</v>
      </c>
      <c r="L66" s="139">
        <f>$I66*VLOOKUP($A66,'[1]INPUT_ASSUMPTIONS CALC'!$A$13:$CK$1019,I$6,FALSE)*VLOOKUP($A66,'[1]INPUT_ASSUMPTIONS CALC'!$A$13:$CK$1019,L$7,FALSE)</f>
        <v>47463</v>
      </c>
      <c r="M66" s="139">
        <f>$I66*VLOOKUP($A66,'[1]INPUT_ASSUMPTIONS CALC'!$A$13:$CK$1019,I$6,FALSE)*VLOOKUP($A66,'[1]INPUT_ASSUMPTIONS CALC'!$A$13:$CK$1019,M$7,FALSE)</f>
        <v>23731.500000000007</v>
      </c>
      <c r="N66" s="140">
        <f t="shared" si="3"/>
        <v>474630</v>
      </c>
      <c r="O66" s="141">
        <f>H66*VLOOKUP($A66,'[1]INPUT_ASSUMPTIONS CALC'!$A$13:$CK$1019,H$6,FALSE)*SUMIF('[1]INPUT_ASSUMPTIONS CALC'!$CQ$15:$CQ$17,'[1]Summary calculation'!E66,'[1]INPUT_ASSUMPTIONS CALC'!$CR$15:$CR$17)</f>
        <v>79105</v>
      </c>
      <c r="P66" s="141">
        <f>H66*VLOOKUP($A66,'[1]INPUT_ASSUMPTIONS CALC'!$A$13:$CK$1019,H$6,FALSE)*SUMIF('[1]INPUT_ASSUMPTIONS CALC'!$CV$15:$CV$31,'[1]Summary calculation'!E66,'[1]INPUT_ASSUMPTIONS CALC'!$CW$15:$CW$31)</f>
        <v>0</v>
      </c>
      <c r="Q66" s="141">
        <f>O66*VLOOKUP($A66,'[1]INPUT_ASSUMPTIONS CALC'!$A$13:$CK$1019,Q$7,FALSE)</f>
        <v>79105</v>
      </c>
      <c r="R66" s="141">
        <f>P66*VLOOKUP($A66,'[1]INPUT_ASSUMPTIONS CALC'!$A$13:$CK$1019,R$7,FALSE)</f>
        <v>0</v>
      </c>
      <c r="S66" s="140">
        <f t="shared" si="1"/>
        <v>79105</v>
      </c>
      <c r="T66" s="142">
        <f t="shared" si="2"/>
        <v>553735</v>
      </c>
      <c r="U66" s="61"/>
    </row>
    <row r="67" spans="1:21" x14ac:dyDescent="0.35">
      <c r="A67" s="125" t="str">
        <f t="shared" si="0"/>
        <v>59Q2</v>
      </c>
      <c r="B67" s="135">
        <v>59</v>
      </c>
      <c r="C67" s="61" t="str">
        <f>INDEX('[1]INPUT_ASSUMPTIONS CALC'!D:D,MATCH(A67,'[1]INPUT_ASSUMPTIONS CALC'!A:A,0))</f>
        <v>Simachkova Yelena</v>
      </c>
      <c r="D67" s="61" t="str">
        <f>INDEX('[1]INPUT_ASSUMPTIONS CALC'!I:I,MATCH(A67,'[1]INPUT_ASSUMPTIONS CALC'!A:A,0))</f>
        <v>Pharma line</v>
      </c>
      <c r="E67" s="61" t="str">
        <f>INDEX('[1]INPUT_ASSUMPTIONS CALC'!E:E,MATCH(A67,'[1]INPUT_ASSUMPTIONS CALC'!A:A,0))</f>
        <v>Pharm Representative</v>
      </c>
      <c r="F67" s="136">
        <f>IF($F$5="Q1",VLOOKUP($A67,'[1]INPUT_ASSUMPTIONS CALC'!$A$13:$CK$1019,F$7,FALSE),IF($F$5="Q2",VLOOKUP($A67,'[1]INPUT_ASSUMPTIONS CALC'!$A$13:$CK$1019,F$7,FALSE),IF($F$5="Q3",VLOOKUP($A67,'[1]INPUT_ASSUMPTIONS CALC'!$A$13:$CK$1019,F$7,FALSE),IF($F$5="Q4",VLOOKUP($A67,'[1]INPUT_ASSUMPTIONS CALC'!$A$13:$CK$1019,F$7,FALSE),IF($F$5="Year",VLOOKUP($A67,'[1]INPUT_ASSUMPTIONS CALC'!$A$13:$CK$1019,F$7,FALSE),0)))))</f>
        <v>395525</v>
      </c>
      <c r="G67" s="137">
        <f>SUMIF('[1]INPUT_ASSUMPTIONS CALC'!A:A,'[1]Summary calculation'!A67,'[1]INPUT_ASSUMPTIONS CALC'!BU:BU)</f>
        <v>0.33333333333333331</v>
      </c>
      <c r="H67" s="138">
        <f>IF($F$5="Year",F67*G67*'[1]INPUT_ASSUMPTIONS CALC'!$S$7,F67*G67)</f>
        <v>131841.66666666666</v>
      </c>
      <c r="I67" s="138">
        <f>H67*VLOOKUP($A67,'[1]INPUT_ASSUMPTIONS CALC'!$A$13:$CK$1019,H$6,FALSE)*SUMIF('[1]INPUT_ASSUMPTIONS CALC'!$CL$15:$CL$17,'[1]Summary calculation'!E67,'[1]INPUT_ASSUMPTIONS CALC'!$CM$15:$CM$17)</f>
        <v>105473.33333333333</v>
      </c>
      <c r="J67" s="139">
        <f>$I67*VLOOKUP($A67,'[1]INPUT_ASSUMPTIONS CALC'!$A$13:$CK$1019,I$6,FALSE)*VLOOKUP($A67,'[1]INPUT_ASSUMPTIONS CALC'!$A$13:$CK$1019,J$7,FALSE)</f>
        <v>75940.800000000003</v>
      </c>
      <c r="K67" s="139">
        <f>$I67*VLOOKUP($A67,'[1]INPUT_ASSUMPTIONS CALC'!$A$13:$CK$1019,I$6,FALSE)*VLOOKUP($A67,'[1]INPUT_ASSUMPTIONS CALC'!$A$13:$CK$1019,K$7,FALSE)</f>
        <v>50627.200000000004</v>
      </c>
      <c r="L67" s="139">
        <f>$I67*VLOOKUP($A67,'[1]INPUT_ASSUMPTIONS CALC'!$A$13:$CK$1019,I$6,FALSE)*VLOOKUP($A67,'[1]INPUT_ASSUMPTIONS CALC'!$A$13:$CK$1019,L$7,FALSE)</f>
        <v>25313.600000000002</v>
      </c>
      <c r="M67" s="139">
        <f>$I67*VLOOKUP($A67,'[1]INPUT_ASSUMPTIONS CALC'!$A$13:$CK$1019,I$6,FALSE)*VLOOKUP($A67,'[1]INPUT_ASSUMPTIONS CALC'!$A$13:$CK$1019,M$7,FALSE)</f>
        <v>16875.733333333344</v>
      </c>
      <c r="N67" s="140">
        <f t="shared" si="3"/>
        <v>168757.33333333334</v>
      </c>
      <c r="O67" s="141">
        <f>H67*VLOOKUP($A67,'[1]INPUT_ASSUMPTIONS CALC'!$A$13:$CK$1019,H$6,FALSE)*SUMIF('[1]INPUT_ASSUMPTIONS CALC'!$CQ$15:$CQ$17,'[1]Summary calculation'!E67,'[1]INPUT_ASSUMPTIONS CALC'!$CR$15:$CR$17)</f>
        <v>26368.333333333332</v>
      </c>
      <c r="P67" s="141">
        <f>H67*VLOOKUP($A67,'[1]INPUT_ASSUMPTIONS CALC'!$A$13:$CK$1019,H$6,FALSE)*SUMIF('[1]INPUT_ASSUMPTIONS CALC'!$CV$15:$CV$31,'[1]Summary calculation'!E67,'[1]INPUT_ASSUMPTIONS CALC'!$CW$15:$CW$31)</f>
        <v>0</v>
      </c>
      <c r="Q67" s="141">
        <f>O67*VLOOKUP($A67,'[1]INPUT_ASSUMPTIONS CALC'!$A$13:$CK$1019,Q$7,FALSE)</f>
        <v>0</v>
      </c>
      <c r="R67" s="141">
        <f>P67*VLOOKUP($A67,'[1]INPUT_ASSUMPTIONS CALC'!$A$13:$CK$1019,R$7,FALSE)</f>
        <v>0</v>
      </c>
      <c r="S67" s="140">
        <f t="shared" si="1"/>
        <v>0</v>
      </c>
      <c r="T67" s="142">
        <f t="shared" si="2"/>
        <v>168757</v>
      </c>
      <c r="U67" s="61"/>
    </row>
    <row r="68" spans="1:21" x14ac:dyDescent="0.35">
      <c r="A68" s="125" t="str">
        <f t="shared" si="0"/>
        <v>60Q2</v>
      </c>
      <c r="B68" s="135">
        <v>60</v>
      </c>
      <c r="C68" s="61" t="str">
        <f>INDEX('[1]INPUT_ASSUMPTIONS CALC'!D:D,MATCH(A68,'[1]INPUT_ASSUMPTIONS CALC'!A:A,0))</f>
        <v>Soni Laura</v>
      </c>
      <c r="D68" s="61" t="str">
        <f>INDEX('[1]INPUT_ASSUMPTIONS CALC'!I:I,MATCH(A68,'[1]INPUT_ASSUMPTIONS CALC'!A:A,0))</f>
        <v>Line 2 (big cities)</v>
      </c>
      <c r="E68" s="61" t="str">
        <f>INDEX('[1]INPUT_ASSUMPTIONS CALC'!E:E,MATCH(A68,'[1]INPUT_ASSUMPTIONS CALC'!A:A,0))</f>
        <v>Medical Representative</v>
      </c>
      <c r="F68" s="136">
        <f>IF($F$5="Q1",VLOOKUP($A68,'[1]INPUT_ASSUMPTIONS CALC'!$A$13:$CK$1019,F$7,FALSE),IF($F$5="Q2",VLOOKUP($A68,'[1]INPUT_ASSUMPTIONS CALC'!$A$13:$CK$1019,F$7,FALSE),IF($F$5="Q3",VLOOKUP($A68,'[1]INPUT_ASSUMPTIONS CALC'!$A$13:$CK$1019,F$7,FALSE),IF($F$5="Q4",VLOOKUP($A68,'[1]INPUT_ASSUMPTIONS CALC'!$A$13:$CK$1019,F$7,FALSE),IF($F$5="Year",VLOOKUP($A68,'[1]INPUT_ASSUMPTIONS CALC'!$A$13:$CK$1019,F$7,FALSE),0)))))</f>
        <v>395525</v>
      </c>
      <c r="G68" s="137">
        <f>SUMIF('[1]INPUT_ASSUMPTIONS CALC'!A:A,'[1]Summary calculation'!A68,'[1]INPUT_ASSUMPTIONS CALC'!BU:BU)</f>
        <v>1</v>
      </c>
      <c r="H68" s="138">
        <f>IF($F$5="Year",F68*G68*'[1]INPUT_ASSUMPTIONS CALC'!$S$7,F68*G68)</f>
        <v>395525</v>
      </c>
      <c r="I68" s="138">
        <f>H68*VLOOKUP($A68,'[1]INPUT_ASSUMPTIONS CALC'!$A$13:$CK$1019,H$6,FALSE)*SUMIF('[1]INPUT_ASSUMPTIONS CALC'!$CL$15:$CL$17,'[1]Summary calculation'!E68,'[1]INPUT_ASSUMPTIONS CALC'!$CM$15:$CM$17)</f>
        <v>316420</v>
      </c>
      <c r="J68" s="139">
        <f>$I68*VLOOKUP($A68,'[1]INPUT_ASSUMPTIONS CALC'!$A$13:$CK$1019,I$6,FALSE)*VLOOKUP($A68,'[1]INPUT_ASSUMPTIONS CALC'!$A$13:$CK$1019,J$7,FALSE)</f>
        <v>31642</v>
      </c>
      <c r="K68" s="139">
        <f>$I68*VLOOKUP($A68,'[1]INPUT_ASSUMPTIONS CALC'!$A$13:$CK$1019,I$6,FALSE)*VLOOKUP($A68,'[1]INPUT_ASSUMPTIONS CALC'!$A$13:$CK$1019,K$7,FALSE)</f>
        <v>94926</v>
      </c>
      <c r="L68" s="139">
        <f>$I68*VLOOKUP($A68,'[1]INPUT_ASSUMPTIONS CALC'!$A$13:$CK$1019,I$6,FALSE)*VLOOKUP($A68,'[1]INPUT_ASSUMPTIONS CALC'!$A$13:$CK$1019,L$7,FALSE)</f>
        <v>94926</v>
      </c>
      <c r="M68" s="139">
        <f>$I68*VLOOKUP($A68,'[1]INPUT_ASSUMPTIONS CALC'!$A$13:$CK$1019,I$6,FALSE)*VLOOKUP($A68,'[1]INPUT_ASSUMPTIONS CALC'!$A$13:$CK$1019,M$7,FALSE)</f>
        <v>94926.000000000029</v>
      </c>
      <c r="N68" s="140">
        <f t="shared" si="3"/>
        <v>316420</v>
      </c>
      <c r="O68" s="141">
        <f>H68*VLOOKUP($A68,'[1]INPUT_ASSUMPTIONS CALC'!$A$13:$CK$1019,H$6,FALSE)*SUMIF('[1]INPUT_ASSUMPTIONS CALC'!$CQ$15:$CQ$17,'[1]Summary calculation'!E68,'[1]INPUT_ASSUMPTIONS CALC'!$CR$15:$CR$17)</f>
        <v>79105</v>
      </c>
      <c r="P68" s="141">
        <f>H68*VLOOKUP($A68,'[1]INPUT_ASSUMPTIONS CALC'!$A$13:$CK$1019,H$6,FALSE)*SUMIF('[1]INPUT_ASSUMPTIONS CALC'!$CV$15:$CV$31,'[1]Summary calculation'!E68,'[1]INPUT_ASSUMPTIONS CALC'!$CW$15:$CW$31)</f>
        <v>0</v>
      </c>
      <c r="Q68" s="141">
        <f>O68*VLOOKUP($A68,'[1]INPUT_ASSUMPTIONS CALC'!$A$13:$CK$1019,Q$7,FALSE)</f>
        <v>79105</v>
      </c>
      <c r="R68" s="141">
        <f>P68*VLOOKUP($A68,'[1]INPUT_ASSUMPTIONS CALC'!$A$13:$CK$1019,R$7,FALSE)</f>
        <v>0</v>
      </c>
      <c r="S68" s="140">
        <f t="shared" si="1"/>
        <v>79105</v>
      </c>
      <c r="T68" s="142">
        <f t="shared" si="2"/>
        <v>395525</v>
      </c>
      <c r="U68" s="61"/>
    </row>
    <row r="69" spans="1:21" x14ac:dyDescent="0.35">
      <c r="A69" s="125" t="str">
        <f t="shared" si="0"/>
        <v>61Q2</v>
      </c>
      <c r="B69" s="135">
        <v>61</v>
      </c>
      <c r="C69" s="61" t="str">
        <f>INDEX('[1]INPUT_ASSUMPTIONS CALC'!D:D,MATCH(A69,'[1]INPUT_ASSUMPTIONS CALC'!A:A,0))</f>
        <v>Suttubayeva Gulnar</v>
      </c>
      <c r="D69" s="61" t="str">
        <f>INDEX('[1]INPUT_ASSUMPTIONS CALC'!I:I,MATCH(A69,'[1]INPUT_ASSUMPTIONS CALC'!A:A,0))</f>
        <v>Regional Manager-1</v>
      </c>
      <c r="E69" s="61" t="str">
        <f>INDEX('[1]INPUT_ASSUMPTIONS CALC'!E:E,MATCH(A69,'[1]INPUT_ASSUMPTIONS CALC'!A:A,0))</f>
        <v>Regional Manager</v>
      </c>
      <c r="F69" s="136">
        <f>IF($F$5="Q1",VLOOKUP($A69,'[1]INPUT_ASSUMPTIONS CALC'!$A$13:$CK$1019,F$7,FALSE),IF($F$5="Q2",VLOOKUP($A69,'[1]INPUT_ASSUMPTIONS CALC'!$A$13:$CK$1019,F$7,FALSE),IF($F$5="Q3",VLOOKUP($A69,'[1]INPUT_ASSUMPTIONS CALC'!$A$13:$CK$1019,F$7,FALSE),IF($F$5="Q4",VLOOKUP($A69,'[1]INPUT_ASSUMPTIONS CALC'!$A$13:$CK$1019,F$7,FALSE),IF($F$5="Year",VLOOKUP($A69,'[1]INPUT_ASSUMPTIONS CALC'!$A$13:$CK$1019,F$7,FALSE),0)))))</f>
        <v>726000</v>
      </c>
      <c r="G69" s="137">
        <f>SUMIF('[1]INPUT_ASSUMPTIONS CALC'!A:A,'[1]Summary calculation'!A69,'[1]INPUT_ASSUMPTIONS CALC'!BU:BU)</f>
        <v>1</v>
      </c>
      <c r="H69" s="138">
        <f>IF($F$5="Year",F69*G69*'[1]INPUT_ASSUMPTIONS CALC'!$S$7,F69*G69)</f>
        <v>726000</v>
      </c>
      <c r="I69" s="138">
        <f>H69*VLOOKUP($A69,'[1]INPUT_ASSUMPTIONS CALC'!$A$13:$CK$1019,H$6,FALSE)*SUMIF('[1]INPUT_ASSUMPTIONS CALC'!$CL$15:$CL$17,'[1]Summary calculation'!E69,'[1]INPUT_ASSUMPTIONS CALC'!$CM$15:$CM$17)</f>
        <v>580800</v>
      </c>
      <c r="J69" s="139">
        <f>$I69*VLOOKUP($A69,'[1]INPUT_ASSUMPTIONS CALC'!$A$13:$CK$1019,I$6,FALSE)*VLOOKUP($A69,'[1]INPUT_ASSUMPTIONS CALC'!$A$13:$CK$1019,J$7,FALSE)</f>
        <v>711480</v>
      </c>
      <c r="K69" s="139">
        <f>$I69*VLOOKUP($A69,'[1]INPUT_ASSUMPTIONS CALC'!$A$13:$CK$1019,I$6,FALSE)*VLOOKUP($A69,'[1]INPUT_ASSUMPTIONS CALC'!$A$13:$CK$1019,K$7,FALSE)</f>
        <v>355740</v>
      </c>
      <c r="L69" s="139">
        <f>$I69*VLOOKUP($A69,'[1]INPUT_ASSUMPTIONS CALC'!$A$13:$CK$1019,I$6,FALSE)*VLOOKUP($A69,'[1]INPUT_ASSUMPTIONS CALC'!$A$13:$CK$1019,L$7,FALSE)</f>
        <v>284592</v>
      </c>
      <c r="M69" s="139">
        <f>$I69*VLOOKUP($A69,'[1]INPUT_ASSUMPTIONS CALC'!$A$13:$CK$1019,I$6,FALSE)*VLOOKUP($A69,'[1]INPUT_ASSUMPTIONS CALC'!$A$13:$CK$1019,M$7,FALSE)</f>
        <v>71147.999999999985</v>
      </c>
      <c r="N69" s="140">
        <f t="shared" si="3"/>
        <v>1422960</v>
      </c>
      <c r="O69" s="141">
        <f>H69*VLOOKUP($A69,'[1]INPUT_ASSUMPTIONS CALC'!$A$13:$CK$1019,H$6,FALSE)*SUMIF('[1]INPUT_ASSUMPTIONS CALC'!$CQ$15:$CQ$17,'[1]Summary calculation'!E69,'[1]INPUT_ASSUMPTIONS CALC'!$CR$15:$CR$17)</f>
        <v>72600</v>
      </c>
      <c r="P69" s="141">
        <f>H69*VLOOKUP($A69,'[1]INPUT_ASSUMPTIONS CALC'!$A$13:$CK$1019,H$6,FALSE)*SUMIF('[1]INPUT_ASSUMPTIONS CALC'!$CV$15:$CV$31,'[1]Summary calculation'!E69,'[1]INPUT_ASSUMPTIONS CALC'!$CW$15:$CW$31)</f>
        <v>72600</v>
      </c>
      <c r="Q69" s="141">
        <f>O69*VLOOKUP($A69,'[1]INPUT_ASSUMPTIONS CALC'!$A$13:$CK$1019,Q$7,FALSE)</f>
        <v>72600</v>
      </c>
      <c r="R69" s="141">
        <f>P69*VLOOKUP($A69,'[1]INPUT_ASSUMPTIONS CALC'!$A$13:$CK$1019,R$7,FALSE)</f>
        <v>72600</v>
      </c>
      <c r="S69" s="140">
        <f t="shared" si="1"/>
        <v>145200</v>
      </c>
      <c r="T69" s="142">
        <f t="shared" si="2"/>
        <v>1568160</v>
      </c>
      <c r="U69" s="61"/>
    </row>
    <row r="70" spans="1:21" x14ac:dyDescent="0.35">
      <c r="A70" s="125" t="str">
        <f t="shared" si="0"/>
        <v>62Q2</v>
      </c>
      <c r="B70" s="135">
        <v>62</v>
      </c>
      <c r="C70" s="61" t="str">
        <f>INDEX('[1]INPUT_ASSUMPTIONS CALC'!D:D,MATCH(A70,'[1]INPUT_ASSUMPTIONS CALC'!A:A,0))</f>
        <v>Tasbulatova Saule</v>
      </c>
      <c r="D70" s="61" t="str">
        <f>INDEX('[1]INPUT_ASSUMPTIONS CALC'!I:I,MATCH(A70,'[1]INPUT_ASSUMPTIONS CALC'!A:A,0))</f>
        <v>Line 2</v>
      </c>
      <c r="E70" s="61" t="str">
        <f>INDEX('[1]INPUT_ASSUMPTIONS CALC'!E:E,MATCH(A70,'[1]INPUT_ASSUMPTIONS CALC'!A:A,0))</f>
        <v>Medical Representative</v>
      </c>
      <c r="F70" s="136">
        <f>IF($F$5="Q1",VLOOKUP($A70,'[1]INPUT_ASSUMPTIONS CALC'!$A$13:$CK$1019,F$7,FALSE),IF($F$5="Q2",VLOOKUP($A70,'[1]INPUT_ASSUMPTIONS CALC'!$A$13:$CK$1019,F$7,FALSE),IF($F$5="Q3",VLOOKUP($A70,'[1]INPUT_ASSUMPTIONS CALC'!$A$13:$CK$1019,F$7,FALSE),IF($F$5="Q4",VLOOKUP($A70,'[1]INPUT_ASSUMPTIONS CALC'!$A$13:$CK$1019,F$7,FALSE),IF($F$5="Year",VLOOKUP($A70,'[1]INPUT_ASSUMPTIONS CALC'!$A$13:$CK$1019,F$7,FALSE),0)))))</f>
        <v>395525</v>
      </c>
      <c r="G70" s="137">
        <f>SUMIF('[1]INPUT_ASSUMPTIONS CALC'!A:A,'[1]Summary calculation'!A70,'[1]INPUT_ASSUMPTIONS CALC'!BU:BU)</f>
        <v>1</v>
      </c>
      <c r="H70" s="138">
        <f>IF($F$5="Year",F70*G70*'[1]INPUT_ASSUMPTIONS CALC'!$S$7,F70*G70)</f>
        <v>395525</v>
      </c>
      <c r="I70" s="138">
        <f>H70*VLOOKUP($A70,'[1]INPUT_ASSUMPTIONS CALC'!$A$13:$CK$1019,H$6,FALSE)*SUMIF('[1]INPUT_ASSUMPTIONS CALC'!$CL$15:$CL$17,'[1]Summary calculation'!E70,'[1]INPUT_ASSUMPTIONS CALC'!$CM$15:$CM$17)</f>
        <v>316420</v>
      </c>
      <c r="J70" s="139">
        <f>$I70*VLOOKUP($A70,'[1]INPUT_ASSUMPTIONS CALC'!$A$13:$CK$1019,I$6,FALSE)*VLOOKUP($A70,'[1]INPUT_ASSUMPTIONS CALC'!$A$13:$CK$1019,J$7,FALSE)</f>
        <v>237315</v>
      </c>
      <c r="K70" s="139">
        <f>$I70*VLOOKUP($A70,'[1]INPUT_ASSUMPTIONS CALC'!$A$13:$CK$1019,I$6,FALSE)*VLOOKUP($A70,'[1]INPUT_ASSUMPTIONS CALC'!$A$13:$CK$1019,K$7,FALSE)</f>
        <v>197762.5</v>
      </c>
      <c r="L70" s="139">
        <f>$I70*VLOOKUP($A70,'[1]INPUT_ASSUMPTIONS CALC'!$A$13:$CK$1019,I$6,FALSE)*VLOOKUP($A70,'[1]INPUT_ASSUMPTIONS CALC'!$A$13:$CK$1019,L$7,FALSE)</f>
        <v>197762.5</v>
      </c>
      <c r="M70" s="139">
        <f>$I70*VLOOKUP($A70,'[1]INPUT_ASSUMPTIONS CALC'!$A$13:$CK$1019,I$6,FALSE)*VLOOKUP($A70,'[1]INPUT_ASSUMPTIONS CALC'!$A$13:$CK$1019,M$7,FALSE)</f>
        <v>158209.99999999997</v>
      </c>
      <c r="N70" s="140">
        <f t="shared" si="3"/>
        <v>791050</v>
      </c>
      <c r="O70" s="141">
        <f>H70*VLOOKUP($A70,'[1]INPUT_ASSUMPTIONS CALC'!$A$13:$CK$1019,H$6,FALSE)*SUMIF('[1]INPUT_ASSUMPTIONS CALC'!$CQ$15:$CQ$17,'[1]Summary calculation'!E70,'[1]INPUT_ASSUMPTIONS CALC'!$CR$15:$CR$17)</f>
        <v>79105</v>
      </c>
      <c r="P70" s="141">
        <f>H70*VLOOKUP($A70,'[1]INPUT_ASSUMPTIONS CALC'!$A$13:$CK$1019,H$6,FALSE)*SUMIF('[1]INPUT_ASSUMPTIONS CALC'!$CV$15:$CV$31,'[1]Summary calculation'!E70,'[1]INPUT_ASSUMPTIONS CALC'!$CW$15:$CW$31)</f>
        <v>0</v>
      </c>
      <c r="Q70" s="141">
        <f>O70*VLOOKUP($A70,'[1]INPUT_ASSUMPTIONS CALC'!$A$13:$CK$1019,Q$7,FALSE)</f>
        <v>79105</v>
      </c>
      <c r="R70" s="141">
        <f>P70*VLOOKUP($A70,'[1]INPUT_ASSUMPTIONS CALC'!$A$13:$CK$1019,R$7,FALSE)</f>
        <v>0</v>
      </c>
      <c r="S70" s="140">
        <f t="shared" si="1"/>
        <v>79105</v>
      </c>
      <c r="T70" s="142">
        <f t="shared" si="2"/>
        <v>870155</v>
      </c>
      <c r="U70" s="61"/>
    </row>
    <row r="71" spans="1:21" x14ac:dyDescent="0.35">
      <c r="A71" s="125" t="str">
        <f t="shared" si="0"/>
        <v>63Q2</v>
      </c>
      <c r="B71" s="135">
        <v>63</v>
      </c>
      <c r="C71" s="61" t="str">
        <f>INDEX('[1]INPUT_ASSUMPTIONS CALC'!D:D,MATCH(A71,'[1]INPUT_ASSUMPTIONS CALC'!A:A,0))</f>
        <v>Temirbayeva Akzhunis</v>
      </c>
      <c r="D71" s="61" t="str">
        <f>INDEX('[1]INPUT_ASSUMPTIONS CALC'!I:I,MATCH(A71,'[1]INPUT_ASSUMPTIONS CALC'!A:A,0))</f>
        <v>Line 1</v>
      </c>
      <c r="E71" s="61" t="str">
        <f>INDEX('[1]INPUT_ASSUMPTIONS CALC'!E:E,MATCH(A71,'[1]INPUT_ASSUMPTIONS CALC'!A:A,0))</f>
        <v>Medical Representative</v>
      </c>
      <c r="F71" s="136">
        <f>IF($F$5="Q1",VLOOKUP($A71,'[1]INPUT_ASSUMPTIONS CALC'!$A$13:$CK$1019,F$7,FALSE),IF($F$5="Q2",VLOOKUP($A71,'[1]INPUT_ASSUMPTIONS CALC'!$A$13:$CK$1019,F$7,FALSE),IF($F$5="Q3",VLOOKUP($A71,'[1]INPUT_ASSUMPTIONS CALC'!$A$13:$CK$1019,F$7,FALSE),IF($F$5="Q4",VLOOKUP($A71,'[1]INPUT_ASSUMPTIONS CALC'!$A$13:$CK$1019,F$7,FALSE),IF($F$5="Year",VLOOKUP($A71,'[1]INPUT_ASSUMPTIONS CALC'!$A$13:$CK$1019,F$7,FALSE),0)))))</f>
        <v>395525</v>
      </c>
      <c r="G71" s="137">
        <f>SUMIF('[1]INPUT_ASSUMPTIONS CALC'!A:A,'[1]Summary calculation'!A71,'[1]INPUT_ASSUMPTIONS CALC'!BU:BU)</f>
        <v>1</v>
      </c>
      <c r="H71" s="138">
        <f>IF($F$5="Year",F71*G71*'[1]INPUT_ASSUMPTIONS CALC'!$S$7,F71*G71)</f>
        <v>395525</v>
      </c>
      <c r="I71" s="138">
        <f>H71*VLOOKUP($A71,'[1]INPUT_ASSUMPTIONS CALC'!$A$13:$CK$1019,H$6,FALSE)*SUMIF('[1]INPUT_ASSUMPTIONS CALC'!$CL$15:$CL$17,'[1]Summary calculation'!E71,'[1]INPUT_ASSUMPTIONS CALC'!$CM$15:$CM$17)</f>
        <v>316420</v>
      </c>
      <c r="J71" s="139">
        <f>$I71*VLOOKUP($A71,'[1]INPUT_ASSUMPTIONS CALC'!$A$13:$CK$1019,I$6,FALSE)*VLOOKUP($A71,'[1]INPUT_ASSUMPTIONS CALC'!$A$13:$CK$1019,J$7,FALSE)</f>
        <v>129732.2</v>
      </c>
      <c r="K71" s="139">
        <f>$I71*VLOOKUP($A71,'[1]INPUT_ASSUMPTIONS CALC'!$A$13:$CK$1019,I$6,FALSE)*VLOOKUP($A71,'[1]INPUT_ASSUMPTIONS CALC'!$A$13:$CK$1019,K$7,FALSE)</f>
        <v>90812.54</v>
      </c>
      <c r="L71" s="139">
        <f>$I71*VLOOKUP($A71,'[1]INPUT_ASSUMPTIONS CALC'!$A$13:$CK$1019,I$6,FALSE)*VLOOKUP($A71,'[1]INPUT_ASSUMPTIONS CALC'!$A$13:$CK$1019,L$7,FALSE)</f>
        <v>25946.440000000002</v>
      </c>
      <c r="M71" s="139">
        <f>$I71*VLOOKUP($A71,'[1]INPUT_ASSUMPTIONS CALC'!$A$13:$CK$1019,I$6,FALSE)*VLOOKUP($A71,'[1]INPUT_ASSUMPTIONS CALC'!$A$13:$CK$1019,M$7,FALSE)</f>
        <v>12973.220000000005</v>
      </c>
      <c r="N71" s="140">
        <f t="shared" si="3"/>
        <v>259464.4</v>
      </c>
      <c r="O71" s="141">
        <f>H71*VLOOKUP($A71,'[1]INPUT_ASSUMPTIONS CALC'!$A$13:$CK$1019,H$6,FALSE)*SUMIF('[1]INPUT_ASSUMPTIONS CALC'!$CQ$15:$CQ$17,'[1]Summary calculation'!E71,'[1]INPUT_ASSUMPTIONS CALC'!$CR$15:$CR$17)</f>
        <v>79105</v>
      </c>
      <c r="P71" s="141">
        <f>H71*VLOOKUP($A71,'[1]INPUT_ASSUMPTIONS CALC'!$A$13:$CK$1019,H$6,FALSE)*SUMIF('[1]INPUT_ASSUMPTIONS CALC'!$CV$15:$CV$31,'[1]Summary calculation'!E71,'[1]INPUT_ASSUMPTIONS CALC'!$CW$15:$CW$31)</f>
        <v>0</v>
      </c>
      <c r="Q71" s="141">
        <f>O71*VLOOKUP($A71,'[1]INPUT_ASSUMPTIONS CALC'!$A$13:$CK$1019,Q$7,FALSE)</f>
        <v>39552.5</v>
      </c>
      <c r="R71" s="141">
        <f>P71*VLOOKUP($A71,'[1]INPUT_ASSUMPTIONS CALC'!$A$13:$CK$1019,R$7,FALSE)</f>
        <v>0</v>
      </c>
      <c r="S71" s="140">
        <f t="shared" si="1"/>
        <v>39552.5</v>
      </c>
      <c r="T71" s="142">
        <f t="shared" si="2"/>
        <v>299017</v>
      </c>
      <c r="U71" s="61"/>
    </row>
    <row r="72" spans="1:21" x14ac:dyDescent="0.35">
      <c r="A72" s="125" t="str">
        <f t="shared" si="0"/>
        <v>64Q2</v>
      </c>
      <c r="B72" s="135">
        <v>64</v>
      </c>
      <c r="C72" s="61" t="str">
        <f>INDEX('[1]INPUT_ASSUMPTIONS CALC'!D:D,MATCH(A72,'[1]INPUT_ASSUMPTIONS CALC'!A:A,0))</f>
        <v>Tilessova Altynay</v>
      </c>
      <c r="D72" s="61" t="str">
        <f>INDEX('[1]INPUT_ASSUMPTIONS CALC'!I:I,MATCH(A72,'[1]INPUT_ASSUMPTIONS CALC'!A:A,0))</f>
        <v>Line 1</v>
      </c>
      <c r="E72" s="61" t="str">
        <f>INDEX('[1]INPUT_ASSUMPTIONS CALC'!E:E,MATCH(A72,'[1]INPUT_ASSUMPTIONS CALC'!A:A,0))</f>
        <v>Medical Representative</v>
      </c>
      <c r="F72" s="136">
        <f>IF($F$5="Q1",VLOOKUP($A72,'[1]INPUT_ASSUMPTIONS CALC'!$A$13:$CK$1019,F$7,FALSE),IF($F$5="Q2",VLOOKUP($A72,'[1]INPUT_ASSUMPTIONS CALC'!$A$13:$CK$1019,F$7,FALSE),IF($F$5="Q3",VLOOKUP($A72,'[1]INPUT_ASSUMPTIONS CALC'!$A$13:$CK$1019,F$7,FALSE),IF($F$5="Q4",VLOOKUP($A72,'[1]INPUT_ASSUMPTIONS CALC'!$A$13:$CK$1019,F$7,FALSE),IF($F$5="Year",VLOOKUP($A72,'[1]INPUT_ASSUMPTIONS CALC'!$A$13:$CK$1019,F$7,FALSE),0)))))</f>
        <v>395525</v>
      </c>
      <c r="G72" s="137">
        <f>SUMIF('[1]INPUT_ASSUMPTIONS CALC'!A:A,'[1]Summary calculation'!A72,'[1]INPUT_ASSUMPTIONS CALC'!BU:BU)</f>
        <v>1</v>
      </c>
      <c r="H72" s="138">
        <f>IF($F$5="Year",F72*G72*'[1]INPUT_ASSUMPTIONS CALC'!$S$7,F72*G72)</f>
        <v>395525</v>
      </c>
      <c r="I72" s="138">
        <f>H72*VLOOKUP($A72,'[1]INPUT_ASSUMPTIONS CALC'!$A$13:$CK$1019,H$6,FALSE)*SUMIF('[1]INPUT_ASSUMPTIONS CALC'!$CL$15:$CL$17,'[1]Summary calculation'!E72,'[1]INPUT_ASSUMPTIONS CALC'!$CM$15:$CM$17)</f>
        <v>316420</v>
      </c>
      <c r="J72" s="139">
        <f>$I72*VLOOKUP($A72,'[1]INPUT_ASSUMPTIONS CALC'!$A$13:$CK$1019,I$6,FALSE)*VLOOKUP($A72,'[1]INPUT_ASSUMPTIONS CALC'!$A$13:$CK$1019,J$7,FALSE)</f>
        <v>129732.2</v>
      </c>
      <c r="K72" s="139">
        <f>$I72*VLOOKUP($A72,'[1]INPUT_ASSUMPTIONS CALC'!$A$13:$CK$1019,I$6,FALSE)*VLOOKUP($A72,'[1]INPUT_ASSUMPTIONS CALC'!$A$13:$CK$1019,K$7,FALSE)</f>
        <v>90812.54</v>
      </c>
      <c r="L72" s="139">
        <f>$I72*VLOOKUP($A72,'[1]INPUT_ASSUMPTIONS CALC'!$A$13:$CK$1019,I$6,FALSE)*VLOOKUP($A72,'[1]INPUT_ASSUMPTIONS CALC'!$A$13:$CK$1019,L$7,FALSE)</f>
        <v>25946.440000000002</v>
      </c>
      <c r="M72" s="139">
        <f>$I72*VLOOKUP($A72,'[1]INPUT_ASSUMPTIONS CALC'!$A$13:$CK$1019,I$6,FALSE)*VLOOKUP($A72,'[1]INPUT_ASSUMPTIONS CALC'!$A$13:$CK$1019,M$7,FALSE)</f>
        <v>12973.220000000005</v>
      </c>
      <c r="N72" s="140">
        <f t="shared" si="3"/>
        <v>259464.4</v>
      </c>
      <c r="O72" s="141">
        <f>H72*VLOOKUP($A72,'[1]INPUT_ASSUMPTIONS CALC'!$A$13:$CK$1019,H$6,FALSE)*SUMIF('[1]INPUT_ASSUMPTIONS CALC'!$CQ$15:$CQ$17,'[1]Summary calculation'!E72,'[1]INPUT_ASSUMPTIONS CALC'!$CR$15:$CR$17)</f>
        <v>79105</v>
      </c>
      <c r="P72" s="141">
        <f>H72*VLOOKUP($A72,'[1]INPUT_ASSUMPTIONS CALC'!$A$13:$CK$1019,H$6,FALSE)*SUMIF('[1]INPUT_ASSUMPTIONS CALC'!$CV$15:$CV$31,'[1]Summary calculation'!E72,'[1]INPUT_ASSUMPTIONS CALC'!$CW$15:$CW$31)</f>
        <v>0</v>
      </c>
      <c r="Q72" s="141">
        <f>O72*VLOOKUP($A72,'[1]INPUT_ASSUMPTIONS CALC'!$A$13:$CK$1019,Q$7,FALSE)</f>
        <v>79105</v>
      </c>
      <c r="R72" s="141">
        <f>P72*VLOOKUP($A72,'[1]INPUT_ASSUMPTIONS CALC'!$A$13:$CK$1019,R$7,FALSE)</f>
        <v>0</v>
      </c>
      <c r="S72" s="140">
        <f t="shared" si="1"/>
        <v>79105</v>
      </c>
      <c r="T72" s="142">
        <f t="shared" si="2"/>
        <v>338569</v>
      </c>
      <c r="U72" s="61"/>
    </row>
    <row r="73" spans="1:21" x14ac:dyDescent="0.35">
      <c r="A73" s="125" t="str">
        <f t="shared" ref="A73:A136" si="4">CONCATENATE(B73,$F$5)</f>
        <v>65Q2</v>
      </c>
      <c r="B73" s="135">
        <v>65</v>
      </c>
      <c r="C73" s="61" t="str">
        <f>INDEX('[1]INPUT_ASSUMPTIONS CALC'!D:D,MATCH(A73,'[1]INPUT_ASSUMPTIONS CALC'!A:A,0))</f>
        <v>Tipalov Sergey</v>
      </c>
      <c r="D73" s="61" t="str">
        <f>INDEX('[1]INPUT_ASSUMPTIONS CALC'!I:I,MATCH(A73,'[1]INPUT_ASSUMPTIONS CALC'!A:A,0))</f>
        <v>Line 2</v>
      </c>
      <c r="E73" s="61" t="str">
        <f>INDEX('[1]INPUT_ASSUMPTIONS CALC'!E:E,MATCH(A73,'[1]INPUT_ASSUMPTIONS CALC'!A:A,0))</f>
        <v>Medical Representative</v>
      </c>
      <c r="F73" s="136">
        <f>IF($F$5="Q1",VLOOKUP($A73,'[1]INPUT_ASSUMPTIONS CALC'!$A$13:$CK$1019,F$7,FALSE),IF($F$5="Q2",VLOOKUP($A73,'[1]INPUT_ASSUMPTIONS CALC'!$A$13:$CK$1019,F$7,FALSE),IF($F$5="Q3",VLOOKUP($A73,'[1]INPUT_ASSUMPTIONS CALC'!$A$13:$CK$1019,F$7,FALSE),IF($F$5="Q4",VLOOKUP($A73,'[1]INPUT_ASSUMPTIONS CALC'!$A$13:$CK$1019,F$7,FALSE),IF($F$5="Year",VLOOKUP($A73,'[1]INPUT_ASSUMPTIONS CALC'!$A$13:$CK$1019,F$7,FALSE),0)))))</f>
        <v>395525</v>
      </c>
      <c r="G73" s="137">
        <f>SUMIF('[1]INPUT_ASSUMPTIONS CALC'!A:A,'[1]Summary calculation'!A73,'[1]INPUT_ASSUMPTIONS CALC'!BU:BU)</f>
        <v>1</v>
      </c>
      <c r="H73" s="138">
        <f>IF($F$5="Year",F73*G73*'[1]INPUT_ASSUMPTIONS CALC'!$S$7,F73*G73)</f>
        <v>395525</v>
      </c>
      <c r="I73" s="138">
        <f>H73*VLOOKUP($A73,'[1]INPUT_ASSUMPTIONS CALC'!$A$13:$CK$1019,H$6,FALSE)*SUMIF('[1]INPUT_ASSUMPTIONS CALC'!$CL$15:$CL$17,'[1]Summary calculation'!E73,'[1]INPUT_ASSUMPTIONS CALC'!$CM$15:$CM$17)</f>
        <v>316420</v>
      </c>
      <c r="J73" s="139">
        <f>$I73*VLOOKUP($A73,'[1]INPUT_ASSUMPTIONS CALC'!$A$13:$CK$1019,I$6,FALSE)*VLOOKUP($A73,'[1]INPUT_ASSUMPTIONS CALC'!$A$13:$CK$1019,J$7,FALSE)</f>
        <v>199344.6</v>
      </c>
      <c r="K73" s="139">
        <f>$I73*VLOOKUP($A73,'[1]INPUT_ASSUMPTIONS CALC'!$A$13:$CK$1019,I$6,FALSE)*VLOOKUP($A73,'[1]INPUT_ASSUMPTIONS CALC'!$A$13:$CK$1019,K$7,FALSE)</f>
        <v>166120.5</v>
      </c>
      <c r="L73" s="139">
        <f>$I73*VLOOKUP($A73,'[1]INPUT_ASSUMPTIONS CALC'!$A$13:$CK$1019,I$6,FALSE)*VLOOKUP($A73,'[1]INPUT_ASSUMPTIONS CALC'!$A$13:$CK$1019,L$7,FALSE)</f>
        <v>166120.5</v>
      </c>
      <c r="M73" s="139">
        <f>$I73*VLOOKUP($A73,'[1]INPUT_ASSUMPTIONS CALC'!$A$13:$CK$1019,I$6,FALSE)*VLOOKUP($A73,'[1]INPUT_ASSUMPTIONS CALC'!$A$13:$CK$1019,M$7,FALSE)</f>
        <v>132896.39999999997</v>
      </c>
      <c r="N73" s="140">
        <f t="shared" si="3"/>
        <v>664482</v>
      </c>
      <c r="O73" s="141">
        <f>H73*VLOOKUP($A73,'[1]INPUT_ASSUMPTIONS CALC'!$A$13:$CK$1019,H$6,FALSE)*SUMIF('[1]INPUT_ASSUMPTIONS CALC'!$CQ$15:$CQ$17,'[1]Summary calculation'!E73,'[1]INPUT_ASSUMPTIONS CALC'!$CR$15:$CR$17)</f>
        <v>79105</v>
      </c>
      <c r="P73" s="141">
        <f>H73*VLOOKUP($A73,'[1]INPUT_ASSUMPTIONS CALC'!$A$13:$CK$1019,H$6,FALSE)*SUMIF('[1]INPUT_ASSUMPTIONS CALC'!$CV$15:$CV$31,'[1]Summary calculation'!E73,'[1]INPUT_ASSUMPTIONS CALC'!$CW$15:$CW$31)</f>
        <v>0</v>
      </c>
      <c r="Q73" s="141">
        <f>O73*VLOOKUP($A73,'[1]INPUT_ASSUMPTIONS CALC'!$A$13:$CK$1019,Q$7,FALSE)</f>
        <v>39552.5</v>
      </c>
      <c r="R73" s="141">
        <f>P73*VLOOKUP($A73,'[1]INPUT_ASSUMPTIONS CALC'!$A$13:$CK$1019,R$7,FALSE)</f>
        <v>0</v>
      </c>
      <c r="S73" s="140">
        <f t="shared" ref="S73:S136" si="5">SUM(Q73:R73)</f>
        <v>39552.5</v>
      </c>
      <c r="T73" s="142">
        <f t="shared" ref="T73:T136" si="6">ROUND(N73+S73,0)</f>
        <v>704035</v>
      </c>
      <c r="U73" s="61"/>
    </row>
    <row r="74" spans="1:21" x14ac:dyDescent="0.35">
      <c r="A74" s="125" t="str">
        <f t="shared" si="4"/>
        <v>66Q2</v>
      </c>
      <c r="B74" s="135">
        <v>66</v>
      </c>
      <c r="C74" s="61" t="str">
        <f>INDEX('[1]INPUT_ASSUMPTIONS CALC'!D:D,MATCH(A74,'[1]INPUT_ASSUMPTIONS CALC'!A:A,0))</f>
        <v>Ungarbayeva Zhanna</v>
      </c>
      <c r="D74" s="61" t="str">
        <f>INDEX('[1]INPUT_ASSUMPTIONS CALC'!I:I,MATCH(A74,'[1]INPUT_ASSUMPTIONS CALC'!A:A,0))</f>
        <v>Line 3 (big cities)</v>
      </c>
      <c r="E74" s="61" t="str">
        <f>INDEX('[1]INPUT_ASSUMPTIONS CALC'!E:E,MATCH(A74,'[1]INPUT_ASSUMPTIONS CALC'!A:A,0))</f>
        <v>Medical Representative</v>
      </c>
      <c r="F74" s="136">
        <f>IF($F$5="Q1",VLOOKUP($A74,'[1]INPUT_ASSUMPTIONS CALC'!$A$13:$CK$1019,F$7,FALSE),IF($F$5="Q2",VLOOKUP($A74,'[1]INPUT_ASSUMPTIONS CALC'!$A$13:$CK$1019,F$7,FALSE),IF($F$5="Q3",VLOOKUP($A74,'[1]INPUT_ASSUMPTIONS CALC'!$A$13:$CK$1019,F$7,FALSE),IF($F$5="Q4",VLOOKUP($A74,'[1]INPUT_ASSUMPTIONS CALC'!$A$13:$CK$1019,F$7,FALSE),IF($F$5="Year",VLOOKUP($A74,'[1]INPUT_ASSUMPTIONS CALC'!$A$13:$CK$1019,F$7,FALSE),0)))))</f>
        <v>395525</v>
      </c>
      <c r="G74" s="137">
        <f>SUMIF('[1]INPUT_ASSUMPTIONS CALC'!A:A,'[1]Summary calculation'!A74,'[1]INPUT_ASSUMPTIONS CALC'!BU:BU)</f>
        <v>1</v>
      </c>
      <c r="H74" s="138">
        <f>IF($F$5="Year",F74*G74*'[1]INPUT_ASSUMPTIONS CALC'!$S$7,F74*G74)</f>
        <v>395525</v>
      </c>
      <c r="I74" s="138">
        <f>H74*VLOOKUP($A74,'[1]INPUT_ASSUMPTIONS CALC'!$A$13:$CK$1019,H$6,FALSE)*SUMIF('[1]INPUT_ASSUMPTIONS CALC'!$CL$15:$CL$17,'[1]Summary calculation'!E74,'[1]INPUT_ASSUMPTIONS CALC'!$CM$15:$CM$17)</f>
        <v>316420</v>
      </c>
      <c r="J74" s="139">
        <f>$I74*VLOOKUP($A74,'[1]INPUT_ASSUMPTIONS CALC'!$A$13:$CK$1019,I$6,FALSE)*VLOOKUP($A74,'[1]INPUT_ASSUMPTIONS CALC'!$A$13:$CK$1019,J$7,FALSE)</f>
        <v>99672.3</v>
      </c>
      <c r="K74" s="139">
        <f>$I74*VLOOKUP($A74,'[1]INPUT_ASSUMPTIONS CALC'!$A$13:$CK$1019,I$6,FALSE)*VLOOKUP($A74,'[1]INPUT_ASSUMPTIONS CALC'!$A$13:$CK$1019,K$7,FALSE)</f>
        <v>55373.5</v>
      </c>
      <c r="L74" s="139">
        <f>$I74*VLOOKUP($A74,'[1]INPUT_ASSUMPTIONS CALC'!$A$13:$CK$1019,I$6,FALSE)*VLOOKUP($A74,'[1]INPUT_ASSUMPTIONS CALC'!$A$13:$CK$1019,L$7,FALSE)</f>
        <v>55373.5</v>
      </c>
      <c r="M74" s="139">
        <f>$I74*VLOOKUP($A74,'[1]INPUT_ASSUMPTIONS CALC'!$A$13:$CK$1019,I$6,FALSE)*VLOOKUP($A74,'[1]INPUT_ASSUMPTIONS CALC'!$A$13:$CK$1019,M$7,FALSE)</f>
        <v>11074.70000000001</v>
      </c>
      <c r="N74" s="140">
        <f t="shared" ref="N74:N137" si="7">SUM(J74:M74)</f>
        <v>221494</v>
      </c>
      <c r="O74" s="141">
        <f>H74*VLOOKUP($A74,'[1]INPUT_ASSUMPTIONS CALC'!$A$13:$CK$1019,H$6,FALSE)*SUMIF('[1]INPUT_ASSUMPTIONS CALC'!$CQ$15:$CQ$17,'[1]Summary calculation'!E74,'[1]INPUT_ASSUMPTIONS CALC'!$CR$15:$CR$17)</f>
        <v>79105</v>
      </c>
      <c r="P74" s="141">
        <f>H74*VLOOKUP($A74,'[1]INPUT_ASSUMPTIONS CALC'!$A$13:$CK$1019,H$6,FALSE)*SUMIF('[1]INPUT_ASSUMPTIONS CALC'!$CV$15:$CV$31,'[1]Summary calculation'!E74,'[1]INPUT_ASSUMPTIONS CALC'!$CW$15:$CW$31)</f>
        <v>0</v>
      </c>
      <c r="Q74" s="141">
        <f>O74*VLOOKUP($A74,'[1]INPUT_ASSUMPTIONS CALC'!$A$13:$CK$1019,Q$7,FALSE)</f>
        <v>79105</v>
      </c>
      <c r="R74" s="141">
        <f>P74*VLOOKUP($A74,'[1]INPUT_ASSUMPTIONS CALC'!$A$13:$CK$1019,R$7,FALSE)</f>
        <v>0</v>
      </c>
      <c r="S74" s="140">
        <f t="shared" si="5"/>
        <v>79105</v>
      </c>
      <c r="T74" s="142">
        <f t="shared" si="6"/>
        <v>300599</v>
      </c>
      <c r="U74" s="61"/>
    </row>
    <row r="75" spans="1:21" x14ac:dyDescent="0.35">
      <c r="A75" s="125" t="str">
        <f t="shared" si="4"/>
        <v>67Q2</v>
      </c>
      <c r="B75" s="135">
        <v>67</v>
      </c>
      <c r="C75" s="61" t="str">
        <f>INDEX('[1]INPUT_ASSUMPTIONS CALC'!D:D,MATCH(A75,'[1]INPUT_ASSUMPTIONS CALC'!A:A,0))</f>
        <v>Yerkin Nadiyam</v>
      </c>
      <c r="D75" s="61" t="str">
        <f>INDEX('[1]INPUT_ASSUMPTIONS CALC'!I:I,MATCH(A75,'[1]INPUT_ASSUMPTIONS CALC'!A:A,0))</f>
        <v>Line 1</v>
      </c>
      <c r="E75" s="61" t="str">
        <f>INDEX('[1]INPUT_ASSUMPTIONS CALC'!E:E,MATCH(A75,'[1]INPUT_ASSUMPTIONS CALC'!A:A,0))</f>
        <v>Medical Representative</v>
      </c>
      <c r="F75" s="136">
        <f>IF($F$5="Q1",VLOOKUP($A75,'[1]INPUT_ASSUMPTIONS CALC'!$A$13:$CK$1019,F$7,FALSE),IF($F$5="Q2",VLOOKUP($A75,'[1]INPUT_ASSUMPTIONS CALC'!$A$13:$CK$1019,F$7,FALSE),IF($F$5="Q3",VLOOKUP($A75,'[1]INPUT_ASSUMPTIONS CALC'!$A$13:$CK$1019,F$7,FALSE),IF($F$5="Q4",VLOOKUP($A75,'[1]INPUT_ASSUMPTIONS CALC'!$A$13:$CK$1019,F$7,FALSE),IF($F$5="Year",VLOOKUP($A75,'[1]INPUT_ASSUMPTIONS CALC'!$A$13:$CK$1019,F$7,FALSE),0)))))</f>
        <v>395525</v>
      </c>
      <c r="G75" s="137">
        <f>SUMIF('[1]INPUT_ASSUMPTIONS CALC'!A:A,'[1]Summary calculation'!A75,'[1]INPUT_ASSUMPTIONS CALC'!BU:BU)</f>
        <v>1</v>
      </c>
      <c r="H75" s="138">
        <f>IF($F$5="Year",F75*G75*'[1]INPUT_ASSUMPTIONS CALC'!$S$7,F75*G75)</f>
        <v>395525</v>
      </c>
      <c r="I75" s="138">
        <f>H75*VLOOKUP($A75,'[1]INPUT_ASSUMPTIONS CALC'!$A$13:$CK$1019,H$6,FALSE)*SUMIF('[1]INPUT_ASSUMPTIONS CALC'!$CL$15:$CL$17,'[1]Summary calculation'!E75,'[1]INPUT_ASSUMPTIONS CALC'!$CM$15:$CM$17)</f>
        <v>316420</v>
      </c>
      <c r="J75" s="139">
        <f>$I75*VLOOKUP($A75,'[1]INPUT_ASSUMPTIONS CALC'!$A$13:$CK$1019,I$6,FALSE)*VLOOKUP($A75,'[1]INPUT_ASSUMPTIONS CALC'!$A$13:$CK$1019,J$7,FALSE)</f>
        <v>158210</v>
      </c>
      <c r="K75" s="139">
        <f>$I75*VLOOKUP($A75,'[1]INPUT_ASSUMPTIONS CALC'!$A$13:$CK$1019,I$6,FALSE)*VLOOKUP($A75,'[1]INPUT_ASSUMPTIONS CALC'!$A$13:$CK$1019,K$7,FALSE)</f>
        <v>110747</v>
      </c>
      <c r="L75" s="139">
        <f>$I75*VLOOKUP($A75,'[1]INPUT_ASSUMPTIONS CALC'!$A$13:$CK$1019,I$6,FALSE)*VLOOKUP($A75,'[1]INPUT_ASSUMPTIONS CALC'!$A$13:$CK$1019,L$7,FALSE)</f>
        <v>31642</v>
      </c>
      <c r="M75" s="139">
        <f>$I75*VLOOKUP($A75,'[1]INPUT_ASSUMPTIONS CALC'!$A$13:$CK$1019,I$6,FALSE)*VLOOKUP($A75,'[1]INPUT_ASSUMPTIONS CALC'!$A$13:$CK$1019,M$7,FALSE)</f>
        <v>15821.000000000005</v>
      </c>
      <c r="N75" s="140">
        <f t="shared" si="7"/>
        <v>316420</v>
      </c>
      <c r="O75" s="141">
        <f>H75*VLOOKUP($A75,'[1]INPUT_ASSUMPTIONS CALC'!$A$13:$CK$1019,H$6,FALSE)*SUMIF('[1]INPUT_ASSUMPTIONS CALC'!$CQ$15:$CQ$17,'[1]Summary calculation'!E75,'[1]INPUT_ASSUMPTIONS CALC'!$CR$15:$CR$17)</f>
        <v>79105</v>
      </c>
      <c r="P75" s="141">
        <f>H75*VLOOKUP($A75,'[1]INPUT_ASSUMPTIONS CALC'!$A$13:$CK$1019,H$6,FALSE)*SUMIF('[1]INPUT_ASSUMPTIONS CALC'!$CV$15:$CV$31,'[1]Summary calculation'!E75,'[1]INPUT_ASSUMPTIONS CALC'!$CW$15:$CW$31)</f>
        <v>0</v>
      </c>
      <c r="Q75" s="141">
        <f>O75*VLOOKUP($A75,'[1]INPUT_ASSUMPTIONS CALC'!$A$13:$CK$1019,Q$7,FALSE)</f>
        <v>79105</v>
      </c>
      <c r="R75" s="141">
        <f>P75*VLOOKUP($A75,'[1]INPUT_ASSUMPTIONS CALC'!$A$13:$CK$1019,R$7,FALSE)</f>
        <v>0</v>
      </c>
      <c r="S75" s="140">
        <f t="shared" si="5"/>
        <v>79105</v>
      </c>
      <c r="T75" s="142">
        <f t="shared" si="6"/>
        <v>395525</v>
      </c>
      <c r="U75" s="61"/>
    </row>
    <row r="76" spans="1:21" x14ac:dyDescent="0.35">
      <c r="A76" s="125" t="str">
        <f t="shared" si="4"/>
        <v>68Q2</v>
      </c>
      <c r="B76" s="135">
        <v>68</v>
      </c>
      <c r="C76" s="61" t="str">
        <f>INDEX('[1]INPUT_ASSUMPTIONS CALC'!D:D,MATCH(A76,'[1]INPUT_ASSUMPTIONS CALC'!A:A,0))</f>
        <v>Yesbolova Gulnur</v>
      </c>
      <c r="D76" s="61" t="str">
        <f>INDEX('[1]INPUT_ASSUMPTIONS CALC'!I:I,MATCH(A76,'[1]INPUT_ASSUMPTIONS CALC'!A:A,0))</f>
        <v>Line 1</v>
      </c>
      <c r="E76" s="61" t="str">
        <f>INDEX('[1]INPUT_ASSUMPTIONS CALC'!E:E,MATCH(A76,'[1]INPUT_ASSUMPTIONS CALC'!A:A,0))</f>
        <v>Medical Representative</v>
      </c>
      <c r="F76" s="136">
        <f>IF($F$5="Q1",VLOOKUP($A76,'[1]INPUT_ASSUMPTIONS CALC'!$A$13:$CK$1019,F$7,FALSE),IF($F$5="Q2",VLOOKUP($A76,'[1]INPUT_ASSUMPTIONS CALC'!$A$13:$CK$1019,F$7,FALSE),IF($F$5="Q3",VLOOKUP($A76,'[1]INPUT_ASSUMPTIONS CALC'!$A$13:$CK$1019,F$7,FALSE),IF($F$5="Q4",VLOOKUP($A76,'[1]INPUT_ASSUMPTIONS CALC'!$A$13:$CK$1019,F$7,FALSE),IF($F$5="Year",VLOOKUP($A76,'[1]INPUT_ASSUMPTIONS CALC'!$A$13:$CK$1019,F$7,FALSE),0)))))</f>
        <v>395525</v>
      </c>
      <c r="G76" s="137">
        <f>SUMIF('[1]INPUT_ASSUMPTIONS CALC'!A:A,'[1]Summary calculation'!A76,'[1]INPUT_ASSUMPTIONS CALC'!BU:BU)</f>
        <v>1</v>
      </c>
      <c r="H76" s="138">
        <f>IF($F$5="Year",F76*G76*'[1]INPUT_ASSUMPTIONS CALC'!$S$7,F76*G76)</f>
        <v>395525</v>
      </c>
      <c r="I76" s="138">
        <f>H76*VLOOKUP($A76,'[1]INPUT_ASSUMPTIONS CALC'!$A$13:$CK$1019,H$6,FALSE)*SUMIF('[1]INPUT_ASSUMPTIONS CALC'!$CL$15:$CL$17,'[1]Summary calculation'!E76,'[1]INPUT_ASSUMPTIONS CALC'!$CM$15:$CM$17)</f>
        <v>316420</v>
      </c>
      <c r="J76" s="139">
        <f>$I76*VLOOKUP($A76,'[1]INPUT_ASSUMPTIONS CALC'!$A$13:$CK$1019,I$6,FALSE)*VLOOKUP($A76,'[1]INPUT_ASSUMPTIONS CALC'!$A$13:$CK$1019,J$7,FALSE)</f>
        <v>158210</v>
      </c>
      <c r="K76" s="139">
        <f>$I76*VLOOKUP($A76,'[1]INPUT_ASSUMPTIONS CALC'!$A$13:$CK$1019,I$6,FALSE)*VLOOKUP($A76,'[1]INPUT_ASSUMPTIONS CALC'!$A$13:$CK$1019,K$7,FALSE)</f>
        <v>110747</v>
      </c>
      <c r="L76" s="139">
        <f>$I76*VLOOKUP($A76,'[1]INPUT_ASSUMPTIONS CALC'!$A$13:$CK$1019,I$6,FALSE)*VLOOKUP($A76,'[1]INPUT_ASSUMPTIONS CALC'!$A$13:$CK$1019,L$7,FALSE)</f>
        <v>31642</v>
      </c>
      <c r="M76" s="139">
        <f>$I76*VLOOKUP($A76,'[1]INPUT_ASSUMPTIONS CALC'!$A$13:$CK$1019,I$6,FALSE)*VLOOKUP($A76,'[1]INPUT_ASSUMPTIONS CALC'!$A$13:$CK$1019,M$7,FALSE)</f>
        <v>15821.000000000005</v>
      </c>
      <c r="N76" s="140">
        <f t="shared" si="7"/>
        <v>316420</v>
      </c>
      <c r="O76" s="141">
        <f>H76*VLOOKUP($A76,'[1]INPUT_ASSUMPTIONS CALC'!$A$13:$CK$1019,H$6,FALSE)*SUMIF('[1]INPUT_ASSUMPTIONS CALC'!$CQ$15:$CQ$17,'[1]Summary calculation'!E76,'[1]INPUT_ASSUMPTIONS CALC'!$CR$15:$CR$17)</f>
        <v>79105</v>
      </c>
      <c r="P76" s="141">
        <f>H76*VLOOKUP($A76,'[1]INPUT_ASSUMPTIONS CALC'!$A$13:$CK$1019,H$6,FALSE)*SUMIF('[1]INPUT_ASSUMPTIONS CALC'!$CV$15:$CV$31,'[1]Summary calculation'!E76,'[1]INPUT_ASSUMPTIONS CALC'!$CW$15:$CW$31)</f>
        <v>0</v>
      </c>
      <c r="Q76" s="141">
        <f>O76*VLOOKUP($A76,'[1]INPUT_ASSUMPTIONS CALC'!$A$13:$CK$1019,Q$7,FALSE)</f>
        <v>79105</v>
      </c>
      <c r="R76" s="141">
        <f>P76*VLOOKUP($A76,'[1]INPUT_ASSUMPTIONS CALC'!$A$13:$CK$1019,R$7,FALSE)</f>
        <v>0</v>
      </c>
      <c r="S76" s="140">
        <f t="shared" si="5"/>
        <v>79105</v>
      </c>
      <c r="T76" s="142">
        <f t="shared" si="6"/>
        <v>395525</v>
      </c>
      <c r="U76" s="61"/>
    </row>
    <row r="77" spans="1:21" x14ac:dyDescent="0.35">
      <c r="A77" s="125" t="str">
        <f t="shared" si="4"/>
        <v>69Q2</v>
      </c>
      <c r="B77" s="135">
        <v>69</v>
      </c>
      <c r="C77" s="61" t="str">
        <f>INDEX('[1]INPUT_ASSUMPTIONS CALC'!D:D,MATCH(A77,'[1]INPUT_ASSUMPTIONS CALC'!A:A,0))</f>
        <v>Yevseyenko Larissa</v>
      </c>
      <c r="D77" s="61" t="str">
        <f>INDEX('[1]INPUT_ASSUMPTIONS CALC'!I:I,MATCH(A77,'[1]INPUT_ASSUMPTIONS CALC'!A:A,0))</f>
        <v>Regional Manager-1</v>
      </c>
      <c r="E77" s="61" t="str">
        <f>INDEX('[1]INPUT_ASSUMPTIONS CALC'!E:E,MATCH(A77,'[1]INPUT_ASSUMPTIONS CALC'!A:A,0))</f>
        <v>Regional Manager</v>
      </c>
      <c r="F77" s="136">
        <f>IF($F$5="Q1",VLOOKUP($A77,'[1]INPUT_ASSUMPTIONS CALC'!$A$13:$CK$1019,F$7,FALSE),IF($F$5="Q2",VLOOKUP($A77,'[1]INPUT_ASSUMPTIONS CALC'!$A$13:$CK$1019,F$7,FALSE),IF($F$5="Q3",VLOOKUP($A77,'[1]INPUT_ASSUMPTIONS CALC'!$A$13:$CK$1019,F$7,FALSE),IF($F$5="Q4",VLOOKUP($A77,'[1]INPUT_ASSUMPTIONS CALC'!$A$13:$CK$1019,F$7,FALSE),IF($F$5="Year",VLOOKUP($A77,'[1]INPUT_ASSUMPTIONS CALC'!$A$13:$CK$1019,F$7,FALSE),0)))))</f>
        <v>726000</v>
      </c>
      <c r="G77" s="137">
        <f>SUMIF('[1]INPUT_ASSUMPTIONS CALC'!A:A,'[1]Summary calculation'!A77,'[1]INPUT_ASSUMPTIONS CALC'!BU:BU)</f>
        <v>1</v>
      </c>
      <c r="H77" s="138">
        <f>IF($F$5="Year",F77*G77*'[1]INPUT_ASSUMPTIONS CALC'!$S$7,F77*G77)</f>
        <v>726000</v>
      </c>
      <c r="I77" s="138">
        <f>H77*VLOOKUP($A77,'[1]INPUT_ASSUMPTIONS CALC'!$A$13:$CK$1019,H$6,FALSE)*SUMIF('[1]INPUT_ASSUMPTIONS CALC'!$CL$15:$CL$17,'[1]Summary calculation'!E77,'[1]INPUT_ASSUMPTIONS CALC'!$CM$15:$CM$17)</f>
        <v>580800</v>
      </c>
      <c r="J77" s="139">
        <f>$I77*VLOOKUP($A77,'[1]INPUT_ASSUMPTIONS CALC'!$A$13:$CK$1019,I$6,FALSE)*VLOOKUP($A77,'[1]INPUT_ASSUMPTIONS CALC'!$A$13:$CK$1019,J$7,FALSE)</f>
        <v>551760</v>
      </c>
      <c r="K77" s="139">
        <f>$I77*VLOOKUP($A77,'[1]INPUT_ASSUMPTIONS CALC'!$A$13:$CK$1019,I$6,FALSE)*VLOOKUP($A77,'[1]INPUT_ASSUMPTIONS CALC'!$A$13:$CK$1019,K$7,FALSE)</f>
        <v>275880</v>
      </c>
      <c r="L77" s="139">
        <f>$I77*VLOOKUP($A77,'[1]INPUT_ASSUMPTIONS CALC'!$A$13:$CK$1019,I$6,FALSE)*VLOOKUP($A77,'[1]INPUT_ASSUMPTIONS CALC'!$A$13:$CK$1019,L$7,FALSE)</f>
        <v>220704</v>
      </c>
      <c r="M77" s="139">
        <f>$I77*VLOOKUP($A77,'[1]INPUT_ASSUMPTIONS CALC'!$A$13:$CK$1019,I$6,FALSE)*VLOOKUP($A77,'[1]INPUT_ASSUMPTIONS CALC'!$A$13:$CK$1019,M$7,FALSE)</f>
        <v>55175.999999999985</v>
      </c>
      <c r="N77" s="140">
        <f t="shared" si="7"/>
        <v>1103520</v>
      </c>
      <c r="O77" s="141">
        <f>H77*VLOOKUP($A77,'[1]INPUT_ASSUMPTIONS CALC'!$A$13:$CK$1019,H$6,FALSE)*SUMIF('[1]INPUT_ASSUMPTIONS CALC'!$CQ$15:$CQ$17,'[1]Summary calculation'!E77,'[1]INPUT_ASSUMPTIONS CALC'!$CR$15:$CR$17)</f>
        <v>72600</v>
      </c>
      <c r="P77" s="141">
        <f>H77*VLOOKUP($A77,'[1]INPUT_ASSUMPTIONS CALC'!$A$13:$CK$1019,H$6,FALSE)*SUMIF('[1]INPUT_ASSUMPTIONS CALC'!$CV$15:$CV$31,'[1]Summary calculation'!E77,'[1]INPUT_ASSUMPTIONS CALC'!$CW$15:$CW$31)</f>
        <v>72600</v>
      </c>
      <c r="Q77" s="141">
        <f>O77*VLOOKUP($A77,'[1]INPUT_ASSUMPTIONS CALC'!$A$13:$CK$1019,Q$7,FALSE)</f>
        <v>72600</v>
      </c>
      <c r="R77" s="141">
        <f>P77*VLOOKUP($A77,'[1]INPUT_ASSUMPTIONS CALC'!$A$13:$CK$1019,R$7,FALSE)</f>
        <v>72600</v>
      </c>
      <c r="S77" s="140">
        <f t="shared" si="5"/>
        <v>145200</v>
      </c>
      <c r="T77" s="142">
        <f t="shared" si="6"/>
        <v>1248720</v>
      </c>
      <c r="U77" s="61"/>
    </row>
    <row r="78" spans="1:21" x14ac:dyDescent="0.35">
      <c r="A78" s="125" t="str">
        <f t="shared" si="4"/>
        <v>70Q2</v>
      </c>
      <c r="B78" s="135">
        <v>70</v>
      </c>
      <c r="C78" s="61" t="str">
        <f>INDEX('[1]INPUT_ASSUMPTIONS CALC'!D:D,MATCH(A78,'[1]INPUT_ASSUMPTIONS CALC'!A:A,0))</f>
        <v>Yu Vitaliya</v>
      </c>
      <c r="D78" s="61" t="str">
        <f>INDEX('[1]INPUT_ASSUMPTIONS CALC'!I:I,MATCH(A78,'[1]INPUT_ASSUMPTIONS CALC'!A:A,0))</f>
        <v>Line 2 (big cities)</v>
      </c>
      <c r="E78" s="61" t="str">
        <f>INDEX('[1]INPUT_ASSUMPTIONS CALC'!E:E,MATCH(A78,'[1]INPUT_ASSUMPTIONS CALC'!A:A,0))</f>
        <v>Medical Representative</v>
      </c>
      <c r="F78" s="136">
        <f>IF($F$5="Q1",VLOOKUP($A78,'[1]INPUT_ASSUMPTIONS CALC'!$A$13:$CK$1019,F$7,FALSE),IF($F$5="Q2",VLOOKUP($A78,'[1]INPUT_ASSUMPTIONS CALC'!$A$13:$CK$1019,F$7,FALSE),IF($F$5="Q3",VLOOKUP($A78,'[1]INPUT_ASSUMPTIONS CALC'!$A$13:$CK$1019,F$7,FALSE),IF($F$5="Q4",VLOOKUP($A78,'[1]INPUT_ASSUMPTIONS CALC'!$A$13:$CK$1019,F$7,FALSE),IF($F$5="Year",VLOOKUP($A78,'[1]INPUT_ASSUMPTIONS CALC'!$A$13:$CK$1019,F$7,FALSE),0)))))</f>
        <v>395525</v>
      </c>
      <c r="G78" s="137">
        <f>SUMIF('[1]INPUT_ASSUMPTIONS CALC'!A:A,'[1]Summary calculation'!A78,'[1]INPUT_ASSUMPTIONS CALC'!BU:BU)</f>
        <v>1</v>
      </c>
      <c r="H78" s="138">
        <f>IF($F$5="Year",F78*G78*'[1]INPUT_ASSUMPTIONS CALC'!$S$7,F78*G78)</f>
        <v>395525</v>
      </c>
      <c r="I78" s="138">
        <f>H78*VLOOKUP($A78,'[1]INPUT_ASSUMPTIONS CALC'!$A$13:$CK$1019,H$6,FALSE)*SUMIF('[1]INPUT_ASSUMPTIONS CALC'!$CL$15:$CL$17,'[1]Summary calculation'!E78,'[1]INPUT_ASSUMPTIONS CALC'!$CM$15:$CM$17)</f>
        <v>316420</v>
      </c>
      <c r="J78" s="139">
        <f>$I78*VLOOKUP($A78,'[1]INPUT_ASSUMPTIONS CALC'!$A$13:$CK$1019,I$6,FALSE)*VLOOKUP($A78,'[1]INPUT_ASSUMPTIONS CALC'!$A$13:$CK$1019,J$7,FALSE)</f>
        <v>31642</v>
      </c>
      <c r="K78" s="139">
        <f>$I78*VLOOKUP($A78,'[1]INPUT_ASSUMPTIONS CALC'!$A$13:$CK$1019,I$6,FALSE)*VLOOKUP($A78,'[1]INPUT_ASSUMPTIONS CALC'!$A$13:$CK$1019,K$7,FALSE)</f>
        <v>94926</v>
      </c>
      <c r="L78" s="139">
        <f>$I78*VLOOKUP($A78,'[1]INPUT_ASSUMPTIONS CALC'!$A$13:$CK$1019,I$6,FALSE)*VLOOKUP($A78,'[1]INPUT_ASSUMPTIONS CALC'!$A$13:$CK$1019,L$7,FALSE)</f>
        <v>94926</v>
      </c>
      <c r="M78" s="139">
        <f>$I78*VLOOKUP($A78,'[1]INPUT_ASSUMPTIONS CALC'!$A$13:$CK$1019,I$6,FALSE)*VLOOKUP($A78,'[1]INPUT_ASSUMPTIONS CALC'!$A$13:$CK$1019,M$7,FALSE)</f>
        <v>94926.000000000029</v>
      </c>
      <c r="N78" s="140">
        <f t="shared" si="7"/>
        <v>316420</v>
      </c>
      <c r="O78" s="141">
        <f>H78*VLOOKUP($A78,'[1]INPUT_ASSUMPTIONS CALC'!$A$13:$CK$1019,H$6,FALSE)*SUMIF('[1]INPUT_ASSUMPTIONS CALC'!$CQ$15:$CQ$17,'[1]Summary calculation'!E78,'[1]INPUT_ASSUMPTIONS CALC'!$CR$15:$CR$17)</f>
        <v>79105</v>
      </c>
      <c r="P78" s="141">
        <f>H78*VLOOKUP($A78,'[1]INPUT_ASSUMPTIONS CALC'!$A$13:$CK$1019,H$6,FALSE)*SUMIF('[1]INPUT_ASSUMPTIONS CALC'!$CV$15:$CV$31,'[1]Summary calculation'!E78,'[1]INPUT_ASSUMPTIONS CALC'!$CW$15:$CW$31)</f>
        <v>0</v>
      </c>
      <c r="Q78" s="141">
        <f>O78*VLOOKUP($A78,'[1]INPUT_ASSUMPTIONS CALC'!$A$13:$CK$1019,Q$7,FALSE)</f>
        <v>79105</v>
      </c>
      <c r="R78" s="141">
        <f>P78*VLOOKUP($A78,'[1]INPUT_ASSUMPTIONS CALC'!$A$13:$CK$1019,R$7,FALSE)</f>
        <v>0</v>
      </c>
      <c r="S78" s="140">
        <f t="shared" si="5"/>
        <v>79105</v>
      </c>
      <c r="T78" s="142">
        <f t="shared" si="6"/>
        <v>395525</v>
      </c>
      <c r="U78" s="61"/>
    </row>
    <row r="79" spans="1:21" x14ac:dyDescent="0.35">
      <c r="A79" s="125" t="str">
        <f t="shared" si="4"/>
        <v>71Q2</v>
      </c>
      <c r="B79" s="135">
        <v>71</v>
      </c>
      <c r="C79" s="61" t="str">
        <f>INDEX('[1]INPUT_ASSUMPTIONS CALC'!D:D,MATCH(A79,'[1]INPUT_ASSUMPTIONS CALC'!A:A,0))</f>
        <v>Zhanabekova Kamshat</v>
      </c>
      <c r="D79" s="61" t="str">
        <f>INDEX('[1]INPUT_ASSUMPTIONS CALC'!I:I,MATCH(A79,'[1]INPUT_ASSUMPTIONS CALC'!A:A,0))</f>
        <v>Line 1</v>
      </c>
      <c r="E79" s="61" t="str">
        <f>INDEX('[1]INPUT_ASSUMPTIONS CALC'!E:E,MATCH(A79,'[1]INPUT_ASSUMPTIONS CALC'!A:A,0))</f>
        <v>Medical Representative</v>
      </c>
      <c r="F79" s="136">
        <f>IF($F$5="Q1",VLOOKUP($A79,'[1]INPUT_ASSUMPTIONS CALC'!$A$13:$CK$1019,F$7,FALSE),IF($F$5="Q2",VLOOKUP($A79,'[1]INPUT_ASSUMPTIONS CALC'!$A$13:$CK$1019,F$7,FALSE),IF($F$5="Q3",VLOOKUP($A79,'[1]INPUT_ASSUMPTIONS CALC'!$A$13:$CK$1019,F$7,FALSE),IF($F$5="Q4",VLOOKUP($A79,'[1]INPUT_ASSUMPTIONS CALC'!$A$13:$CK$1019,F$7,FALSE),IF($F$5="Year",VLOOKUP($A79,'[1]INPUT_ASSUMPTIONS CALC'!$A$13:$CK$1019,F$7,FALSE),0)))))</f>
        <v>395525</v>
      </c>
      <c r="G79" s="137">
        <f>SUMIF('[1]INPUT_ASSUMPTIONS CALC'!A:A,'[1]Summary calculation'!A79,'[1]INPUT_ASSUMPTIONS CALC'!BU:BU)</f>
        <v>1</v>
      </c>
      <c r="H79" s="138">
        <f>IF($F$5="Year",F79*G79*'[1]INPUT_ASSUMPTIONS CALC'!$S$7,F79*G79)</f>
        <v>395525</v>
      </c>
      <c r="I79" s="138">
        <f>H79*VLOOKUP($A79,'[1]INPUT_ASSUMPTIONS CALC'!$A$13:$CK$1019,H$6,FALSE)*SUMIF('[1]INPUT_ASSUMPTIONS CALC'!$CL$15:$CL$17,'[1]Summary calculation'!E79,'[1]INPUT_ASSUMPTIONS CALC'!$CM$15:$CM$17)</f>
        <v>316420</v>
      </c>
      <c r="J79" s="139">
        <f>$I79*VLOOKUP($A79,'[1]INPUT_ASSUMPTIONS CALC'!$A$13:$CK$1019,I$6,FALSE)*VLOOKUP($A79,'[1]INPUT_ASSUMPTIONS CALC'!$A$13:$CK$1019,J$7,FALSE)</f>
        <v>221494</v>
      </c>
      <c r="K79" s="139">
        <f>$I79*VLOOKUP($A79,'[1]INPUT_ASSUMPTIONS CALC'!$A$13:$CK$1019,I$6,FALSE)*VLOOKUP($A79,'[1]INPUT_ASSUMPTIONS CALC'!$A$13:$CK$1019,K$7,FALSE)</f>
        <v>155045.79999999999</v>
      </c>
      <c r="L79" s="139">
        <f>$I79*VLOOKUP($A79,'[1]INPUT_ASSUMPTIONS CALC'!$A$13:$CK$1019,I$6,FALSE)*VLOOKUP($A79,'[1]INPUT_ASSUMPTIONS CALC'!$A$13:$CK$1019,L$7,FALSE)</f>
        <v>44298.8</v>
      </c>
      <c r="M79" s="139">
        <f>$I79*VLOOKUP($A79,'[1]INPUT_ASSUMPTIONS CALC'!$A$13:$CK$1019,I$6,FALSE)*VLOOKUP($A79,'[1]INPUT_ASSUMPTIONS CALC'!$A$13:$CK$1019,M$7,FALSE)</f>
        <v>22149.400000000009</v>
      </c>
      <c r="N79" s="140">
        <f t="shared" si="7"/>
        <v>442988</v>
      </c>
      <c r="O79" s="141">
        <f>H79*VLOOKUP($A79,'[1]INPUT_ASSUMPTIONS CALC'!$A$13:$CK$1019,H$6,FALSE)*SUMIF('[1]INPUT_ASSUMPTIONS CALC'!$CQ$15:$CQ$17,'[1]Summary calculation'!E79,'[1]INPUT_ASSUMPTIONS CALC'!$CR$15:$CR$17)</f>
        <v>79105</v>
      </c>
      <c r="P79" s="141">
        <f>H79*VLOOKUP($A79,'[1]INPUT_ASSUMPTIONS CALC'!$A$13:$CK$1019,H$6,FALSE)*SUMIF('[1]INPUT_ASSUMPTIONS CALC'!$CV$15:$CV$31,'[1]Summary calculation'!E79,'[1]INPUT_ASSUMPTIONS CALC'!$CW$15:$CW$31)</f>
        <v>0</v>
      </c>
      <c r="Q79" s="141">
        <f>O79*VLOOKUP($A79,'[1]INPUT_ASSUMPTIONS CALC'!$A$13:$CK$1019,Q$7,FALSE)</f>
        <v>79105</v>
      </c>
      <c r="R79" s="141">
        <f>P79*VLOOKUP($A79,'[1]INPUT_ASSUMPTIONS CALC'!$A$13:$CK$1019,R$7,FALSE)</f>
        <v>0</v>
      </c>
      <c r="S79" s="140">
        <f t="shared" si="5"/>
        <v>79105</v>
      </c>
      <c r="T79" s="142">
        <f t="shared" si="6"/>
        <v>522093</v>
      </c>
      <c r="U79" s="61"/>
    </row>
    <row r="80" spans="1:21" x14ac:dyDescent="0.35">
      <c r="A80" s="125" t="str">
        <f t="shared" si="4"/>
        <v>72Q2</v>
      </c>
      <c r="B80" s="135">
        <v>72</v>
      </c>
      <c r="C80" s="61" t="str">
        <f>INDEX('[1]INPUT_ASSUMPTIONS CALC'!D:D,MATCH(A80,'[1]INPUT_ASSUMPTIONS CALC'!A:A,0))</f>
        <v>Zhazylbekova Aitolkyn</v>
      </c>
      <c r="D80" s="61" t="str">
        <f>INDEX('[1]INPUT_ASSUMPTIONS CALC'!I:I,MATCH(A80,'[1]INPUT_ASSUMPTIONS CALC'!A:A,0))</f>
        <v>Line 3 (big cities)</v>
      </c>
      <c r="E80" s="61" t="str">
        <f>INDEX('[1]INPUT_ASSUMPTIONS CALC'!E:E,MATCH(A80,'[1]INPUT_ASSUMPTIONS CALC'!A:A,0))</f>
        <v>Medical Representative</v>
      </c>
      <c r="F80" s="136">
        <f>IF($F$5="Q1",VLOOKUP($A80,'[1]INPUT_ASSUMPTIONS CALC'!$A$13:$CK$1019,F$7,FALSE),IF($F$5="Q2",VLOOKUP($A80,'[1]INPUT_ASSUMPTIONS CALC'!$A$13:$CK$1019,F$7,FALSE),IF($F$5="Q3",VLOOKUP($A80,'[1]INPUT_ASSUMPTIONS CALC'!$A$13:$CK$1019,F$7,FALSE),IF($F$5="Q4",VLOOKUP($A80,'[1]INPUT_ASSUMPTIONS CALC'!$A$13:$CK$1019,F$7,FALSE),IF($F$5="Year",VLOOKUP($A80,'[1]INPUT_ASSUMPTIONS CALC'!$A$13:$CK$1019,F$7,FALSE),0)))))</f>
        <v>395525</v>
      </c>
      <c r="G80" s="137">
        <f>SUMIF('[1]INPUT_ASSUMPTIONS CALC'!A:A,'[1]Summary calculation'!A80,'[1]INPUT_ASSUMPTIONS CALC'!BU:BU)</f>
        <v>1</v>
      </c>
      <c r="H80" s="138">
        <f>IF($F$5="Year",F80*G80*'[1]INPUT_ASSUMPTIONS CALC'!$S$7,F80*G80)</f>
        <v>395525</v>
      </c>
      <c r="I80" s="138">
        <f>H80*VLOOKUP($A80,'[1]INPUT_ASSUMPTIONS CALC'!$A$13:$CK$1019,H$6,FALSE)*SUMIF('[1]INPUT_ASSUMPTIONS CALC'!$CL$15:$CL$17,'[1]Summary calculation'!E80,'[1]INPUT_ASSUMPTIONS CALC'!$CM$15:$CM$17)</f>
        <v>316420</v>
      </c>
      <c r="J80" s="139">
        <f>$I80*VLOOKUP($A80,'[1]INPUT_ASSUMPTIONS CALC'!$A$13:$CK$1019,I$6,FALSE)*VLOOKUP($A80,'[1]INPUT_ASSUMPTIONS CALC'!$A$13:$CK$1019,J$7,FALSE)</f>
        <v>291897.45</v>
      </c>
      <c r="K80" s="139">
        <f>$I80*VLOOKUP($A80,'[1]INPUT_ASSUMPTIONS CALC'!$A$13:$CK$1019,I$6,FALSE)*VLOOKUP($A80,'[1]INPUT_ASSUMPTIONS CALC'!$A$13:$CK$1019,K$7,FALSE)</f>
        <v>162165.25</v>
      </c>
      <c r="L80" s="139">
        <f>$I80*VLOOKUP($A80,'[1]INPUT_ASSUMPTIONS CALC'!$A$13:$CK$1019,I$6,FALSE)*VLOOKUP($A80,'[1]INPUT_ASSUMPTIONS CALC'!$A$13:$CK$1019,L$7,FALSE)</f>
        <v>162165.25</v>
      </c>
      <c r="M80" s="139">
        <f>$I80*VLOOKUP($A80,'[1]INPUT_ASSUMPTIONS CALC'!$A$13:$CK$1019,I$6,FALSE)*VLOOKUP($A80,'[1]INPUT_ASSUMPTIONS CALC'!$A$13:$CK$1019,M$7,FALSE)</f>
        <v>32433.050000000028</v>
      </c>
      <c r="N80" s="140">
        <f t="shared" si="7"/>
        <v>648661</v>
      </c>
      <c r="O80" s="141">
        <f>H80*VLOOKUP($A80,'[1]INPUT_ASSUMPTIONS CALC'!$A$13:$CK$1019,H$6,FALSE)*SUMIF('[1]INPUT_ASSUMPTIONS CALC'!$CQ$15:$CQ$17,'[1]Summary calculation'!E80,'[1]INPUT_ASSUMPTIONS CALC'!$CR$15:$CR$17)</f>
        <v>79105</v>
      </c>
      <c r="P80" s="141">
        <f>H80*VLOOKUP($A80,'[1]INPUT_ASSUMPTIONS CALC'!$A$13:$CK$1019,H$6,FALSE)*SUMIF('[1]INPUT_ASSUMPTIONS CALC'!$CV$15:$CV$31,'[1]Summary calculation'!E80,'[1]INPUT_ASSUMPTIONS CALC'!$CW$15:$CW$31)</f>
        <v>0</v>
      </c>
      <c r="Q80" s="141">
        <f>O80*VLOOKUP($A80,'[1]INPUT_ASSUMPTIONS CALC'!$A$13:$CK$1019,Q$7,FALSE)</f>
        <v>79105</v>
      </c>
      <c r="R80" s="141">
        <f>P80*VLOOKUP($A80,'[1]INPUT_ASSUMPTIONS CALC'!$A$13:$CK$1019,R$7,FALSE)</f>
        <v>0</v>
      </c>
      <c r="S80" s="140">
        <f t="shared" si="5"/>
        <v>79105</v>
      </c>
      <c r="T80" s="142">
        <f t="shared" si="6"/>
        <v>727766</v>
      </c>
      <c r="U80" s="61"/>
    </row>
    <row r="81" spans="1:21" x14ac:dyDescent="0.35">
      <c r="A81" s="125" t="str">
        <f t="shared" si="4"/>
        <v>73Q2</v>
      </c>
      <c r="B81" s="135">
        <v>73</v>
      </c>
      <c r="C81" s="61" t="str">
        <f>INDEX('[1]INPUT_ASSUMPTIONS CALC'!D:D,MATCH(A81,'[1]INPUT_ASSUMPTIONS CALC'!A:A,0))</f>
        <v>Zhmailova Yelena</v>
      </c>
      <c r="D81" s="61" t="str">
        <f>INDEX('[1]INPUT_ASSUMPTIONS CALC'!I:I,MATCH(A81,'[1]INPUT_ASSUMPTIONS CALC'!A:A,0))</f>
        <v>Regional Manager-1</v>
      </c>
      <c r="E81" s="61" t="str">
        <f>INDEX('[1]INPUT_ASSUMPTIONS CALC'!E:E,MATCH(A81,'[1]INPUT_ASSUMPTIONS CALC'!A:A,0))</f>
        <v>Regional Manager</v>
      </c>
      <c r="F81" s="136">
        <f>IF($F$5="Q1",VLOOKUP($A81,'[1]INPUT_ASSUMPTIONS CALC'!$A$13:$CK$1019,F$7,FALSE),IF($F$5="Q2",VLOOKUP($A81,'[1]INPUT_ASSUMPTIONS CALC'!$A$13:$CK$1019,F$7,FALSE),IF($F$5="Q3",VLOOKUP($A81,'[1]INPUT_ASSUMPTIONS CALC'!$A$13:$CK$1019,F$7,FALSE),IF($F$5="Q4",VLOOKUP($A81,'[1]INPUT_ASSUMPTIONS CALC'!$A$13:$CK$1019,F$7,FALSE),IF($F$5="Year",VLOOKUP($A81,'[1]INPUT_ASSUMPTIONS CALC'!$A$13:$CK$1019,F$7,FALSE),0)))))</f>
        <v>726000</v>
      </c>
      <c r="G81" s="137">
        <f>SUMIF('[1]INPUT_ASSUMPTIONS CALC'!A:A,'[1]Summary calculation'!A81,'[1]INPUT_ASSUMPTIONS CALC'!BU:BU)</f>
        <v>1</v>
      </c>
      <c r="H81" s="138">
        <f>IF($F$5="Year",F81*G81*'[1]INPUT_ASSUMPTIONS CALC'!$S$7,F81*G81)</f>
        <v>726000</v>
      </c>
      <c r="I81" s="138">
        <f>H81*VLOOKUP($A81,'[1]INPUT_ASSUMPTIONS CALC'!$A$13:$CK$1019,H$6,FALSE)*SUMIF('[1]INPUT_ASSUMPTIONS CALC'!$CL$15:$CL$17,'[1]Summary calculation'!E81,'[1]INPUT_ASSUMPTIONS CALC'!$CM$15:$CM$17)</f>
        <v>580800</v>
      </c>
      <c r="J81" s="139">
        <f>$I81*VLOOKUP($A81,'[1]INPUT_ASSUMPTIONS CALC'!$A$13:$CK$1019,I$6,FALSE)*VLOOKUP($A81,'[1]INPUT_ASSUMPTIONS CALC'!$A$13:$CK$1019,J$7,FALSE)</f>
        <v>246840</v>
      </c>
      <c r="K81" s="139">
        <f>$I81*VLOOKUP($A81,'[1]INPUT_ASSUMPTIONS CALC'!$A$13:$CK$1019,I$6,FALSE)*VLOOKUP($A81,'[1]INPUT_ASSUMPTIONS CALC'!$A$13:$CK$1019,K$7,FALSE)</f>
        <v>123420</v>
      </c>
      <c r="L81" s="139">
        <f>$I81*VLOOKUP($A81,'[1]INPUT_ASSUMPTIONS CALC'!$A$13:$CK$1019,I$6,FALSE)*VLOOKUP($A81,'[1]INPUT_ASSUMPTIONS CALC'!$A$13:$CK$1019,L$7,FALSE)</f>
        <v>98736</v>
      </c>
      <c r="M81" s="139">
        <f>$I81*VLOOKUP($A81,'[1]INPUT_ASSUMPTIONS CALC'!$A$13:$CK$1019,I$6,FALSE)*VLOOKUP($A81,'[1]INPUT_ASSUMPTIONS CALC'!$A$13:$CK$1019,M$7,FALSE)</f>
        <v>24683.999999999993</v>
      </c>
      <c r="N81" s="140">
        <f t="shared" si="7"/>
        <v>493680</v>
      </c>
      <c r="O81" s="141">
        <f>H81*VLOOKUP($A81,'[1]INPUT_ASSUMPTIONS CALC'!$A$13:$CK$1019,H$6,FALSE)*SUMIF('[1]INPUT_ASSUMPTIONS CALC'!$CQ$15:$CQ$17,'[1]Summary calculation'!E81,'[1]INPUT_ASSUMPTIONS CALC'!$CR$15:$CR$17)</f>
        <v>72600</v>
      </c>
      <c r="P81" s="141">
        <f>H81*VLOOKUP($A81,'[1]INPUT_ASSUMPTIONS CALC'!$A$13:$CK$1019,H$6,FALSE)*SUMIF('[1]INPUT_ASSUMPTIONS CALC'!$CV$15:$CV$31,'[1]Summary calculation'!E81,'[1]INPUT_ASSUMPTIONS CALC'!$CW$15:$CW$31)</f>
        <v>72600</v>
      </c>
      <c r="Q81" s="141">
        <f>O81*VLOOKUP($A81,'[1]INPUT_ASSUMPTIONS CALC'!$A$13:$CK$1019,Q$7,FALSE)</f>
        <v>72600</v>
      </c>
      <c r="R81" s="141">
        <f>P81*VLOOKUP($A81,'[1]INPUT_ASSUMPTIONS CALC'!$A$13:$CK$1019,R$7,FALSE)</f>
        <v>72600</v>
      </c>
      <c r="S81" s="140">
        <f t="shared" si="5"/>
        <v>145200</v>
      </c>
      <c r="T81" s="142">
        <f t="shared" si="6"/>
        <v>638880</v>
      </c>
      <c r="U81" s="61"/>
    </row>
    <row r="82" spans="1:21" x14ac:dyDescent="0.35">
      <c r="A82" s="125" t="str">
        <f t="shared" si="4"/>
        <v>74Q2</v>
      </c>
      <c r="B82" s="135">
        <v>74</v>
      </c>
      <c r="C82" s="61" t="str">
        <f>INDEX('[1]INPUT_ASSUMPTIONS CALC'!D:D,MATCH(A82,'[1]INPUT_ASSUMPTIONS CALC'!A:A,0))</f>
        <v>Kaderov Nursultan</v>
      </c>
      <c r="D82" s="61" t="str">
        <f>INDEX('[1]INPUT_ASSUMPTIONS CALC'!I:I,MATCH(A82,'[1]INPUT_ASSUMPTIONS CALC'!A:A,0))</f>
        <v>Line 2</v>
      </c>
      <c r="E82" s="61" t="str">
        <f>INDEX('[1]INPUT_ASSUMPTIONS CALC'!E:E,MATCH(A82,'[1]INPUT_ASSUMPTIONS CALC'!A:A,0))</f>
        <v>Medical Representative</v>
      </c>
      <c r="F82" s="136">
        <f>IF($F$5="Q1",VLOOKUP($A82,'[1]INPUT_ASSUMPTIONS CALC'!$A$13:$CK$1019,F$7,FALSE),IF($F$5="Q2",VLOOKUP($A82,'[1]INPUT_ASSUMPTIONS CALC'!$A$13:$CK$1019,F$7,FALSE),IF($F$5="Q3",VLOOKUP($A82,'[1]INPUT_ASSUMPTIONS CALC'!$A$13:$CK$1019,F$7,FALSE),IF($F$5="Q4",VLOOKUP($A82,'[1]INPUT_ASSUMPTIONS CALC'!$A$13:$CK$1019,F$7,FALSE),IF($F$5="Year",VLOOKUP($A82,'[1]INPUT_ASSUMPTIONS CALC'!$A$13:$CK$1019,F$7,FALSE),0)))))</f>
        <v>395525</v>
      </c>
      <c r="G82" s="137">
        <f>SUMIF('[1]INPUT_ASSUMPTIONS CALC'!A:A,'[1]Summary calculation'!A82,'[1]INPUT_ASSUMPTIONS CALC'!BU:BU)</f>
        <v>1</v>
      </c>
      <c r="H82" s="138">
        <f>IF($F$5="Year",F82*G82*'[1]INPUT_ASSUMPTIONS CALC'!$S$7,F82*G82)</f>
        <v>395525</v>
      </c>
      <c r="I82" s="138">
        <f>H82*VLOOKUP($A82,'[1]INPUT_ASSUMPTIONS CALC'!$A$13:$CK$1019,H$6,FALSE)*SUMIF('[1]INPUT_ASSUMPTIONS CALC'!$CL$15:$CL$17,'[1]Summary calculation'!E82,'[1]INPUT_ASSUMPTIONS CALC'!$CM$15:$CM$17)</f>
        <v>316420</v>
      </c>
      <c r="J82" s="139">
        <f>$I82*VLOOKUP($A82,'[1]INPUT_ASSUMPTIONS CALC'!$A$13:$CK$1019,I$6,FALSE)*VLOOKUP($A82,'[1]INPUT_ASSUMPTIONS CALC'!$A$13:$CK$1019,J$7,FALSE)</f>
        <v>237315</v>
      </c>
      <c r="K82" s="139">
        <f>$I82*VLOOKUP($A82,'[1]INPUT_ASSUMPTIONS CALC'!$A$13:$CK$1019,I$6,FALSE)*VLOOKUP($A82,'[1]INPUT_ASSUMPTIONS CALC'!$A$13:$CK$1019,K$7,FALSE)</f>
        <v>197762.5</v>
      </c>
      <c r="L82" s="139">
        <f>$I82*VLOOKUP($A82,'[1]INPUT_ASSUMPTIONS CALC'!$A$13:$CK$1019,I$6,FALSE)*VLOOKUP($A82,'[1]INPUT_ASSUMPTIONS CALC'!$A$13:$CK$1019,L$7,FALSE)</f>
        <v>197762.5</v>
      </c>
      <c r="M82" s="139">
        <f>$I82*VLOOKUP($A82,'[1]INPUT_ASSUMPTIONS CALC'!$A$13:$CK$1019,I$6,FALSE)*VLOOKUP($A82,'[1]INPUT_ASSUMPTIONS CALC'!$A$13:$CK$1019,M$7,FALSE)</f>
        <v>158209.99999999997</v>
      </c>
      <c r="N82" s="140">
        <f t="shared" si="7"/>
        <v>791050</v>
      </c>
      <c r="O82" s="141">
        <f>H82*VLOOKUP($A82,'[1]INPUT_ASSUMPTIONS CALC'!$A$13:$CK$1019,H$6,FALSE)*SUMIF('[1]INPUT_ASSUMPTIONS CALC'!$CQ$15:$CQ$17,'[1]Summary calculation'!E82,'[1]INPUT_ASSUMPTIONS CALC'!$CR$15:$CR$17)</f>
        <v>79105</v>
      </c>
      <c r="P82" s="141">
        <f>H82*VLOOKUP($A82,'[1]INPUT_ASSUMPTIONS CALC'!$A$13:$CK$1019,H$6,FALSE)*SUMIF('[1]INPUT_ASSUMPTIONS CALC'!$CV$15:$CV$31,'[1]Summary calculation'!E82,'[1]INPUT_ASSUMPTIONS CALC'!$CW$15:$CW$31)</f>
        <v>0</v>
      </c>
      <c r="Q82" s="141">
        <f>O82*VLOOKUP($A82,'[1]INPUT_ASSUMPTIONS CALC'!$A$13:$CK$1019,Q$7,FALSE)</f>
        <v>79105</v>
      </c>
      <c r="R82" s="141">
        <f>P82*VLOOKUP($A82,'[1]INPUT_ASSUMPTIONS CALC'!$A$13:$CK$1019,R$7,FALSE)</f>
        <v>0</v>
      </c>
      <c r="S82" s="140">
        <f t="shared" si="5"/>
        <v>79105</v>
      </c>
      <c r="T82" s="142">
        <f t="shared" si="6"/>
        <v>870155</v>
      </c>
      <c r="U82" s="61"/>
    </row>
    <row r="83" spans="1:21" x14ac:dyDescent="0.35">
      <c r="A83" s="125" t="str">
        <f t="shared" si="4"/>
        <v>75Q2</v>
      </c>
      <c r="B83" s="135">
        <v>75</v>
      </c>
      <c r="C83" s="61" t="str">
        <f>INDEX('[1]INPUT_ASSUMPTIONS CALC'!D:D,MATCH(A83,'[1]INPUT_ASSUMPTIONS CALC'!A:A,0))</f>
        <v>Ospanova Zhumagul</v>
      </c>
      <c r="D83" s="61" t="str">
        <f>INDEX('[1]INPUT_ASSUMPTIONS CALC'!I:I,MATCH(A83,'[1]INPUT_ASSUMPTIONS CALC'!A:A,0))</f>
        <v>Line 2</v>
      </c>
      <c r="E83" s="61" t="str">
        <f>INDEX('[1]INPUT_ASSUMPTIONS CALC'!E:E,MATCH(A83,'[1]INPUT_ASSUMPTIONS CALC'!A:A,0))</f>
        <v>Medical Representative</v>
      </c>
      <c r="F83" s="136">
        <f>IF($F$5="Q1",VLOOKUP($A83,'[1]INPUT_ASSUMPTIONS CALC'!$A$13:$CK$1019,F$7,FALSE),IF($F$5="Q2",VLOOKUP($A83,'[1]INPUT_ASSUMPTIONS CALC'!$A$13:$CK$1019,F$7,FALSE),IF($F$5="Q3",VLOOKUP($A83,'[1]INPUT_ASSUMPTIONS CALC'!$A$13:$CK$1019,F$7,FALSE),IF($F$5="Q4",VLOOKUP($A83,'[1]INPUT_ASSUMPTIONS CALC'!$A$13:$CK$1019,F$7,FALSE),IF($F$5="Year",VLOOKUP($A83,'[1]INPUT_ASSUMPTIONS CALC'!$A$13:$CK$1019,F$7,FALSE),0)))))</f>
        <v>395525</v>
      </c>
      <c r="G83" s="137">
        <f>SUMIF('[1]INPUT_ASSUMPTIONS CALC'!A:A,'[1]Summary calculation'!A83,'[1]INPUT_ASSUMPTIONS CALC'!BU:BU)</f>
        <v>1</v>
      </c>
      <c r="H83" s="138">
        <f>IF($F$5="Year",F83*G83*'[1]INPUT_ASSUMPTIONS CALC'!$S$7,F83*G83)</f>
        <v>395525</v>
      </c>
      <c r="I83" s="138">
        <f>H83*VLOOKUP($A83,'[1]INPUT_ASSUMPTIONS CALC'!$A$13:$CK$1019,H$6,FALSE)*SUMIF('[1]INPUT_ASSUMPTIONS CALC'!$CL$15:$CL$17,'[1]Summary calculation'!E83,'[1]INPUT_ASSUMPTIONS CALC'!$CM$15:$CM$17)</f>
        <v>316420</v>
      </c>
      <c r="J83" s="139">
        <f>$I83*VLOOKUP($A83,'[1]INPUT_ASSUMPTIONS CALC'!$A$13:$CK$1019,I$6,FALSE)*VLOOKUP($A83,'[1]INPUT_ASSUMPTIONS CALC'!$A$13:$CK$1019,J$7,FALSE)</f>
        <v>199344.6</v>
      </c>
      <c r="K83" s="139">
        <f>$I83*VLOOKUP($A83,'[1]INPUT_ASSUMPTIONS CALC'!$A$13:$CK$1019,I$6,FALSE)*VLOOKUP($A83,'[1]INPUT_ASSUMPTIONS CALC'!$A$13:$CK$1019,K$7,FALSE)</f>
        <v>166120.5</v>
      </c>
      <c r="L83" s="139">
        <f>$I83*VLOOKUP($A83,'[1]INPUT_ASSUMPTIONS CALC'!$A$13:$CK$1019,I$6,FALSE)*VLOOKUP($A83,'[1]INPUT_ASSUMPTIONS CALC'!$A$13:$CK$1019,L$7,FALSE)</f>
        <v>166120.5</v>
      </c>
      <c r="M83" s="139">
        <f>$I83*VLOOKUP($A83,'[1]INPUT_ASSUMPTIONS CALC'!$A$13:$CK$1019,I$6,FALSE)*VLOOKUP($A83,'[1]INPUT_ASSUMPTIONS CALC'!$A$13:$CK$1019,M$7,FALSE)</f>
        <v>132896.39999999997</v>
      </c>
      <c r="N83" s="140">
        <f t="shared" si="7"/>
        <v>664482</v>
      </c>
      <c r="O83" s="141">
        <f>H83*VLOOKUP($A83,'[1]INPUT_ASSUMPTIONS CALC'!$A$13:$CK$1019,H$6,FALSE)*SUMIF('[1]INPUT_ASSUMPTIONS CALC'!$CQ$15:$CQ$17,'[1]Summary calculation'!E83,'[1]INPUT_ASSUMPTIONS CALC'!$CR$15:$CR$17)</f>
        <v>79105</v>
      </c>
      <c r="P83" s="141">
        <f>H83*VLOOKUP($A83,'[1]INPUT_ASSUMPTIONS CALC'!$A$13:$CK$1019,H$6,FALSE)*SUMIF('[1]INPUT_ASSUMPTIONS CALC'!$CV$15:$CV$31,'[1]Summary calculation'!E83,'[1]INPUT_ASSUMPTIONS CALC'!$CW$15:$CW$31)</f>
        <v>0</v>
      </c>
      <c r="Q83" s="141">
        <f>O83*VLOOKUP($A83,'[1]INPUT_ASSUMPTIONS CALC'!$A$13:$CK$1019,Q$7,FALSE)</f>
        <v>79105</v>
      </c>
      <c r="R83" s="141">
        <f>P83*VLOOKUP($A83,'[1]INPUT_ASSUMPTIONS CALC'!$A$13:$CK$1019,R$7,FALSE)</f>
        <v>0</v>
      </c>
      <c r="S83" s="140">
        <f t="shared" si="5"/>
        <v>79105</v>
      </c>
      <c r="T83" s="142">
        <f t="shared" si="6"/>
        <v>743587</v>
      </c>
      <c r="U83" s="61"/>
    </row>
    <row r="84" spans="1:21" x14ac:dyDescent="0.35">
      <c r="A84" s="125" t="str">
        <f t="shared" si="4"/>
        <v>76Q2</v>
      </c>
      <c r="B84" s="135">
        <v>76</v>
      </c>
      <c r="C84" s="61" t="str">
        <f>INDEX('[1]INPUT_ASSUMPTIONS CALC'!D:D,MATCH(A84,'[1]INPUT_ASSUMPTIONS CALC'!A:A,0))</f>
        <v>Zhanuzakova Gulbakyt</v>
      </c>
      <c r="D84" s="61" t="str">
        <f>INDEX('[1]INPUT_ASSUMPTIONS CALC'!I:I,MATCH(A84,'[1]INPUT_ASSUMPTIONS CALC'!A:A,0))</f>
        <v>Line 1</v>
      </c>
      <c r="E84" s="61" t="str">
        <f>INDEX('[1]INPUT_ASSUMPTIONS CALC'!E:E,MATCH(A84,'[1]INPUT_ASSUMPTIONS CALC'!A:A,0))</f>
        <v>Medical Representative</v>
      </c>
      <c r="F84" s="136">
        <f>IF($F$5="Q1",VLOOKUP($A84,'[1]INPUT_ASSUMPTIONS CALC'!$A$13:$CK$1019,F$7,FALSE),IF($F$5="Q2",VLOOKUP($A84,'[1]INPUT_ASSUMPTIONS CALC'!$A$13:$CK$1019,F$7,FALSE),IF($F$5="Q3",VLOOKUP($A84,'[1]INPUT_ASSUMPTIONS CALC'!$A$13:$CK$1019,F$7,FALSE),IF($F$5="Q4",VLOOKUP($A84,'[1]INPUT_ASSUMPTIONS CALC'!$A$13:$CK$1019,F$7,FALSE),IF($F$5="Year",VLOOKUP($A84,'[1]INPUT_ASSUMPTIONS CALC'!$A$13:$CK$1019,F$7,FALSE),0)))))</f>
        <v>395525</v>
      </c>
      <c r="G84" s="137">
        <f>SUMIF('[1]INPUT_ASSUMPTIONS CALC'!A:A,'[1]Summary calculation'!A84,'[1]INPUT_ASSUMPTIONS CALC'!BU:BU)</f>
        <v>1</v>
      </c>
      <c r="H84" s="138">
        <f>IF($F$5="Year",F84*G84*'[1]INPUT_ASSUMPTIONS CALC'!$S$7,F84*G84)</f>
        <v>395525</v>
      </c>
      <c r="I84" s="138">
        <f>H84*VLOOKUP($A84,'[1]INPUT_ASSUMPTIONS CALC'!$A$13:$CK$1019,H$6,FALSE)*SUMIF('[1]INPUT_ASSUMPTIONS CALC'!$CL$15:$CL$17,'[1]Summary calculation'!E84,'[1]INPUT_ASSUMPTIONS CALC'!$CM$15:$CM$17)</f>
        <v>0</v>
      </c>
      <c r="J84" s="139">
        <f>$I84*VLOOKUP($A84,'[1]INPUT_ASSUMPTIONS CALC'!$A$13:$CK$1019,I$6,FALSE)*VLOOKUP($A84,'[1]INPUT_ASSUMPTIONS CALC'!$A$13:$CK$1019,J$7,FALSE)</f>
        <v>0</v>
      </c>
      <c r="K84" s="139">
        <f>$I84*VLOOKUP($A84,'[1]INPUT_ASSUMPTIONS CALC'!$A$13:$CK$1019,I$6,FALSE)*VLOOKUP($A84,'[1]INPUT_ASSUMPTIONS CALC'!$A$13:$CK$1019,K$7,FALSE)</f>
        <v>0</v>
      </c>
      <c r="L84" s="139">
        <f>$I84*VLOOKUP($A84,'[1]INPUT_ASSUMPTIONS CALC'!$A$13:$CK$1019,I$6,FALSE)*VLOOKUP($A84,'[1]INPUT_ASSUMPTIONS CALC'!$A$13:$CK$1019,L$7,FALSE)</f>
        <v>0</v>
      </c>
      <c r="M84" s="139">
        <f>$I84*VLOOKUP($A84,'[1]INPUT_ASSUMPTIONS CALC'!$A$13:$CK$1019,I$6,FALSE)*VLOOKUP($A84,'[1]INPUT_ASSUMPTIONS CALC'!$A$13:$CK$1019,M$7,FALSE)</f>
        <v>0</v>
      </c>
      <c r="N84" s="140">
        <f t="shared" si="7"/>
        <v>0</v>
      </c>
      <c r="O84" s="141">
        <f>H84*VLOOKUP($A84,'[1]INPUT_ASSUMPTIONS CALC'!$A$13:$CK$1019,H$6,FALSE)*SUMIF('[1]INPUT_ASSUMPTIONS CALC'!$CQ$15:$CQ$17,'[1]Summary calculation'!E84,'[1]INPUT_ASSUMPTIONS CALC'!$CR$15:$CR$17)</f>
        <v>0</v>
      </c>
      <c r="P84" s="141">
        <f>H84*VLOOKUP($A84,'[1]INPUT_ASSUMPTIONS CALC'!$A$13:$CK$1019,H$6,FALSE)*SUMIF('[1]INPUT_ASSUMPTIONS CALC'!$CV$15:$CV$31,'[1]Summary calculation'!E84,'[1]INPUT_ASSUMPTIONS CALC'!$CW$15:$CW$31)</f>
        <v>0</v>
      </c>
      <c r="Q84" s="141">
        <f>O84*VLOOKUP($A84,'[1]INPUT_ASSUMPTIONS CALC'!$A$13:$CK$1019,Q$7,FALSE)</f>
        <v>0</v>
      </c>
      <c r="R84" s="141">
        <f>P84*VLOOKUP($A84,'[1]INPUT_ASSUMPTIONS CALC'!$A$13:$CK$1019,R$7,FALSE)</f>
        <v>0</v>
      </c>
      <c r="S84" s="140">
        <f t="shared" si="5"/>
        <v>0</v>
      </c>
      <c r="T84" s="142">
        <f t="shared" si="6"/>
        <v>0</v>
      </c>
      <c r="U84" s="61"/>
    </row>
    <row r="85" spans="1:21" x14ac:dyDescent="0.35">
      <c r="A85" s="125" t="str">
        <f t="shared" si="4"/>
        <v>77Q2</v>
      </c>
      <c r="B85" s="135">
        <v>77</v>
      </c>
      <c r="C85" s="61" t="str">
        <f>INDEX('[1]INPUT_ASSUMPTIONS CALC'!D:D,MATCH(A85,'[1]INPUT_ASSUMPTIONS CALC'!A:A,0))</f>
        <v>Nurikhanova Alissa</v>
      </c>
      <c r="D85" s="61" t="str">
        <f>INDEX('[1]INPUT_ASSUMPTIONS CALC'!I:I,MATCH(A85,'[1]INPUT_ASSUMPTIONS CALC'!A:A,0))</f>
        <v>Regional Manager-1</v>
      </c>
      <c r="E85" s="61" t="str">
        <f>INDEX('[1]INPUT_ASSUMPTIONS CALC'!E:E,MATCH(A85,'[1]INPUT_ASSUMPTIONS CALC'!A:A,0))</f>
        <v>Regional Manager</v>
      </c>
      <c r="F85" s="136">
        <f>IF($F$5="Q1",VLOOKUP($A85,'[1]INPUT_ASSUMPTIONS CALC'!$A$13:$CK$1019,F$7,FALSE),IF($F$5="Q2",VLOOKUP($A85,'[1]INPUT_ASSUMPTIONS CALC'!$A$13:$CK$1019,F$7,FALSE),IF($F$5="Q3",VLOOKUP($A85,'[1]INPUT_ASSUMPTIONS CALC'!$A$13:$CK$1019,F$7,FALSE),IF($F$5="Q4",VLOOKUP($A85,'[1]INPUT_ASSUMPTIONS CALC'!$A$13:$CK$1019,F$7,FALSE),IF($F$5="Year",VLOOKUP($A85,'[1]INPUT_ASSUMPTIONS CALC'!$A$13:$CK$1019,F$7,FALSE),0)))))</f>
        <v>726000</v>
      </c>
      <c r="G85" s="137">
        <f>SUMIF('[1]INPUT_ASSUMPTIONS CALC'!A:A,'[1]Summary calculation'!A85,'[1]INPUT_ASSUMPTIONS CALC'!BU:BU)</f>
        <v>1</v>
      </c>
      <c r="H85" s="138">
        <f>IF($F$5="Year",F85*G85*'[1]INPUT_ASSUMPTIONS CALC'!$S$7,F85*G85)</f>
        <v>726000</v>
      </c>
      <c r="I85" s="138">
        <f>H85*VLOOKUP($A85,'[1]INPUT_ASSUMPTIONS CALC'!$A$13:$CK$1019,H$6,FALSE)*SUMIF('[1]INPUT_ASSUMPTIONS CALC'!$CL$15:$CL$17,'[1]Summary calculation'!E85,'[1]INPUT_ASSUMPTIONS CALC'!$CM$15:$CM$17)</f>
        <v>580800</v>
      </c>
      <c r="J85" s="139">
        <f>$I85*VLOOKUP($A85,'[1]INPUT_ASSUMPTIONS CALC'!$A$13:$CK$1019,I$6,FALSE)*VLOOKUP($A85,'[1]INPUT_ASSUMPTIONS CALC'!$A$13:$CK$1019,J$7,FALSE)</f>
        <v>246840</v>
      </c>
      <c r="K85" s="139">
        <f>$I85*VLOOKUP($A85,'[1]INPUT_ASSUMPTIONS CALC'!$A$13:$CK$1019,I$6,FALSE)*VLOOKUP($A85,'[1]INPUT_ASSUMPTIONS CALC'!$A$13:$CK$1019,K$7,FALSE)</f>
        <v>123420</v>
      </c>
      <c r="L85" s="139">
        <f>$I85*VLOOKUP($A85,'[1]INPUT_ASSUMPTIONS CALC'!$A$13:$CK$1019,I$6,FALSE)*VLOOKUP($A85,'[1]INPUT_ASSUMPTIONS CALC'!$A$13:$CK$1019,L$7,FALSE)</f>
        <v>98736</v>
      </c>
      <c r="M85" s="139">
        <f>$I85*VLOOKUP($A85,'[1]INPUT_ASSUMPTIONS CALC'!$A$13:$CK$1019,I$6,FALSE)*VLOOKUP($A85,'[1]INPUT_ASSUMPTIONS CALC'!$A$13:$CK$1019,M$7,FALSE)</f>
        <v>24683.999999999993</v>
      </c>
      <c r="N85" s="140">
        <f t="shared" si="7"/>
        <v>493680</v>
      </c>
      <c r="O85" s="141">
        <f>H85*VLOOKUP($A85,'[1]INPUT_ASSUMPTIONS CALC'!$A$13:$CK$1019,H$6,FALSE)*SUMIF('[1]INPUT_ASSUMPTIONS CALC'!$CQ$15:$CQ$17,'[1]Summary calculation'!E85,'[1]INPUT_ASSUMPTIONS CALC'!$CR$15:$CR$17)</f>
        <v>72600</v>
      </c>
      <c r="P85" s="141">
        <f>H85*VLOOKUP($A85,'[1]INPUT_ASSUMPTIONS CALC'!$A$13:$CK$1019,H$6,FALSE)*SUMIF('[1]INPUT_ASSUMPTIONS CALC'!$CV$15:$CV$31,'[1]Summary calculation'!E85,'[1]INPUT_ASSUMPTIONS CALC'!$CW$15:$CW$31)</f>
        <v>72600</v>
      </c>
      <c r="Q85" s="141">
        <f>O85*VLOOKUP($A85,'[1]INPUT_ASSUMPTIONS CALC'!$A$13:$CK$1019,Q$7,FALSE)</f>
        <v>72600</v>
      </c>
      <c r="R85" s="141">
        <f>P85*VLOOKUP($A85,'[1]INPUT_ASSUMPTIONS CALC'!$A$13:$CK$1019,R$7,FALSE)</f>
        <v>0</v>
      </c>
      <c r="S85" s="140">
        <f t="shared" si="5"/>
        <v>72600</v>
      </c>
      <c r="T85" s="142">
        <f t="shared" si="6"/>
        <v>566280</v>
      </c>
      <c r="U85" s="61"/>
    </row>
    <row r="86" spans="1:21" x14ac:dyDescent="0.35">
      <c r="A86" s="125" t="str">
        <f t="shared" si="4"/>
        <v>78Q2</v>
      </c>
      <c r="B86" s="135">
        <v>78</v>
      </c>
      <c r="C86" s="61" t="str">
        <f>INDEX('[1]INPUT_ASSUMPTIONS CALC'!D:D,MATCH(A86,'[1]INPUT_ASSUMPTIONS CALC'!A:A,0))</f>
        <v>Konurub Roza</v>
      </c>
      <c r="D86" s="61" t="str">
        <f>INDEX('[1]INPUT_ASSUMPTIONS CALC'!I:I,MATCH(A86,'[1]INPUT_ASSUMPTIONS CALC'!A:A,0))</f>
        <v>Pharma line</v>
      </c>
      <c r="E86" s="61" t="str">
        <f>INDEX('[1]INPUT_ASSUMPTIONS CALC'!E:E,MATCH(A86,'[1]INPUT_ASSUMPTIONS CALC'!A:A,0))</f>
        <v>Medical Representative</v>
      </c>
      <c r="F86" s="136">
        <f>IF($F$5="Q1",VLOOKUP($A86,'[1]INPUT_ASSUMPTIONS CALC'!$A$13:$CK$1019,F$7,FALSE),IF($F$5="Q2",VLOOKUP($A86,'[1]INPUT_ASSUMPTIONS CALC'!$A$13:$CK$1019,F$7,FALSE),IF($F$5="Q3",VLOOKUP($A86,'[1]INPUT_ASSUMPTIONS CALC'!$A$13:$CK$1019,F$7,FALSE),IF($F$5="Q4",VLOOKUP($A86,'[1]INPUT_ASSUMPTIONS CALC'!$A$13:$CK$1019,F$7,FALSE),IF($F$5="Year",VLOOKUP($A86,'[1]INPUT_ASSUMPTIONS CALC'!$A$13:$CK$1019,F$7,FALSE),0)))))</f>
        <v>395525</v>
      </c>
      <c r="G86" s="137">
        <f>SUMIF('[1]INPUT_ASSUMPTIONS CALC'!A:A,'[1]Summary calculation'!A86,'[1]INPUT_ASSUMPTIONS CALC'!BU:BU)</f>
        <v>1</v>
      </c>
      <c r="H86" s="138">
        <f>IF($F$5="Year",F86*G86*'[1]INPUT_ASSUMPTIONS CALC'!$S$7,F86*G86)</f>
        <v>395525</v>
      </c>
      <c r="I86" s="138">
        <f>H86*VLOOKUP($A86,'[1]INPUT_ASSUMPTIONS CALC'!$A$13:$CK$1019,H$6,FALSE)*SUMIF('[1]INPUT_ASSUMPTIONS CALC'!$CL$15:$CL$17,'[1]Summary calculation'!E86,'[1]INPUT_ASSUMPTIONS CALC'!$CM$15:$CM$17)</f>
        <v>316420</v>
      </c>
      <c r="J86" s="139">
        <f>$I86*VLOOKUP($A86,'[1]INPUT_ASSUMPTIONS CALC'!$A$13:$CK$1019,I$6,FALSE)*VLOOKUP($A86,'[1]INPUT_ASSUMPTIONS CALC'!$A$13:$CK$1019,J$7,FALSE)</f>
        <v>242061.30000000002</v>
      </c>
      <c r="K86" s="139">
        <f>$I86*VLOOKUP($A86,'[1]INPUT_ASSUMPTIONS CALC'!$A$13:$CK$1019,I$6,FALSE)*VLOOKUP($A86,'[1]INPUT_ASSUMPTIONS CALC'!$A$13:$CK$1019,K$7,FALSE)</f>
        <v>161374.19999999998</v>
      </c>
      <c r="L86" s="139">
        <f>$I86*VLOOKUP($A86,'[1]INPUT_ASSUMPTIONS CALC'!$A$13:$CK$1019,I$6,FALSE)*VLOOKUP($A86,'[1]INPUT_ASSUMPTIONS CALC'!$A$13:$CK$1019,L$7,FALSE)</f>
        <v>80687.099999999991</v>
      </c>
      <c r="M86" s="139">
        <f>$I86*VLOOKUP($A86,'[1]INPUT_ASSUMPTIONS CALC'!$A$13:$CK$1019,I$6,FALSE)*VLOOKUP($A86,'[1]INPUT_ASSUMPTIONS CALC'!$A$13:$CK$1019,M$7,FALSE)</f>
        <v>53791.400000000031</v>
      </c>
      <c r="N86" s="140">
        <f t="shared" si="7"/>
        <v>537914</v>
      </c>
      <c r="O86" s="141">
        <f>H86*VLOOKUP($A86,'[1]INPUT_ASSUMPTIONS CALC'!$A$13:$CK$1019,H$6,FALSE)*SUMIF('[1]INPUT_ASSUMPTIONS CALC'!$CQ$15:$CQ$17,'[1]Summary calculation'!E86,'[1]INPUT_ASSUMPTIONS CALC'!$CR$15:$CR$17)</f>
        <v>79105</v>
      </c>
      <c r="P86" s="141">
        <f>H86*VLOOKUP($A86,'[1]INPUT_ASSUMPTIONS CALC'!$A$13:$CK$1019,H$6,FALSE)*SUMIF('[1]INPUT_ASSUMPTIONS CALC'!$CV$15:$CV$31,'[1]Summary calculation'!E86,'[1]INPUT_ASSUMPTIONS CALC'!$CW$15:$CW$31)</f>
        <v>0</v>
      </c>
      <c r="Q86" s="141">
        <f>O86*VLOOKUP($A86,'[1]INPUT_ASSUMPTIONS CALC'!$A$13:$CK$1019,Q$7,FALSE)</f>
        <v>79105</v>
      </c>
      <c r="R86" s="141">
        <f>P86*VLOOKUP($A86,'[1]INPUT_ASSUMPTIONS CALC'!$A$13:$CK$1019,R$7,FALSE)</f>
        <v>0</v>
      </c>
      <c r="S86" s="140">
        <f t="shared" si="5"/>
        <v>79105</v>
      </c>
      <c r="T86" s="142">
        <f t="shared" si="6"/>
        <v>617019</v>
      </c>
      <c r="U86" s="61"/>
    </row>
    <row r="87" spans="1:21" x14ac:dyDescent="0.35">
      <c r="A87" s="125" t="str">
        <f t="shared" si="4"/>
        <v>79Q2</v>
      </c>
      <c r="B87" s="135">
        <v>79</v>
      </c>
      <c r="C87" s="61" t="str">
        <f>INDEX('[1]INPUT_ASSUMPTIONS CALC'!D:D,MATCH(A87,'[1]INPUT_ASSUMPTIONS CALC'!A:A,0))</f>
        <v>Tulemyrzayeva Madina</v>
      </c>
      <c r="D87" s="61" t="str">
        <f>INDEX('[1]INPUT_ASSUMPTIONS CALC'!I:I,MATCH(A87,'[1]INPUT_ASSUMPTIONS CALC'!A:A,0))</f>
        <v>Regional Manager-1</v>
      </c>
      <c r="E87" s="61" t="str">
        <f>INDEX('[1]INPUT_ASSUMPTIONS CALC'!E:E,MATCH(A87,'[1]INPUT_ASSUMPTIONS CALC'!A:A,0))</f>
        <v>Regional Manager</v>
      </c>
      <c r="F87" s="136">
        <f>IF($F$5="Q1",VLOOKUP($A87,'[1]INPUT_ASSUMPTIONS CALC'!$A$13:$CK$1019,F$7,FALSE),IF($F$5="Q2",VLOOKUP($A87,'[1]INPUT_ASSUMPTIONS CALC'!$A$13:$CK$1019,F$7,FALSE),IF($F$5="Q3",VLOOKUP($A87,'[1]INPUT_ASSUMPTIONS CALC'!$A$13:$CK$1019,F$7,FALSE),IF($F$5="Q4",VLOOKUP($A87,'[1]INPUT_ASSUMPTIONS CALC'!$A$13:$CK$1019,F$7,FALSE),IF($F$5="Year",VLOOKUP($A87,'[1]INPUT_ASSUMPTIONS CALC'!$A$13:$CK$1019,F$7,FALSE),0)))))</f>
        <v>726000</v>
      </c>
      <c r="G87" s="137">
        <f>SUMIF('[1]INPUT_ASSUMPTIONS CALC'!A:A,'[1]Summary calculation'!A87,'[1]INPUT_ASSUMPTIONS CALC'!BU:BU)</f>
        <v>0</v>
      </c>
      <c r="H87" s="138">
        <f>IF($F$5="Year",F87*G87*'[1]INPUT_ASSUMPTIONS CALC'!$S$7,F87*G87)</f>
        <v>0</v>
      </c>
      <c r="I87" s="138">
        <f>H87*VLOOKUP($A87,'[1]INPUT_ASSUMPTIONS CALC'!$A$13:$CK$1019,H$6,FALSE)*SUMIF('[1]INPUT_ASSUMPTIONS CALC'!$CL$15:$CL$17,'[1]Summary calculation'!E87,'[1]INPUT_ASSUMPTIONS CALC'!$CM$15:$CM$17)</f>
        <v>0</v>
      </c>
      <c r="J87" s="139">
        <f>$I87*VLOOKUP($A87,'[1]INPUT_ASSUMPTIONS CALC'!$A$13:$CK$1019,I$6,FALSE)*VLOOKUP($A87,'[1]INPUT_ASSUMPTIONS CALC'!$A$13:$CK$1019,J$7,FALSE)</f>
        <v>0</v>
      </c>
      <c r="K87" s="139">
        <f>$I87*VLOOKUP($A87,'[1]INPUT_ASSUMPTIONS CALC'!$A$13:$CK$1019,I$6,FALSE)*VLOOKUP($A87,'[1]INPUT_ASSUMPTIONS CALC'!$A$13:$CK$1019,K$7,FALSE)</f>
        <v>0</v>
      </c>
      <c r="L87" s="139">
        <f>$I87*VLOOKUP($A87,'[1]INPUT_ASSUMPTIONS CALC'!$A$13:$CK$1019,I$6,FALSE)*VLOOKUP($A87,'[1]INPUT_ASSUMPTIONS CALC'!$A$13:$CK$1019,L$7,FALSE)</f>
        <v>0</v>
      </c>
      <c r="M87" s="139">
        <f>$I87*VLOOKUP($A87,'[1]INPUT_ASSUMPTIONS CALC'!$A$13:$CK$1019,I$6,FALSE)*VLOOKUP($A87,'[1]INPUT_ASSUMPTIONS CALC'!$A$13:$CK$1019,M$7,FALSE)</f>
        <v>0</v>
      </c>
      <c r="N87" s="140">
        <f t="shared" si="7"/>
        <v>0</v>
      </c>
      <c r="O87" s="141">
        <f>H87*VLOOKUP($A87,'[1]INPUT_ASSUMPTIONS CALC'!$A$13:$CK$1019,H$6,FALSE)*SUMIF('[1]INPUT_ASSUMPTIONS CALC'!$CQ$15:$CQ$17,'[1]Summary calculation'!E87,'[1]INPUT_ASSUMPTIONS CALC'!$CR$15:$CR$17)</f>
        <v>0</v>
      </c>
      <c r="P87" s="141">
        <f>H87*VLOOKUP($A87,'[1]INPUT_ASSUMPTIONS CALC'!$A$13:$CK$1019,H$6,FALSE)*SUMIF('[1]INPUT_ASSUMPTIONS CALC'!$CV$15:$CV$31,'[1]Summary calculation'!E87,'[1]INPUT_ASSUMPTIONS CALC'!$CW$15:$CW$31)</f>
        <v>0</v>
      </c>
      <c r="Q87" s="141">
        <f>O87*VLOOKUP($A87,'[1]INPUT_ASSUMPTIONS CALC'!$A$13:$CK$1019,Q$7,FALSE)</f>
        <v>0</v>
      </c>
      <c r="R87" s="141">
        <f>P87*VLOOKUP($A87,'[1]INPUT_ASSUMPTIONS CALC'!$A$13:$CK$1019,R$7,FALSE)</f>
        <v>0</v>
      </c>
      <c r="S87" s="140">
        <f t="shared" si="5"/>
        <v>0</v>
      </c>
      <c r="T87" s="142">
        <f t="shared" si="6"/>
        <v>0</v>
      </c>
      <c r="U87" s="61"/>
    </row>
    <row r="88" spans="1:21" x14ac:dyDescent="0.35">
      <c r="A88" s="125" t="str">
        <f t="shared" si="4"/>
        <v>80Q2</v>
      </c>
      <c r="B88" s="135">
        <v>80</v>
      </c>
      <c r="C88" s="61" t="str">
        <f>INDEX('[1]INPUT_ASSUMPTIONS CALC'!D:D,MATCH(A88,'[1]INPUT_ASSUMPTIONS CALC'!A:A,0))</f>
        <v>Kusmanova Shynar</v>
      </c>
      <c r="D88" s="61" t="str">
        <f>INDEX('[1]INPUT_ASSUMPTIONS CALC'!I:I,MATCH(A88,'[1]INPUT_ASSUMPTIONS CALC'!A:A,0))</f>
        <v>Pharma line</v>
      </c>
      <c r="E88" s="61" t="str">
        <f>INDEX('[1]INPUT_ASSUMPTIONS CALC'!E:E,MATCH(A88,'[1]INPUT_ASSUMPTIONS CALC'!A:A,0))</f>
        <v>Pharm Representative</v>
      </c>
      <c r="F88" s="136">
        <f>IF($F$5="Q1",VLOOKUP($A88,'[1]INPUT_ASSUMPTIONS CALC'!$A$13:$CK$1019,F$7,FALSE),IF($F$5="Q2",VLOOKUP($A88,'[1]INPUT_ASSUMPTIONS CALC'!$A$13:$CK$1019,F$7,FALSE),IF($F$5="Q3",VLOOKUP($A88,'[1]INPUT_ASSUMPTIONS CALC'!$A$13:$CK$1019,F$7,FALSE),IF($F$5="Q4",VLOOKUP($A88,'[1]INPUT_ASSUMPTIONS CALC'!$A$13:$CK$1019,F$7,FALSE),IF($F$5="Year",VLOOKUP($A88,'[1]INPUT_ASSUMPTIONS CALC'!$A$13:$CK$1019,F$7,FALSE),0)))))</f>
        <v>395525</v>
      </c>
      <c r="G88" s="137">
        <f>SUMIF('[1]INPUT_ASSUMPTIONS CALC'!A:A,'[1]Summary calculation'!A88,'[1]INPUT_ASSUMPTIONS CALC'!BU:BU)</f>
        <v>0.33333333333333331</v>
      </c>
      <c r="H88" s="138">
        <f>IF($F$5="Year",F88*G88*'[1]INPUT_ASSUMPTIONS CALC'!$S$7,F88*G88)</f>
        <v>131841.66666666666</v>
      </c>
      <c r="I88" s="138">
        <f>H88*VLOOKUP($A88,'[1]INPUT_ASSUMPTIONS CALC'!$A$13:$CK$1019,H$6,FALSE)*SUMIF('[1]INPUT_ASSUMPTIONS CALC'!$CL$15:$CL$17,'[1]Summary calculation'!E88,'[1]INPUT_ASSUMPTIONS CALC'!$CM$15:$CM$17)</f>
        <v>105473.33333333333</v>
      </c>
      <c r="J88" s="139">
        <f>$I88*VLOOKUP($A88,'[1]INPUT_ASSUMPTIONS CALC'!$A$13:$CK$1019,I$6,FALSE)*VLOOKUP($A88,'[1]INPUT_ASSUMPTIONS CALC'!$A$13:$CK$1019,J$7,FALSE)</f>
        <v>116284.35</v>
      </c>
      <c r="K88" s="139">
        <f>$I88*VLOOKUP($A88,'[1]INPUT_ASSUMPTIONS CALC'!$A$13:$CK$1019,I$6,FALSE)*VLOOKUP($A88,'[1]INPUT_ASSUMPTIONS CALC'!$A$13:$CK$1019,K$7,FALSE)</f>
        <v>77522.900000000009</v>
      </c>
      <c r="L88" s="139">
        <f>$I88*VLOOKUP($A88,'[1]INPUT_ASSUMPTIONS CALC'!$A$13:$CK$1019,I$6,FALSE)*VLOOKUP($A88,'[1]INPUT_ASSUMPTIONS CALC'!$A$13:$CK$1019,L$7,FALSE)</f>
        <v>38761.450000000004</v>
      </c>
      <c r="M88" s="139">
        <f>$I88*VLOOKUP($A88,'[1]INPUT_ASSUMPTIONS CALC'!$A$13:$CK$1019,I$6,FALSE)*VLOOKUP($A88,'[1]INPUT_ASSUMPTIONS CALC'!$A$13:$CK$1019,M$7,FALSE)</f>
        <v>25840.966666666685</v>
      </c>
      <c r="N88" s="140">
        <f t="shared" si="7"/>
        <v>258409.66666666669</v>
      </c>
      <c r="O88" s="141">
        <f>H88*VLOOKUP($A88,'[1]INPUT_ASSUMPTIONS CALC'!$A$13:$CK$1019,H$6,FALSE)*SUMIF('[1]INPUT_ASSUMPTIONS CALC'!$CQ$15:$CQ$17,'[1]Summary calculation'!E88,'[1]INPUT_ASSUMPTIONS CALC'!$CR$15:$CR$17)</f>
        <v>26368.333333333332</v>
      </c>
      <c r="P88" s="141">
        <f>H88*VLOOKUP($A88,'[1]INPUT_ASSUMPTIONS CALC'!$A$13:$CK$1019,H$6,FALSE)*SUMIF('[1]INPUT_ASSUMPTIONS CALC'!$CV$15:$CV$31,'[1]Summary calculation'!E88,'[1]INPUT_ASSUMPTIONS CALC'!$CW$15:$CW$31)</f>
        <v>0</v>
      </c>
      <c r="Q88" s="141">
        <f>O88*VLOOKUP($A88,'[1]INPUT_ASSUMPTIONS CALC'!$A$13:$CK$1019,Q$7,FALSE)</f>
        <v>0</v>
      </c>
      <c r="R88" s="141">
        <f>P88*VLOOKUP($A88,'[1]INPUT_ASSUMPTIONS CALC'!$A$13:$CK$1019,R$7,FALSE)</f>
        <v>0</v>
      </c>
      <c r="S88" s="140">
        <f t="shared" si="5"/>
        <v>0</v>
      </c>
      <c r="T88" s="142">
        <f t="shared" si="6"/>
        <v>258410</v>
      </c>
      <c r="U88" s="61"/>
    </row>
    <row r="89" spans="1:21" x14ac:dyDescent="0.35">
      <c r="A89" s="125" t="str">
        <f t="shared" si="4"/>
        <v>81Q2</v>
      </c>
      <c r="B89" s="135">
        <v>81</v>
      </c>
      <c r="C89" s="61" t="str">
        <f>INDEX('[1]INPUT_ASSUMPTIONS CALC'!D:D,MATCH(A89,'[1]INPUT_ASSUMPTIONS CALC'!A:A,0))</f>
        <v>Salikhova Akbota</v>
      </c>
      <c r="D89" s="61" t="str">
        <f>INDEX('[1]INPUT_ASSUMPTIONS CALC'!I:I,MATCH(A89,'[1]INPUT_ASSUMPTIONS CALC'!A:A,0))</f>
        <v>Line 2</v>
      </c>
      <c r="E89" s="61" t="str">
        <f>INDEX('[1]INPUT_ASSUMPTIONS CALC'!E:E,MATCH(A89,'[1]INPUT_ASSUMPTIONS CALC'!A:A,0))</f>
        <v>Medical Representative</v>
      </c>
      <c r="F89" s="136">
        <f>IF($F$5="Q1",VLOOKUP($A89,'[1]INPUT_ASSUMPTIONS CALC'!$A$13:$CK$1019,F$7,FALSE),IF($F$5="Q2",VLOOKUP($A89,'[1]INPUT_ASSUMPTIONS CALC'!$A$13:$CK$1019,F$7,FALSE),IF($F$5="Q3",VLOOKUP($A89,'[1]INPUT_ASSUMPTIONS CALC'!$A$13:$CK$1019,F$7,FALSE),IF($F$5="Q4",VLOOKUP($A89,'[1]INPUT_ASSUMPTIONS CALC'!$A$13:$CK$1019,F$7,FALSE),IF($F$5="Year",VLOOKUP($A89,'[1]INPUT_ASSUMPTIONS CALC'!$A$13:$CK$1019,F$7,FALSE),0)))))</f>
        <v>395525</v>
      </c>
      <c r="G89" s="137">
        <f>SUMIF('[1]INPUT_ASSUMPTIONS CALC'!A:A,'[1]Summary calculation'!A89,'[1]INPUT_ASSUMPTIONS CALC'!BU:BU)</f>
        <v>0.66666666666666663</v>
      </c>
      <c r="H89" s="138">
        <f>IF($F$5="Year",F89*G89*'[1]INPUT_ASSUMPTIONS CALC'!$S$7,F89*G89)</f>
        <v>263683.33333333331</v>
      </c>
      <c r="I89" s="138">
        <f>H89*VLOOKUP($A89,'[1]INPUT_ASSUMPTIONS CALC'!$A$13:$CK$1019,H$6,FALSE)*SUMIF('[1]INPUT_ASSUMPTIONS CALC'!$CL$15:$CL$17,'[1]Summary calculation'!E89,'[1]INPUT_ASSUMPTIONS CALC'!$CM$15:$CM$17)</f>
        <v>210946.66666666666</v>
      </c>
      <c r="J89" s="139">
        <f>$I89*VLOOKUP($A89,'[1]INPUT_ASSUMPTIONS CALC'!$A$13:$CK$1019,I$6,FALSE)*VLOOKUP($A89,'[1]INPUT_ASSUMPTIONS CALC'!$A$13:$CK$1019,J$7,FALSE)</f>
        <v>158209.99999999997</v>
      </c>
      <c r="K89" s="139">
        <f>$I89*VLOOKUP($A89,'[1]INPUT_ASSUMPTIONS CALC'!$A$13:$CK$1019,I$6,FALSE)*VLOOKUP($A89,'[1]INPUT_ASSUMPTIONS CALC'!$A$13:$CK$1019,K$7,FALSE)</f>
        <v>131841.66666666666</v>
      </c>
      <c r="L89" s="139">
        <f>$I89*VLOOKUP($A89,'[1]INPUT_ASSUMPTIONS CALC'!$A$13:$CK$1019,I$6,FALSE)*VLOOKUP($A89,'[1]INPUT_ASSUMPTIONS CALC'!$A$13:$CK$1019,L$7,FALSE)</f>
        <v>131841.66666666666</v>
      </c>
      <c r="M89" s="139">
        <f>$I89*VLOOKUP($A89,'[1]INPUT_ASSUMPTIONS CALC'!$A$13:$CK$1019,I$6,FALSE)*VLOOKUP($A89,'[1]INPUT_ASSUMPTIONS CALC'!$A$13:$CK$1019,M$7,FALSE)</f>
        <v>105473.3333333333</v>
      </c>
      <c r="N89" s="140">
        <f t="shared" si="7"/>
        <v>527366.66666666651</v>
      </c>
      <c r="O89" s="141">
        <f>H89*VLOOKUP($A89,'[1]INPUT_ASSUMPTIONS CALC'!$A$13:$CK$1019,H$6,FALSE)*SUMIF('[1]INPUT_ASSUMPTIONS CALC'!$CQ$15:$CQ$17,'[1]Summary calculation'!E89,'[1]INPUT_ASSUMPTIONS CALC'!$CR$15:$CR$17)</f>
        <v>52736.666666666664</v>
      </c>
      <c r="P89" s="141">
        <f>H89*VLOOKUP($A89,'[1]INPUT_ASSUMPTIONS CALC'!$A$13:$CK$1019,H$6,FALSE)*SUMIF('[1]INPUT_ASSUMPTIONS CALC'!$CV$15:$CV$31,'[1]Summary calculation'!E89,'[1]INPUT_ASSUMPTIONS CALC'!$CW$15:$CW$31)</f>
        <v>0</v>
      </c>
      <c r="Q89" s="141">
        <f>O89*VLOOKUP($A89,'[1]INPUT_ASSUMPTIONS CALC'!$A$13:$CK$1019,Q$7,FALSE)</f>
        <v>0</v>
      </c>
      <c r="R89" s="141">
        <f>P89*VLOOKUP($A89,'[1]INPUT_ASSUMPTIONS CALC'!$A$13:$CK$1019,R$7,FALSE)</f>
        <v>0</v>
      </c>
      <c r="S89" s="140">
        <f t="shared" si="5"/>
        <v>0</v>
      </c>
      <c r="T89" s="142">
        <f t="shared" si="6"/>
        <v>527367</v>
      </c>
      <c r="U89" s="61"/>
    </row>
    <row r="90" spans="1:21" x14ac:dyDescent="0.35">
      <c r="A90" s="125" t="str">
        <f t="shared" si="4"/>
        <v>82Q2</v>
      </c>
      <c r="B90" s="135">
        <v>82</v>
      </c>
      <c r="C90" s="61" t="str">
        <f>INDEX('[1]INPUT_ASSUMPTIONS CALC'!D:D,MATCH(A90,'[1]INPUT_ASSUMPTIONS CALC'!A:A,0))</f>
        <v>Turganbayeva Zhazira</v>
      </c>
      <c r="D90" s="61" t="str">
        <f>INDEX('[1]INPUT_ASSUMPTIONS CALC'!I:I,MATCH(A90,'[1]INPUT_ASSUMPTIONS CALC'!A:A,0))</f>
        <v>Line 3 (big cities)</v>
      </c>
      <c r="E90" s="61" t="str">
        <f>INDEX('[1]INPUT_ASSUMPTIONS CALC'!E:E,MATCH(A90,'[1]INPUT_ASSUMPTIONS CALC'!A:A,0))</f>
        <v>Medical Representative</v>
      </c>
      <c r="F90" s="136">
        <f>IF($F$5="Q1",VLOOKUP($A90,'[1]INPUT_ASSUMPTIONS CALC'!$A$13:$CK$1019,F$7,FALSE),IF($F$5="Q2",VLOOKUP($A90,'[1]INPUT_ASSUMPTIONS CALC'!$A$13:$CK$1019,F$7,FALSE),IF($F$5="Q3",VLOOKUP($A90,'[1]INPUT_ASSUMPTIONS CALC'!$A$13:$CK$1019,F$7,FALSE),IF($F$5="Q4",VLOOKUP($A90,'[1]INPUT_ASSUMPTIONS CALC'!$A$13:$CK$1019,F$7,FALSE),IF($F$5="Year",VLOOKUP($A90,'[1]INPUT_ASSUMPTIONS CALC'!$A$13:$CK$1019,F$7,FALSE),0)))))</f>
        <v>395525</v>
      </c>
      <c r="G90" s="137">
        <f>SUMIF('[1]INPUT_ASSUMPTIONS CALC'!A:A,'[1]Summary calculation'!A90,'[1]INPUT_ASSUMPTIONS CALC'!BU:BU)</f>
        <v>0.33333333333333331</v>
      </c>
      <c r="H90" s="138">
        <f>IF($F$5="Year",F90*G90*'[1]INPUT_ASSUMPTIONS CALC'!$S$7,F90*G90)</f>
        <v>131841.66666666666</v>
      </c>
      <c r="I90" s="138">
        <f>H90*VLOOKUP($A90,'[1]INPUT_ASSUMPTIONS CALC'!$A$13:$CK$1019,H$6,FALSE)*SUMIF('[1]INPUT_ASSUMPTIONS CALC'!$CL$15:$CL$17,'[1]Summary calculation'!E90,'[1]INPUT_ASSUMPTIONS CALC'!$CM$15:$CM$17)</f>
        <v>0</v>
      </c>
      <c r="J90" s="139">
        <f>$I90*VLOOKUP($A90,'[1]INPUT_ASSUMPTIONS CALC'!$A$13:$CK$1019,I$6,FALSE)*VLOOKUP($A90,'[1]INPUT_ASSUMPTIONS CALC'!$A$13:$CK$1019,J$7,FALSE)</f>
        <v>0</v>
      </c>
      <c r="K90" s="139">
        <f>$I90*VLOOKUP($A90,'[1]INPUT_ASSUMPTIONS CALC'!$A$13:$CK$1019,I$6,FALSE)*VLOOKUP($A90,'[1]INPUT_ASSUMPTIONS CALC'!$A$13:$CK$1019,K$7,FALSE)</f>
        <v>0</v>
      </c>
      <c r="L90" s="139">
        <f>$I90*VLOOKUP($A90,'[1]INPUT_ASSUMPTIONS CALC'!$A$13:$CK$1019,I$6,FALSE)*VLOOKUP($A90,'[1]INPUT_ASSUMPTIONS CALC'!$A$13:$CK$1019,L$7,FALSE)</f>
        <v>0</v>
      </c>
      <c r="M90" s="139">
        <f>$I90*VLOOKUP($A90,'[1]INPUT_ASSUMPTIONS CALC'!$A$13:$CK$1019,I$6,FALSE)*VLOOKUP($A90,'[1]INPUT_ASSUMPTIONS CALC'!$A$13:$CK$1019,M$7,FALSE)</f>
        <v>0</v>
      </c>
      <c r="N90" s="140">
        <f t="shared" si="7"/>
        <v>0</v>
      </c>
      <c r="O90" s="141">
        <f>H90*VLOOKUP($A90,'[1]INPUT_ASSUMPTIONS CALC'!$A$13:$CK$1019,H$6,FALSE)*SUMIF('[1]INPUT_ASSUMPTIONS CALC'!$CQ$15:$CQ$17,'[1]Summary calculation'!E90,'[1]INPUT_ASSUMPTIONS CALC'!$CR$15:$CR$17)</f>
        <v>0</v>
      </c>
      <c r="P90" s="141">
        <f>H90*VLOOKUP($A90,'[1]INPUT_ASSUMPTIONS CALC'!$A$13:$CK$1019,H$6,FALSE)*SUMIF('[1]INPUT_ASSUMPTIONS CALC'!$CV$15:$CV$31,'[1]Summary calculation'!E90,'[1]INPUT_ASSUMPTIONS CALC'!$CW$15:$CW$31)</f>
        <v>0</v>
      </c>
      <c r="Q90" s="141">
        <f>O90*VLOOKUP($A90,'[1]INPUT_ASSUMPTIONS CALC'!$A$13:$CK$1019,Q$7,FALSE)</f>
        <v>0</v>
      </c>
      <c r="R90" s="141">
        <f>P90*VLOOKUP($A90,'[1]INPUT_ASSUMPTIONS CALC'!$A$13:$CK$1019,R$7,FALSE)</f>
        <v>0</v>
      </c>
      <c r="S90" s="140">
        <f t="shared" si="5"/>
        <v>0</v>
      </c>
      <c r="T90" s="142">
        <f t="shared" si="6"/>
        <v>0</v>
      </c>
      <c r="U90" s="61"/>
    </row>
    <row r="91" spans="1:21" x14ac:dyDescent="0.35">
      <c r="A91" s="125" t="str">
        <f t="shared" si="4"/>
        <v>83Q2</v>
      </c>
      <c r="B91" s="135">
        <v>83</v>
      </c>
      <c r="C91" s="61" t="str">
        <f>INDEX('[1]INPUT_ASSUMPTIONS CALC'!D:D,MATCH(A91,'[1]INPUT_ASSUMPTIONS CALC'!A:A,0))</f>
        <v>Makenova Yuliya</v>
      </c>
      <c r="D91" s="61" t="str">
        <f>INDEX('[1]INPUT_ASSUMPTIONS CALC'!I:I,MATCH(A91,'[1]INPUT_ASSUMPTIONS CALC'!A:A,0))</f>
        <v>Line 3 (big cities)</v>
      </c>
      <c r="E91" s="61" t="str">
        <f>INDEX('[1]INPUT_ASSUMPTIONS CALC'!E:E,MATCH(A91,'[1]INPUT_ASSUMPTIONS CALC'!A:A,0))</f>
        <v>Medical Representative</v>
      </c>
      <c r="F91" s="136">
        <f>IF($F$5="Q1",VLOOKUP($A91,'[1]INPUT_ASSUMPTIONS CALC'!$A$13:$CK$1019,F$7,FALSE),IF($F$5="Q2",VLOOKUP($A91,'[1]INPUT_ASSUMPTIONS CALC'!$A$13:$CK$1019,F$7,FALSE),IF($F$5="Q3",VLOOKUP($A91,'[1]INPUT_ASSUMPTIONS CALC'!$A$13:$CK$1019,F$7,FALSE),IF($F$5="Q4",VLOOKUP($A91,'[1]INPUT_ASSUMPTIONS CALC'!$A$13:$CK$1019,F$7,FALSE),IF($F$5="Year",VLOOKUP($A91,'[1]INPUT_ASSUMPTIONS CALC'!$A$13:$CK$1019,F$7,FALSE),0)))))</f>
        <v>395525</v>
      </c>
      <c r="G91" s="137">
        <f>SUMIF('[1]INPUT_ASSUMPTIONS CALC'!A:A,'[1]Summary calculation'!A91,'[1]INPUT_ASSUMPTIONS CALC'!BU:BU)</f>
        <v>0.33333333333333331</v>
      </c>
      <c r="H91" s="138">
        <f>IF($F$5="Year",F91*G91*'[1]INPUT_ASSUMPTIONS CALC'!$S$7,F91*G91)</f>
        <v>131841.66666666666</v>
      </c>
      <c r="I91" s="138">
        <f>H91*VLOOKUP($A91,'[1]INPUT_ASSUMPTIONS CALC'!$A$13:$CK$1019,H$6,FALSE)*SUMIF('[1]INPUT_ASSUMPTIONS CALC'!$CL$15:$CL$17,'[1]Summary calculation'!E91,'[1]INPUT_ASSUMPTIONS CALC'!$CM$15:$CM$17)</f>
        <v>105473.33333333333</v>
      </c>
      <c r="J91" s="139">
        <f>$I91*VLOOKUP($A91,'[1]INPUT_ASSUMPTIONS CALC'!$A$13:$CK$1019,I$6,FALSE)*VLOOKUP($A91,'[1]INPUT_ASSUMPTIONS CALC'!$A$13:$CK$1019,J$7,FALSE)</f>
        <v>94926</v>
      </c>
      <c r="K91" s="139">
        <f>$I91*VLOOKUP($A91,'[1]INPUT_ASSUMPTIONS CALC'!$A$13:$CK$1019,I$6,FALSE)*VLOOKUP($A91,'[1]INPUT_ASSUMPTIONS CALC'!$A$13:$CK$1019,K$7,FALSE)</f>
        <v>52736.666666666664</v>
      </c>
      <c r="L91" s="139">
        <f>$I91*VLOOKUP($A91,'[1]INPUT_ASSUMPTIONS CALC'!$A$13:$CK$1019,I$6,FALSE)*VLOOKUP($A91,'[1]INPUT_ASSUMPTIONS CALC'!$A$13:$CK$1019,L$7,FALSE)</f>
        <v>52736.666666666664</v>
      </c>
      <c r="M91" s="139">
        <f>$I91*VLOOKUP($A91,'[1]INPUT_ASSUMPTIONS CALC'!$A$13:$CK$1019,I$6,FALSE)*VLOOKUP($A91,'[1]INPUT_ASSUMPTIONS CALC'!$A$13:$CK$1019,M$7,FALSE)</f>
        <v>10547.333333333343</v>
      </c>
      <c r="N91" s="140">
        <f t="shared" si="7"/>
        <v>210946.66666666666</v>
      </c>
      <c r="O91" s="141">
        <f>H91*VLOOKUP($A91,'[1]INPUT_ASSUMPTIONS CALC'!$A$13:$CK$1019,H$6,FALSE)*SUMIF('[1]INPUT_ASSUMPTIONS CALC'!$CQ$15:$CQ$17,'[1]Summary calculation'!E91,'[1]INPUT_ASSUMPTIONS CALC'!$CR$15:$CR$17)</f>
        <v>26368.333333333332</v>
      </c>
      <c r="P91" s="141">
        <f>H91*VLOOKUP($A91,'[1]INPUT_ASSUMPTIONS CALC'!$A$13:$CK$1019,H$6,FALSE)*SUMIF('[1]INPUT_ASSUMPTIONS CALC'!$CV$15:$CV$31,'[1]Summary calculation'!E91,'[1]INPUT_ASSUMPTIONS CALC'!$CW$15:$CW$31)</f>
        <v>0</v>
      </c>
      <c r="Q91" s="141">
        <f>O91*VLOOKUP($A91,'[1]INPUT_ASSUMPTIONS CALC'!$A$13:$CK$1019,Q$7,FALSE)</f>
        <v>13184.166666666666</v>
      </c>
      <c r="R91" s="141">
        <f>P91*VLOOKUP($A91,'[1]INPUT_ASSUMPTIONS CALC'!$A$13:$CK$1019,R$7,FALSE)</f>
        <v>0</v>
      </c>
      <c r="S91" s="140">
        <f t="shared" si="5"/>
        <v>13184.166666666666</v>
      </c>
      <c r="T91" s="142">
        <f t="shared" si="6"/>
        <v>224131</v>
      </c>
      <c r="U91" s="61"/>
    </row>
    <row r="92" spans="1:21" x14ac:dyDescent="0.35">
      <c r="A92" s="125" t="str">
        <f t="shared" si="4"/>
        <v>84Q2</v>
      </c>
      <c r="B92" s="135">
        <v>84</v>
      </c>
      <c r="C92" s="61" t="str">
        <f>INDEX('[1]INPUT_ASSUMPTIONS CALC'!D:D,MATCH(A92,'[1]INPUT_ASSUMPTIONS CALC'!A:A,0))</f>
        <v>Sarbassova Dina (Astana)</v>
      </c>
      <c r="D92" s="61" t="str">
        <f>INDEX('[1]INPUT_ASSUMPTIONS CALC'!I:I,MATCH(A92,'[1]INPUT_ASSUMPTIONS CALC'!A:A,0))</f>
        <v>Line 2 (big cities)</v>
      </c>
      <c r="E92" s="61" t="str">
        <f>INDEX('[1]INPUT_ASSUMPTIONS CALC'!E:E,MATCH(A92,'[1]INPUT_ASSUMPTIONS CALC'!A:A,0))</f>
        <v>Medical Representative</v>
      </c>
      <c r="F92" s="136">
        <f>IF($F$5="Q1",VLOOKUP($A92,'[1]INPUT_ASSUMPTIONS CALC'!$A$13:$CK$1019,F$7,FALSE),IF($F$5="Q2",VLOOKUP($A92,'[1]INPUT_ASSUMPTIONS CALC'!$A$13:$CK$1019,F$7,FALSE),IF($F$5="Q3",VLOOKUP($A92,'[1]INPUT_ASSUMPTIONS CALC'!$A$13:$CK$1019,F$7,FALSE),IF($F$5="Q4",VLOOKUP($A92,'[1]INPUT_ASSUMPTIONS CALC'!$A$13:$CK$1019,F$7,FALSE),IF($F$5="Year",VLOOKUP($A92,'[1]INPUT_ASSUMPTIONS CALC'!$A$13:$CK$1019,F$7,FALSE),0)))))</f>
        <v>395525</v>
      </c>
      <c r="G92" s="137">
        <f>SUMIF('[1]INPUT_ASSUMPTIONS CALC'!A:A,'[1]Summary calculation'!A92,'[1]INPUT_ASSUMPTIONS CALC'!BU:BU)</f>
        <v>0.33333333333333331</v>
      </c>
      <c r="H92" s="138">
        <f>IF($F$5="Year",F92*G92*'[1]INPUT_ASSUMPTIONS CALC'!$S$7,F92*G92)</f>
        <v>131841.66666666666</v>
      </c>
      <c r="I92" s="138">
        <f>H92*VLOOKUP($A92,'[1]INPUT_ASSUMPTIONS CALC'!$A$13:$CK$1019,H$6,FALSE)*SUMIF('[1]INPUT_ASSUMPTIONS CALC'!$CL$15:$CL$17,'[1]Summary calculation'!E92,'[1]INPUT_ASSUMPTIONS CALC'!$CM$15:$CM$17)</f>
        <v>105473.33333333333</v>
      </c>
      <c r="J92" s="139">
        <f>$I92*VLOOKUP($A92,'[1]INPUT_ASSUMPTIONS CALC'!$A$13:$CK$1019,I$6,FALSE)*VLOOKUP($A92,'[1]INPUT_ASSUMPTIONS CALC'!$A$13:$CK$1019,J$7,FALSE)</f>
        <v>10125.44</v>
      </c>
      <c r="K92" s="139">
        <f>$I92*VLOOKUP($A92,'[1]INPUT_ASSUMPTIONS CALC'!$A$13:$CK$1019,I$6,FALSE)*VLOOKUP($A92,'[1]INPUT_ASSUMPTIONS CALC'!$A$13:$CK$1019,K$7,FALSE)</f>
        <v>30376.319999999996</v>
      </c>
      <c r="L92" s="139">
        <f>$I92*VLOOKUP($A92,'[1]INPUT_ASSUMPTIONS CALC'!$A$13:$CK$1019,I$6,FALSE)*VLOOKUP($A92,'[1]INPUT_ASSUMPTIONS CALC'!$A$13:$CK$1019,L$7,FALSE)</f>
        <v>30376.319999999996</v>
      </c>
      <c r="M92" s="139">
        <f>$I92*VLOOKUP($A92,'[1]INPUT_ASSUMPTIONS CALC'!$A$13:$CK$1019,I$6,FALSE)*VLOOKUP($A92,'[1]INPUT_ASSUMPTIONS CALC'!$A$13:$CK$1019,M$7,FALSE)</f>
        <v>30376.320000000007</v>
      </c>
      <c r="N92" s="140">
        <f t="shared" si="7"/>
        <v>101254.39999999999</v>
      </c>
      <c r="O92" s="141">
        <f>H92*VLOOKUP($A92,'[1]INPUT_ASSUMPTIONS CALC'!$A$13:$CK$1019,H$6,FALSE)*SUMIF('[1]INPUT_ASSUMPTIONS CALC'!$CQ$15:$CQ$17,'[1]Summary calculation'!E92,'[1]INPUT_ASSUMPTIONS CALC'!$CR$15:$CR$17)</f>
        <v>26368.333333333332</v>
      </c>
      <c r="P92" s="141">
        <f>H92*VLOOKUP($A92,'[1]INPUT_ASSUMPTIONS CALC'!$A$13:$CK$1019,H$6,FALSE)*SUMIF('[1]INPUT_ASSUMPTIONS CALC'!$CV$15:$CV$31,'[1]Summary calculation'!E92,'[1]INPUT_ASSUMPTIONS CALC'!$CW$15:$CW$31)</f>
        <v>0</v>
      </c>
      <c r="Q92" s="141">
        <f>O92*VLOOKUP($A92,'[1]INPUT_ASSUMPTIONS CALC'!$A$13:$CK$1019,Q$7,FALSE)</f>
        <v>0</v>
      </c>
      <c r="R92" s="141">
        <f>P92*VLOOKUP($A92,'[1]INPUT_ASSUMPTIONS CALC'!$A$13:$CK$1019,R$7,FALSE)</f>
        <v>0</v>
      </c>
      <c r="S92" s="140">
        <f t="shared" si="5"/>
        <v>0</v>
      </c>
      <c r="T92" s="142">
        <f t="shared" si="6"/>
        <v>101254</v>
      </c>
      <c r="U92" s="61"/>
    </row>
    <row r="93" spans="1:21" x14ac:dyDescent="0.35">
      <c r="A93" s="125" t="str">
        <f t="shared" si="4"/>
        <v>85Q2</v>
      </c>
      <c r="B93" s="135">
        <v>85</v>
      </c>
      <c r="C93" s="61" t="str">
        <f>INDEX('[1]INPUT_ASSUMPTIONS CALC'!D:D,MATCH(A93,'[1]INPUT_ASSUMPTIONS CALC'!A:A,0))</f>
        <v>Zhakenova Botagoz (замещение Калдыбаевой Н.)</v>
      </c>
      <c r="D93" s="61" t="str">
        <f>INDEX('[1]INPUT_ASSUMPTIONS CALC'!I:I,MATCH(A93,'[1]INPUT_ASSUMPTIONS CALC'!A:A,0))</f>
        <v>Line 1</v>
      </c>
      <c r="E93" s="61" t="str">
        <f>INDEX('[1]INPUT_ASSUMPTIONS CALC'!E:E,MATCH(A93,'[1]INPUT_ASSUMPTIONS CALC'!A:A,0))</f>
        <v>Medical Representative</v>
      </c>
      <c r="F93" s="136">
        <f>IF($F$5="Q1",VLOOKUP($A93,'[1]INPUT_ASSUMPTIONS CALC'!$A$13:$CK$1019,F$7,FALSE),IF($F$5="Q2",VLOOKUP($A93,'[1]INPUT_ASSUMPTIONS CALC'!$A$13:$CK$1019,F$7,FALSE),IF($F$5="Q3",VLOOKUP($A93,'[1]INPUT_ASSUMPTIONS CALC'!$A$13:$CK$1019,F$7,FALSE),IF($F$5="Q4",VLOOKUP($A93,'[1]INPUT_ASSUMPTIONS CALC'!$A$13:$CK$1019,F$7,FALSE),IF($F$5="Year",VLOOKUP($A93,'[1]INPUT_ASSUMPTIONS CALC'!$A$13:$CK$1019,F$7,FALSE),0)))))</f>
        <v>395525</v>
      </c>
      <c r="G93" s="137">
        <f>SUMIF('[1]INPUT_ASSUMPTIONS CALC'!A:A,'[1]Summary calculation'!A93,'[1]INPUT_ASSUMPTIONS CALC'!BU:BU)</f>
        <v>0.66666666666666663</v>
      </c>
      <c r="H93" s="138">
        <f>IF($F$5="Year",F93*G93*'[1]INPUT_ASSUMPTIONS CALC'!$S$7,F93*G93)</f>
        <v>263683.33333333331</v>
      </c>
      <c r="I93" s="138">
        <f>H93*VLOOKUP($A93,'[1]INPUT_ASSUMPTIONS CALC'!$A$13:$CK$1019,H$6,FALSE)*SUMIF('[1]INPUT_ASSUMPTIONS CALC'!$CL$15:$CL$17,'[1]Summary calculation'!E93,'[1]INPUT_ASSUMPTIONS CALC'!$CM$15:$CM$17)</f>
        <v>210946.66666666666</v>
      </c>
      <c r="J93" s="139">
        <f>$I93*VLOOKUP($A93,'[1]INPUT_ASSUMPTIONS CALC'!$A$13:$CK$1019,I$6,FALSE)*VLOOKUP($A93,'[1]INPUT_ASSUMPTIONS CALC'!$A$13:$CK$1019,J$7,FALSE)</f>
        <v>73831.333333333328</v>
      </c>
      <c r="K93" s="139">
        <f>$I93*VLOOKUP($A93,'[1]INPUT_ASSUMPTIONS CALC'!$A$13:$CK$1019,I$6,FALSE)*VLOOKUP($A93,'[1]INPUT_ASSUMPTIONS CALC'!$A$13:$CK$1019,K$7,FALSE)</f>
        <v>51681.933333333327</v>
      </c>
      <c r="L93" s="139">
        <f>$I93*VLOOKUP($A93,'[1]INPUT_ASSUMPTIONS CALC'!$A$13:$CK$1019,I$6,FALSE)*VLOOKUP($A93,'[1]INPUT_ASSUMPTIONS CALC'!$A$13:$CK$1019,L$7,FALSE)</f>
        <v>14766.266666666666</v>
      </c>
      <c r="M93" s="139">
        <f>$I93*VLOOKUP($A93,'[1]INPUT_ASSUMPTIONS CALC'!$A$13:$CK$1019,I$6,FALSE)*VLOOKUP($A93,'[1]INPUT_ASSUMPTIONS CALC'!$A$13:$CK$1019,M$7,FALSE)</f>
        <v>7383.133333333335</v>
      </c>
      <c r="N93" s="140">
        <f t="shared" si="7"/>
        <v>147662.66666666666</v>
      </c>
      <c r="O93" s="141">
        <f>H93*VLOOKUP($A93,'[1]INPUT_ASSUMPTIONS CALC'!$A$13:$CK$1019,H$6,FALSE)*SUMIF('[1]INPUT_ASSUMPTIONS CALC'!$CQ$15:$CQ$17,'[1]Summary calculation'!E93,'[1]INPUT_ASSUMPTIONS CALC'!$CR$15:$CR$17)</f>
        <v>52736.666666666664</v>
      </c>
      <c r="P93" s="141">
        <f>H93*VLOOKUP($A93,'[1]INPUT_ASSUMPTIONS CALC'!$A$13:$CK$1019,H$6,FALSE)*SUMIF('[1]INPUT_ASSUMPTIONS CALC'!$CV$15:$CV$31,'[1]Summary calculation'!E93,'[1]INPUT_ASSUMPTIONS CALC'!$CW$15:$CW$31)</f>
        <v>0</v>
      </c>
      <c r="Q93" s="141">
        <f>O93*VLOOKUP($A93,'[1]INPUT_ASSUMPTIONS CALC'!$A$13:$CK$1019,Q$7,FALSE)</f>
        <v>26368.333333333332</v>
      </c>
      <c r="R93" s="141">
        <f>P93*VLOOKUP($A93,'[1]INPUT_ASSUMPTIONS CALC'!$A$13:$CK$1019,R$7,FALSE)</f>
        <v>0</v>
      </c>
      <c r="S93" s="140">
        <f t="shared" si="5"/>
        <v>26368.333333333332</v>
      </c>
      <c r="T93" s="142">
        <f t="shared" si="6"/>
        <v>174031</v>
      </c>
      <c r="U93" s="61"/>
    </row>
    <row r="94" spans="1:21" x14ac:dyDescent="0.35">
      <c r="A94" s="125" t="str">
        <f t="shared" si="4"/>
        <v>86Q2</v>
      </c>
      <c r="B94" s="135">
        <v>86</v>
      </c>
      <c r="C94" s="61" t="str">
        <f>INDEX('[1]INPUT_ASSUMPTIONS CALC'!D:D,MATCH(A94,'[1]INPUT_ASSUMPTIONS CALC'!A:A,0))</f>
        <v>Dikambayev Zhiger</v>
      </c>
      <c r="D94" s="61" t="str">
        <f>INDEX('[1]INPUT_ASSUMPTIONS CALC'!I:I,MATCH(A94,'[1]INPUT_ASSUMPTIONS CALC'!A:A,0))</f>
        <v>Line 2</v>
      </c>
      <c r="E94" s="61" t="str">
        <f>INDEX('[1]INPUT_ASSUMPTIONS CALC'!E:E,MATCH(A94,'[1]INPUT_ASSUMPTIONS CALC'!A:A,0))</f>
        <v>Medical Representative</v>
      </c>
      <c r="F94" s="136">
        <f>IF($F$5="Q1",VLOOKUP($A94,'[1]INPUT_ASSUMPTIONS CALC'!$A$13:$CK$1019,F$7,FALSE),IF($F$5="Q2",VLOOKUP($A94,'[1]INPUT_ASSUMPTIONS CALC'!$A$13:$CK$1019,F$7,FALSE),IF($F$5="Q3",VLOOKUP($A94,'[1]INPUT_ASSUMPTIONS CALC'!$A$13:$CK$1019,F$7,FALSE),IF($F$5="Q4",VLOOKUP($A94,'[1]INPUT_ASSUMPTIONS CALC'!$A$13:$CK$1019,F$7,FALSE),IF($F$5="Year",VLOOKUP($A94,'[1]INPUT_ASSUMPTIONS CALC'!$A$13:$CK$1019,F$7,FALSE),0)))))</f>
        <v>395525</v>
      </c>
      <c r="G94" s="137">
        <f>SUMIF('[1]INPUT_ASSUMPTIONS CALC'!A:A,'[1]Summary calculation'!A94,'[1]INPUT_ASSUMPTIONS CALC'!BU:BU)</f>
        <v>0</v>
      </c>
      <c r="H94" s="138">
        <f>IF($F$5="Year",F94*G94*'[1]INPUT_ASSUMPTIONS CALC'!$S$7,F94*G94)</f>
        <v>0</v>
      </c>
      <c r="I94" s="138">
        <f>H94*VLOOKUP($A94,'[1]INPUT_ASSUMPTIONS CALC'!$A$13:$CK$1019,H$6,FALSE)*SUMIF('[1]INPUT_ASSUMPTIONS CALC'!$CL$15:$CL$17,'[1]Summary calculation'!E94,'[1]INPUT_ASSUMPTIONS CALC'!$CM$15:$CM$17)</f>
        <v>0</v>
      </c>
      <c r="J94" s="139">
        <f>$I94*VLOOKUP($A94,'[1]INPUT_ASSUMPTIONS CALC'!$A$13:$CK$1019,I$6,FALSE)*VLOOKUP($A94,'[1]INPUT_ASSUMPTIONS CALC'!$A$13:$CK$1019,J$7,FALSE)</f>
        <v>0</v>
      </c>
      <c r="K94" s="139">
        <f>$I94*VLOOKUP($A94,'[1]INPUT_ASSUMPTIONS CALC'!$A$13:$CK$1019,I$6,FALSE)*VLOOKUP($A94,'[1]INPUT_ASSUMPTIONS CALC'!$A$13:$CK$1019,K$7,FALSE)</f>
        <v>0</v>
      </c>
      <c r="L94" s="139">
        <f>$I94*VLOOKUP($A94,'[1]INPUT_ASSUMPTIONS CALC'!$A$13:$CK$1019,I$6,FALSE)*VLOOKUP($A94,'[1]INPUT_ASSUMPTIONS CALC'!$A$13:$CK$1019,L$7,FALSE)</f>
        <v>0</v>
      </c>
      <c r="M94" s="139">
        <f>$I94*VLOOKUP($A94,'[1]INPUT_ASSUMPTIONS CALC'!$A$13:$CK$1019,I$6,FALSE)*VLOOKUP($A94,'[1]INPUT_ASSUMPTIONS CALC'!$A$13:$CK$1019,M$7,FALSE)</f>
        <v>0</v>
      </c>
      <c r="N94" s="140">
        <f t="shared" si="7"/>
        <v>0</v>
      </c>
      <c r="O94" s="141">
        <f>H94*VLOOKUP($A94,'[1]INPUT_ASSUMPTIONS CALC'!$A$13:$CK$1019,H$6,FALSE)*SUMIF('[1]INPUT_ASSUMPTIONS CALC'!$CQ$15:$CQ$17,'[1]Summary calculation'!E94,'[1]INPUT_ASSUMPTIONS CALC'!$CR$15:$CR$17)</f>
        <v>0</v>
      </c>
      <c r="P94" s="141">
        <f>H94*VLOOKUP($A94,'[1]INPUT_ASSUMPTIONS CALC'!$A$13:$CK$1019,H$6,FALSE)*SUMIF('[1]INPUT_ASSUMPTIONS CALC'!$CV$15:$CV$31,'[1]Summary calculation'!E94,'[1]INPUT_ASSUMPTIONS CALC'!$CW$15:$CW$31)</f>
        <v>0</v>
      </c>
      <c r="Q94" s="141">
        <f>O94*VLOOKUP($A94,'[1]INPUT_ASSUMPTIONS CALC'!$A$13:$CK$1019,Q$7,FALSE)</f>
        <v>0</v>
      </c>
      <c r="R94" s="141">
        <f>P94*VLOOKUP($A94,'[1]INPUT_ASSUMPTIONS CALC'!$A$13:$CK$1019,R$7,FALSE)</f>
        <v>0</v>
      </c>
      <c r="S94" s="140">
        <f t="shared" si="5"/>
        <v>0</v>
      </c>
      <c r="T94" s="142">
        <f t="shared" si="6"/>
        <v>0</v>
      </c>
      <c r="U94" s="61"/>
    </row>
    <row r="95" spans="1:21" x14ac:dyDescent="0.35">
      <c r="A95" s="125" t="str">
        <f t="shared" si="4"/>
        <v>87Q2</v>
      </c>
      <c r="B95" s="135">
        <v>87</v>
      </c>
      <c r="C95" s="61" t="str">
        <f>INDEX('[1]INPUT_ASSUMPTIONS CALC'!D:D,MATCH(A95,'[1]INPUT_ASSUMPTIONS CALC'!A:A,0))</f>
        <v>Dubova Yevgeniya</v>
      </c>
      <c r="D95" s="61" t="str">
        <f>INDEX('[1]INPUT_ASSUMPTIONS CALC'!I:I,MATCH(A95,'[1]INPUT_ASSUMPTIONS CALC'!A:A,0))</f>
        <v>Line 2</v>
      </c>
      <c r="E95" s="61" t="str">
        <f>INDEX('[1]INPUT_ASSUMPTIONS CALC'!E:E,MATCH(A95,'[1]INPUT_ASSUMPTIONS CALC'!A:A,0))</f>
        <v>Medical Representative</v>
      </c>
      <c r="F95" s="136">
        <f>IF($F$5="Q1",VLOOKUP($A95,'[1]INPUT_ASSUMPTIONS CALC'!$A$13:$CK$1019,F$7,FALSE),IF($F$5="Q2",VLOOKUP($A95,'[1]INPUT_ASSUMPTIONS CALC'!$A$13:$CK$1019,F$7,FALSE),IF($F$5="Q3",VLOOKUP($A95,'[1]INPUT_ASSUMPTIONS CALC'!$A$13:$CK$1019,F$7,FALSE),IF($F$5="Q4",VLOOKUP($A95,'[1]INPUT_ASSUMPTIONS CALC'!$A$13:$CK$1019,F$7,FALSE),IF($F$5="Year",VLOOKUP($A95,'[1]INPUT_ASSUMPTIONS CALC'!$A$13:$CK$1019,F$7,FALSE),0)))))</f>
        <v>395525</v>
      </c>
      <c r="G95" s="137">
        <f>SUMIF('[1]INPUT_ASSUMPTIONS CALC'!A:A,'[1]Summary calculation'!A95,'[1]INPUT_ASSUMPTIONS CALC'!BU:BU)</f>
        <v>0.5</v>
      </c>
      <c r="H95" s="138">
        <f>IF($F$5="Year",F95*G95*'[1]INPUT_ASSUMPTIONS CALC'!$S$7,F95*G95)</f>
        <v>197762.5</v>
      </c>
      <c r="I95" s="138">
        <f>H95*VLOOKUP($A95,'[1]INPUT_ASSUMPTIONS CALC'!$A$13:$CK$1019,H$6,FALSE)*SUMIF('[1]INPUT_ASSUMPTIONS CALC'!$CL$15:$CL$17,'[1]Summary calculation'!E95,'[1]INPUT_ASSUMPTIONS CALC'!$CM$15:$CM$17)</f>
        <v>158210</v>
      </c>
      <c r="J95" s="139">
        <f>$I95*VLOOKUP($A95,'[1]INPUT_ASSUMPTIONS CALC'!$A$13:$CK$1019,I$6,FALSE)*VLOOKUP($A95,'[1]INPUT_ASSUMPTIONS CALC'!$A$13:$CK$1019,J$7,FALSE)</f>
        <v>118657.5</v>
      </c>
      <c r="K95" s="139">
        <f>$I95*VLOOKUP($A95,'[1]INPUT_ASSUMPTIONS CALC'!$A$13:$CK$1019,I$6,FALSE)*VLOOKUP($A95,'[1]INPUT_ASSUMPTIONS CALC'!$A$13:$CK$1019,K$7,FALSE)</f>
        <v>98881.25</v>
      </c>
      <c r="L95" s="139">
        <f>$I95*VLOOKUP($A95,'[1]INPUT_ASSUMPTIONS CALC'!$A$13:$CK$1019,I$6,FALSE)*VLOOKUP($A95,'[1]INPUT_ASSUMPTIONS CALC'!$A$13:$CK$1019,L$7,FALSE)</f>
        <v>98881.25</v>
      </c>
      <c r="M95" s="139">
        <f>$I95*VLOOKUP($A95,'[1]INPUT_ASSUMPTIONS CALC'!$A$13:$CK$1019,I$6,FALSE)*VLOOKUP($A95,'[1]INPUT_ASSUMPTIONS CALC'!$A$13:$CK$1019,M$7,FALSE)</f>
        <v>79104.999999999985</v>
      </c>
      <c r="N95" s="140">
        <f t="shared" si="7"/>
        <v>395525</v>
      </c>
      <c r="O95" s="141">
        <f>H95*VLOOKUP($A95,'[1]INPUT_ASSUMPTIONS CALC'!$A$13:$CK$1019,H$6,FALSE)*SUMIF('[1]INPUT_ASSUMPTIONS CALC'!$CQ$15:$CQ$17,'[1]Summary calculation'!E95,'[1]INPUT_ASSUMPTIONS CALC'!$CR$15:$CR$17)</f>
        <v>39552.5</v>
      </c>
      <c r="P95" s="141">
        <f>H95*VLOOKUP($A95,'[1]INPUT_ASSUMPTIONS CALC'!$A$13:$CK$1019,H$6,FALSE)*SUMIF('[1]INPUT_ASSUMPTIONS CALC'!$CV$15:$CV$31,'[1]Summary calculation'!E95,'[1]INPUT_ASSUMPTIONS CALC'!$CW$15:$CW$31)</f>
        <v>0</v>
      </c>
      <c r="Q95" s="141">
        <f>O95*VLOOKUP($A95,'[1]INPUT_ASSUMPTIONS CALC'!$A$13:$CK$1019,Q$7,FALSE)</f>
        <v>39552.5</v>
      </c>
      <c r="R95" s="141">
        <f>P95*VLOOKUP($A95,'[1]INPUT_ASSUMPTIONS CALC'!$A$13:$CK$1019,R$7,FALSE)</f>
        <v>0</v>
      </c>
      <c r="S95" s="140">
        <f t="shared" si="5"/>
        <v>39552.5</v>
      </c>
      <c r="T95" s="142">
        <f t="shared" si="6"/>
        <v>435078</v>
      </c>
      <c r="U95" s="61"/>
    </row>
    <row r="96" spans="1:21" x14ac:dyDescent="0.35">
      <c r="A96" s="125" t="str">
        <f t="shared" si="4"/>
        <v>88Q2</v>
      </c>
      <c r="B96" s="135">
        <v>88</v>
      </c>
      <c r="C96" s="61" t="str">
        <f>INDEX('[1]INPUT_ASSUMPTIONS CALC'!D:D,MATCH(A96,'[1]INPUT_ASSUMPTIONS CALC'!A:A,0))</f>
        <v>Kalacheva Larissa</v>
      </c>
      <c r="D96" s="61" t="str">
        <f>INDEX('[1]INPUT_ASSUMPTIONS CALC'!I:I,MATCH(A96,'[1]INPUT_ASSUMPTIONS CALC'!A:A,0))</f>
        <v>Pharma line</v>
      </c>
      <c r="E96" s="61" t="str">
        <f>INDEX('[1]INPUT_ASSUMPTIONS CALC'!E:E,MATCH(A96,'[1]INPUT_ASSUMPTIONS CALC'!A:A,0))</f>
        <v>Medical Representative</v>
      </c>
      <c r="F96" s="136">
        <f>IF($F$5="Q1",VLOOKUP($A96,'[1]INPUT_ASSUMPTIONS CALC'!$A$13:$CK$1019,F$7,FALSE),IF($F$5="Q2",VLOOKUP($A96,'[1]INPUT_ASSUMPTIONS CALC'!$A$13:$CK$1019,F$7,FALSE),IF($F$5="Q3",VLOOKUP($A96,'[1]INPUT_ASSUMPTIONS CALC'!$A$13:$CK$1019,F$7,FALSE),IF($F$5="Q4",VLOOKUP($A96,'[1]INPUT_ASSUMPTIONS CALC'!$A$13:$CK$1019,F$7,FALSE),IF($F$5="Year",VLOOKUP($A96,'[1]INPUT_ASSUMPTIONS CALC'!$A$13:$CK$1019,F$7,FALSE),0)))))</f>
        <v>395525</v>
      </c>
      <c r="G96" s="137">
        <f>SUMIF('[1]INPUT_ASSUMPTIONS CALC'!A:A,'[1]Summary calculation'!A96,'[1]INPUT_ASSUMPTIONS CALC'!BU:BU)</f>
        <v>0</v>
      </c>
      <c r="H96" s="138">
        <f>IF($F$5="Year",F96*G96*'[1]INPUT_ASSUMPTIONS CALC'!$S$7,F96*G96)</f>
        <v>0</v>
      </c>
      <c r="I96" s="138">
        <f>H96*VLOOKUP($A96,'[1]INPUT_ASSUMPTIONS CALC'!$A$13:$CK$1019,H$6,FALSE)*SUMIF('[1]INPUT_ASSUMPTIONS CALC'!$CL$15:$CL$17,'[1]Summary calculation'!E96,'[1]INPUT_ASSUMPTIONS CALC'!$CM$15:$CM$17)</f>
        <v>0</v>
      </c>
      <c r="J96" s="139">
        <f>$I96*VLOOKUP($A96,'[1]INPUT_ASSUMPTIONS CALC'!$A$13:$CK$1019,I$6,FALSE)*VLOOKUP($A96,'[1]INPUT_ASSUMPTIONS CALC'!$A$13:$CK$1019,J$7,FALSE)</f>
        <v>0</v>
      </c>
      <c r="K96" s="139">
        <f>$I96*VLOOKUP($A96,'[1]INPUT_ASSUMPTIONS CALC'!$A$13:$CK$1019,I$6,FALSE)*VLOOKUP($A96,'[1]INPUT_ASSUMPTIONS CALC'!$A$13:$CK$1019,K$7,FALSE)</f>
        <v>0</v>
      </c>
      <c r="L96" s="139">
        <f>$I96*VLOOKUP($A96,'[1]INPUT_ASSUMPTIONS CALC'!$A$13:$CK$1019,I$6,FALSE)*VLOOKUP($A96,'[1]INPUT_ASSUMPTIONS CALC'!$A$13:$CK$1019,L$7,FALSE)</f>
        <v>0</v>
      </c>
      <c r="M96" s="139">
        <f>$I96*VLOOKUP($A96,'[1]INPUT_ASSUMPTIONS CALC'!$A$13:$CK$1019,I$6,FALSE)*VLOOKUP($A96,'[1]INPUT_ASSUMPTIONS CALC'!$A$13:$CK$1019,M$7,FALSE)</f>
        <v>0</v>
      </c>
      <c r="N96" s="140">
        <f t="shared" si="7"/>
        <v>0</v>
      </c>
      <c r="O96" s="141">
        <f>H96*VLOOKUP($A96,'[1]INPUT_ASSUMPTIONS CALC'!$A$13:$CK$1019,H$6,FALSE)*SUMIF('[1]INPUT_ASSUMPTIONS CALC'!$CQ$15:$CQ$17,'[1]Summary calculation'!E96,'[1]INPUT_ASSUMPTIONS CALC'!$CR$15:$CR$17)</f>
        <v>0</v>
      </c>
      <c r="P96" s="141">
        <f>H96*VLOOKUP($A96,'[1]INPUT_ASSUMPTIONS CALC'!$A$13:$CK$1019,H$6,FALSE)*SUMIF('[1]INPUT_ASSUMPTIONS CALC'!$CV$15:$CV$31,'[1]Summary calculation'!E96,'[1]INPUT_ASSUMPTIONS CALC'!$CW$15:$CW$31)</f>
        <v>0</v>
      </c>
      <c r="Q96" s="141">
        <f>O96*VLOOKUP($A96,'[1]INPUT_ASSUMPTIONS CALC'!$A$13:$CK$1019,Q$7,FALSE)</f>
        <v>0</v>
      </c>
      <c r="R96" s="141">
        <f>P96*VLOOKUP($A96,'[1]INPUT_ASSUMPTIONS CALC'!$A$13:$CK$1019,R$7,FALSE)</f>
        <v>0</v>
      </c>
      <c r="S96" s="140">
        <f t="shared" si="5"/>
        <v>0</v>
      </c>
      <c r="T96" s="142">
        <f t="shared" si="6"/>
        <v>0</v>
      </c>
      <c r="U96" s="61"/>
    </row>
    <row r="97" spans="1:21" x14ac:dyDescent="0.35">
      <c r="A97" s="125" t="str">
        <f t="shared" si="4"/>
        <v>89Q2</v>
      </c>
      <c r="B97" s="135">
        <v>89</v>
      </c>
      <c r="C97" s="61" t="str">
        <f>INDEX('[1]INPUT_ASSUMPTIONS CALC'!D:D,MATCH(A97,'[1]INPUT_ASSUMPTIONS CALC'!A:A,0))</f>
        <v>Kalen Temirlan</v>
      </c>
      <c r="D97" s="61" t="str">
        <f>INDEX('[1]INPUT_ASSUMPTIONS CALC'!I:I,MATCH(A97,'[1]INPUT_ASSUMPTIONS CALC'!A:A,0))</f>
        <v>Line 2</v>
      </c>
      <c r="E97" s="61" t="str">
        <f>INDEX('[1]INPUT_ASSUMPTIONS CALC'!E:E,MATCH(A97,'[1]INPUT_ASSUMPTIONS CALC'!A:A,0))</f>
        <v>Medical Representative</v>
      </c>
      <c r="F97" s="136">
        <f>IF($F$5="Q1",VLOOKUP($A97,'[1]INPUT_ASSUMPTIONS CALC'!$A$13:$CK$1019,F$7,FALSE),IF($F$5="Q2",VLOOKUP($A97,'[1]INPUT_ASSUMPTIONS CALC'!$A$13:$CK$1019,F$7,FALSE),IF($F$5="Q3",VLOOKUP($A97,'[1]INPUT_ASSUMPTIONS CALC'!$A$13:$CK$1019,F$7,FALSE),IF($F$5="Q4",VLOOKUP($A97,'[1]INPUT_ASSUMPTIONS CALC'!$A$13:$CK$1019,F$7,FALSE),IF($F$5="Year",VLOOKUP($A97,'[1]INPUT_ASSUMPTIONS CALC'!$A$13:$CK$1019,F$7,FALSE),0)))))</f>
        <v>395525</v>
      </c>
      <c r="G97" s="137">
        <f>SUMIF('[1]INPUT_ASSUMPTIONS CALC'!A:A,'[1]Summary calculation'!A97,'[1]INPUT_ASSUMPTIONS CALC'!BU:BU)</f>
        <v>0</v>
      </c>
      <c r="H97" s="138">
        <f>IF($F$5="Year",F97*G97*'[1]INPUT_ASSUMPTIONS CALC'!$S$7,F97*G97)</f>
        <v>0</v>
      </c>
      <c r="I97" s="138">
        <f>H97*VLOOKUP($A97,'[1]INPUT_ASSUMPTIONS CALC'!$A$13:$CK$1019,H$6,FALSE)*SUMIF('[1]INPUT_ASSUMPTIONS CALC'!$CL$15:$CL$17,'[1]Summary calculation'!E97,'[1]INPUT_ASSUMPTIONS CALC'!$CM$15:$CM$17)</f>
        <v>0</v>
      </c>
      <c r="J97" s="139">
        <f>$I97*VLOOKUP($A97,'[1]INPUT_ASSUMPTIONS CALC'!$A$13:$CK$1019,I$6,FALSE)*VLOOKUP($A97,'[1]INPUT_ASSUMPTIONS CALC'!$A$13:$CK$1019,J$7,FALSE)</f>
        <v>0</v>
      </c>
      <c r="K97" s="139">
        <f>$I97*VLOOKUP($A97,'[1]INPUT_ASSUMPTIONS CALC'!$A$13:$CK$1019,I$6,FALSE)*VLOOKUP($A97,'[1]INPUT_ASSUMPTIONS CALC'!$A$13:$CK$1019,K$7,FALSE)</f>
        <v>0</v>
      </c>
      <c r="L97" s="139">
        <f>$I97*VLOOKUP($A97,'[1]INPUT_ASSUMPTIONS CALC'!$A$13:$CK$1019,I$6,FALSE)*VLOOKUP($A97,'[1]INPUT_ASSUMPTIONS CALC'!$A$13:$CK$1019,L$7,FALSE)</f>
        <v>0</v>
      </c>
      <c r="M97" s="139">
        <f>$I97*VLOOKUP($A97,'[1]INPUT_ASSUMPTIONS CALC'!$A$13:$CK$1019,I$6,FALSE)*VLOOKUP($A97,'[1]INPUT_ASSUMPTIONS CALC'!$A$13:$CK$1019,M$7,FALSE)</f>
        <v>0</v>
      </c>
      <c r="N97" s="140">
        <f t="shared" si="7"/>
        <v>0</v>
      </c>
      <c r="O97" s="141">
        <f>H97*VLOOKUP($A97,'[1]INPUT_ASSUMPTIONS CALC'!$A$13:$CK$1019,H$6,FALSE)*SUMIF('[1]INPUT_ASSUMPTIONS CALC'!$CQ$15:$CQ$17,'[1]Summary calculation'!E97,'[1]INPUT_ASSUMPTIONS CALC'!$CR$15:$CR$17)</f>
        <v>0</v>
      </c>
      <c r="P97" s="141">
        <f>H97*VLOOKUP($A97,'[1]INPUT_ASSUMPTIONS CALC'!$A$13:$CK$1019,H$6,FALSE)*SUMIF('[1]INPUT_ASSUMPTIONS CALC'!$CV$15:$CV$31,'[1]Summary calculation'!E97,'[1]INPUT_ASSUMPTIONS CALC'!$CW$15:$CW$31)</f>
        <v>0</v>
      </c>
      <c r="Q97" s="141">
        <f>O97*VLOOKUP($A97,'[1]INPUT_ASSUMPTIONS CALC'!$A$13:$CK$1019,Q$7,FALSE)</f>
        <v>0</v>
      </c>
      <c r="R97" s="141">
        <f>P97*VLOOKUP($A97,'[1]INPUT_ASSUMPTIONS CALC'!$A$13:$CK$1019,R$7,FALSE)</f>
        <v>0</v>
      </c>
      <c r="S97" s="140">
        <f t="shared" si="5"/>
        <v>0</v>
      </c>
      <c r="T97" s="142">
        <f t="shared" si="6"/>
        <v>0</v>
      </c>
      <c r="U97" s="61"/>
    </row>
    <row r="98" spans="1:21" x14ac:dyDescent="0.35">
      <c r="A98" s="125" t="str">
        <f t="shared" si="4"/>
        <v>90Q2</v>
      </c>
      <c r="B98" s="135">
        <v>90</v>
      </c>
      <c r="C98" s="61" t="str">
        <f>INDEX('[1]INPUT_ASSUMPTIONS CALC'!D:D,MATCH(A98,'[1]INPUT_ASSUMPTIONS CALC'!A:A,0))</f>
        <v>Kassanova Elmira</v>
      </c>
      <c r="D98" s="61" t="str">
        <f>INDEX('[1]INPUT_ASSUMPTIONS CALC'!I:I,MATCH(A98,'[1]INPUT_ASSUMPTIONS CALC'!A:A,0))</f>
        <v>Line 1</v>
      </c>
      <c r="E98" s="61" t="str">
        <f>INDEX('[1]INPUT_ASSUMPTIONS CALC'!E:E,MATCH(A98,'[1]INPUT_ASSUMPTIONS CALC'!A:A,0))</f>
        <v>Medical Representative</v>
      </c>
      <c r="F98" s="136">
        <f>IF($F$5="Q1",VLOOKUP($A98,'[1]INPUT_ASSUMPTIONS CALC'!$A$13:$CK$1019,F$7,FALSE),IF($F$5="Q2",VLOOKUP($A98,'[1]INPUT_ASSUMPTIONS CALC'!$A$13:$CK$1019,F$7,FALSE),IF($F$5="Q3",VLOOKUP($A98,'[1]INPUT_ASSUMPTIONS CALC'!$A$13:$CK$1019,F$7,FALSE),IF($F$5="Q4",VLOOKUP($A98,'[1]INPUT_ASSUMPTIONS CALC'!$A$13:$CK$1019,F$7,FALSE),IF($F$5="Year",VLOOKUP($A98,'[1]INPUT_ASSUMPTIONS CALC'!$A$13:$CK$1019,F$7,FALSE),0)))))</f>
        <v>395525</v>
      </c>
      <c r="G98" s="137">
        <f>SUMIF('[1]INPUT_ASSUMPTIONS CALC'!A:A,'[1]Summary calculation'!A98,'[1]INPUT_ASSUMPTIONS CALC'!BU:BU)</f>
        <v>0.66666666666666663</v>
      </c>
      <c r="H98" s="138">
        <f>IF($F$5="Year",F98*G98*'[1]INPUT_ASSUMPTIONS CALC'!$S$7,F98*G98)</f>
        <v>263683.33333333331</v>
      </c>
      <c r="I98" s="138">
        <f>H98*VLOOKUP($A98,'[1]INPUT_ASSUMPTIONS CALC'!$A$13:$CK$1019,H$6,FALSE)*SUMIF('[1]INPUT_ASSUMPTIONS CALC'!$CL$15:$CL$17,'[1]Summary calculation'!E98,'[1]INPUT_ASSUMPTIONS CALC'!$CM$15:$CM$17)</f>
        <v>210946.66666666666</v>
      </c>
      <c r="J98" s="139">
        <f>$I98*VLOOKUP($A98,'[1]INPUT_ASSUMPTIONS CALC'!$A$13:$CK$1019,I$6,FALSE)*VLOOKUP($A98,'[1]INPUT_ASSUMPTIONS CALC'!$A$13:$CK$1019,J$7,FALSE)</f>
        <v>158210</v>
      </c>
      <c r="K98" s="139">
        <f>$I98*VLOOKUP($A98,'[1]INPUT_ASSUMPTIONS CALC'!$A$13:$CK$1019,I$6,FALSE)*VLOOKUP($A98,'[1]INPUT_ASSUMPTIONS CALC'!$A$13:$CK$1019,K$7,FALSE)</f>
        <v>110747</v>
      </c>
      <c r="L98" s="139">
        <f>$I98*VLOOKUP($A98,'[1]INPUT_ASSUMPTIONS CALC'!$A$13:$CK$1019,I$6,FALSE)*VLOOKUP($A98,'[1]INPUT_ASSUMPTIONS CALC'!$A$13:$CK$1019,L$7,FALSE)</f>
        <v>31642</v>
      </c>
      <c r="M98" s="139">
        <f>$I98*VLOOKUP($A98,'[1]INPUT_ASSUMPTIONS CALC'!$A$13:$CK$1019,I$6,FALSE)*VLOOKUP($A98,'[1]INPUT_ASSUMPTIONS CALC'!$A$13:$CK$1019,M$7,FALSE)</f>
        <v>15821.000000000005</v>
      </c>
      <c r="N98" s="140">
        <f t="shared" si="7"/>
        <v>316420</v>
      </c>
      <c r="O98" s="141">
        <f>H98*VLOOKUP($A98,'[1]INPUT_ASSUMPTIONS CALC'!$A$13:$CK$1019,H$6,FALSE)*SUMIF('[1]INPUT_ASSUMPTIONS CALC'!$CQ$15:$CQ$17,'[1]Summary calculation'!E98,'[1]INPUT_ASSUMPTIONS CALC'!$CR$15:$CR$17)</f>
        <v>52736.666666666664</v>
      </c>
      <c r="P98" s="141">
        <f>H98*VLOOKUP($A98,'[1]INPUT_ASSUMPTIONS CALC'!$A$13:$CK$1019,H$6,FALSE)*SUMIF('[1]INPUT_ASSUMPTIONS CALC'!$CV$15:$CV$31,'[1]Summary calculation'!E98,'[1]INPUT_ASSUMPTIONS CALC'!$CW$15:$CW$31)</f>
        <v>0</v>
      </c>
      <c r="Q98" s="141">
        <f>O98*VLOOKUP($A98,'[1]INPUT_ASSUMPTIONS CALC'!$A$13:$CK$1019,Q$7,FALSE)</f>
        <v>26368.333333333332</v>
      </c>
      <c r="R98" s="141">
        <f>P98*VLOOKUP($A98,'[1]INPUT_ASSUMPTIONS CALC'!$A$13:$CK$1019,R$7,FALSE)</f>
        <v>0</v>
      </c>
      <c r="S98" s="140">
        <f t="shared" si="5"/>
        <v>26368.333333333332</v>
      </c>
      <c r="T98" s="142">
        <f t="shared" si="6"/>
        <v>342788</v>
      </c>
      <c r="U98" s="61"/>
    </row>
    <row r="99" spans="1:21" x14ac:dyDescent="0.35">
      <c r="A99" s="125" t="str">
        <f t="shared" si="4"/>
        <v>91Q2</v>
      </c>
      <c r="B99" s="135">
        <v>91</v>
      </c>
      <c r="C99" s="61" t="str">
        <f>INDEX('[1]INPUT_ASSUMPTIONS CALC'!D:D,MATCH(A99,'[1]INPUT_ASSUMPTIONS CALC'!A:A,0))</f>
        <v>Nassyrov Farukh</v>
      </c>
      <c r="D99" s="61" t="str">
        <f>INDEX('[1]INPUT_ASSUMPTIONS CALC'!I:I,MATCH(A99,'[1]INPUT_ASSUMPTIONS CALC'!A:A,0))</f>
        <v>Pharma line</v>
      </c>
      <c r="E99" s="61" t="str">
        <f>INDEX('[1]INPUT_ASSUMPTIONS CALC'!E:E,MATCH(A99,'[1]INPUT_ASSUMPTIONS CALC'!A:A,0))</f>
        <v>Pharm Representative</v>
      </c>
      <c r="F99" s="136">
        <f>IF($F$5="Q1",VLOOKUP($A99,'[1]INPUT_ASSUMPTIONS CALC'!$A$13:$CK$1019,F$7,FALSE),IF($F$5="Q2",VLOOKUP($A99,'[1]INPUT_ASSUMPTIONS CALC'!$A$13:$CK$1019,F$7,FALSE),IF($F$5="Q3",VLOOKUP($A99,'[1]INPUT_ASSUMPTIONS CALC'!$A$13:$CK$1019,F$7,FALSE),IF($F$5="Q4",VLOOKUP($A99,'[1]INPUT_ASSUMPTIONS CALC'!$A$13:$CK$1019,F$7,FALSE),IF($F$5="Year",VLOOKUP($A99,'[1]INPUT_ASSUMPTIONS CALC'!$A$13:$CK$1019,F$7,FALSE),0)))))</f>
        <v>395525</v>
      </c>
      <c r="G99" s="137">
        <f>SUMIF('[1]INPUT_ASSUMPTIONS CALC'!A:A,'[1]Summary calculation'!A99,'[1]INPUT_ASSUMPTIONS CALC'!BU:BU)</f>
        <v>0</v>
      </c>
      <c r="H99" s="138">
        <f>IF($F$5="Year",F99*G99*'[1]INPUT_ASSUMPTIONS CALC'!$S$7,F99*G99)</f>
        <v>0</v>
      </c>
      <c r="I99" s="138">
        <f>H99*VLOOKUP($A99,'[1]INPUT_ASSUMPTIONS CALC'!$A$13:$CK$1019,H$6,FALSE)*SUMIF('[1]INPUT_ASSUMPTIONS CALC'!$CL$15:$CL$17,'[1]Summary calculation'!E99,'[1]INPUT_ASSUMPTIONS CALC'!$CM$15:$CM$17)</f>
        <v>0</v>
      </c>
      <c r="J99" s="139">
        <f>$I99*VLOOKUP($A99,'[1]INPUT_ASSUMPTIONS CALC'!$A$13:$CK$1019,I$6,FALSE)*VLOOKUP($A99,'[1]INPUT_ASSUMPTIONS CALC'!$A$13:$CK$1019,J$7,FALSE)</f>
        <v>0</v>
      </c>
      <c r="K99" s="139">
        <f>$I99*VLOOKUP($A99,'[1]INPUT_ASSUMPTIONS CALC'!$A$13:$CK$1019,I$6,FALSE)*VLOOKUP($A99,'[1]INPUT_ASSUMPTIONS CALC'!$A$13:$CK$1019,K$7,FALSE)</f>
        <v>0</v>
      </c>
      <c r="L99" s="139">
        <f>$I99*VLOOKUP($A99,'[1]INPUT_ASSUMPTIONS CALC'!$A$13:$CK$1019,I$6,FALSE)*VLOOKUP($A99,'[1]INPUT_ASSUMPTIONS CALC'!$A$13:$CK$1019,L$7,FALSE)</f>
        <v>0</v>
      </c>
      <c r="M99" s="139">
        <f>$I99*VLOOKUP($A99,'[1]INPUT_ASSUMPTIONS CALC'!$A$13:$CK$1019,I$6,FALSE)*VLOOKUP($A99,'[1]INPUT_ASSUMPTIONS CALC'!$A$13:$CK$1019,M$7,FALSE)</f>
        <v>0</v>
      </c>
      <c r="N99" s="140">
        <f t="shared" si="7"/>
        <v>0</v>
      </c>
      <c r="O99" s="141">
        <f>H99*VLOOKUP($A99,'[1]INPUT_ASSUMPTIONS CALC'!$A$13:$CK$1019,H$6,FALSE)*SUMIF('[1]INPUT_ASSUMPTIONS CALC'!$CQ$15:$CQ$17,'[1]Summary calculation'!E99,'[1]INPUT_ASSUMPTIONS CALC'!$CR$15:$CR$17)</f>
        <v>0</v>
      </c>
      <c r="P99" s="141">
        <f>H99*VLOOKUP($A99,'[1]INPUT_ASSUMPTIONS CALC'!$A$13:$CK$1019,H$6,FALSE)*SUMIF('[1]INPUT_ASSUMPTIONS CALC'!$CV$15:$CV$31,'[1]Summary calculation'!E99,'[1]INPUT_ASSUMPTIONS CALC'!$CW$15:$CW$31)</f>
        <v>0</v>
      </c>
      <c r="Q99" s="141">
        <f>O99*VLOOKUP($A99,'[1]INPUT_ASSUMPTIONS CALC'!$A$13:$CK$1019,Q$7,FALSE)</f>
        <v>0</v>
      </c>
      <c r="R99" s="141">
        <f>P99*VLOOKUP($A99,'[1]INPUT_ASSUMPTIONS CALC'!$A$13:$CK$1019,R$7,FALSE)</f>
        <v>0</v>
      </c>
      <c r="S99" s="140">
        <f t="shared" si="5"/>
        <v>0</v>
      </c>
      <c r="T99" s="142">
        <f t="shared" si="6"/>
        <v>0</v>
      </c>
      <c r="U99" s="61"/>
    </row>
    <row r="100" spans="1:21" x14ac:dyDescent="0.35">
      <c r="A100" s="125" t="str">
        <f t="shared" si="4"/>
        <v>92Q2</v>
      </c>
      <c r="B100" s="135">
        <v>92</v>
      </c>
      <c r="C100" s="61" t="str">
        <f>INDEX('[1]INPUT_ASSUMPTIONS CALC'!D:D,MATCH(A100,'[1]INPUT_ASSUMPTIONS CALC'!A:A,0))</f>
        <v>Volkova Svetlana</v>
      </c>
      <c r="D100" s="61" t="str">
        <f>INDEX('[1]INPUT_ASSUMPTIONS CALC'!I:I,MATCH(A100,'[1]INPUT_ASSUMPTIONS CALC'!A:A,0))</f>
        <v>Line 1</v>
      </c>
      <c r="E100" s="61" t="str">
        <f>INDEX('[1]INPUT_ASSUMPTIONS CALC'!E:E,MATCH(A100,'[1]INPUT_ASSUMPTIONS CALC'!A:A,0))</f>
        <v>Medical Representative</v>
      </c>
      <c r="F100" s="136">
        <f>IF($F$5="Q1",VLOOKUP($A100,'[1]INPUT_ASSUMPTIONS CALC'!$A$13:$CK$1019,F$7,FALSE),IF($F$5="Q2",VLOOKUP($A100,'[1]INPUT_ASSUMPTIONS CALC'!$A$13:$CK$1019,F$7,FALSE),IF($F$5="Q3",VLOOKUP($A100,'[1]INPUT_ASSUMPTIONS CALC'!$A$13:$CK$1019,F$7,FALSE),IF($F$5="Q4",VLOOKUP($A100,'[1]INPUT_ASSUMPTIONS CALC'!$A$13:$CK$1019,F$7,FALSE),IF($F$5="Year",VLOOKUP($A100,'[1]INPUT_ASSUMPTIONS CALC'!$A$13:$CK$1019,F$7,FALSE),0)))))</f>
        <v>395525</v>
      </c>
      <c r="G100" s="137">
        <f>SUMIF('[1]INPUT_ASSUMPTIONS CALC'!A:A,'[1]Summary calculation'!A100,'[1]INPUT_ASSUMPTIONS CALC'!BU:BU)</f>
        <v>0</v>
      </c>
      <c r="H100" s="138">
        <f>IF($F$5="Year",F100*G100*'[1]INPUT_ASSUMPTIONS CALC'!$S$7,F100*G100)</f>
        <v>0</v>
      </c>
      <c r="I100" s="138">
        <f>H100*VLOOKUP($A100,'[1]INPUT_ASSUMPTIONS CALC'!$A$13:$CK$1019,H$6,FALSE)*SUMIF('[1]INPUT_ASSUMPTIONS CALC'!$CL$15:$CL$17,'[1]Summary calculation'!E100,'[1]INPUT_ASSUMPTIONS CALC'!$CM$15:$CM$17)</f>
        <v>0</v>
      </c>
      <c r="J100" s="139">
        <f>$I100*VLOOKUP($A100,'[1]INPUT_ASSUMPTIONS CALC'!$A$13:$CK$1019,I$6,FALSE)*VLOOKUP($A100,'[1]INPUT_ASSUMPTIONS CALC'!$A$13:$CK$1019,J$7,FALSE)</f>
        <v>0</v>
      </c>
      <c r="K100" s="139">
        <f>$I100*VLOOKUP($A100,'[1]INPUT_ASSUMPTIONS CALC'!$A$13:$CK$1019,I$6,FALSE)*VLOOKUP($A100,'[1]INPUT_ASSUMPTIONS CALC'!$A$13:$CK$1019,K$7,FALSE)</f>
        <v>0</v>
      </c>
      <c r="L100" s="139">
        <f>$I100*VLOOKUP($A100,'[1]INPUT_ASSUMPTIONS CALC'!$A$13:$CK$1019,I$6,FALSE)*VLOOKUP($A100,'[1]INPUT_ASSUMPTIONS CALC'!$A$13:$CK$1019,L$7,FALSE)</f>
        <v>0</v>
      </c>
      <c r="M100" s="139">
        <f>$I100*VLOOKUP($A100,'[1]INPUT_ASSUMPTIONS CALC'!$A$13:$CK$1019,I$6,FALSE)*VLOOKUP($A100,'[1]INPUT_ASSUMPTIONS CALC'!$A$13:$CK$1019,M$7,FALSE)</f>
        <v>0</v>
      </c>
      <c r="N100" s="140">
        <f t="shared" si="7"/>
        <v>0</v>
      </c>
      <c r="O100" s="141">
        <f>H100*VLOOKUP($A100,'[1]INPUT_ASSUMPTIONS CALC'!$A$13:$CK$1019,H$6,FALSE)*SUMIF('[1]INPUT_ASSUMPTIONS CALC'!$CQ$15:$CQ$17,'[1]Summary calculation'!E100,'[1]INPUT_ASSUMPTIONS CALC'!$CR$15:$CR$17)</f>
        <v>0</v>
      </c>
      <c r="P100" s="141">
        <f>H100*VLOOKUP($A100,'[1]INPUT_ASSUMPTIONS CALC'!$A$13:$CK$1019,H$6,FALSE)*SUMIF('[1]INPUT_ASSUMPTIONS CALC'!$CV$15:$CV$31,'[1]Summary calculation'!E100,'[1]INPUT_ASSUMPTIONS CALC'!$CW$15:$CW$31)</f>
        <v>0</v>
      </c>
      <c r="Q100" s="141">
        <f>O100*VLOOKUP($A100,'[1]INPUT_ASSUMPTIONS CALC'!$A$13:$CK$1019,Q$7,FALSE)</f>
        <v>0</v>
      </c>
      <c r="R100" s="141">
        <f>P100*VLOOKUP($A100,'[1]INPUT_ASSUMPTIONS CALC'!$A$13:$CK$1019,R$7,FALSE)</f>
        <v>0</v>
      </c>
      <c r="S100" s="140">
        <f t="shared" si="5"/>
        <v>0</v>
      </c>
      <c r="T100" s="142">
        <f t="shared" si="6"/>
        <v>0</v>
      </c>
      <c r="U100" s="61"/>
    </row>
    <row r="101" spans="1:21" x14ac:dyDescent="0.35">
      <c r="A101" s="125" t="str">
        <f t="shared" si="4"/>
        <v>93Q2</v>
      </c>
      <c r="B101" s="135">
        <v>93</v>
      </c>
      <c r="C101" s="61" t="str">
        <f>INDEX('[1]INPUT_ASSUMPTIONS CALC'!D:D,MATCH(A101,'[1]INPUT_ASSUMPTIONS CALC'!A:A,0))</f>
        <v/>
      </c>
      <c r="D101" s="61" t="str">
        <f>INDEX('[1]INPUT_ASSUMPTIONS CALC'!I:I,MATCH(A101,'[1]INPUT_ASSUMPTIONS CALC'!A:A,0))</f>
        <v/>
      </c>
      <c r="E101" s="61" t="str">
        <f>INDEX('[1]INPUT_ASSUMPTIONS CALC'!E:E,MATCH(A101,'[1]INPUT_ASSUMPTIONS CALC'!A:A,0))</f>
        <v/>
      </c>
      <c r="F101" s="136">
        <f>IF($F$5="Q1",VLOOKUP($A101,'[1]INPUT_ASSUMPTIONS CALC'!$A$13:$CK$1019,F$7,FALSE),IF($F$5="Q2",VLOOKUP($A101,'[1]INPUT_ASSUMPTIONS CALC'!$A$13:$CK$1019,F$7,FALSE),IF($F$5="Q3",VLOOKUP($A101,'[1]INPUT_ASSUMPTIONS CALC'!$A$13:$CK$1019,F$7,FALSE),IF($F$5="Q4",VLOOKUP($A101,'[1]INPUT_ASSUMPTIONS CALC'!$A$13:$CK$1019,F$7,FALSE),IF($F$5="Year",VLOOKUP($A101,'[1]INPUT_ASSUMPTIONS CALC'!$A$13:$CK$1019,F$7,FALSE),0)))))</f>
        <v>0</v>
      </c>
      <c r="G101" s="137">
        <f>SUMIF('[1]INPUT_ASSUMPTIONS CALC'!A:A,'[1]Summary calculation'!A101,'[1]INPUT_ASSUMPTIONS CALC'!BU:BU)</f>
        <v>0</v>
      </c>
      <c r="H101" s="138">
        <f>IF($F$5="Year",F101*G101*'[1]INPUT_ASSUMPTIONS CALC'!$S$7,F101*G101)</f>
        <v>0</v>
      </c>
      <c r="I101" s="138">
        <f>H101*VLOOKUP($A101,'[1]INPUT_ASSUMPTIONS CALC'!$A$13:$CK$1019,H$6,FALSE)*SUMIF('[1]INPUT_ASSUMPTIONS CALC'!$CL$15:$CL$17,'[1]Summary calculation'!E101,'[1]INPUT_ASSUMPTIONS CALC'!$CM$15:$CM$17)</f>
        <v>0</v>
      </c>
      <c r="J101" s="139">
        <f>$I101*VLOOKUP($A101,'[1]INPUT_ASSUMPTIONS CALC'!$A$13:$CK$1019,I$6,FALSE)*VLOOKUP($A101,'[1]INPUT_ASSUMPTIONS CALC'!$A$13:$CK$1019,J$7,FALSE)</f>
        <v>0</v>
      </c>
      <c r="K101" s="139">
        <f>$I101*VLOOKUP($A101,'[1]INPUT_ASSUMPTIONS CALC'!$A$13:$CK$1019,I$6,FALSE)*VLOOKUP($A101,'[1]INPUT_ASSUMPTIONS CALC'!$A$13:$CK$1019,K$7,FALSE)</f>
        <v>0</v>
      </c>
      <c r="L101" s="139">
        <f>$I101*VLOOKUP($A101,'[1]INPUT_ASSUMPTIONS CALC'!$A$13:$CK$1019,I$6,FALSE)*VLOOKUP($A101,'[1]INPUT_ASSUMPTIONS CALC'!$A$13:$CK$1019,L$7,FALSE)</f>
        <v>0</v>
      </c>
      <c r="M101" s="139">
        <f>$I101*VLOOKUP($A101,'[1]INPUT_ASSUMPTIONS CALC'!$A$13:$CK$1019,I$6,FALSE)*VLOOKUP($A101,'[1]INPUT_ASSUMPTIONS CALC'!$A$13:$CK$1019,M$7,FALSE)</f>
        <v>0</v>
      </c>
      <c r="N101" s="140">
        <f t="shared" si="7"/>
        <v>0</v>
      </c>
      <c r="O101" s="141">
        <f>H101*VLOOKUP($A101,'[1]INPUT_ASSUMPTIONS CALC'!$A$13:$CK$1019,H$6,FALSE)*SUMIF('[1]INPUT_ASSUMPTIONS CALC'!$CQ$15:$CQ$17,'[1]Summary calculation'!E101,'[1]INPUT_ASSUMPTIONS CALC'!$CR$15:$CR$17)</f>
        <v>0</v>
      </c>
      <c r="P101" s="141">
        <f>H101*VLOOKUP($A101,'[1]INPUT_ASSUMPTIONS CALC'!$A$13:$CK$1019,H$6,FALSE)*SUMIF('[1]INPUT_ASSUMPTIONS CALC'!$CV$15:$CV$31,'[1]Summary calculation'!E101,'[1]INPUT_ASSUMPTIONS CALC'!$CW$15:$CW$31)</f>
        <v>0</v>
      </c>
      <c r="Q101" s="141">
        <f>O101*VLOOKUP($A101,'[1]INPUT_ASSUMPTIONS CALC'!$A$13:$CK$1019,Q$7,FALSE)</f>
        <v>0</v>
      </c>
      <c r="R101" s="141">
        <f>P101*VLOOKUP($A101,'[1]INPUT_ASSUMPTIONS CALC'!$A$13:$CK$1019,R$7,FALSE)</f>
        <v>0</v>
      </c>
      <c r="S101" s="140">
        <f t="shared" si="5"/>
        <v>0</v>
      </c>
      <c r="T101" s="142">
        <f t="shared" si="6"/>
        <v>0</v>
      </c>
      <c r="U101" s="61"/>
    </row>
    <row r="102" spans="1:21" x14ac:dyDescent="0.35">
      <c r="A102" s="125" t="str">
        <f t="shared" si="4"/>
        <v>94Q2</v>
      </c>
      <c r="B102" s="135">
        <v>94</v>
      </c>
      <c r="C102" s="61" t="str">
        <f>INDEX('[1]INPUT_ASSUMPTIONS CALC'!D:D,MATCH(A102,'[1]INPUT_ASSUMPTIONS CALC'!A:A,0))</f>
        <v/>
      </c>
      <c r="D102" s="61" t="str">
        <f>INDEX('[1]INPUT_ASSUMPTIONS CALC'!I:I,MATCH(A102,'[1]INPUT_ASSUMPTIONS CALC'!A:A,0))</f>
        <v/>
      </c>
      <c r="E102" s="61" t="str">
        <f>INDEX('[1]INPUT_ASSUMPTIONS CALC'!E:E,MATCH(A102,'[1]INPUT_ASSUMPTIONS CALC'!A:A,0))</f>
        <v/>
      </c>
      <c r="F102" s="136">
        <f>IF($F$5="Q1",VLOOKUP($A102,'[1]INPUT_ASSUMPTIONS CALC'!$A$13:$CK$1019,F$7,FALSE),IF($F$5="Q2",VLOOKUP($A102,'[1]INPUT_ASSUMPTIONS CALC'!$A$13:$CK$1019,F$7,FALSE),IF($F$5="Q3",VLOOKUP($A102,'[1]INPUT_ASSUMPTIONS CALC'!$A$13:$CK$1019,F$7,FALSE),IF($F$5="Q4",VLOOKUP($A102,'[1]INPUT_ASSUMPTIONS CALC'!$A$13:$CK$1019,F$7,FALSE),IF($F$5="Year",VLOOKUP($A102,'[1]INPUT_ASSUMPTIONS CALC'!$A$13:$CK$1019,F$7,FALSE),0)))))</f>
        <v>0</v>
      </c>
      <c r="G102" s="137">
        <f>SUMIF('[1]INPUT_ASSUMPTIONS CALC'!A:A,'[1]Summary calculation'!A102,'[1]INPUT_ASSUMPTIONS CALC'!BU:BU)</f>
        <v>0</v>
      </c>
      <c r="H102" s="138">
        <f>IF($F$5="Year",F102*G102*'[1]INPUT_ASSUMPTIONS CALC'!$S$7,F102*G102)</f>
        <v>0</v>
      </c>
      <c r="I102" s="138">
        <f>H102*VLOOKUP($A102,'[1]INPUT_ASSUMPTIONS CALC'!$A$13:$CK$1019,H$6,FALSE)*SUMIF('[1]INPUT_ASSUMPTIONS CALC'!$CL$15:$CL$17,'[1]Summary calculation'!E102,'[1]INPUT_ASSUMPTIONS CALC'!$CM$15:$CM$17)</f>
        <v>0</v>
      </c>
      <c r="J102" s="139">
        <f>$I102*VLOOKUP($A102,'[1]INPUT_ASSUMPTIONS CALC'!$A$13:$CK$1019,I$6,FALSE)*VLOOKUP($A102,'[1]INPUT_ASSUMPTIONS CALC'!$A$13:$CK$1019,J$7,FALSE)</f>
        <v>0</v>
      </c>
      <c r="K102" s="139">
        <f>$I102*VLOOKUP($A102,'[1]INPUT_ASSUMPTIONS CALC'!$A$13:$CK$1019,I$6,FALSE)*VLOOKUP($A102,'[1]INPUT_ASSUMPTIONS CALC'!$A$13:$CK$1019,K$7,FALSE)</f>
        <v>0</v>
      </c>
      <c r="L102" s="139">
        <f>$I102*VLOOKUP($A102,'[1]INPUT_ASSUMPTIONS CALC'!$A$13:$CK$1019,I$6,FALSE)*VLOOKUP($A102,'[1]INPUT_ASSUMPTIONS CALC'!$A$13:$CK$1019,L$7,FALSE)</f>
        <v>0</v>
      </c>
      <c r="M102" s="139">
        <f>$I102*VLOOKUP($A102,'[1]INPUT_ASSUMPTIONS CALC'!$A$13:$CK$1019,I$6,FALSE)*VLOOKUP($A102,'[1]INPUT_ASSUMPTIONS CALC'!$A$13:$CK$1019,M$7,FALSE)</f>
        <v>0</v>
      </c>
      <c r="N102" s="140">
        <f t="shared" si="7"/>
        <v>0</v>
      </c>
      <c r="O102" s="141">
        <f>H102*VLOOKUP($A102,'[1]INPUT_ASSUMPTIONS CALC'!$A$13:$CK$1019,H$6,FALSE)*SUMIF('[1]INPUT_ASSUMPTIONS CALC'!$CQ$15:$CQ$17,'[1]Summary calculation'!E102,'[1]INPUT_ASSUMPTIONS CALC'!$CR$15:$CR$17)</f>
        <v>0</v>
      </c>
      <c r="P102" s="141">
        <f>H102*VLOOKUP($A102,'[1]INPUT_ASSUMPTIONS CALC'!$A$13:$CK$1019,H$6,FALSE)*SUMIF('[1]INPUT_ASSUMPTIONS CALC'!$CV$15:$CV$31,'[1]Summary calculation'!E102,'[1]INPUT_ASSUMPTIONS CALC'!$CW$15:$CW$31)</f>
        <v>0</v>
      </c>
      <c r="Q102" s="141">
        <f>O102*VLOOKUP($A102,'[1]INPUT_ASSUMPTIONS CALC'!$A$13:$CK$1019,Q$7,FALSE)</f>
        <v>0</v>
      </c>
      <c r="R102" s="141">
        <f>P102*VLOOKUP($A102,'[1]INPUT_ASSUMPTIONS CALC'!$A$13:$CK$1019,R$7,FALSE)</f>
        <v>0</v>
      </c>
      <c r="S102" s="140">
        <f t="shared" si="5"/>
        <v>0</v>
      </c>
      <c r="T102" s="142">
        <f t="shared" si="6"/>
        <v>0</v>
      </c>
      <c r="U102" s="61"/>
    </row>
    <row r="103" spans="1:21" x14ac:dyDescent="0.35">
      <c r="A103" s="125" t="str">
        <f t="shared" si="4"/>
        <v>95Q2</v>
      </c>
      <c r="B103" s="135">
        <v>95</v>
      </c>
      <c r="C103" s="61" t="str">
        <f>INDEX('[1]INPUT_ASSUMPTIONS CALC'!D:D,MATCH(A103,'[1]INPUT_ASSUMPTIONS CALC'!A:A,0))</f>
        <v/>
      </c>
      <c r="D103" s="61" t="str">
        <f>INDEX('[1]INPUT_ASSUMPTIONS CALC'!I:I,MATCH(A103,'[1]INPUT_ASSUMPTIONS CALC'!A:A,0))</f>
        <v/>
      </c>
      <c r="E103" s="61" t="str">
        <f>INDEX('[1]INPUT_ASSUMPTIONS CALC'!E:E,MATCH(A103,'[1]INPUT_ASSUMPTIONS CALC'!A:A,0))</f>
        <v/>
      </c>
      <c r="F103" s="136">
        <f>IF($F$5="Q1",VLOOKUP($A103,'[1]INPUT_ASSUMPTIONS CALC'!$A$13:$CK$1019,F$7,FALSE),IF($F$5="Q2",VLOOKUP($A103,'[1]INPUT_ASSUMPTIONS CALC'!$A$13:$CK$1019,F$7,FALSE),IF($F$5="Q3",VLOOKUP($A103,'[1]INPUT_ASSUMPTIONS CALC'!$A$13:$CK$1019,F$7,FALSE),IF($F$5="Q4",VLOOKUP($A103,'[1]INPUT_ASSUMPTIONS CALC'!$A$13:$CK$1019,F$7,FALSE),IF($F$5="Year",VLOOKUP($A103,'[1]INPUT_ASSUMPTIONS CALC'!$A$13:$CK$1019,F$7,FALSE),0)))))</f>
        <v>0</v>
      </c>
      <c r="G103" s="137">
        <f>SUMIF('[1]INPUT_ASSUMPTIONS CALC'!A:A,'[1]Summary calculation'!A103,'[1]INPUT_ASSUMPTIONS CALC'!BU:BU)</f>
        <v>0</v>
      </c>
      <c r="H103" s="138">
        <f>IF($F$5="Year",F103*G103*'[1]INPUT_ASSUMPTIONS CALC'!$S$7,F103*G103)</f>
        <v>0</v>
      </c>
      <c r="I103" s="138">
        <f>H103*VLOOKUP($A103,'[1]INPUT_ASSUMPTIONS CALC'!$A$13:$CK$1019,H$6,FALSE)*SUMIF('[1]INPUT_ASSUMPTIONS CALC'!$CL$15:$CL$17,'[1]Summary calculation'!E103,'[1]INPUT_ASSUMPTIONS CALC'!$CM$15:$CM$17)</f>
        <v>0</v>
      </c>
      <c r="J103" s="139">
        <f>$I103*VLOOKUP($A103,'[1]INPUT_ASSUMPTIONS CALC'!$A$13:$CK$1019,I$6,FALSE)*VLOOKUP($A103,'[1]INPUT_ASSUMPTIONS CALC'!$A$13:$CK$1019,J$7,FALSE)</f>
        <v>0</v>
      </c>
      <c r="K103" s="139">
        <f>$I103*VLOOKUP($A103,'[1]INPUT_ASSUMPTIONS CALC'!$A$13:$CK$1019,I$6,FALSE)*VLOOKUP($A103,'[1]INPUT_ASSUMPTIONS CALC'!$A$13:$CK$1019,K$7,FALSE)</f>
        <v>0</v>
      </c>
      <c r="L103" s="139">
        <f>$I103*VLOOKUP($A103,'[1]INPUT_ASSUMPTIONS CALC'!$A$13:$CK$1019,I$6,FALSE)*VLOOKUP($A103,'[1]INPUT_ASSUMPTIONS CALC'!$A$13:$CK$1019,L$7,FALSE)</f>
        <v>0</v>
      </c>
      <c r="M103" s="139">
        <f>$I103*VLOOKUP($A103,'[1]INPUT_ASSUMPTIONS CALC'!$A$13:$CK$1019,I$6,FALSE)*VLOOKUP($A103,'[1]INPUT_ASSUMPTIONS CALC'!$A$13:$CK$1019,M$7,FALSE)</f>
        <v>0</v>
      </c>
      <c r="N103" s="140">
        <f t="shared" si="7"/>
        <v>0</v>
      </c>
      <c r="O103" s="141">
        <f>H103*VLOOKUP($A103,'[1]INPUT_ASSUMPTIONS CALC'!$A$13:$CK$1019,H$6,FALSE)*SUMIF('[1]INPUT_ASSUMPTIONS CALC'!$CQ$15:$CQ$17,'[1]Summary calculation'!E103,'[1]INPUT_ASSUMPTIONS CALC'!$CR$15:$CR$17)</f>
        <v>0</v>
      </c>
      <c r="P103" s="141">
        <f>H103*VLOOKUP($A103,'[1]INPUT_ASSUMPTIONS CALC'!$A$13:$CK$1019,H$6,FALSE)*SUMIF('[1]INPUT_ASSUMPTIONS CALC'!$CV$15:$CV$31,'[1]Summary calculation'!E103,'[1]INPUT_ASSUMPTIONS CALC'!$CW$15:$CW$31)</f>
        <v>0</v>
      </c>
      <c r="Q103" s="141">
        <f>O103*VLOOKUP($A103,'[1]INPUT_ASSUMPTIONS CALC'!$A$13:$CK$1019,Q$7,FALSE)</f>
        <v>0</v>
      </c>
      <c r="R103" s="141">
        <f>P103*VLOOKUP($A103,'[1]INPUT_ASSUMPTIONS CALC'!$A$13:$CK$1019,R$7,FALSE)</f>
        <v>0</v>
      </c>
      <c r="S103" s="140">
        <f t="shared" si="5"/>
        <v>0</v>
      </c>
      <c r="T103" s="142">
        <f t="shared" si="6"/>
        <v>0</v>
      </c>
      <c r="U103" s="61"/>
    </row>
    <row r="104" spans="1:21" x14ac:dyDescent="0.35">
      <c r="A104" s="125" t="str">
        <f t="shared" si="4"/>
        <v>96Q2</v>
      </c>
      <c r="B104" s="135">
        <v>96</v>
      </c>
      <c r="C104" s="61" t="str">
        <f>INDEX('[1]INPUT_ASSUMPTIONS CALC'!D:D,MATCH(A104,'[1]INPUT_ASSUMPTIONS CALC'!A:A,0))</f>
        <v/>
      </c>
      <c r="D104" s="61" t="str">
        <f>INDEX('[1]INPUT_ASSUMPTIONS CALC'!I:I,MATCH(A104,'[1]INPUT_ASSUMPTIONS CALC'!A:A,0))</f>
        <v/>
      </c>
      <c r="E104" s="61" t="str">
        <f>INDEX('[1]INPUT_ASSUMPTIONS CALC'!E:E,MATCH(A104,'[1]INPUT_ASSUMPTIONS CALC'!A:A,0))</f>
        <v/>
      </c>
      <c r="F104" s="136">
        <f>IF($F$5="Q1",VLOOKUP($A104,'[1]INPUT_ASSUMPTIONS CALC'!$A$13:$CK$1019,F$7,FALSE),IF($F$5="Q2",VLOOKUP($A104,'[1]INPUT_ASSUMPTIONS CALC'!$A$13:$CK$1019,F$7,FALSE),IF($F$5="Q3",VLOOKUP($A104,'[1]INPUT_ASSUMPTIONS CALC'!$A$13:$CK$1019,F$7,FALSE),IF($F$5="Q4",VLOOKUP($A104,'[1]INPUT_ASSUMPTIONS CALC'!$A$13:$CK$1019,F$7,FALSE),IF($F$5="Year",VLOOKUP($A104,'[1]INPUT_ASSUMPTIONS CALC'!$A$13:$CK$1019,F$7,FALSE),0)))))</f>
        <v>0</v>
      </c>
      <c r="G104" s="137">
        <f>SUMIF('[1]INPUT_ASSUMPTIONS CALC'!A:A,'[1]Summary calculation'!A104,'[1]INPUT_ASSUMPTIONS CALC'!BU:BU)</f>
        <v>0</v>
      </c>
      <c r="H104" s="138">
        <f>IF($F$5="Year",F104*G104*'[1]INPUT_ASSUMPTIONS CALC'!$S$7,F104*G104)</f>
        <v>0</v>
      </c>
      <c r="I104" s="138">
        <f>H104*VLOOKUP($A104,'[1]INPUT_ASSUMPTIONS CALC'!$A$13:$CK$1019,H$6,FALSE)*SUMIF('[1]INPUT_ASSUMPTIONS CALC'!$CL$15:$CL$17,'[1]Summary calculation'!E104,'[1]INPUT_ASSUMPTIONS CALC'!$CM$15:$CM$17)</f>
        <v>0</v>
      </c>
      <c r="J104" s="139">
        <f>$I104*VLOOKUP($A104,'[1]INPUT_ASSUMPTIONS CALC'!$A$13:$CK$1019,I$6,FALSE)*VLOOKUP($A104,'[1]INPUT_ASSUMPTIONS CALC'!$A$13:$CK$1019,J$7,FALSE)</f>
        <v>0</v>
      </c>
      <c r="K104" s="139">
        <f>$I104*VLOOKUP($A104,'[1]INPUT_ASSUMPTIONS CALC'!$A$13:$CK$1019,I$6,FALSE)*VLOOKUP($A104,'[1]INPUT_ASSUMPTIONS CALC'!$A$13:$CK$1019,K$7,FALSE)</f>
        <v>0</v>
      </c>
      <c r="L104" s="139">
        <f>$I104*VLOOKUP($A104,'[1]INPUT_ASSUMPTIONS CALC'!$A$13:$CK$1019,I$6,FALSE)*VLOOKUP($A104,'[1]INPUT_ASSUMPTIONS CALC'!$A$13:$CK$1019,L$7,FALSE)</f>
        <v>0</v>
      </c>
      <c r="M104" s="139">
        <f>$I104*VLOOKUP($A104,'[1]INPUT_ASSUMPTIONS CALC'!$A$13:$CK$1019,I$6,FALSE)*VLOOKUP($A104,'[1]INPUT_ASSUMPTIONS CALC'!$A$13:$CK$1019,M$7,FALSE)</f>
        <v>0</v>
      </c>
      <c r="N104" s="140">
        <f t="shared" si="7"/>
        <v>0</v>
      </c>
      <c r="O104" s="141">
        <f>H104*VLOOKUP($A104,'[1]INPUT_ASSUMPTIONS CALC'!$A$13:$CK$1019,H$6,FALSE)*SUMIF('[1]INPUT_ASSUMPTIONS CALC'!$CQ$15:$CQ$17,'[1]Summary calculation'!E104,'[1]INPUT_ASSUMPTIONS CALC'!$CR$15:$CR$17)</f>
        <v>0</v>
      </c>
      <c r="P104" s="141">
        <f>H104*VLOOKUP($A104,'[1]INPUT_ASSUMPTIONS CALC'!$A$13:$CK$1019,H$6,FALSE)*SUMIF('[1]INPUT_ASSUMPTIONS CALC'!$CV$15:$CV$31,'[1]Summary calculation'!E104,'[1]INPUT_ASSUMPTIONS CALC'!$CW$15:$CW$31)</f>
        <v>0</v>
      </c>
      <c r="Q104" s="141">
        <f>O104*VLOOKUP($A104,'[1]INPUT_ASSUMPTIONS CALC'!$A$13:$CK$1019,Q$7,FALSE)</f>
        <v>0</v>
      </c>
      <c r="R104" s="141">
        <f>P104*VLOOKUP($A104,'[1]INPUT_ASSUMPTIONS CALC'!$A$13:$CK$1019,R$7,FALSE)</f>
        <v>0</v>
      </c>
      <c r="S104" s="140">
        <f t="shared" si="5"/>
        <v>0</v>
      </c>
      <c r="T104" s="142">
        <f t="shared" si="6"/>
        <v>0</v>
      </c>
      <c r="U104" s="61"/>
    </row>
    <row r="105" spans="1:21" x14ac:dyDescent="0.35">
      <c r="A105" s="125" t="str">
        <f t="shared" si="4"/>
        <v>97Q2</v>
      </c>
      <c r="B105" s="135">
        <v>97</v>
      </c>
      <c r="C105" s="61" t="str">
        <f>INDEX('[1]INPUT_ASSUMPTIONS CALC'!D:D,MATCH(A105,'[1]INPUT_ASSUMPTIONS CALC'!A:A,0))</f>
        <v/>
      </c>
      <c r="D105" s="61" t="str">
        <f>INDEX('[1]INPUT_ASSUMPTIONS CALC'!I:I,MATCH(A105,'[1]INPUT_ASSUMPTIONS CALC'!A:A,0))</f>
        <v/>
      </c>
      <c r="E105" s="61" t="str">
        <f>INDEX('[1]INPUT_ASSUMPTIONS CALC'!E:E,MATCH(A105,'[1]INPUT_ASSUMPTIONS CALC'!A:A,0))</f>
        <v/>
      </c>
      <c r="F105" s="136">
        <f>IF($F$5="Q1",VLOOKUP($A105,'[1]INPUT_ASSUMPTIONS CALC'!$A$13:$CK$1019,F$7,FALSE),IF($F$5="Q2",VLOOKUP($A105,'[1]INPUT_ASSUMPTIONS CALC'!$A$13:$CK$1019,F$7,FALSE),IF($F$5="Q3",VLOOKUP($A105,'[1]INPUT_ASSUMPTIONS CALC'!$A$13:$CK$1019,F$7,FALSE),IF($F$5="Q4",VLOOKUP($A105,'[1]INPUT_ASSUMPTIONS CALC'!$A$13:$CK$1019,F$7,FALSE),IF($F$5="Year",VLOOKUP($A105,'[1]INPUT_ASSUMPTIONS CALC'!$A$13:$CK$1019,F$7,FALSE),0)))))</f>
        <v>0</v>
      </c>
      <c r="G105" s="137">
        <f>SUMIF('[1]INPUT_ASSUMPTIONS CALC'!A:A,'[1]Summary calculation'!A105,'[1]INPUT_ASSUMPTIONS CALC'!BU:BU)</f>
        <v>0</v>
      </c>
      <c r="H105" s="138">
        <f>IF($F$5="Year",F105*G105*'[1]INPUT_ASSUMPTIONS CALC'!$S$7,F105*G105)</f>
        <v>0</v>
      </c>
      <c r="I105" s="138">
        <f>H105*VLOOKUP($A105,'[1]INPUT_ASSUMPTIONS CALC'!$A$13:$CK$1019,H$6,FALSE)*SUMIF('[1]INPUT_ASSUMPTIONS CALC'!$CL$15:$CL$17,'[1]Summary calculation'!E105,'[1]INPUT_ASSUMPTIONS CALC'!$CM$15:$CM$17)</f>
        <v>0</v>
      </c>
      <c r="J105" s="139">
        <f>$I105*VLOOKUP($A105,'[1]INPUT_ASSUMPTIONS CALC'!$A$13:$CK$1019,I$6,FALSE)*VLOOKUP($A105,'[1]INPUT_ASSUMPTIONS CALC'!$A$13:$CK$1019,J$7,FALSE)</f>
        <v>0</v>
      </c>
      <c r="K105" s="139">
        <f>$I105*VLOOKUP($A105,'[1]INPUT_ASSUMPTIONS CALC'!$A$13:$CK$1019,I$6,FALSE)*VLOOKUP($A105,'[1]INPUT_ASSUMPTIONS CALC'!$A$13:$CK$1019,K$7,FALSE)</f>
        <v>0</v>
      </c>
      <c r="L105" s="139">
        <f>$I105*VLOOKUP($A105,'[1]INPUT_ASSUMPTIONS CALC'!$A$13:$CK$1019,I$6,FALSE)*VLOOKUP($A105,'[1]INPUT_ASSUMPTIONS CALC'!$A$13:$CK$1019,L$7,FALSE)</f>
        <v>0</v>
      </c>
      <c r="M105" s="139">
        <f>$I105*VLOOKUP($A105,'[1]INPUT_ASSUMPTIONS CALC'!$A$13:$CK$1019,I$6,FALSE)*VLOOKUP($A105,'[1]INPUT_ASSUMPTIONS CALC'!$A$13:$CK$1019,M$7,FALSE)</f>
        <v>0</v>
      </c>
      <c r="N105" s="140">
        <f t="shared" si="7"/>
        <v>0</v>
      </c>
      <c r="O105" s="141">
        <f>H105*VLOOKUP($A105,'[1]INPUT_ASSUMPTIONS CALC'!$A$13:$CK$1019,H$6,FALSE)*SUMIF('[1]INPUT_ASSUMPTIONS CALC'!$CQ$15:$CQ$17,'[1]Summary calculation'!E105,'[1]INPUT_ASSUMPTIONS CALC'!$CR$15:$CR$17)</f>
        <v>0</v>
      </c>
      <c r="P105" s="141">
        <f>H105*VLOOKUP($A105,'[1]INPUT_ASSUMPTIONS CALC'!$A$13:$CK$1019,H$6,FALSE)*SUMIF('[1]INPUT_ASSUMPTIONS CALC'!$CV$15:$CV$31,'[1]Summary calculation'!E105,'[1]INPUT_ASSUMPTIONS CALC'!$CW$15:$CW$31)</f>
        <v>0</v>
      </c>
      <c r="Q105" s="141">
        <f>O105*VLOOKUP($A105,'[1]INPUT_ASSUMPTIONS CALC'!$A$13:$CK$1019,Q$7,FALSE)</f>
        <v>0</v>
      </c>
      <c r="R105" s="141">
        <f>P105*VLOOKUP($A105,'[1]INPUT_ASSUMPTIONS CALC'!$A$13:$CK$1019,R$7,FALSE)</f>
        <v>0</v>
      </c>
      <c r="S105" s="140">
        <f t="shared" si="5"/>
        <v>0</v>
      </c>
      <c r="T105" s="142">
        <f t="shared" si="6"/>
        <v>0</v>
      </c>
      <c r="U105" s="61"/>
    </row>
    <row r="106" spans="1:21" x14ac:dyDescent="0.35">
      <c r="A106" s="125" t="str">
        <f t="shared" si="4"/>
        <v>98Q2</v>
      </c>
      <c r="B106" s="135">
        <v>98</v>
      </c>
      <c r="C106" s="61" t="str">
        <f>INDEX('[1]INPUT_ASSUMPTIONS CALC'!D:D,MATCH(A106,'[1]INPUT_ASSUMPTIONS CALC'!A:A,0))</f>
        <v/>
      </c>
      <c r="D106" s="61" t="str">
        <f>INDEX('[1]INPUT_ASSUMPTIONS CALC'!I:I,MATCH(A106,'[1]INPUT_ASSUMPTIONS CALC'!A:A,0))</f>
        <v/>
      </c>
      <c r="E106" s="61" t="str">
        <f>INDEX('[1]INPUT_ASSUMPTIONS CALC'!E:E,MATCH(A106,'[1]INPUT_ASSUMPTIONS CALC'!A:A,0))</f>
        <v/>
      </c>
      <c r="F106" s="136">
        <f>IF($F$5="Q1",VLOOKUP($A106,'[1]INPUT_ASSUMPTIONS CALC'!$A$13:$CK$1019,F$7,FALSE),IF($F$5="Q2",VLOOKUP($A106,'[1]INPUT_ASSUMPTIONS CALC'!$A$13:$CK$1019,F$7,FALSE),IF($F$5="Q3",VLOOKUP($A106,'[1]INPUT_ASSUMPTIONS CALC'!$A$13:$CK$1019,F$7,FALSE),IF($F$5="Q4",VLOOKUP($A106,'[1]INPUT_ASSUMPTIONS CALC'!$A$13:$CK$1019,F$7,FALSE),IF($F$5="Year",VLOOKUP($A106,'[1]INPUT_ASSUMPTIONS CALC'!$A$13:$CK$1019,F$7,FALSE),0)))))</f>
        <v>0</v>
      </c>
      <c r="G106" s="137">
        <f>SUMIF('[1]INPUT_ASSUMPTIONS CALC'!A:A,'[1]Summary calculation'!A106,'[1]INPUT_ASSUMPTIONS CALC'!BU:BU)</f>
        <v>0</v>
      </c>
      <c r="H106" s="138">
        <f>IF($F$5="Year",F106*G106*'[1]INPUT_ASSUMPTIONS CALC'!$S$7,F106*G106)</f>
        <v>0</v>
      </c>
      <c r="I106" s="138">
        <f>H106*VLOOKUP($A106,'[1]INPUT_ASSUMPTIONS CALC'!$A$13:$CK$1019,H$6,FALSE)*SUMIF('[1]INPUT_ASSUMPTIONS CALC'!$CL$15:$CL$17,'[1]Summary calculation'!E106,'[1]INPUT_ASSUMPTIONS CALC'!$CM$15:$CM$17)</f>
        <v>0</v>
      </c>
      <c r="J106" s="139">
        <f>$I106*VLOOKUP($A106,'[1]INPUT_ASSUMPTIONS CALC'!$A$13:$CK$1019,I$6,FALSE)*VLOOKUP($A106,'[1]INPUT_ASSUMPTIONS CALC'!$A$13:$CK$1019,J$7,FALSE)</f>
        <v>0</v>
      </c>
      <c r="K106" s="139">
        <f>$I106*VLOOKUP($A106,'[1]INPUT_ASSUMPTIONS CALC'!$A$13:$CK$1019,I$6,FALSE)*VLOOKUP($A106,'[1]INPUT_ASSUMPTIONS CALC'!$A$13:$CK$1019,K$7,FALSE)</f>
        <v>0</v>
      </c>
      <c r="L106" s="139">
        <f>$I106*VLOOKUP($A106,'[1]INPUT_ASSUMPTIONS CALC'!$A$13:$CK$1019,I$6,FALSE)*VLOOKUP($A106,'[1]INPUT_ASSUMPTIONS CALC'!$A$13:$CK$1019,L$7,FALSE)</f>
        <v>0</v>
      </c>
      <c r="M106" s="139">
        <f>$I106*VLOOKUP($A106,'[1]INPUT_ASSUMPTIONS CALC'!$A$13:$CK$1019,I$6,FALSE)*VLOOKUP($A106,'[1]INPUT_ASSUMPTIONS CALC'!$A$13:$CK$1019,M$7,FALSE)</f>
        <v>0</v>
      </c>
      <c r="N106" s="140">
        <f t="shared" si="7"/>
        <v>0</v>
      </c>
      <c r="O106" s="141">
        <f>H106*VLOOKUP($A106,'[1]INPUT_ASSUMPTIONS CALC'!$A$13:$CK$1019,H$6,FALSE)*SUMIF('[1]INPUT_ASSUMPTIONS CALC'!$CQ$15:$CQ$17,'[1]Summary calculation'!E106,'[1]INPUT_ASSUMPTIONS CALC'!$CR$15:$CR$17)</f>
        <v>0</v>
      </c>
      <c r="P106" s="141">
        <f>H106*VLOOKUP($A106,'[1]INPUT_ASSUMPTIONS CALC'!$A$13:$CK$1019,H$6,FALSE)*SUMIF('[1]INPUT_ASSUMPTIONS CALC'!$CV$15:$CV$31,'[1]Summary calculation'!E106,'[1]INPUT_ASSUMPTIONS CALC'!$CW$15:$CW$31)</f>
        <v>0</v>
      </c>
      <c r="Q106" s="141">
        <f>O106*VLOOKUP($A106,'[1]INPUT_ASSUMPTIONS CALC'!$A$13:$CK$1019,Q$7,FALSE)</f>
        <v>0</v>
      </c>
      <c r="R106" s="141">
        <f>P106*VLOOKUP($A106,'[1]INPUT_ASSUMPTIONS CALC'!$A$13:$CK$1019,R$7,FALSE)</f>
        <v>0</v>
      </c>
      <c r="S106" s="140">
        <f t="shared" si="5"/>
        <v>0</v>
      </c>
      <c r="T106" s="142">
        <f t="shared" si="6"/>
        <v>0</v>
      </c>
      <c r="U106" s="61"/>
    </row>
    <row r="107" spans="1:21" x14ac:dyDescent="0.35">
      <c r="A107" s="125" t="str">
        <f t="shared" si="4"/>
        <v>99Q2</v>
      </c>
      <c r="B107" s="135">
        <v>99</v>
      </c>
      <c r="C107" s="61" t="str">
        <f>INDEX('[1]INPUT_ASSUMPTIONS CALC'!D:D,MATCH(A107,'[1]INPUT_ASSUMPTIONS CALC'!A:A,0))</f>
        <v/>
      </c>
      <c r="D107" s="61" t="str">
        <f>INDEX('[1]INPUT_ASSUMPTIONS CALC'!I:I,MATCH(A107,'[1]INPUT_ASSUMPTIONS CALC'!A:A,0))</f>
        <v/>
      </c>
      <c r="E107" s="61" t="str">
        <f>INDEX('[1]INPUT_ASSUMPTIONS CALC'!E:E,MATCH(A107,'[1]INPUT_ASSUMPTIONS CALC'!A:A,0))</f>
        <v/>
      </c>
      <c r="F107" s="136">
        <f>IF($F$5="Q1",VLOOKUP($A107,'[1]INPUT_ASSUMPTIONS CALC'!$A$13:$CK$1019,F$7,FALSE),IF($F$5="Q2",VLOOKUP($A107,'[1]INPUT_ASSUMPTIONS CALC'!$A$13:$CK$1019,F$7,FALSE),IF($F$5="Q3",VLOOKUP($A107,'[1]INPUT_ASSUMPTIONS CALC'!$A$13:$CK$1019,F$7,FALSE),IF($F$5="Q4",VLOOKUP($A107,'[1]INPUT_ASSUMPTIONS CALC'!$A$13:$CK$1019,F$7,FALSE),IF($F$5="Year",VLOOKUP($A107,'[1]INPUT_ASSUMPTIONS CALC'!$A$13:$CK$1019,F$7,FALSE),0)))))</f>
        <v>0</v>
      </c>
      <c r="G107" s="137">
        <f>SUMIF('[1]INPUT_ASSUMPTIONS CALC'!A:A,'[1]Summary calculation'!A107,'[1]INPUT_ASSUMPTIONS CALC'!BU:BU)</f>
        <v>0</v>
      </c>
      <c r="H107" s="138">
        <f>IF($F$5="Year",F107*G107*'[1]INPUT_ASSUMPTIONS CALC'!$S$7,F107*G107)</f>
        <v>0</v>
      </c>
      <c r="I107" s="138">
        <f>H107*VLOOKUP($A107,'[1]INPUT_ASSUMPTIONS CALC'!$A$13:$CK$1019,H$6,FALSE)*SUMIF('[1]INPUT_ASSUMPTIONS CALC'!$CL$15:$CL$17,'[1]Summary calculation'!E107,'[1]INPUT_ASSUMPTIONS CALC'!$CM$15:$CM$17)</f>
        <v>0</v>
      </c>
      <c r="J107" s="139">
        <f>$I107*VLOOKUP($A107,'[1]INPUT_ASSUMPTIONS CALC'!$A$13:$CK$1019,I$6,FALSE)*VLOOKUP($A107,'[1]INPUT_ASSUMPTIONS CALC'!$A$13:$CK$1019,J$7,FALSE)</f>
        <v>0</v>
      </c>
      <c r="K107" s="139">
        <f>$I107*VLOOKUP($A107,'[1]INPUT_ASSUMPTIONS CALC'!$A$13:$CK$1019,I$6,FALSE)*VLOOKUP($A107,'[1]INPUT_ASSUMPTIONS CALC'!$A$13:$CK$1019,K$7,FALSE)</f>
        <v>0</v>
      </c>
      <c r="L107" s="139">
        <f>$I107*VLOOKUP($A107,'[1]INPUT_ASSUMPTIONS CALC'!$A$13:$CK$1019,I$6,FALSE)*VLOOKUP($A107,'[1]INPUT_ASSUMPTIONS CALC'!$A$13:$CK$1019,L$7,FALSE)</f>
        <v>0</v>
      </c>
      <c r="M107" s="139">
        <f>$I107*VLOOKUP($A107,'[1]INPUT_ASSUMPTIONS CALC'!$A$13:$CK$1019,I$6,FALSE)*VLOOKUP($A107,'[1]INPUT_ASSUMPTIONS CALC'!$A$13:$CK$1019,M$7,FALSE)</f>
        <v>0</v>
      </c>
      <c r="N107" s="140">
        <f t="shared" si="7"/>
        <v>0</v>
      </c>
      <c r="O107" s="141">
        <f>H107*VLOOKUP($A107,'[1]INPUT_ASSUMPTIONS CALC'!$A$13:$CK$1019,H$6,FALSE)*SUMIF('[1]INPUT_ASSUMPTIONS CALC'!$CQ$15:$CQ$17,'[1]Summary calculation'!E107,'[1]INPUT_ASSUMPTIONS CALC'!$CR$15:$CR$17)</f>
        <v>0</v>
      </c>
      <c r="P107" s="141">
        <f>H107*VLOOKUP($A107,'[1]INPUT_ASSUMPTIONS CALC'!$A$13:$CK$1019,H$6,FALSE)*SUMIF('[1]INPUT_ASSUMPTIONS CALC'!$CV$15:$CV$31,'[1]Summary calculation'!E107,'[1]INPUT_ASSUMPTIONS CALC'!$CW$15:$CW$31)</f>
        <v>0</v>
      </c>
      <c r="Q107" s="141">
        <f>O107*VLOOKUP($A107,'[1]INPUT_ASSUMPTIONS CALC'!$A$13:$CK$1019,Q$7,FALSE)</f>
        <v>0</v>
      </c>
      <c r="R107" s="141">
        <f>P107*VLOOKUP($A107,'[1]INPUT_ASSUMPTIONS CALC'!$A$13:$CK$1019,R$7,FALSE)</f>
        <v>0</v>
      </c>
      <c r="S107" s="140">
        <f t="shared" si="5"/>
        <v>0</v>
      </c>
      <c r="T107" s="142">
        <f t="shared" si="6"/>
        <v>0</v>
      </c>
      <c r="U107" s="61"/>
    </row>
    <row r="108" spans="1:21" x14ac:dyDescent="0.35">
      <c r="A108" s="125" t="str">
        <f t="shared" si="4"/>
        <v>100Q2</v>
      </c>
      <c r="B108" s="135">
        <v>100</v>
      </c>
      <c r="C108" s="61" t="str">
        <f>INDEX('[1]INPUT_ASSUMPTIONS CALC'!D:D,MATCH(A108,'[1]INPUT_ASSUMPTIONS CALC'!A:A,0))</f>
        <v/>
      </c>
      <c r="D108" s="61" t="str">
        <f>INDEX('[1]INPUT_ASSUMPTIONS CALC'!I:I,MATCH(A108,'[1]INPUT_ASSUMPTIONS CALC'!A:A,0))</f>
        <v/>
      </c>
      <c r="E108" s="61" t="str">
        <f>INDEX('[1]INPUT_ASSUMPTIONS CALC'!E:E,MATCH(A108,'[1]INPUT_ASSUMPTIONS CALC'!A:A,0))</f>
        <v/>
      </c>
      <c r="F108" s="136">
        <f>IF($F$5="Q1",VLOOKUP($A108,'[1]INPUT_ASSUMPTIONS CALC'!$A$13:$CK$1019,F$7,FALSE),IF($F$5="Q2",VLOOKUP($A108,'[1]INPUT_ASSUMPTIONS CALC'!$A$13:$CK$1019,F$7,FALSE),IF($F$5="Q3",VLOOKUP($A108,'[1]INPUT_ASSUMPTIONS CALC'!$A$13:$CK$1019,F$7,FALSE),IF($F$5="Q4",VLOOKUP($A108,'[1]INPUT_ASSUMPTIONS CALC'!$A$13:$CK$1019,F$7,FALSE),IF($F$5="Year",VLOOKUP($A108,'[1]INPUT_ASSUMPTIONS CALC'!$A$13:$CK$1019,F$7,FALSE),0)))))</f>
        <v>0</v>
      </c>
      <c r="G108" s="137">
        <f>SUMIF('[1]INPUT_ASSUMPTIONS CALC'!A:A,'[1]Summary calculation'!A108,'[1]INPUT_ASSUMPTIONS CALC'!BU:BU)</f>
        <v>0</v>
      </c>
      <c r="H108" s="138">
        <f>IF($F$5="Year",F108*G108*'[1]INPUT_ASSUMPTIONS CALC'!$S$7,F108*G108)</f>
        <v>0</v>
      </c>
      <c r="I108" s="138">
        <f>H108*VLOOKUP($A108,'[1]INPUT_ASSUMPTIONS CALC'!$A$13:$CK$1019,H$6,FALSE)*SUMIF('[1]INPUT_ASSUMPTIONS CALC'!$CL$15:$CL$17,'[1]Summary calculation'!E108,'[1]INPUT_ASSUMPTIONS CALC'!$CM$15:$CM$17)</f>
        <v>0</v>
      </c>
      <c r="J108" s="139">
        <f>$I108*VLOOKUP($A108,'[1]INPUT_ASSUMPTIONS CALC'!$A$13:$CK$1019,I$6,FALSE)*VLOOKUP($A108,'[1]INPUT_ASSUMPTIONS CALC'!$A$13:$CK$1019,J$7,FALSE)</f>
        <v>0</v>
      </c>
      <c r="K108" s="139">
        <f>$I108*VLOOKUP($A108,'[1]INPUT_ASSUMPTIONS CALC'!$A$13:$CK$1019,I$6,FALSE)*VLOOKUP($A108,'[1]INPUT_ASSUMPTIONS CALC'!$A$13:$CK$1019,K$7,FALSE)</f>
        <v>0</v>
      </c>
      <c r="L108" s="139">
        <f>$I108*VLOOKUP($A108,'[1]INPUT_ASSUMPTIONS CALC'!$A$13:$CK$1019,I$6,FALSE)*VLOOKUP($A108,'[1]INPUT_ASSUMPTIONS CALC'!$A$13:$CK$1019,L$7,FALSE)</f>
        <v>0</v>
      </c>
      <c r="M108" s="139">
        <f>$I108*VLOOKUP($A108,'[1]INPUT_ASSUMPTIONS CALC'!$A$13:$CK$1019,I$6,FALSE)*VLOOKUP($A108,'[1]INPUT_ASSUMPTIONS CALC'!$A$13:$CK$1019,M$7,FALSE)</f>
        <v>0</v>
      </c>
      <c r="N108" s="140">
        <f t="shared" si="7"/>
        <v>0</v>
      </c>
      <c r="O108" s="141">
        <f>H108*VLOOKUP($A108,'[1]INPUT_ASSUMPTIONS CALC'!$A$13:$CK$1019,H$6,FALSE)*SUMIF('[1]INPUT_ASSUMPTIONS CALC'!$CQ$15:$CQ$17,'[1]Summary calculation'!E108,'[1]INPUT_ASSUMPTIONS CALC'!$CR$15:$CR$17)</f>
        <v>0</v>
      </c>
      <c r="P108" s="141">
        <f>H108*VLOOKUP($A108,'[1]INPUT_ASSUMPTIONS CALC'!$A$13:$CK$1019,H$6,FALSE)*SUMIF('[1]INPUT_ASSUMPTIONS CALC'!$CV$15:$CV$31,'[1]Summary calculation'!E108,'[1]INPUT_ASSUMPTIONS CALC'!$CW$15:$CW$31)</f>
        <v>0</v>
      </c>
      <c r="Q108" s="141">
        <f>O108*VLOOKUP($A108,'[1]INPUT_ASSUMPTIONS CALC'!$A$13:$CK$1019,Q$7,FALSE)</f>
        <v>0</v>
      </c>
      <c r="R108" s="141">
        <f>P108*VLOOKUP($A108,'[1]INPUT_ASSUMPTIONS CALC'!$A$13:$CK$1019,R$7,FALSE)</f>
        <v>0</v>
      </c>
      <c r="S108" s="140">
        <f t="shared" si="5"/>
        <v>0</v>
      </c>
      <c r="T108" s="142">
        <f t="shared" si="6"/>
        <v>0</v>
      </c>
      <c r="U108" s="61"/>
    </row>
    <row r="109" spans="1:21" x14ac:dyDescent="0.35">
      <c r="A109" s="125" t="str">
        <f t="shared" si="4"/>
        <v>101Q2</v>
      </c>
      <c r="B109" s="135">
        <v>101</v>
      </c>
      <c r="C109" s="61" t="str">
        <f>INDEX('[1]INPUT_ASSUMPTIONS CALC'!D:D,MATCH(A109,'[1]INPUT_ASSUMPTIONS CALC'!A:A,0))</f>
        <v/>
      </c>
      <c r="D109" s="61" t="str">
        <f>INDEX('[1]INPUT_ASSUMPTIONS CALC'!I:I,MATCH(A109,'[1]INPUT_ASSUMPTIONS CALC'!A:A,0))</f>
        <v/>
      </c>
      <c r="E109" s="61" t="str">
        <f>INDEX('[1]INPUT_ASSUMPTIONS CALC'!E:E,MATCH(A109,'[1]INPUT_ASSUMPTIONS CALC'!A:A,0))</f>
        <v/>
      </c>
      <c r="F109" s="136">
        <f>IF($F$5="Q1",VLOOKUP($A109,'[1]INPUT_ASSUMPTIONS CALC'!$A$13:$CK$1019,F$7,FALSE),IF($F$5="Q2",VLOOKUP($A109,'[1]INPUT_ASSUMPTIONS CALC'!$A$13:$CK$1019,F$7,FALSE),IF($F$5="Q3",VLOOKUP($A109,'[1]INPUT_ASSUMPTIONS CALC'!$A$13:$CK$1019,F$7,FALSE),IF($F$5="Q4",VLOOKUP($A109,'[1]INPUT_ASSUMPTIONS CALC'!$A$13:$CK$1019,F$7,FALSE),IF($F$5="Year",VLOOKUP($A109,'[1]INPUT_ASSUMPTIONS CALC'!$A$13:$CK$1019,F$7,FALSE),0)))))</f>
        <v>0</v>
      </c>
      <c r="G109" s="137">
        <f>SUMIF('[1]INPUT_ASSUMPTIONS CALC'!A:A,'[1]Summary calculation'!A109,'[1]INPUT_ASSUMPTIONS CALC'!BU:BU)</f>
        <v>0</v>
      </c>
      <c r="H109" s="138">
        <f>IF($F$5="Year",F109*G109*'[1]INPUT_ASSUMPTIONS CALC'!$S$7,F109*G109)</f>
        <v>0</v>
      </c>
      <c r="I109" s="138">
        <f>H109*VLOOKUP($A109,'[1]INPUT_ASSUMPTIONS CALC'!$A$13:$CK$1019,H$6,FALSE)*SUMIF('[1]INPUT_ASSUMPTIONS CALC'!$CL$15:$CL$17,'[1]Summary calculation'!E109,'[1]INPUT_ASSUMPTIONS CALC'!$CM$15:$CM$17)</f>
        <v>0</v>
      </c>
      <c r="J109" s="139">
        <f>$I109*VLOOKUP($A109,'[1]INPUT_ASSUMPTIONS CALC'!$A$13:$CK$1019,I$6,FALSE)*VLOOKUP($A109,'[1]INPUT_ASSUMPTIONS CALC'!$A$13:$CK$1019,J$7,FALSE)</f>
        <v>0</v>
      </c>
      <c r="K109" s="139">
        <f>$I109*VLOOKUP($A109,'[1]INPUT_ASSUMPTIONS CALC'!$A$13:$CK$1019,I$6,FALSE)*VLOOKUP($A109,'[1]INPUT_ASSUMPTIONS CALC'!$A$13:$CK$1019,K$7,FALSE)</f>
        <v>0</v>
      </c>
      <c r="L109" s="139">
        <f>$I109*VLOOKUP($A109,'[1]INPUT_ASSUMPTIONS CALC'!$A$13:$CK$1019,I$6,FALSE)*VLOOKUP($A109,'[1]INPUT_ASSUMPTIONS CALC'!$A$13:$CK$1019,L$7,FALSE)</f>
        <v>0</v>
      </c>
      <c r="M109" s="139">
        <f>$I109*VLOOKUP($A109,'[1]INPUT_ASSUMPTIONS CALC'!$A$13:$CK$1019,I$6,FALSE)*VLOOKUP($A109,'[1]INPUT_ASSUMPTIONS CALC'!$A$13:$CK$1019,M$7,FALSE)</f>
        <v>0</v>
      </c>
      <c r="N109" s="140">
        <f t="shared" si="7"/>
        <v>0</v>
      </c>
      <c r="O109" s="141">
        <f>H109*VLOOKUP($A109,'[1]INPUT_ASSUMPTIONS CALC'!$A$13:$CK$1019,H$6,FALSE)*SUMIF('[1]INPUT_ASSUMPTIONS CALC'!$CQ$15:$CQ$17,'[1]Summary calculation'!E109,'[1]INPUT_ASSUMPTIONS CALC'!$CR$15:$CR$17)</f>
        <v>0</v>
      </c>
      <c r="P109" s="141">
        <f>H109*VLOOKUP($A109,'[1]INPUT_ASSUMPTIONS CALC'!$A$13:$CK$1019,H$6,FALSE)*SUMIF('[1]INPUT_ASSUMPTIONS CALC'!$CV$15:$CV$31,'[1]Summary calculation'!E109,'[1]INPUT_ASSUMPTIONS CALC'!$CW$15:$CW$31)</f>
        <v>0</v>
      </c>
      <c r="Q109" s="141">
        <f>O109*VLOOKUP($A109,'[1]INPUT_ASSUMPTIONS CALC'!$A$13:$CK$1019,Q$7,FALSE)</f>
        <v>0</v>
      </c>
      <c r="R109" s="141">
        <f>P109*VLOOKUP($A109,'[1]INPUT_ASSUMPTIONS CALC'!$A$13:$CK$1019,R$7,FALSE)</f>
        <v>0</v>
      </c>
      <c r="S109" s="140">
        <f t="shared" si="5"/>
        <v>0</v>
      </c>
      <c r="T109" s="142">
        <f t="shared" si="6"/>
        <v>0</v>
      </c>
      <c r="U109" s="61"/>
    </row>
    <row r="110" spans="1:21" x14ac:dyDescent="0.35">
      <c r="A110" s="125" t="str">
        <f t="shared" si="4"/>
        <v>102Q2</v>
      </c>
      <c r="B110" s="135">
        <v>102</v>
      </c>
      <c r="C110" s="61" t="str">
        <f>INDEX('[1]INPUT_ASSUMPTIONS CALC'!D:D,MATCH(A110,'[1]INPUT_ASSUMPTIONS CALC'!A:A,0))</f>
        <v/>
      </c>
      <c r="D110" s="61" t="str">
        <f>INDEX('[1]INPUT_ASSUMPTIONS CALC'!I:I,MATCH(A110,'[1]INPUT_ASSUMPTIONS CALC'!A:A,0))</f>
        <v/>
      </c>
      <c r="E110" s="61" t="str">
        <f>INDEX('[1]INPUT_ASSUMPTIONS CALC'!E:E,MATCH(A110,'[1]INPUT_ASSUMPTIONS CALC'!A:A,0))</f>
        <v/>
      </c>
      <c r="F110" s="136">
        <f>IF($F$5="Q1",VLOOKUP($A110,'[1]INPUT_ASSUMPTIONS CALC'!$A$13:$CK$1019,F$7,FALSE),IF($F$5="Q2",VLOOKUP($A110,'[1]INPUT_ASSUMPTIONS CALC'!$A$13:$CK$1019,F$7,FALSE),IF($F$5="Q3",VLOOKUP($A110,'[1]INPUT_ASSUMPTIONS CALC'!$A$13:$CK$1019,F$7,FALSE),IF($F$5="Q4",VLOOKUP($A110,'[1]INPUT_ASSUMPTIONS CALC'!$A$13:$CK$1019,F$7,FALSE),IF($F$5="Year",VLOOKUP($A110,'[1]INPUT_ASSUMPTIONS CALC'!$A$13:$CK$1019,F$7,FALSE),0)))))</f>
        <v>0</v>
      </c>
      <c r="G110" s="137">
        <f>SUMIF('[1]INPUT_ASSUMPTIONS CALC'!A:A,'[1]Summary calculation'!A110,'[1]INPUT_ASSUMPTIONS CALC'!BU:BU)</f>
        <v>0</v>
      </c>
      <c r="H110" s="138">
        <f>IF($F$5="Year",F110*G110*'[1]INPUT_ASSUMPTIONS CALC'!$S$7,F110*G110)</f>
        <v>0</v>
      </c>
      <c r="I110" s="138">
        <f>H110*VLOOKUP($A110,'[1]INPUT_ASSUMPTIONS CALC'!$A$13:$CK$1019,H$6,FALSE)*SUMIF('[1]INPUT_ASSUMPTIONS CALC'!$CL$15:$CL$17,'[1]Summary calculation'!E110,'[1]INPUT_ASSUMPTIONS CALC'!$CM$15:$CM$17)</f>
        <v>0</v>
      </c>
      <c r="J110" s="139">
        <f>$I110*VLOOKUP($A110,'[1]INPUT_ASSUMPTIONS CALC'!$A$13:$CK$1019,I$6,FALSE)*VLOOKUP($A110,'[1]INPUT_ASSUMPTIONS CALC'!$A$13:$CK$1019,J$7,FALSE)</f>
        <v>0</v>
      </c>
      <c r="K110" s="139">
        <f>$I110*VLOOKUP($A110,'[1]INPUT_ASSUMPTIONS CALC'!$A$13:$CK$1019,I$6,FALSE)*VLOOKUP($A110,'[1]INPUT_ASSUMPTIONS CALC'!$A$13:$CK$1019,K$7,FALSE)</f>
        <v>0</v>
      </c>
      <c r="L110" s="139">
        <f>$I110*VLOOKUP($A110,'[1]INPUT_ASSUMPTIONS CALC'!$A$13:$CK$1019,I$6,FALSE)*VLOOKUP($A110,'[1]INPUT_ASSUMPTIONS CALC'!$A$13:$CK$1019,L$7,FALSE)</f>
        <v>0</v>
      </c>
      <c r="M110" s="139">
        <f>$I110*VLOOKUP($A110,'[1]INPUT_ASSUMPTIONS CALC'!$A$13:$CK$1019,I$6,FALSE)*VLOOKUP($A110,'[1]INPUT_ASSUMPTIONS CALC'!$A$13:$CK$1019,M$7,FALSE)</f>
        <v>0</v>
      </c>
      <c r="N110" s="140">
        <f t="shared" si="7"/>
        <v>0</v>
      </c>
      <c r="O110" s="141">
        <f>H110*VLOOKUP($A110,'[1]INPUT_ASSUMPTIONS CALC'!$A$13:$CK$1019,H$6,FALSE)*SUMIF('[1]INPUT_ASSUMPTIONS CALC'!$CQ$15:$CQ$17,'[1]Summary calculation'!E110,'[1]INPUT_ASSUMPTIONS CALC'!$CR$15:$CR$17)</f>
        <v>0</v>
      </c>
      <c r="P110" s="141">
        <f>H110*VLOOKUP($A110,'[1]INPUT_ASSUMPTIONS CALC'!$A$13:$CK$1019,H$6,FALSE)*SUMIF('[1]INPUT_ASSUMPTIONS CALC'!$CV$15:$CV$31,'[1]Summary calculation'!E110,'[1]INPUT_ASSUMPTIONS CALC'!$CW$15:$CW$31)</f>
        <v>0</v>
      </c>
      <c r="Q110" s="141">
        <f>O110*VLOOKUP($A110,'[1]INPUT_ASSUMPTIONS CALC'!$A$13:$CK$1019,Q$7,FALSE)</f>
        <v>0</v>
      </c>
      <c r="R110" s="141">
        <f>P110*VLOOKUP($A110,'[1]INPUT_ASSUMPTIONS CALC'!$A$13:$CK$1019,R$7,FALSE)</f>
        <v>0</v>
      </c>
      <c r="S110" s="140">
        <f t="shared" si="5"/>
        <v>0</v>
      </c>
      <c r="T110" s="142">
        <f t="shared" si="6"/>
        <v>0</v>
      </c>
      <c r="U110" s="61"/>
    </row>
    <row r="111" spans="1:21" x14ac:dyDescent="0.35">
      <c r="A111" s="125" t="str">
        <f t="shared" si="4"/>
        <v>103Q2</v>
      </c>
      <c r="B111" s="135">
        <v>103</v>
      </c>
      <c r="C111" s="61" t="str">
        <f>INDEX('[1]INPUT_ASSUMPTIONS CALC'!D:D,MATCH(A111,'[1]INPUT_ASSUMPTIONS CALC'!A:A,0))</f>
        <v/>
      </c>
      <c r="D111" s="61" t="str">
        <f>INDEX('[1]INPUT_ASSUMPTIONS CALC'!I:I,MATCH(A111,'[1]INPUT_ASSUMPTIONS CALC'!A:A,0))</f>
        <v/>
      </c>
      <c r="E111" s="61" t="str">
        <f>INDEX('[1]INPUT_ASSUMPTIONS CALC'!E:E,MATCH(A111,'[1]INPUT_ASSUMPTIONS CALC'!A:A,0))</f>
        <v/>
      </c>
      <c r="F111" s="136">
        <f>IF($F$5="Q1",VLOOKUP($A111,'[1]INPUT_ASSUMPTIONS CALC'!$A$13:$CK$1019,F$7,FALSE),IF($F$5="Q2",VLOOKUP($A111,'[1]INPUT_ASSUMPTIONS CALC'!$A$13:$CK$1019,F$7,FALSE),IF($F$5="Q3",VLOOKUP($A111,'[1]INPUT_ASSUMPTIONS CALC'!$A$13:$CK$1019,F$7,FALSE),IF($F$5="Q4",VLOOKUP($A111,'[1]INPUT_ASSUMPTIONS CALC'!$A$13:$CK$1019,F$7,FALSE),IF($F$5="Year",VLOOKUP($A111,'[1]INPUT_ASSUMPTIONS CALC'!$A$13:$CK$1019,F$7,FALSE),0)))))</f>
        <v>0</v>
      </c>
      <c r="G111" s="137">
        <f>SUMIF('[1]INPUT_ASSUMPTIONS CALC'!A:A,'[1]Summary calculation'!A111,'[1]INPUT_ASSUMPTIONS CALC'!BU:BU)</f>
        <v>0</v>
      </c>
      <c r="H111" s="138">
        <f>IF($F$5="Year",F111*G111*'[1]INPUT_ASSUMPTIONS CALC'!$S$7,F111*G111)</f>
        <v>0</v>
      </c>
      <c r="I111" s="138">
        <f>H111*VLOOKUP($A111,'[1]INPUT_ASSUMPTIONS CALC'!$A$13:$CK$1019,H$6,FALSE)*SUMIF('[1]INPUT_ASSUMPTIONS CALC'!$CL$15:$CL$17,'[1]Summary calculation'!E111,'[1]INPUT_ASSUMPTIONS CALC'!$CM$15:$CM$17)</f>
        <v>0</v>
      </c>
      <c r="J111" s="139">
        <f>$I111*VLOOKUP($A111,'[1]INPUT_ASSUMPTIONS CALC'!$A$13:$CK$1019,I$6,FALSE)*VLOOKUP($A111,'[1]INPUT_ASSUMPTIONS CALC'!$A$13:$CK$1019,J$7,FALSE)</f>
        <v>0</v>
      </c>
      <c r="K111" s="139">
        <f>$I111*VLOOKUP($A111,'[1]INPUT_ASSUMPTIONS CALC'!$A$13:$CK$1019,I$6,FALSE)*VLOOKUP($A111,'[1]INPUT_ASSUMPTIONS CALC'!$A$13:$CK$1019,K$7,FALSE)</f>
        <v>0</v>
      </c>
      <c r="L111" s="139">
        <f>$I111*VLOOKUP($A111,'[1]INPUT_ASSUMPTIONS CALC'!$A$13:$CK$1019,I$6,FALSE)*VLOOKUP($A111,'[1]INPUT_ASSUMPTIONS CALC'!$A$13:$CK$1019,L$7,FALSE)</f>
        <v>0</v>
      </c>
      <c r="M111" s="139">
        <f>$I111*VLOOKUP($A111,'[1]INPUT_ASSUMPTIONS CALC'!$A$13:$CK$1019,I$6,FALSE)*VLOOKUP($A111,'[1]INPUT_ASSUMPTIONS CALC'!$A$13:$CK$1019,M$7,FALSE)</f>
        <v>0</v>
      </c>
      <c r="N111" s="140">
        <f t="shared" si="7"/>
        <v>0</v>
      </c>
      <c r="O111" s="141">
        <f>H111*VLOOKUP($A111,'[1]INPUT_ASSUMPTIONS CALC'!$A$13:$CK$1019,H$6,FALSE)*SUMIF('[1]INPUT_ASSUMPTIONS CALC'!$CQ$15:$CQ$17,'[1]Summary calculation'!E111,'[1]INPUT_ASSUMPTIONS CALC'!$CR$15:$CR$17)</f>
        <v>0</v>
      </c>
      <c r="P111" s="141">
        <f>H111*VLOOKUP($A111,'[1]INPUT_ASSUMPTIONS CALC'!$A$13:$CK$1019,H$6,FALSE)*SUMIF('[1]INPUT_ASSUMPTIONS CALC'!$CV$15:$CV$31,'[1]Summary calculation'!E111,'[1]INPUT_ASSUMPTIONS CALC'!$CW$15:$CW$31)</f>
        <v>0</v>
      </c>
      <c r="Q111" s="141">
        <f>O111*VLOOKUP($A111,'[1]INPUT_ASSUMPTIONS CALC'!$A$13:$CK$1019,Q$7,FALSE)</f>
        <v>0</v>
      </c>
      <c r="R111" s="141">
        <f>P111*VLOOKUP($A111,'[1]INPUT_ASSUMPTIONS CALC'!$A$13:$CK$1019,R$7,FALSE)</f>
        <v>0</v>
      </c>
      <c r="S111" s="140">
        <f t="shared" si="5"/>
        <v>0</v>
      </c>
      <c r="T111" s="142">
        <f t="shared" si="6"/>
        <v>0</v>
      </c>
      <c r="U111" s="61"/>
    </row>
    <row r="112" spans="1:21" x14ac:dyDescent="0.35">
      <c r="A112" s="125" t="str">
        <f t="shared" si="4"/>
        <v>104Q2</v>
      </c>
      <c r="B112" s="135">
        <v>104</v>
      </c>
      <c r="C112" s="61" t="str">
        <f>INDEX('[1]INPUT_ASSUMPTIONS CALC'!D:D,MATCH(A112,'[1]INPUT_ASSUMPTIONS CALC'!A:A,0))</f>
        <v/>
      </c>
      <c r="D112" s="61" t="str">
        <f>INDEX('[1]INPUT_ASSUMPTIONS CALC'!I:I,MATCH(A112,'[1]INPUT_ASSUMPTIONS CALC'!A:A,0))</f>
        <v/>
      </c>
      <c r="E112" s="61" t="str">
        <f>INDEX('[1]INPUT_ASSUMPTIONS CALC'!E:E,MATCH(A112,'[1]INPUT_ASSUMPTIONS CALC'!A:A,0))</f>
        <v/>
      </c>
      <c r="F112" s="136">
        <f>IF($F$5="Q1",VLOOKUP($A112,'[1]INPUT_ASSUMPTIONS CALC'!$A$13:$CK$1019,F$7,FALSE),IF($F$5="Q2",VLOOKUP($A112,'[1]INPUT_ASSUMPTIONS CALC'!$A$13:$CK$1019,F$7,FALSE),IF($F$5="Q3",VLOOKUP($A112,'[1]INPUT_ASSUMPTIONS CALC'!$A$13:$CK$1019,F$7,FALSE),IF($F$5="Q4",VLOOKUP($A112,'[1]INPUT_ASSUMPTIONS CALC'!$A$13:$CK$1019,F$7,FALSE),IF($F$5="Year",VLOOKUP($A112,'[1]INPUT_ASSUMPTIONS CALC'!$A$13:$CK$1019,F$7,FALSE),0)))))</f>
        <v>0</v>
      </c>
      <c r="G112" s="137">
        <f>SUMIF('[1]INPUT_ASSUMPTIONS CALC'!A:A,'[1]Summary calculation'!A112,'[1]INPUT_ASSUMPTIONS CALC'!BU:BU)</f>
        <v>0</v>
      </c>
      <c r="H112" s="138">
        <f>IF($F$5="Year",F112*G112*'[1]INPUT_ASSUMPTIONS CALC'!$S$7,F112*G112)</f>
        <v>0</v>
      </c>
      <c r="I112" s="138">
        <f>H112*VLOOKUP($A112,'[1]INPUT_ASSUMPTIONS CALC'!$A$13:$CK$1019,H$6,FALSE)*SUMIF('[1]INPUT_ASSUMPTIONS CALC'!$CL$15:$CL$17,'[1]Summary calculation'!E112,'[1]INPUT_ASSUMPTIONS CALC'!$CM$15:$CM$17)</f>
        <v>0</v>
      </c>
      <c r="J112" s="139">
        <f>$I112*VLOOKUP($A112,'[1]INPUT_ASSUMPTIONS CALC'!$A$13:$CK$1019,I$6,FALSE)*VLOOKUP($A112,'[1]INPUT_ASSUMPTIONS CALC'!$A$13:$CK$1019,J$7,FALSE)</f>
        <v>0</v>
      </c>
      <c r="K112" s="139">
        <f>$I112*VLOOKUP($A112,'[1]INPUT_ASSUMPTIONS CALC'!$A$13:$CK$1019,I$6,FALSE)*VLOOKUP($A112,'[1]INPUT_ASSUMPTIONS CALC'!$A$13:$CK$1019,K$7,FALSE)</f>
        <v>0</v>
      </c>
      <c r="L112" s="139">
        <f>$I112*VLOOKUP($A112,'[1]INPUT_ASSUMPTIONS CALC'!$A$13:$CK$1019,I$6,FALSE)*VLOOKUP($A112,'[1]INPUT_ASSUMPTIONS CALC'!$A$13:$CK$1019,L$7,FALSE)</f>
        <v>0</v>
      </c>
      <c r="M112" s="139">
        <f>$I112*VLOOKUP($A112,'[1]INPUT_ASSUMPTIONS CALC'!$A$13:$CK$1019,I$6,FALSE)*VLOOKUP($A112,'[1]INPUT_ASSUMPTIONS CALC'!$A$13:$CK$1019,M$7,FALSE)</f>
        <v>0</v>
      </c>
      <c r="N112" s="140">
        <f t="shared" si="7"/>
        <v>0</v>
      </c>
      <c r="O112" s="141">
        <f>H112*VLOOKUP($A112,'[1]INPUT_ASSUMPTIONS CALC'!$A$13:$CK$1019,H$6,FALSE)*SUMIF('[1]INPUT_ASSUMPTIONS CALC'!$CQ$15:$CQ$17,'[1]Summary calculation'!E112,'[1]INPUT_ASSUMPTIONS CALC'!$CR$15:$CR$17)</f>
        <v>0</v>
      </c>
      <c r="P112" s="141">
        <f>H112*VLOOKUP($A112,'[1]INPUT_ASSUMPTIONS CALC'!$A$13:$CK$1019,H$6,FALSE)*SUMIF('[1]INPUT_ASSUMPTIONS CALC'!$CV$15:$CV$31,'[1]Summary calculation'!E112,'[1]INPUT_ASSUMPTIONS CALC'!$CW$15:$CW$31)</f>
        <v>0</v>
      </c>
      <c r="Q112" s="141">
        <f>O112*VLOOKUP($A112,'[1]INPUT_ASSUMPTIONS CALC'!$A$13:$CK$1019,Q$7,FALSE)</f>
        <v>0</v>
      </c>
      <c r="R112" s="141">
        <f>P112*VLOOKUP($A112,'[1]INPUT_ASSUMPTIONS CALC'!$A$13:$CK$1019,R$7,FALSE)</f>
        <v>0</v>
      </c>
      <c r="S112" s="140">
        <f t="shared" si="5"/>
        <v>0</v>
      </c>
      <c r="T112" s="142">
        <f t="shared" si="6"/>
        <v>0</v>
      </c>
      <c r="U112" s="61"/>
    </row>
    <row r="113" spans="1:21" x14ac:dyDescent="0.35">
      <c r="A113" s="125" t="str">
        <f t="shared" si="4"/>
        <v>105Q2</v>
      </c>
      <c r="B113" s="135">
        <v>105</v>
      </c>
      <c r="C113" s="61" t="str">
        <f>INDEX('[1]INPUT_ASSUMPTIONS CALC'!D:D,MATCH(A113,'[1]INPUT_ASSUMPTIONS CALC'!A:A,0))</f>
        <v/>
      </c>
      <c r="D113" s="61" t="str">
        <f>INDEX('[1]INPUT_ASSUMPTIONS CALC'!I:I,MATCH(A113,'[1]INPUT_ASSUMPTIONS CALC'!A:A,0))</f>
        <v/>
      </c>
      <c r="E113" s="61" t="str">
        <f>INDEX('[1]INPUT_ASSUMPTIONS CALC'!E:E,MATCH(A113,'[1]INPUT_ASSUMPTIONS CALC'!A:A,0))</f>
        <v/>
      </c>
      <c r="F113" s="136">
        <f>IF($F$5="Q1",VLOOKUP($A113,'[1]INPUT_ASSUMPTIONS CALC'!$A$13:$CK$1019,F$7,FALSE),IF($F$5="Q2",VLOOKUP($A113,'[1]INPUT_ASSUMPTIONS CALC'!$A$13:$CK$1019,F$7,FALSE),IF($F$5="Q3",VLOOKUP($A113,'[1]INPUT_ASSUMPTIONS CALC'!$A$13:$CK$1019,F$7,FALSE),IF($F$5="Q4",VLOOKUP($A113,'[1]INPUT_ASSUMPTIONS CALC'!$A$13:$CK$1019,F$7,FALSE),IF($F$5="Year",VLOOKUP($A113,'[1]INPUT_ASSUMPTIONS CALC'!$A$13:$CK$1019,F$7,FALSE),0)))))</f>
        <v>0</v>
      </c>
      <c r="G113" s="137">
        <f>SUMIF('[1]INPUT_ASSUMPTIONS CALC'!A:A,'[1]Summary calculation'!A113,'[1]INPUT_ASSUMPTIONS CALC'!BU:BU)</f>
        <v>0</v>
      </c>
      <c r="H113" s="138">
        <f>IF($F$5="Year",F113*G113*'[1]INPUT_ASSUMPTIONS CALC'!$S$7,F113*G113)</f>
        <v>0</v>
      </c>
      <c r="I113" s="138">
        <f>H113*VLOOKUP($A113,'[1]INPUT_ASSUMPTIONS CALC'!$A$13:$CK$1019,H$6,FALSE)*SUMIF('[1]INPUT_ASSUMPTIONS CALC'!$CL$15:$CL$17,'[1]Summary calculation'!E113,'[1]INPUT_ASSUMPTIONS CALC'!$CM$15:$CM$17)</f>
        <v>0</v>
      </c>
      <c r="J113" s="139">
        <f>$I113*VLOOKUP($A113,'[1]INPUT_ASSUMPTIONS CALC'!$A$13:$CK$1019,I$6,FALSE)*VLOOKUP($A113,'[1]INPUT_ASSUMPTIONS CALC'!$A$13:$CK$1019,J$7,FALSE)</f>
        <v>0</v>
      </c>
      <c r="K113" s="139">
        <f>$I113*VLOOKUP($A113,'[1]INPUT_ASSUMPTIONS CALC'!$A$13:$CK$1019,I$6,FALSE)*VLOOKUP($A113,'[1]INPUT_ASSUMPTIONS CALC'!$A$13:$CK$1019,K$7,FALSE)</f>
        <v>0</v>
      </c>
      <c r="L113" s="139">
        <f>$I113*VLOOKUP($A113,'[1]INPUT_ASSUMPTIONS CALC'!$A$13:$CK$1019,I$6,FALSE)*VLOOKUP($A113,'[1]INPUT_ASSUMPTIONS CALC'!$A$13:$CK$1019,L$7,FALSE)</f>
        <v>0</v>
      </c>
      <c r="M113" s="139">
        <f>$I113*VLOOKUP($A113,'[1]INPUT_ASSUMPTIONS CALC'!$A$13:$CK$1019,I$6,FALSE)*VLOOKUP($A113,'[1]INPUT_ASSUMPTIONS CALC'!$A$13:$CK$1019,M$7,FALSE)</f>
        <v>0</v>
      </c>
      <c r="N113" s="140">
        <f t="shared" si="7"/>
        <v>0</v>
      </c>
      <c r="O113" s="141">
        <f>H113*VLOOKUP($A113,'[1]INPUT_ASSUMPTIONS CALC'!$A$13:$CK$1019,H$6,FALSE)*SUMIF('[1]INPUT_ASSUMPTIONS CALC'!$CQ$15:$CQ$17,'[1]Summary calculation'!E113,'[1]INPUT_ASSUMPTIONS CALC'!$CR$15:$CR$17)</f>
        <v>0</v>
      </c>
      <c r="P113" s="141">
        <f>H113*VLOOKUP($A113,'[1]INPUT_ASSUMPTIONS CALC'!$A$13:$CK$1019,H$6,FALSE)*SUMIF('[1]INPUT_ASSUMPTIONS CALC'!$CV$15:$CV$31,'[1]Summary calculation'!E113,'[1]INPUT_ASSUMPTIONS CALC'!$CW$15:$CW$31)</f>
        <v>0</v>
      </c>
      <c r="Q113" s="141">
        <f>O113*VLOOKUP($A113,'[1]INPUT_ASSUMPTIONS CALC'!$A$13:$CK$1019,Q$7,FALSE)</f>
        <v>0</v>
      </c>
      <c r="R113" s="141">
        <f>P113*VLOOKUP($A113,'[1]INPUT_ASSUMPTIONS CALC'!$A$13:$CK$1019,R$7,FALSE)</f>
        <v>0</v>
      </c>
      <c r="S113" s="140">
        <f t="shared" si="5"/>
        <v>0</v>
      </c>
      <c r="T113" s="142">
        <f t="shared" si="6"/>
        <v>0</v>
      </c>
      <c r="U113" s="61"/>
    </row>
    <row r="114" spans="1:21" x14ac:dyDescent="0.35">
      <c r="A114" s="125" t="str">
        <f t="shared" si="4"/>
        <v>106Q2</v>
      </c>
      <c r="B114" s="135">
        <v>106</v>
      </c>
      <c r="C114" s="61" t="str">
        <f>INDEX('[1]INPUT_ASSUMPTIONS CALC'!D:D,MATCH(A114,'[1]INPUT_ASSUMPTIONS CALC'!A:A,0))</f>
        <v/>
      </c>
      <c r="D114" s="61" t="str">
        <f>INDEX('[1]INPUT_ASSUMPTIONS CALC'!I:I,MATCH(A114,'[1]INPUT_ASSUMPTIONS CALC'!A:A,0))</f>
        <v/>
      </c>
      <c r="E114" s="61" t="str">
        <f>INDEX('[1]INPUT_ASSUMPTIONS CALC'!E:E,MATCH(A114,'[1]INPUT_ASSUMPTIONS CALC'!A:A,0))</f>
        <v/>
      </c>
      <c r="F114" s="136">
        <f>IF($F$5="Q1",VLOOKUP($A114,'[1]INPUT_ASSUMPTIONS CALC'!$A$13:$CK$1019,F$7,FALSE),IF($F$5="Q2",VLOOKUP($A114,'[1]INPUT_ASSUMPTIONS CALC'!$A$13:$CK$1019,F$7,FALSE),IF($F$5="Q3",VLOOKUP($A114,'[1]INPUT_ASSUMPTIONS CALC'!$A$13:$CK$1019,F$7,FALSE),IF($F$5="Q4",VLOOKUP($A114,'[1]INPUT_ASSUMPTIONS CALC'!$A$13:$CK$1019,F$7,FALSE),IF($F$5="Year",VLOOKUP($A114,'[1]INPUT_ASSUMPTIONS CALC'!$A$13:$CK$1019,F$7,FALSE),0)))))</f>
        <v>0</v>
      </c>
      <c r="G114" s="137">
        <f>SUMIF('[1]INPUT_ASSUMPTIONS CALC'!A:A,'[1]Summary calculation'!A114,'[1]INPUT_ASSUMPTIONS CALC'!BU:BU)</f>
        <v>0</v>
      </c>
      <c r="H114" s="138">
        <f>IF($F$5="Year",F114*G114*'[1]INPUT_ASSUMPTIONS CALC'!$S$7,F114*G114)</f>
        <v>0</v>
      </c>
      <c r="I114" s="138">
        <f>H114*VLOOKUP($A114,'[1]INPUT_ASSUMPTIONS CALC'!$A$13:$CK$1019,H$6,FALSE)*SUMIF('[1]INPUT_ASSUMPTIONS CALC'!$CL$15:$CL$17,'[1]Summary calculation'!E114,'[1]INPUT_ASSUMPTIONS CALC'!$CM$15:$CM$17)</f>
        <v>0</v>
      </c>
      <c r="J114" s="139">
        <f>$I114*VLOOKUP($A114,'[1]INPUT_ASSUMPTIONS CALC'!$A$13:$CK$1019,I$6,FALSE)*VLOOKUP($A114,'[1]INPUT_ASSUMPTIONS CALC'!$A$13:$CK$1019,J$7,FALSE)</f>
        <v>0</v>
      </c>
      <c r="K114" s="139">
        <f>$I114*VLOOKUP($A114,'[1]INPUT_ASSUMPTIONS CALC'!$A$13:$CK$1019,I$6,FALSE)*VLOOKUP($A114,'[1]INPUT_ASSUMPTIONS CALC'!$A$13:$CK$1019,K$7,FALSE)</f>
        <v>0</v>
      </c>
      <c r="L114" s="139">
        <f>$I114*VLOOKUP($A114,'[1]INPUT_ASSUMPTIONS CALC'!$A$13:$CK$1019,I$6,FALSE)*VLOOKUP($A114,'[1]INPUT_ASSUMPTIONS CALC'!$A$13:$CK$1019,L$7,FALSE)</f>
        <v>0</v>
      </c>
      <c r="M114" s="139">
        <f>$I114*VLOOKUP($A114,'[1]INPUT_ASSUMPTIONS CALC'!$A$13:$CK$1019,I$6,FALSE)*VLOOKUP($A114,'[1]INPUT_ASSUMPTIONS CALC'!$A$13:$CK$1019,M$7,FALSE)</f>
        <v>0</v>
      </c>
      <c r="N114" s="140">
        <f t="shared" si="7"/>
        <v>0</v>
      </c>
      <c r="O114" s="141">
        <f>H114*VLOOKUP($A114,'[1]INPUT_ASSUMPTIONS CALC'!$A$13:$CK$1019,H$6,FALSE)*SUMIF('[1]INPUT_ASSUMPTIONS CALC'!$CQ$15:$CQ$17,'[1]Summary calculation'!E114,'[1]INPUT_ASSUMPTIONS CALC'!$CR$15:$CR$17)</f>
        <v>0</v>
      </c>
      <c r="P114" s="141">
        <f>H114*VLOOKUP($A114,'[1]INPUT_ASSUMPTIONS CALC'!$A$13:$CK$1019,H$6,FALSE)*SUMIF('[1]INPUT_ASSUMPTIONS CALC'!$CV$15:$CV$31,'[1]Summary calculation'!E114,'[1]INPUT_ASSUMPTIONS CALC'!$CW$15:$CW$31)</f>
        <v>0</v>
      </c>
      <c r="Q114" s="141">
        <f>O114*VLOOKUP($A114,'[1]INPUT_ASSUMPTIONS CALC'!$A$13:$CK$1019,Q$7,FALSE)</f>
        <v>0</v>
      </c>
      <c r="R114" s="141">
        <f>P114*VLOOKUP($A114,'[1]INPUT_ASSUMPTIONS CALC'!$A$13:$CK$1019,R$7,FALSE)</f>
        <v>0</v>
      </c>
      <c r="S114" s="140">
        <f t="shared" si="5"/>
        <v>0</v>
      </c>
      <c r="T114" s="142">
        <f t="shared" si="6"/>
        <v>0</v>
      </c>
      <c r="U114" s="61"/>
    </row>
    <row r="115" spans="1:21" x14ac:dyDescent="0.35">
      <c r="A115" s="125" t="str">
        <f t="shared" si="4"/>
        <v>107Q2</v>
      </c>
      <c r="B115" s="135">
        <v>107</v>
      </c>
      <c r="C115" s="61" t="str">
        <f>INDEX('[1]INPUT_ASSUMPTIONS CALC'!D:D,MATCH(A115,'[1]INPUT_ASSUMPTIONS CALC'!A:A,0))</f>
        <v/>
      </c>
      <c r="D115" s="61" t="str">
        <f>INDEX('[1]INPUT_ASSUMPTIONS CALC'!I:I,MATCH(A115,'[1]INPUT_ASSUMPTIONS CALC'!A:A,0))</f>
        <v/>
      </c>
      <c r="E115" s="61" t="str">
        <f>INDEX('[1]INPUT_ASSUMPTIONS CALC'!E:E,MATCH(A115,'[1]INPUT_ASSUMPTIONS CALC'!A:A,0))</f>
        <v/>
      </c>
      <c r="F115" s="136">
        <f>IF($F$5="Q1",VLOOKUP($A115,'[1]INPUT_ASSUMPTIONS CALC'!$A$13:$CK$1019,F$7,FALSE),IF($F$5="Q2",VLOOKUP($A115,'[1]INPUT_ASSUMPTIONS CALC'!$A$13:$CK$1019,F$7,FALSE),IF($F$5="Q3",VLOOKUP($A115,'[1]INPUT_ASSUMPTIONS CALC'!$A$13:$CK$1019,F$7,FALSE),IF($F$5="Q4",VLOOKUP($A115,'[1]INPUT_ASSUMPTIONS CALC'!$A$13:$CK$1019,F$7,FALSE),IF($F$5="Year",VLOOKUP($A115,'[1]INPUT_ASSUMPTIONS CALC'!$A$13:$CK$1019,F$7,FALSE),0)))))</f>
        <v>0</v>
      </c>
      <c r="G115" s="137">
        <f>SUMIF('[1]INPUT_ASSUMPTIONS CALC'!A:A,'[1]Summary calculation'!A115,'[1]INPUT_ASSUMPTIONS CALC'!BU:BU)</f>
        <v>0</v>
      </c>
      <c r="H115" s="138">
        <f>IF($F$5="Year",F115*G115*'[1]INPUT_ASSUMPTIONS CALC'!$S$7,F115*G115)</f>
        <v>0</v>
      </c>
      <c r="I115" s="138">
        <f>H115*VLOOKUP($A115,'[1]INPUT_ASSUMPTIONS CALC'!$A$13:$CK$1019,H$6,FALSE)*SUMIF('[1]INPUT_ASSUMPTIONS CALC'!$CL$15:$CL$17,'[1]Summary calculation'!E115,'[1]INPUT_ASSUMPTIONS CALC'!$CM$15:$CM$17)</f>
        <v>0</v>
      </c>
      <c r="J115" s="139">
        <f>$I115*VLOOKUP($A115,'[1]INPUT_ASSUMPTIONS CALC'!$A$13:$CK$1019,I$6,FALSE)*VLOOKUP($A115,'[1]INPUT_ASSUMPTIONS CALC'!$A$13:$CK$1019,J$7,FALSE)</f>
        <v>0</v>
      </c>
      <c r="K115" s="139">
        <f>$I115*VLOOKUP($A115,'[1]INPUT_ASSUMPTIONS CALC'!$A$13:$CK$1019,I$6,FALSE)*VLOOKUP($A115,'[1]INPUT_ASSUMPTIONS CALC'!$A$13:$CK$1019,K$7,FALSE)</f>
        <v>0</v>
      </c>
      <c r="L115" s="139">
        <f>$I115*VLOOKUP($A115,'[1]INPUT_ASSUMPTIONS CALC'!$A$13:$CK$1019,I$6,FALSE)*VLOOKUP($A115,'[1]INPUT_ASSUMPTIONS CALC'!$A$13:$CK$1019,L$7,FALSE)</f>
        <v>0</v>
      </c>
      <c r="M115" s="139">
        <f>$I115*VLOOKUP($A115,'[1]INPUT_ASSUMPTIONS CALC'!$A$13:$CK$1019,I$6,FALSE)*VLOOKUP($A115,'[1]INPUT_ASSUMPTIONS CALC'!$A$13:$CK$1019,M$7,FALSE)</f>
        <v>0</v>
      </c>
      <c r="N115" s="140">
        <f t="shared" si="7"/>
        <v>0</v>
      </c>
      <c r="O115" s="141">
        <f>H115*VLOOKUP($A115,'[1]INPUT_ASSUMPTIONS CALC'!$A$13:$CK$1019,H$6,FALSE)*SUMIF('[1]INPUT_ASSUMPTIONS CALC'!$CQ$15:$CQ$17,'[1]Summary calculation'!E115,'[1]INPUT_ASSUMPTIONS CALC'!$CR$15:$CR$17)</f>
        <v>0</v>
      </c>
      <c r="P115" s="141">
        <f>H115*VLOOKUP($A115,'[1]INPUT_ASSUMPTIONS CALC'!$A$13:$CK$1019,H$6,FALSE)*SUMIF('[1]INPUT_ASSUMPTIONS CALC'!$CV$15:$CV$31,'[1]Summary calculation'!E115,'[1]INPUT_ASSUMPTIONS CALC'!$CW$15:$CW$31)</f>
        <v>0</v>
      </c>
      <c r="Q115" s="141">
        <f>O115*VLOOKUP($A115,'[1]INPUT_ASSUMPTIONS CALC'!$A$13:$CK$1019,Q$7,FALSE)</f>
        <v>0</v>
      </c>
      <c r="R115" s="141">
        <f>P115*VLOOKUP($A115,'[1]INPUT_ASSUMPTIONS CALC'!$A$13:$CK$1019,R$7,FALSE)</f>
        <v>0</v>
      </c>
      <c r="S115" s="140">
        <f t="shared" si="5"/>
        <v>0</v>
      </c>
      <c r="T115" s="142">
        <f t="shared" si="6"/>
        <v>0</v>
      </c>
      <c r="U115" s="61"/>
    </row>
    <row r="116" spans="1:21" x14ac:dyDescent="0.35">
      <c r="A116" s="125" t="str">
        <f t="shared" si="4"/>
        <v>108Q2</v>
      </c>
      <c r="B116" s="135">
        <v>108</v>
      </c>
      <c r="C116" s="61" t="str">
        <f>INDEX('[1]INPUT_ASSUMPTIONS CALC'!D:D,MATCH(A116,'[1]INPUT_ASSUMPTIONS CALC'!A:A,0))</f>
        <v/>
      </c>
      <c r="D116" s="61" t="str">
        <f>INDEX('[1]INPUT_ASSUMPTIONS CALC'!I:I,MATCH(A116,'[1]INPUT_ASSUMPTIONS CALC'!A:A,0))</f>
        <v/>
      </c>
      <c r="E116" s="61" t="str">
        <f>INDEX('[1]INPUT_ASSUMPTIONS CALC'!E:E,MATCH(A116,'[1]INPUT_ASSUMPTIONS CALC'!A:A,0))</f>
        <v/>
      </c>
      <c r="F116" s="136">
        <f>IF($F$5="Q1",VLOOKUP($A116,'[1]INPUT_ASSUMPTIONS CALC'!$A$13:$CK$1019,F$7,FALSE),IF($F$5="Q2",VLOOKUP($A116,'[1]INPUT_ASSUMPTIONS CALC'!$A$13:$CK$1019,F$7,FALSE),IF($F$5="Q3",VLOOKUP($A116,'[1]INPUT_ASSUMPTIONS CALC'!$A$13:$CK$1019,F$7,FALSE),IF($F$5="Q4",VLOOKUP($A116,'[1]INPUT_ASSUMPTIONS CALC'!$A$13:$CK$1019,F$7,FALSE),IF($F$5="Year",VLOOKUP($A116,'[1]INPUT_ASSUMPTIONS CALC'!$A$13:$CK$1019,F$7,FALSE),0)))))</f>
        <v>0</v>
      </c>
      <c r="G116" s="137">
        <f>SUMIF('[1]INPUT_ASSUMPTIONS CALC'!A:A,'[1]Summary calculation'!A116,'[1]INPUT_ASSUMPTIONS CALC'!BU:BU)</f>
        <v>0</v>
      </c>
      <c r="H116" s="138">
        <f>IF($F$5="Year",F116*G116*'[1]INPUT_ASSUMPTIONS CALC'!$S$7,F116*G116)</f>
        <v>0</v>
      </c>
      <c r="I116" s="138">
        <f>H116*VLOOKUP($A116,'[1]INPUT_ASSUMPTIONS CALC'!$A$13:$CK$1019,H$6,FALSE)*SUMIF('[1]INPUT_ASSUMPTIONS CALC'!$CL$15:$CL$17,'[1]Summary calculation'!E116,'[1]INPUT_ASSUMPTIONS CALC'!$CM$15:$CM$17)</f>
        <v>0</v>
      </c>
      <c r="J116" s="139">
        <f>$I116*VLOOKUP($A116,'[1]INPUT_ASSUMPTIONS CALC'!$A$13:$CK$1019,I$6,FALSE)*VLOOKUP($A116,'[1]INPUT_ASSUMPTIONS CALC'!$A$13:$CK$1019,J$7,FALSE)</f>
        <v>0</v>
      </c>
      <c r="K116" s="139">
        <f>$I116*VLOOKUP($A116,'[1]INPUT_ASSUMPTIONS CALC'!$A$13:$CK$1019,I$6,FALSE)*VLOOKUP($A116,'[1]INPUT_ASSUMPTIONS CALC'!$A$13:$CK$1019,K$7,FALSE)</f>
        <v>0</v>
      </c>
      <c r="L116" s="139">
        <f>$I116*VLOOKUP($A116,'[1]INPUT_ASSUMPTIONS CALC'!$A$13:$CK$1019,I$6,FALSE)*VLOOKUP($A116,'[1]INPUT_ASSUMPTIONS CALC'!$A$13:$CK$1019,L$7,FALSE)</f>
        <v>0</v>
      </c>
      <c r="M116" s="139">
        <f>$I116*VLOOKUP($A116,'[1]INPUT_ASSUMPTIONS CALC'!$A$13:$CK$1019,I$6,FALSE)*VLOOKUP($A116,'[1]INPUT_ASSUMPTIONS CALC'!$A$13:$CK$1019,M$7,FALSE)</f>
        <v>0</v>
      </c>
      <c r="N116" s="140">
        <f t="shared" si="7"/>
        <v>0</v>
      </c>
      <c r="O116" s="141">
        <f>H116*VLOOKUP($A116,'[1]INPUT_ASSUMPTIONS CALC'!$A$13:$CK$1019,H$6,FALSE)*SUMIF('[1]INPUT_ASSUMPTIONS CALC'!$CQ$15:$CQ$17,'[1]Summary calculation'!E116,'[1]INPUT_ASSUMPTIONS CALC'!$CR$15:$CR$17)</f>
        <v>0</v>
      </c>
      <c r="P116" s="141">
        <f>H116*VLOOKUP($A116,'[1]INPUT_ASSUMPTIONS CALC'!$A$13:$CK$1019,H$6,FALSE)*SUMIF('[1]INPUT_ASSUMPTIONS CALC'!$CV$15:$CV$31,'[1]Summary calculation'!E116,'[1]INPUT_ASSUMPTIONS CALC'!$CW$15:$CW$31)</f>
        <v>0</v>
      </c>
      <c r="Q116" s="141">
        <f>O116*VLOOKUP($A116,'[1]INPUT_ASSUMPTIONS CALC'!$A$13:$CK$1019,Q$7,FALSE)</f>
        <v>0</v>
      </c>
      <c r="R116" s="141">
        <f>P116*VLOOKUP($A116,'[1]INPUT_ASSUMPTIONS CALC'!$A$13:$CK$1019,R$7,FALSE)</f>
        <v>0</v>
      </c>
      <c r="S116" s="140">
        <f t="shared" si="5"/>
        <v>0</v>
      </c>
      <c r="T116" s="142">
        <f t="shared" si="6"/>
        <v>0</v>
      </c>
      <c r="U116" s="61"/>
    </row>
    <row r="117" spans="1:21" x14ac:dyDescent="0.35">
      <c r="A117" s="125" t="str">
        <f t="shared" si="4"/>
        <v>109Q2</v>
      </c>
      <c r="B117" s="135">
        <v>109</v>
      </c>
      <c r="C117" s="61" t="str">
        <f>INDEX('[1]INPUT_ASSUMPTIONS CALC'!D:D,MATCH(A117,'[1]INPUT_ASSUMPTIONS CALC'!A:A,0))</f>
        <v/>
      </c>
      <c r="D117" s="61" t="str">
        <f>INDEX('[1]INPUT_ASSUMPTIONS CALC'!I:I,MATCH(A117,'[1]INPUT_ASSUMPTIONS CALC'!A:A,0))</f>
        <v/>
      </c>
      <c r="E117" s="61" t="str">
        <f>INDEX('[1]INPUT_ASSUMPTIONS CALC'!E:E,MATCH(A117,'[1]INPUT_ASSUMPTIONS CALC'!A:A,0))</f>
        <v/>
      </c>
      <c r="F117" s="136">
        <f>IF($F$5="Q1",VLOOKUP($A117,'[1]INPUT_ASSUMPTIONS CALC'!$A$13:$CK$1019,F$7,FALSE),IF($F$5="Q2",VLOOKUP($A117,'[1]INPUT_ASSUMPTIONS CALC'!$A$13:$CK$1019,F$7,FALSE),IF($F$5="Q3",VLOOKUP($A117,'[1]INPUT_ASSUMPTIONS CALC'!$A$13:$CK$1019,F$7,FALSE),IF($F$5="Q4",VLOOKUP($A117,'[1]INPUT_ASSUMPTIONS CALC'!$A$13:$CK$1019,F$7,FALSE),IF($F$5="Year",VLOOKUP($A117,'[1]INPUT_ASSUMPTIONS CALC'!$A$13:$CK$1019,F$7,FALSE),0)))))</f>
        <v>0</v>
      </c>
      <c r="G117" s="137">
        <f>SUMIF('[1]INPUT_ASSUMPTIONS CALC'!A:A,'[1]Summary calculation'!A117,'[1]INPUT_ASSUMPTIONS CALC'!BU:BU)</f>
        <v>0</v>
      </c>
      <c r="H117" s="138">
        <f>IF($F$5="Year",F117*G117*'[1]INPUT_ASSUMPTIONS CALC'!$S$7,F117*G117)</f>
        <v>0</v>
      </c>
      <c r="I117" s="138">
        <f>H117*VLOOKUP($A117,'[1]INPUT_ASSUMPTIONS CALC'!$A$13:$CK$1019,H$6,FALSE)*SUMIF('[1]INPUT_ASSUMPTIONS CALC'!$CL$15:$CL$17,'[1]Summary calculation'!E117,'[1]INPUT_ASSUMPTIONS CALC'!$CM$15:$CM$17)</f>
        <v>0</v>
      </c>
      <c r="J117" s="139">
        <f>$I117*VLOOKUP($A117,'[1]INPUT_ASSUMPTIONS CALC'!$A$13:$CK$1019,I$6,FALSE)*VLOOKUP($A117,'[1]INPUT_ASSUMPTIONS CALC'!$A$13:$CK$1019,J$7,FALSE)</f>
        <v>0</v>
      </c>
      <c r="K117" s="139">
        <f>$I117*VLOOKUP($A117,'[1]INPUT_ASSUMPTIONS CALC'!$A$13:$CK$1019,I$6,FALSE)*VLOOKUP($A117,'[1]INPUT_ASSUMPTIONS CALC'!$A$13:$CK$1019,K$7,FALSE)</f>
        <v>0</v>
      </c>
      <c r="L117" s="139">
        <f>$I117*VLOOKUP($A117,'[1]INPUT_ASSUMPTIONS CALC'!$A$13:$CK$1019,I$6,FALSE)*VLOOKUP($A117,'[1]INPUT_ASSUMPTIONS CALC'!$A$13:$CK$1019,L$7,FALSE)</f>
        <v>0</v>
      </c>
      <c r="M117" s="139">
        <f>$I117*VLOOKUP($A117,'[1]INPUT_ASSUMPTIONS CALC'!$A$13:$CK$1019,I$6,FALSE)*VLOOKUP($A117,'[1]INPUT_ASSUMPTIONS CALC'!$A$13:$CK$1019,M$7,FALSE)</f>
        <v>0</v>
      </c>
      <c r="N117" s="140">
        <f t="shared" si="7"/>
        <v>0</v>
      </c>
      <c r="O117" s="141">
        <f>H117*VLOOKUP($A117,'[1]INPUT_ASSUMPTIONS CALC'!$A$13:$CK$1019,H$6,FALSE)*SUMIF('[1]INPUT_ASSUMPTIONS CALC'!$CQ$15:$CQ$17,'[1]Summary calculation'!E117,'[1]INPUT_ASSUMPTIONS CALC'!$CR$15:$CR$17)</f>
        <v>0</v>
      </c>
      <c r="P117" s="141">
        <f>H117*VLOOKUP($A117,'[1]INPUT_ASSUMPTIONS CALC'!$A$13:$CK$1019,H$6,FALSE)*SUMIF('[1]INPUT_ASSUMPTIONS CALC'!$CV$15:$CV$31,'[1]Summary calculation'!E117,'[1]INPUT_ASSUMPTIONS CALC'!$CW$15:$CW$31)</f>
        <v>0</v>
      </c>
      <c r="Q117" s="141">
        <f>O117*VLOOKUP($A117,'[1]INPUT_ASSUMPTIONS CALC'!$A$13:$CK$1019,Q$7,FALSE)</f>
        <v>0</v>
      </c>
      <c r="R117" s="141">
        <f>P117*VLOOKUP($A117,'[1]INPUT_ASSUMPTIONS CALC'!$A$13:$CK$1019,R$7,FALSE)</f>
        <v>0</v>
      </c>
      <c r="S117" s="140">
        <f t="shared" si="5"/>
        <v>0</v>
      </c>
      <c r="T117" s="142">
        <f t="shared" si="6"/>
        <v>0</v>
      </c>
      <c r="U117" s="61"/>
    </row>
    <row r="118" spans="1:21" x14ac:dyDescent="0.35">
      <c r="A118" s="125" t="str">
        <f t="shared" si="4"/>
        <v>110Q2</v>
      </c>
      <c r="B118" s="135">
        <v>110</v>
      </c>
      <c r="C118" s="61" t="str">
        <f>INDEX('[1]INPUT_ASSUMPTIONS CALC'!D:D,MATCH(A118,'[1]INPUT_ASSUMPTIONS CALC'!A:A,0))</f>
        <v/>
      </c>
      <c r="D118" s="61" t="str">
        <f>INDEX('[1]INPUT_ASSUMPTIONS CALC'!I:I,MATCH(A118,'[1]INPUT_ASSUMPTIONS CALC'!A:A,0))</f>
        <v/>
      </c>
      <c r="E118" s="61" t="str">
        <f>INDEX('[1]INPUT_ASSUMPTIONS CALC'!E:E,MATCH(A118,'[1]INPUT_ASSUMPTIONS CALC'!A:A,0))</f>
        <v/>
      </c>
      <c r="F118" s="136">
        <f>IF($F$5="Q1",VLOOKUP($A118,'[1]INPUT_ASSUMPTIONS CALC'!$A$13:$CK$1019,F$7,FALSE),IF($F$5="Q2",VLOOKUP($A118,'[1]INPUT_ASSUMPTIONS CALC'!$A$13:$CK$1019,F$7,FALSE),IF($F$5="Q3",VLOOKUP($A118,'[1]INPUT_ASSUMPTIONS CALC'!$A$13:$CK$1019,F$7,FALSE),IF($F$5="Q4",VLOOKUP($A118,'[1]INPUT_ASSUMPTIONS CALC'!$A$13:$CK$1019,F$7,FALSE),IF($F$5="Year",VLOOKUP($A118,'[1]INPUT_ASSUMPTIONS CALC'!$A$13:$CK$1019,F$7,FALSE),0)))))</f>
        <v>0</v>
      </c>
      <c r="G118" s="137">
        <f>SUMIF('[1]INPUT_ASSUMPTIONS CALC'!A:A,'[1]Summary calculation'!A118,'[1]INPUT_ASSUMPTIONS CALC'!BU:BU)</f>
        <v>0</v>
      </c>
      <c r="H118" s="138">
        <f>IF($F$5="Year",F118*G118*'[1]INPUT_ASSUMPTIONS CALC'!$S$7,F118*G118)</f>
        <v>0</v>
      </c>
      <c r="I118" s="138">
        <f>H118*VLOOKUP($A118,'[1]INPUT_ASSUMPTIONS CALC'!$A$13:$CK$1019,H$6,FALSE)*SUMIF('[1]INPUT_ASSUMPTIONS CALC'!$CL$15:$CL$17,'[1]Summary calculation'!E118,'[1]INPUT_ASSUMPTIONS CALC'!$CM$15:$CM$17)</f>
        <v>0</v>
      </c>
      <c r="J118" s="139">
        <f>$I118*VLOOKUP($A118,'[1]INPUT_ASSUMPTIONS CALC'!$A$13:$CK$1019,I$6,FALSE)*VLOOKUP($A118,'[1]INPUT_ASSUMPTIONS CALC'!$A$13:$CK$1019,J$7,FALSE)</f>
        <v>0</v>
      </c>
      <c r="K118" s="139">
        <f>$I118*VLOOKUP($A118,'[1]INPUT_ASSUMPTIONS CALC'!$A$13:$CK$1019,I$6,FALSE)*VLOOKUP($A118,'[1]INPUT_ASSUMPTIONS CALC'!$A$13:$CK$1019,K$7,FALSE)</f>
        <v>0</v>
      </c>
      <c r="L118" s="139">
        <f>$I118*VLOOKUP($A118,'[1]INPUT_ASSUMPTIONS CALC'!$A$13:$CK$1019,I$6,FALSE)*VLOOKUP($A118,'[1]INPUT_ASSUMPTIONS CALC'!$A$13:$CK$1019,L$7,FALSE)</f>
        <v>0</v>
      </c>
      <c r="M118" s="139">
        <f>$I118*VLOOKUP($A118,'[1]INPUT_ASSUMPTIONS CALC'!$A$13:$CK$1019,I$6,FALSE)*VLOOKUP($A118,'[1]INPUT_ASSUMPTIONS CALC'!$A$13:$CK$1019,M$7,FALSE)</f>
        <v>0</v>
      </c>
      <c r="N118" s="140">
        <f t="shared" si="7"/>
        <v>0</v>
      </c>
      <c r="O118" s="141">
        <f>H118*VLOOKUP($A118,'[1]INPUT_ASSUMPTIONS CALC'!$A$13:$CK$1019,H$6,FALSE)*SUMIF('[1]INPUT_ASSUMPTIONS CALC'!$CQ$15:$CQ$17,'[1]Summary calculation'!E118,'[1]INPUT_ASSUMPTIONS CALC'!$CR$15:$CR$17)</f>
        <v>0</v>
      </c>
      <c r="P118" s="141">
        <f>H118*VLOOKUP($A118,'[1]INPUT_ASSUMPTIONS CALC'!$A$13:$CK$1019,H$6,FALSE)*SUMIF('[1]INPUT_ASSUMPTIONS CALC'!$CV$15:$CV$31,'[1]Summary calculation'!E118,'[1]INPUT_ASSUMPTIONS CALC'!$CW$15:$CW$31)</f>
        <v>0</v>
      </c>
      <c r="Q118" s="141">
        <f>O118*VLOOKUP($A118,'[1]INPUT_ASSUMPTIONS CALC'!$A$13:$CK$1019,Q$7,FALSE)</f>
        <v>0</v>
      </c>
      <c r="R118" s="141">
        <f>P118*VLOOKUP($A118,'[1]INPUT_ASSUMPTIONS CALC'!$A$13:$CK$1019,R$7,FALSE)</f>
        <v>0</v>
      </c>
      <c r="S118" s="140">
        <f t="shared" si="5"/>
        <v>0</v>
      </c>
      <c r="T118" s="142">
        <f t="shared" si="6"/>
        <v>0</v>
      </c>
      <c r="U118" s="61"/>
    </row>
    <row r="119" spans="1:21" x14ac:dyDescent="0.35">
      <c r="A119" s="125" t="str">
        <f t="shared" si="4"/>
        <v>111Q2</v>
      </c>
      <c r="B119" s="135">
        <v>111</v>
      </c>
      <c r="C119" s="61" t="str">
        <f>INDEX('[1]INPUT_ASSUMPTIONS CALC'!D:D,MATCH(A119,'[1]INPUT_ASSUMPTIONS CALC'!A:A,0))</f>
        <v/>
      </c>
      <c r="D119" s="61" t="str">
        <f>INDEX('[1]INPUT_ASSUMPTIONS CALC'!I:I,MATCH(A119,'[1]INPUT_ASSUMPTIONS CALC'!A:A,0))</f>
        <v/>
      </c>
      <c r="E119" s="61" t="str">
        <f>INDEX('[1]INPUT_ASSUMPTIONS CALC'!E:E,MATCH(A119,'[1]INPUT_ASSUMPTIONS CALC'!A:A,0))</f>
        <v/>
      </c>
      <c r="F119" s="136">
        <f>IF($F$5="Q1",VLOOKUP($A119,'[1]INPUT_ASSUMPTIONS CALC'!$A$13:$CK$1019,F$7,FALSE),IF($F$5="Q2",VLOOKUP($A119,'[1]INPUT_ASSUMPTIONS CALC'!$A$13:$CK$1019,F$7,FALSE),IF($F$5="Q3",VLOOKUP($A119,'[1]INPUT_ASSUMPTIONS CALC'!$A$13:$CK$1019,F$7,FALSE),IF($F$5="Q4",VLOOKUP($A119,'[1]INPUT_ASSUMPTIONS CALC'!$A$13:$CK$1019,F$7,FALSE),IF($F$5="Year",VLOOKUP($A119,'[1]INPUT_ASSUMPTIONS CALC'!$A$13:$CK$1019,F$7,FALSE),0)))))</f>
        <v>0</v>
      </c>
      <c r="G119" s="137">
        <f>SUMIF('[1]INPUT_ASSUMPTIONS CALC'!A:A,'[1]Summary calculation'!A119,'[1]INPUT_ASSUMPTIONS CALC'!BU:BU)</f>
        <v>0</v>
      </c>
      <c r="H119" s="138">
        <f>IF($F$5="Year",F119*G119*'[1]INPUT_ASSUMPTIONS CALC'!$S$7,F119*G119)</f>
        <v>0</v>
      </c>
      <c r="I119" s="138">
        <f>H119*VLOOKUP($A119,'[1]INPUT_ASSUMPTIONS CALC'!$A$13:$CK$1019,H$6,FALSE)*SUMIF('[1]INPUT_ASSUMPTIONS CALC'!$CL$15:$CL$17,'[1]Summary calculation'!E119,'[1]INPUT_ASSUMPTIONS CALC'!$CM$15:$CM$17)</f>
        <v>0</v>
      </c>
      <c r="J119" s="139">
        <f>$I119*VLOOKUP($A119,'[1]INPUT_ASSUMPTIONS CALC'!$A$13:$CK$1019,I$6,FALSE)*VLOOKUP($A119,'[1]INPUT_ASSUMPTIONS CALC'!$A$13:$CK$1019,J$7,FALSE)</f>
        <v>0</v>
      </c>
      <c r="K119" s="139">
        <f>$I119*VLOOKUP($A119,'[1]INPUT_ASSUMPTIONS CALC'!$A$13:$CK$1019,I$6,FALSE)*VLOOKUP($A119,'[1]INPUT_ASSUMPTIONS CALC'!$A$13:$CK$1019,K$7,FALSE)</f>
        <v>0</v>
      </c>
      <c r="L119" s="139">
        <f>$I119*VLOOKUP($A119,'[1]INPUT_ASSUMPTIONS CALC'!$A$13:$CK$1019,I$6,FALSE)*VLOOKUP($A119,'[1]INPUT_ASSUMPTIONS CALC'!$A$13:$CK$1019,L$7,FALSE)</f>
        <v>0</v>
      </c>
      <c r="M119" s="139">
        <f>$I119*VLOOKUP($A119,'[1]INPUT_ASSUMPTIONS CALC'!$A$13:$CK$1019,I$6,FALSE)*VLOOKUP($A119,'[1]INPUT_ASSUMPTIONS CALC'!$A$13:$CK$1019,M$7,FALSE)</f>
        <v>0</v>
      </c>
      <c r="N119" s="140">
        <f t="shared" si="7"/>
        <v>0</v>
      </c>
      <c r="O119" s="141">
        <f>H119*VLOOKUP($A119,'[1]INPUT_ASSUMPTIONS CALC'!$A$13:$CK$1019,H$6,FALSE)*SUMIF('[1]INPUT_ASSUMPTIONS CALC'!$CQ$15:$CQ$17,'[1]Summary calculation'!E119,'[1]INPUT_ASSUMPTIONS CALC'!$CR$15:$CR$17)</f>
        <v>0</v>
      </c>
      <c r="P119" s="141">
        <f>H119*VLOOKUP($A119,'[1]INPUT_ASSUMPTIONS CALC'!$A$13:$CK$1019,H$6,FALSE)*SUMIF('[1]INPUT_ASSUMPTIONS CALC'!$CV$15:$CV$31,'[1]Summary calculation'!E119,'[1]INPUT_ASSUMPTIONS CALC'!$CW$15:$CW$31)</f>
        <v>0</v>
      </c>
      <c r="Q119" s="141">
        <f>O119*VLOOKUP($A119,'[1]INPUT_ASSUMPTIONS CALC'!$A$13:$CK$1019,Q$7,FALSE)</f>
        <v>0</v>
      </c>
      <c r="R119" s="141">
        <f>P119*VLOOKUP($A119,'[1]INPUT_ASSUMPTIONS CALC'!$A$13:$CK$1019,R$7,FALSE)</f>
        <v>0</v>
      </c>
      <c r="S119" s="140">
        <f t="shared" si="5"/>
        <v>0</v>
      </c>
      <c r="T119" s="142">
        <f t="shared" si="6"/>
        <v>0</v>
      </c>
      <c r="U119" s="61"/>
    </row>
    <row r="120" spans="1:21" x14ac:dyDescent="0.35">
      <c r="A120" s="125" t="str">
        <f t="shared" si="4"/>
        <v>112Q2</v>
      </c>
      <c r="B120" s="135">
        <v>112</v>
      </c>
      <c r="C120" s="61" t="str">
        <f>INDEX('[1]INPUT_ASSUMPTIONS CALC'!D:D,MATCH(A120,'[1]INPUT_ASSUMPTIONS CALC'!A:A,0))</f>
        <v/>
      </c>
      <c r="D120" s="61" t="str">
        <f>INDEX('[1]INPUT_ASSUMPTIONS CALC'!I:I,MATCH(A120,'[1]INPUT_ASSUMPTIONS CALC'!A:A,0))</f>
        <v/>
      </c>
      <c r="E120" s="61" t="str">
        <f>INDEX('[1]INPUT_ASSUMPTIONS CALC'!E:E,MATCH(A120,'[1]INPUT_ASSUMPTIONS CALC'!A:A,0))</f>
        <v/>
      </c>
      <c r="F120" s="136">
        <f>IF($F$5="Q1",VLOOKUP($A120,'[1]INPUT_ASSUMPTIONS CALC'!$A$13:$CK$1019,F$7,FALSE),IF($F$5="Q2",VLOOKUP($A120,'[1]INPUT_ASSUMPTIONS CALC'!$A$13:$CK$1019,F$7,FALSE),IF($F$5="Q3",VLOOKUP($A120,'[1]INPUT_ASSUMPTIONS CALC'!$A$13:$CK$1019,F$7,FALSE),IF($F$5="Q4",VLOOKUP($A120,'[1]INPUT_ASSUMPTIONS CALC'!$A$13:$CK$1019,F$7,FALSE),IF($F$5="Year",VLOOKUP($A120,'[1]INPUT_ASSUMPTIONS CALC'!$A$13:$CK$1019,F$7,FALSE),0)))))</f>
        <v>0</v>
      </c>
      <c r="G120" s="137">
        <f>SUMIF('[1]INPUT_ASSUMPTIONS CALC'!A:A,'[1]Summary calculation'!A120,'[1]INPUT_ASSUMPTIONS CALC'!BU:BU)</f>
        <v>0</v>
      </c>
      <c r="H120" s="138">
        <f>IF($F$5="Year",F120*G120*'[1]INPUT_ASSUMPTIONS CALC'!$S$7,F120*G120)</f>
        <v>0</v>
      </c>
      <c r="I120" s="138">
        <f>H120*VLOOKUP($A120,'[1]INPUT_ASSUMPTIONS CALC'!$A$13:$CK$1019,H$6,FALSE)*SUMIF('[1]INPUT_ASSUMPTIONS CALC'!$CL$15:$CL$17,'[1]Summary calculation'!E120,'[1]INPUT_ASSUMPTIONS CALC'!$CM$15:$CM$17)</f>
        <v>0</v>
      </c>
      <c r="J120" s="139">
        <f>$I120*VLOOKUP($A120,'[1]INPUT_ASSUMPTIONS CALC'!$A$13:$CK$1019,I$6,FALSE)*VLOOKUP($A120,'[1]INPUT_ASSUMPTIONS CALC'!$A$13:$CK$1019,J$7,FALSE)</f>
        <v>0</v>
      </c>
      <c r="K120" s="139">
        <f>$I120*VLOOKUP($A120,'[1]INPUT_ASSUMPTIONS CALC'!$A$13:$CK$1019,I$6,FALSE)*VLOOKUP($A120,'[1]INPUT_ASSUMPTIONS CALC'!$A$13:$CK$1019,K$7,FALSE)</f>
        <v>0</v>
      </c>
      <c r="L120" s="139">
        <f>$I120*VLOOKUP($A120,'[1]INPUT_ASSUMPTIONS CALC'!$A$13:$CK$1019,I$6,FALSE)*VLOOKUP($A120,'[1]INPUT_ASSUMPTIONS CALC'!$A$13:$CK$1019,L$7,FALSE)</f>
        <v>0</v>
      </c>
      <c r="M120" s="139">
        <f>$I120*VLOOKUP($A120,'[1]INPUT_ASSUMPTIONS CALC'!$A$13:$CK$1019,I$6,FALSE)*VLOOKUP($A120,'[1]INPUT_ASSUMPTIONS CALC'!$A$13:$CK$1019,M$7,FALSE)</f>
        <v>0</v>
      </c>
      <c r="N120" s="140">
        <f t="shared" si="7"/>
        <v>0</v>
      </c>
      <c r="O120" s="141">
        <f>H120*VLOOKUP($A120,'[1]INPUT_ASSUMPTIONS CALC'!$A$13:$CK$1019,H$6,FALSE)*SUMIF('[1]INPUT_ASSUMPTIONS CALC'!$CQ$15:$CQ$17,'[1]Summary calculation'!E120,'[1]INPUT_ASSUMPTIONS CALC'!$CR$15:$CR$17)</f>
        <v>0</v>
      </c>
      <c r="P120" s="141">
        <f>H120*VLOOKUP($A120,'[1]INPUT_ASSUMPTIONS CALC'!$A$13:$CK$1019,H$6,FALSE)*SUMIF('[1]INPUT_ASSUMPTIONS CALC'!$CV$15:$CV$31,'[1]Summary calculation'!E120,'[1]INPUT_ASSUMPTIONS CALC'!$CW$15:$CW$31)</f>
        <v>0</v>
      </c>
      <c r="Q120" s="141">
        <f>O120*VLOOKUP($A120,'[1]INPUT_ASSUMPTIONS CALC'!$A$13:$CK$1019,Q$7,FALSE)</f>
        <v>0</v>
      </c>
      <c r="R120" s="141">
        <f>P120*VLOOKUP($A120,'[1]INPUT_ASSUMPTIONS CALC'!$A$13:$CK$1019,R$7,FALSE)</f>
        <v>0</v>
      </c>
      <c r="S120" s="140">
        <f t="shared" si="5"/>
        <v>0</v>
      </c>
      <c r="T120" s="142">
        <f t="shared" si="6"/>
        <v>0</v>
      </c>
      <c r="U120" s="61"/>
    </row>
    <row r="121" spans="1:21" x14ac:dyDescent="0.35">
      <c r="A121" s="125" t="str">
        <f t="shared" si="4"/>
        <v>113Q2</v>
      </c>
      <c r="B121" s="135">
        <v>113</v>
      </c>
      <c r="C121" s="61" t="str">
        <f>INDEX('[1]INPUT_ASSUMPTIONS CALC'!D:D,MATCH(A121,'[1]INPUT_ASSUMPTIONS CALC'!A:A,0))</f>
        <v/>
      </c>
      <c r="D121" s="61" t="str">
        <f>INDEX('[1]INPUT_ASSUMPTIONS CALC'!I:I,MATCH(A121,'[1]INPUT_ASSUMPTIONS CALC'!A:A,0))</f>
        <v/>
      </c>
      <c r="E121" s="61" t="str">
        <f>INDEX('[1]INPUT_ASSUMPTIONS CALC'!E:E,MATCH(A121,'[1]INPUT_ASSUMPTIONS CALC'!A:A,0))</f>
        <v/>
      </c>
      <c r="F121" s="136">
        <f>IF($F$5="Q1",VLOOKUP($A121,'[1]INPUT_ASSUMPTIONS CALC'!$A$13:$CK$1019,F$7,FALSE),IF($F$5="Q2",VLOOKUP($A121,'[1]INPUT_ASSUMPTIONS CALC'!$A$13:$CK$1019,F$7,FALSE),IF($F$5="Q3",VLOOKUP($A121,'[1]INPUT_ASSUMPTIONS CALC'!$A$13:$CK$1019,F$7,FALSE),IF($F$5="Q4",VLOOKUP($A121,'[1]INPUT_ASSUMPTIONS CALC'!$A$13:$CK$1019,F$7,FALSE),IF($F$5="Year",VLOOKUP($A121,'[1]INPUT_ASSUMPTIONS CALC'!$A$13:$CK$1019,F$7,FALSE),0)))))</f>
        <v>0</v>
      </c>
      <c r="G121" s="137">
        <f>SUMIF('[1]INPUT_ASSUMPTIONS CALC'!A:A,'[1]Summary calculation'!A121,'[1]INPUT_ASSUMPTIONS CALC'!BU:BU)</f>
        <v>0</v>
      </c>
      <c r="H121" s="138">
        <f>IF($F$5="Year",F121*G121*'[1]INPUT_ASSUMPTIONS CALC'!$S$7,F121*G121)</f>
        <v>0</v>
      </c>
      <c r="I121" s="138">
        <f>H121*VLOOKUP($A121,'[1]INPUT_ASSUMPTIONS CALC'!$A$13:$CK$1019,H$6,FALSE)*SUMIF('[1]INPUT_ASSUMPTIONS CALC'!$CL$15:$CL$17,'[1]Summary calculation'!E121,'[1]INPUT_ASSUMPTIONS CALC'!$CM$15:$CM$17)</f>
        <v>0</v>
      </c>
      <c r="J121" s="139">
        <f>$I121*VLOOKUP($A121,'[1]INPUT_ASSUMPTIONS CALC'!$A$13:$CK$1019,I$6,FALSE)*VLOOKUP($A121,'[1]INPUT_ASSUMPTIONS CALC'!$A$13:$CK$1019,J$7,FALSE)</f>
        <v>0</v>
      </c>
      <c r="K121" s="139">
        <f>$I121*VLOOKUP($A121,'[1]INPUT_ASSUMPTIONS CALC'!$A$13:$CK$1019,I$6,FALSE)*VLOOKUP($A121,'[1]INPUT_ASSUMPTIONS CALC'!$A$13:$CK$1019,K$7,FALSE)</f>
        <v>0</v>
      </c>
      <c r="L121" s="139">
        <f>$I121*VLOOKUP($A121,'[1]INPUT_ASSUMPTIONS CALC'!$A$13:$CK$1019,I$6,FALSE)*VLOOKUP($A121,'[1]INPUT_ASSUMPTIONS CALC'!$A$13:$CK$1019,L$7,FALSE)</f>
        <v>0</v>
      </c>
      <c r="M121" s="139">
        <f>$I121*VLOOKUP($A121,'[1]INPUT_ASSUMPTIONS CALC'!$A$13:$CK$1019,I$6,FALSE)*VLOOKUP($A121,'[1]INPUT_ASSUMPTIONS CALC'!$A$13:$CK$1019,M$7,FALSE)</f>
        <v>0</v>
      </c>
      <c r="N121" s="140">
        <f t="shared" si="7"/>
        <v>0</v>
      </c>
      <c r="O121" s="141">
        <f>H121*VLOOKUP($A121,'[1]INPUT_ASSUMPTIONS CALC'!$A$13:$CK$1019,H$6,FALSE)*SUMIF('[1]INPUT_ASSUMPTIONS CALC'!$CQ$15:$CQ$17,'[1]Summary calculation'!E121,'[1]INPUT_ASSUMPTIONS CALC'!$CR$15:$CR$17)</f>
        <v>0</v>
      </c>
      <c r="P121" s="141">
        <f>H121*VLOOKUP($A121,'[1]INPUT_ASSUMPTIONS CALC'!$A$13:$CK$1019,H$6,FALSE)*SUMIF('[1]INPUT_ASSUMPTIONS CALC'!$CV$15:$CV$31,'[1]Summary calculation'!E121,'[1]INPUT_ASSUMPTIONS CALC'!$CW$15:$CW$31)</f>
        <v>0</v>
      </c>
      <c r="Q121" s="141">
        <f>O121*VLOOKUP($A121,'[1]INPUT_ASSUMPTIONS CALC'!$A$13:$CK$1019,Q$7,FALSE)</f>
        <v>0</v>
      </c>
      <c r="R121" s="141">
        <f>P121*VLOOKUP($A121,'[1]INPUT_ASSUMPTIONS CALC'!$A$13:$CK$1019,R$7,FALSE)</f>
        <v>0</v>
      </c>
      <c r="S121" s="140">
        <f t="shared" si="5"/>
        <v>0</v>
      </c>
      <c r="T121" s="142">
        <f t="shared" si="6"/>
        <v>0</v>
      </c>
      <c r="U121" s="61"/>
    </row>
    <row r="122" spans="1:21" x14ac:dyDescent="0.35">
      <c r="A122" s="125" t="str">
        <f t="shared" si="4"/>
        <v>114Q2</v>
      </c>
      <c r="B122" s="135">
        <v>114</v>
      </c>
      <c r="C122" s="61" t="str">
        <f>INDEX('[1]INPUT_ASSUMPTIONS CALC'!D:D,MATCH(A122,'[1]INPUT_ASSUMPTIONS CALC'!A:A,0))</f>
        <v/>
      </c>
      <c r="D122" s="61" t="str">
        <f>INDEX('[1]INPUT_ASSUMPTIONS CALC'!I:I,MATCH(A122,'[1]INPUT_ASSUMPTIONS CALC'!A:A,0))</f>
        <v/>
      </c>
      <c r="E122" s="61" t="str">
        <f>INDEX('[1]INPUT_ASSUMPTIONS CALC'!E:E,MATCH(A122,'[1]INPUT_ASSUMPTIONS CALC'!A:A,0))</f>
        <v/>
      </c>
      <c r="F122" s="136">
        <f>IF($F$5="Q1",VLOOKUP($A122,'[1]INPUT_ASSUMPTIONS CALC'!$A$13:$CK$1019,F$7,FALSE),IF($F$5="Q2",VLOOKUP($A122,'[1]INPUT_ASSUMPTIONS CALC'!$A$13:$CK$1019,F$7,FALSE),IF($F$5="Q3",VLOOKUP($A122,'[1]INPUT_ASSUMPTIONS CALC'!$A$13:$CK$1019,F$7,FALSE),IF($F$5="Q4",VLOOKUP($A122,'[1]INPUT_ASSUMPTIONS CALC'!$A$13:$CK$1019,F$7,FALSE),IF($F$5="Year",VLOOKUP($A122,'[1]INPUT_ASSUMPTIONS CALC'!$A$13:$CK$1019,F$7,FALSE),0)))))</f>
        <v>0</v>
      </c>
      <c r="G122" s="137">
        <f>SUMIF('[1]INPUT_ASSUMPTIONS CALC'!A:A,'[1]Summary calculation'!A122,'[1]INPUT_ASSUMPTIONS CALC'!BU:BU)</f>
        <v>0</v>
      </c>
      <c r="H122" s="138">
        <f>IF($F$5="Year",F122*G122*'[1]INPUT_ASSUMPTIONS CALC'!$S$7,F122*G122)</f>
        <v>0</v>
      </c>
      <c r="I122" s="138">
        <f>H122*VLOOKUP($A122,'[1]INPUT_ASSUMPTIONS CALC'!$A$13:$CK$1019,H$6,FALSE)*SUMIF('[1]INPUT_ASSUMPTIONS CALC'!$CL$15:$CL$17,'[1]Summary calculation'!E122,'[1]INPUT_ASSUMPTIONS CALC'!$CM$15:$CM$17)</f>
        <v>0</v>
      </c>
      <c r="J122" s="139">
        <f>$I122*VLOOKUP($A122,'[1]INPUT_ASSUMPTIONS CALC'!$A$13:$CK$1019,I$6,FALSE)*VLOOKUP($A122,'[1]INPUT_ASSUMPTIONS CALC'!$A$13:$CK$1019,J$7,FALSE)</f>
        <v>0</v>
      </c>
      <c r="K122" s="139">
        <f>$I122*VLOOKUP($A122,'[1]INPUT_ASSUMPTIONS CALC'!$A$13:$CK$1019,I$6,FALSE)*VLOOKUP($A122,'[1]INPUT_ASSUMPTIONS CALC'!$A$13:$CK$1019,K$7,FALSE)</f>
        <v>0</v>
      </c>
      <c r="L122" s="139">
        <f>$I122*VLOOKUP($A122,'[1]INPUT_ASSUMPTIONS CALC'!$A$13:$CK$1019,I$6,FALSE)*VLOOKUP($A122,'[1]INPUT_ASSUMPTIONS CALC'!$A$13:$CK$1019,L$7,FALSE)</f>
        <v>0</v>
      </c>
      <c r="M122" s="139">
        <f>$I122*VLOOKUP($A122,'[1]INPUT_ASSUMPTIONS CALC'!$A$13:$CK$1019,I$6,FALSE)*VLOOKUP($A122,'[1]INPUT_ASSUMPTIONS CALC'!$A$13:$CK$1019,M$7,FALSE)</f>
        <v>0</v>
      </c>
      <c r="N122" s="140">
        <f t="shared" si="7"/>
        <v>0</v>
      </c>
      <c r="O122" s="141">
        <f>H122*VLOOKUP($A122,'[1]INPUT_ASSUMPTIONS CALC'!$A$13:$CK$1019,H$6,FALSE)*SUMIF('[1]INPUT_ASSUMPTIONS CALC'!$CQ$15:$CQ$17,'[1]Summary calculation'!E122,'[1]INPUT_ASSUMPTIONS CALC'!$CR$15:$CR$17)</f>
        <v>0</v>
      </c>
      <c r="P122" s="141">
        <f>H122*VLOOKUP($A122,'[1]INPUT_ASSUMPTIONS CALC'!$A$13:$CK$1019,H$6,FALSE)*SUMIF('[1]INPUT_ASSUMPTIONS CALC'!$CV$15:$CV$31,'[1]Summary calculation'!E122,'[1]INPUT_ASSUMPTIONS CALC'!$CW$15:$CW$31)</f>
        <v>0</v>
      </c>
      <c r="Q122" s="141">
        <f>O122*VLOOKUP($A122,'[1]INPUT_ASSUMPTIONS CALC'!$A$13:$CK$1019,Q$7,FALSE)</f>
        <v>0</v>
      </c>
      <c r="R122" s="141">
        <f>P122*VLOOKUP($A122,'[1]INPUT_ASSUMPTIONS CALC'!$A$13:$CK$1019,R$7,FALSE)</f>
        <v>0</v>
      </c>
      <c r="S122" s="140">
        <f t="shared" si="5"/>
        <v>0</v>
      </c>
      <c r="T122" s="142">
        <f t="shared" si="6"/>
        <v>0</v>
      </c>
      <c r="U122" s="61"/>
    </row>
    <row r="123" spans="1:21" x14ac:dyDescent="0.35">
      <c r="A123" s="125" t="str">
        <f t="shared" si="4"/>
        <v>115Q2</v>
      </c>
      <c r="B123" s="135">
        <v>115</v>
      </c>
      <c r="C123" s="61" t="str">
        <f>INDEX('[1]INPUT_ASSUMPTIONS CALC'!D:D,MATCH(A123,'[1]INPUT_ASSUMPTIONS CALC'!A:A,0))</f>
        <v/>
      </c>
      <c r="D123" s="61" t="str">
        <f>INDEX('[1]INPUT_ASSUMPTIONS CALC'!I:I,MATCH(A123,'[1]INPUT_ASSUMPTIONS CALC'!A:A,0))</f>
        <v/>
      </c>
      <c r="E123" s="61" t="str">
        <f>INDEX('[1]INPUT_ASSUMPTIONS CALC'!E:E,MATCH(A123,'[1]INPUT_ASSUMPTIONS CALC'!A:A,0))</f>
        <v/>
      </c>
      <c r="F123" s="136">
        <f>IF($F$5="Q1",VLOOKUP($A123,'[1]INPUT_ASSUMPTIONS CALC'!$A$13:$CK$1019,F$7,FALSE),IF($F$5="Q2",VLOOKUP($A123,'[1]INPUT_ASSUMPTIONS CALC'!$A$13:$CK$1019,F$7,FALSE),IF($F$5="Q3",VLOOKUP($A123,'[1]INPUT_ASSUMPTIONS CALC'!$A$13:$CK$1019,F$7,FALSE),IF($F$5="Q4",VLOOKUP($A123,'[1]INPUT_ASSUMPTIONS CALC'!$A$13:$CK$1019,F$7,FALSE),IF($F$5="Year",VLOOKUP($A123,'[1]INPUT_ASSUMPTIONS CALC'!$A$13:$CK$1019,F$7,FALSE),0)))))</f>
        <v>0</v>
      </c>
      <c r="G123" s="137">
        <f>SUMIF('[1]INPUT_ASSUMPTIONS CALC'!A:A,'[1]Summary calculation'!A123,'[1]INPUT_ASSUMPTIONS CALC'!BU:BU)</f>
        <v>0</v>
      </c>
      <c r="H123" s="138">
        <f>IF($F$5="Year",F123*G123*'[1]INPUT_ASSUMPTIONS CALC'!$S$7,F123*G123)</f>
        <v>0</v>
      </c>
      <c r="I123" s="138">
        <f>H123*VLOOKUP($A123,'[1]INPUT_ASSUMPTIONS CALC'!$A$13:$CK$1019,H$6,FALSE)*SUMIF('[1]INPUT_ASSUMPTIONS CALC'!$CL$15:$CL$17,'[1]Summary calculation'!E123,'[1]INPUT_ASSUMPTIONS CALC'!$CM$15:$CM$17)</f>
        <v>0</v>
      </c>
      <c r="J123" s="139">
        <f>$I123*VLOOKUP($A123,'[1]INPUT_ASSUMPTIONS CALC'!$A$13:$CK$1019,I$6,FALSE)*VLOOKUP($A123,'[1]INPUT_ASSUMPTIONS CALC'!$A$13:$CK$1019,J$7,FALSE)</f>
        <v>0</v>
      </c>
      <c r="K123" s="139">
        <f>$I123*VLOOKUP($A123,'[1]INPUT_ASSUMPTIONS CALC'!$A$13:$CK$1019,I$6,FALSE)*VLOOKUP($A123,'[1]INPUT_ASSUMPTIONS CALC'!$A$13:$CK$1019,K$7,FALSE)</f>
        <v>0</v>
      </c>
      <c r="L123" s="139">
        <f>$I123*VLOOKUP($A123,'[1]INPUT_ASSUMPTIONS CALC'!$A$13:$CK$1019,I$6,FALSE)*VLOOKUP($A123,'[1]INPUT_ASSUMPTIONS CALC'!$A$13:$CK$1019,L$7,FALSE)</f>
        <v>0</v>
      </c>
      <c r="M123" s="139">
        <f>$I123*VLOOKUP($A123,'[1]INPUT_ASSUMPTIONS CALC'!$A$13:$CK$1019,I$6,FALSE)*VLOOKUP($A123,'[1]INPUT_ASSUMPTIONS CALC'!$A$13:$CK$1019,M$7,FALSE)</f>
        <v>0</v>
      </c>
      <c r="N123" s="140">
        <f t="shared" si="7"/>
        <v>0</v>
      </c>
      <c r="O123" s="141">
        <f>H123*VLOOKUP($A123,'[1]INPUT_ASSUMPTIONS CALC'!$A$13:$CK$1019,H$6,FALSE)*SUMIF('[1]INPUT_ASSUMPTIONS CALC'!$CQ$15:$CQ$17,'[1]Summary calculation'!E123,'[1]INPUT_ASSUMPTIONS CALC'!$CR$15:$CR$17)</f>
        <v>0</v>
      </c>
      <c r="P123" s="141">
        <f>H123*VLOOKUP($A123,'[1]INPUT_ASSUMPTIONS CALC'!$A$13:$CK$1019,H$6,FALSE)*SUMIF('[1]INPUT_ASSUMPTIONS CALC'!$CV$15:$CV$31,'[1]Summary calculation'!E123,'[1]INPUT_ASSUMPTIONS CALC'!$CW$15:$CW$31)</f>
        <v>0</v>
      </c>
      <c r="Q123" s="141">
        <f>O123*VLOOKUP($A123,'[1]INPUT_ASSUMPTIONS CALC'!$A$13:$CK$1019,Q$7,FALSE)</f>
        <v>0</v>
      </c>
      <c r="R123" s="141">
        <f>P123*VLOOKUP($A123,'[1]INPUT_ASSUMPTIONS CALC'!$A$13:$CK$1019,R$7,FALSE)</f>
        <v>0</v>
      </c>
      <c r="S123" s="140">
        <f t="shared" si="5"/>
        <v>0</v>
      </c>
      <c r="T123" s="142">
        <f t="shared" si="6"/>
        <v>0</v>
      </c>
      <c r="U123" s="61"/>
    </row>
    <row r="124" spans="1:21" x14ac:dyDescent="0.35">
      <c r="A124" s="125" t="str">
        <f t="shared" si="4"/>
        <v>116Q2</v>
      </c>
      <c r="B124" s="135">
        <v>116</v>
      </c>
      <c r="C124" s="61" t="str">
        <f>INDEX('[1]INPUT_ASSUMPTIONS CALC'!D:D,MATCH(A124,'[1]INPUT_ASSUMPTIONS CALC'!A:A,0))</f>
        <v/>
      </c>
      <c r="D124" s="61" t="str">
        <f>INDEX('[1]INPUT_ASSUMPTIONS CALC'!I:I,MATCH(A124,'[1]INPUT_ASSUMPTIONS CALC'!A:A,0))</f>
        <v/>
      </c>
      <c r="E124" s="61" t="str">
        <f>INDEX('[1]INPUT_ASSUMPTIONS CALC'!E:E,MATCH(A124,'[1]INPUT_ASSUMPTIONS CALC'!A:A,0))</f>
        <v/>
      </c>
      <c r="F124" s="136">
        <f>IF($F$5="Q1",VLOOKUP($A124,'[1]INPUT_ASSUMPTIONS CALC'!$A$13:$CK$1019,F$7,FALSE),IF($F$5="Q2",VLOOKUP($A124,'[1]INPUT_ASSUMPTIONS CALC'!$A$13:$CK$1019,F$7,FALSE),IF($F$5="Q3",VLOOKUP($A124,'[1]INPUT_ASSUMPTIONS CALC'!$A$13:$CK$1019,F$7,FALSE),IF($F$5="Q4",VLOOKUP($A124,'[1]INPUT_ASSUMPTIONS CALC'!$A$13:$CK$1019,F$7,FALSE),IF($F$5="Year",VLOOKUP($A124,'[1]INPUT_ASSUMPTIONS CALC'!$A$13:$CK$1019,F$7,FALSE),0)))))</f>
        <v>0</v>
      </c>
      <c r="G124" s="137">
        <f>SUMIF('[1]INPUT_ASSUMPTIONS CALC'!A:A,'[1]Summary calculation'!A124,'[1]INPUT_ASSUMPTIONS CALC'!BU:BU)</f>
        <v>0</v>
      </c>
      <c r="H124" s="138">
        <f>IF($F$5="Year",F124*G124*'[1]INPUT_ASSUMPTIONS CALC'!$S$7,F124*G124)</f>
        <v>0</v>
      </c>
      <c r="I124" s="138">
        <f>H124*VLOOKUP($A124,'[1]INPUT_ASSUMPTIONS CALC'!$A$13:$CK$1019,H$6,FALSE)*SUMIF('[1]INPUT_ASSUMPTIONS CALC'!$CL$15:$CL$17,'[1]Summary calculation'!E124,'[1]INPUT_ASSUMPTIONS CALC'!$CM$15:$CM$17)</f>
        <v>0</v>
      </c>
      <c r="J124" s="139">
        <f>$I124*VLOOKUP($A124,'[1]INPUT_ASSUMPTIONS CALC'!$A$13:$CK$1019,I$6,FALSE)*VLOOKUP($A124,'[1]INPUT_ASSUMPTIONS CALC'!$A$13:$CK$1019,J$7,FALSE)</f>
        <v>0</v>
      </c>
      <c r="K124" s="139">
        <f>$I124*VLOOKUP($A124,'[1]INPUT_ASSUMPTIONS CALC'!$A$13:$CK$1019,I$6,FALSE)*VLOOKUP($A124,'[1]INPUT_ASSUMPTIONS CALC'!$A$13:$CK$1019,K$7,FALSE)</f>
        <v>0</v>
      </c>
      <c r="L124" s="139">
        <f>$I124*VLOOKUP($A124,'[1]INPUT_ASSUMPTIONS CALC'!$A$13:$CK$1019,I$6,FALSE)*VLOOKUP($A124,'[1]INPUT_ASSUMPTIONS CALC'!$A$13:$CK$1019,L$7,FALSE)</f>
        <v>0</v>
      </c>
      <c r="M124" s="139">
        <f>$I124*VLOOKUP($A124,'[1]INPUT_ASSUMPTIONS CALC'!$A$13:$CK$1019,I$6,FALSE)*VLOOKUP($A124,'[1]INPUT_ASSUMPTIONS CALC'!$A$13:$CK$1019,M$7,FALSE)</f>
        <v>0</v>
      </c>
      <c r="N124" s="140">
        <f t="shared" si="7"/>
        <v>0</v>
      </c>
      <c r="O124" s="141">
        <f>H124*VLOOKUP($A124,'[1]INPUT_ASSUMPTIONS CALC'!$A$13:$CK$1019,H$6,FALSE)*SUMIF('[1]INPUT_ASSUMPTIONS CALC'!$CQ$15:$CQ$17,'[1]Summary calculation'!E124,'[1]INPUT_ASSUMPTIONS CALC'!$CR$15:$CR$17)</f>
        <v>0</v>
      </c>
      <c r="P124" s="141">
        <f>H124*VLOOKUP($A124,'[1]INPUT_ASSUMPTIONS CALC'!$A$13:$CK$1019,H$6,FALSE)*SUMIF('[1]INPUT_ASSUMPTIONS CALC'!$CV$15:$CV$31,'[1]Summary calculation'!E124,'[1]INPUT_ASSUMPTIONS CALC'!$CW$15:$CW$31)</f>
        <v>0</v>
      </c>
      <c r="Q124" s="141">
        <f>O124*VLOOKUP($A124,'[1]INPUT_ASSUMPTIONS CALC'!$A$13:$CK$1019,Q$7,FALSE)</f>
        <v>0</v>
      </c>
      <c r="R124" s="141">
        <f>P124*VLOOKUP($A124,'[1]INPUT_ASSUMPTIONS CALC'!$A$13:$CK$1019,R$7,FALSE)</f>
        <v>0</v>
      </c>
      <c r="S124" s="140">
        <f t="shared" si="5"/>
        <v>0</v>
      </c>
      <c r="T124" s="142">
        <f t="shared" si="6"/>
        <v>0</v>
      </c>
      <c r="U124" s="61"/>
    </row>
    <row r="125" spans="1:21" x14ac:dyDescent="0.35">
      <c r="A125" s="125" t="str">
        <f t="shared" si="4"/>
        <v>117Q2</v>
      </c>
      <c r="B125" s="135">
        <v>117</v>
      </c>
      <c r="C125" s="61" t="str">
        <f>INDEX('[1]INPUT_ASSUMPTIONS CALC'!D:D,MATCH(A125,'[1]INPUT_ASSUMPTIONS CALC'!A:A,0))</f>
        <v/>
      </c>
      <c r="D125" s="61" t="str">
        <f>INDEX('[1]INPUT_ASSUMPTIONS CALC'!I:I,MATCH(A125,'[1]INPUT_ASSUMPTIONS CALC'!A:A,0))</f>
        <v/>
      </c>
      <c r="E125" s="61" t="str">
        <f>INDEX('[1]INPUT_ASSUMPTIONS CALC'!E:E,MATCH(A125,'[1]INPUT_ASSUMPTIONS CALC'!A:A,0))</f>
        <v/>
      </c>
      <c r="F125" s="136">
        <f>IF($F$5="Q1",VLOOKUP($A125,'[1]INPUT_ASSUMPTIONS CALC'!$A$13:$CK$1019,F$7,FALSE),IF($F$5="Q2",VLOOKUP($A125,'[1]INPUT_ASSUMPTIONS CALC'!$A$13:$CK$1019,F$7,FALSE),IF($F$5="Q3",VLOOKUP($A125,'[1]INPUT_ASSUMPTIONS CALC'!$A$13:$CK$1019,F$7,FALSE),IF($F$5="Q4",VLOOKUP($A125,'[1]INPUT_ASSUMPTIONS CALC'!$A$13:$CK$1019,F$7,FALSE),IF($F$5="Year",VLOOKUP($A125,'[1]INPUT_ASSUMPTIONS CALC'!$A$13:$CK$1019,F$7,FALSE),0)))))</f>
        <v>0</v>
      </c>
      <c r="G125" s="137">
        <f>SUMIF('[1]INPUT_ASSUMPTIONS CALC'!A:A,'[1]Summary calculation'!A125,'[1]INPUT_ASSUMPTIONS CALC'!BU:BU)</f>
        <v>0</v>
      </c>
      <c r="H125" s="138">
        <f>IF($F$5="Year",F125*G125*'[1]INPUT_ASSUMPTIONS CALC'!$S$7,F125*G125)</f>
        <v>0</v>
      </c>
      <c r="I125" s="138">
        <f>H125*VLOOKUP($A125,'[1]INPUT_ASSUMPTIONS CALC'!$A$13:$CK$1019,H$6,FALSE)*SUMIF('[1]INPUT_ASSUMPTIONS CALC'!$CL$15:$CL$17,'[1]Summary calculation'!E125,'[1]INPUT_ASSUMPTIONS CALC'!$CM$15:$CM$17)</f>
        <v>0</v>
      </c>
      <c r="J125" s="139">
        <f>$I125*VLOOKUP($A125,'[1]INPUT_ASSUMPTIONS CALC'!$A$13:$CK$1019,I$6,FALSE)*VLOOKUP($A125,'[1]INPUT_ASSUMPTIONS CALC'!$A$13:$CK$1019,J$7,FALSE)</f>
        <v>0</v>
      </c>
      <c r="K125" s="139">
        <f>$I125*VLOOKUP($A125,'[1]INPUT_ASSUMPTIONS CALC'!$A$13:$CK$1019,I$6,FALSE)*VLOOKUP($A125,'[1]INPUT_ASSUMPTIONS CALC'!$A$13:$CK$1019,K$7,FALSE)</f>
        <v>0</v>
      </c>
      <c r="L125" s="139">
        <f>$I125*VLOOKUP($A125,'[1]INPUT_ASSUMPTIONS CALC'!$A$13:$CK$1019,I$6,FALSE)*VLOOKUP($A125,'[1]INPUT_ASSUMPTIONS CALC'!$A$13:$CK$1019,L$7,FALSE)</f>
        <v>0</v>
      </c>
      <c r="M125" s="139">
        <f>$I125*VLOOKUP($A125,'[1]INPUT_ASSUMPTIONS CALC'!$A$13:$CK$1019,I$6,FALSE)*VLOOKUP($A125,'[1]INPUT_ASSUMPTIONS CALC'!$A$13:$CK$1019,M$7,FALSE)</f>
        <v>0</v>
      </c>
      <c r="N125" s="140">
        <f t="shared" si="7"/>
        <v>0</v>
      </c>
      <c r="O125" s="141">
        <f>H125*VLOOKUP($A125,'[1]INPUT_ASSUMPTIONS CALC'!$A$13:$CK$1019,H$6,FALSE)*SUMIF('[1]INPUT_ASSUMPTIONS CALC'!$CQ$15:$CQ$17,'[1]Summary calculation'!E125,'[1]INPUT_ASSUMPTIONS CALC'!$CR$15:$CR$17)</f>
        <v>0</v>
      </c>
      <c r="P125" s="141">
        <f>H125*VLOOKUP($A125,'[1]INPUT_ASSUMPTIONS CALC'!$A$13:$CK$1019,H$6,FALSE)*SUMIF('[1]INPUT_ASSUMPTIONS CALC'!$CV$15:$CV$31,'[1]Summary calculation'!E125,'[1]INPUT_ASSUMPTIONS CALC'!$CW$15:$CW$31)</f>
        <v>0</v>
      </c>
      <c r="Q125" s="141">
        <f>O125*VLOOKUP($A125,'[1]INPUT_ASSUMPTIONS CALC'!$A$13:$CK$1019,Q$7,FALSE)</f>
        <v>0</v>
      </c>
      <c r="R125" s="141">
        <f>P125*VLOOKUP($A125,'[1]INPUT_ASSUMPTIONS CALC'!$A$13:$CK$1019,R$7,FALSE)</f>
        <v>0</v>
      </c>
      <c r="S125" s="140">
        <f t="shared" si="5"/>
        <v>0</v>
      </c>
      <c r="T125" s="142">
        <f t="shared" si="6"/>
        <v>0</v>
      </c>
      <c r="U125" s="61"/>
    </row>
    <row r="126" spans="1:21" x14ac:dyDescent="0.35">
      <c r="A126" s="125" t="str">
        <f t="shared" si="4"/>
        <v>118Q2</v>
      </c>
      <c r="B126" s="135">
        <v>118</v>
      </c>
      <c r="C126" s="61" t="str">
        <f>INDEX('[1]INPUT_ASSUMPTIONS CALC'!D:D,MATCH(A126,'[1]INPUT_ASSUMPTIONS CALC'!A:A,0))</f>
        <v/>
      </c>
      <c r="D126" s="61" t="str">
        <f>INDEX('[1]INPUT_ASSUMPTIONS CALC'!I:I,MATCH(A126,'[1]INPUT_ASSUMPTIONS CALC'!A:A,0))</f>
        <v/>
      </c>
      <c r="E126" s="61" t="str">
        <f>INDEX('[1]INPUT_ASSUMPTIONS CALC'!E:E,MATCH(A126,'[1]INPUT_ASSUMPTIONS CALC'!A:A,0))</f>
        <v/>
      </c>
      <c r="F126" s="136">
        <f>IF($F$5="Q1",VLOOKUP($A126,'[1]INPUT_ASSUMPTIONS CALC'!$A$13:$CK$1019,F$7,FALSE),IF($F$5="Q2",VLOOKUP($A126,'[1]INPUT_ASSUMPTIONS CALC'!$A$13:$CK$1019,F$7,FALSE),IF($F$5="Q3",VLOOKUP($A126,'[1]INPUT_ASSUMPTIONS CALC'!$A$13:$CK$1019,F$7,FALSE),IF($F$5="Q4",VLOOKUP($A126,'[1]INPUT_ASSUMPTIONS CALC'!$A$13:$CK$1019,F$7,FALSE),IF($F$5="Year",VLOOKUP($A126,'[1]INPUT_ASSUMPTIONS CALC'!$A$13:$CK$1019,F$7,FALSE),0)))))</f>
        <v>0</v>
      </c>
      <c r="G126" s="137">
        <f>SUMIF('[1]INPUT_ASSUMPTIONS CALC'!A:A,'[1]Summary calculation'!A126,'[1]INPUT_ASSUMPTIONS CALC'!BU:BU)</f>
        <v>0</v>
      </c>
      <c r="H126" s="138">
        <f>IF($F$5="Year",F126*G126*'[1]INPUT_ASSUMPTIONS CALC'!$S$7,F126*G126)</f>
        <v>0</v>
      </c>
      <c r="I126" s="138">
        <f>H126*VLOOKUP($A126,'[1]INPUT_ASSUMPTIONS CALC'!$A$13:$CK$1019,H$6,FALSE)*SUMIF('[1]INPUT_ASSUMPTIONS CALC'!$CL$15:$CL$17,'[1]Summary calculation'!E126,'[1]INPUT_ASSUMPTIONS CALC'!$CM$15:$CM$17)</f>
        <v>0</v>
      </c>
      <c r="J126" s="139">
        <f>$I126*VLOOKUP($A126,'[1]INPUT_ASSUMPTIONS CALC'!$A$13:$CK$1019,I$6,FALSE)*VLOOKUP($A126,'[1]INPUT_ASSUMPTIONS CALC'!$A$13:$CK$1019,J$7,FALSE)</f>
        <v>0</v>
      </c>
      <c r="K126" s="139">
        <f>$I126*VLOOKUP($A126,'[1]INPUT_ASSUMPTIONS CALC'!$A$13:$CK$1019,I$6,FALSE)*VLOOKUP($A126,'[1]INPUT_ASSUMPTIONS CALC'!$A$13:$CK$1019,K$7,FALSE)</f>
        <v>0</v>
      </c>
      <c r="L126" s="139">
        <f>$I126*VLOOKUP($A126,'[1]INPUT_ASSUMPTIONS CALC'!$A$13:$CK$1019,I$6,FALSE)*VLOOKUP($A126,'[1]INPUT_ASSUMPTIONS CALC'!$A$13:$CK$1019,L$7,FALSE)</f>
        <v>0</v>
      </c>
      <c r="M126" s="139">
        <f>$I126*VLOOKUP($A126,'[1]INPUT_ASSUMPTIONS CALC'!$A$13:$CK$1019,I$6,FALSE)*VLOOKUP($A126,'[1]INPUT_ASSUMPTIONS CALC'!$A$13:$CK$1019,M$7,FALSE)</f>
        <v>0</v>
      </c>
      <c r="N126" s="140">
        <f t="shared" si="7"/>
        <v>0</v>
      </c>
      <c r="O126" s="141">
        <f>H126*VLOOKUP($A126,'[1]INPUT_ASSUMPTIONS CALC'!$A$13:$CK$1019,H$6,FALSE)*SUMIF('[1]INPUT_ASSUMPTIONS CALC'!$CQ$15:$CQ$17,'[1]Summary calculation'!E126,'[1]INPUT_ASSUMPTIONS CALC'!$CR$15:$CR$17)</f>
        <v>0</v>
      </c>
      <c r="P126" s="141">
        <f>H126*VLOOKUP($A126,'[1]INPUT_ASSUMPTIONS CALC'!$A$13:$CK$1019,H$6,FALSE)*SUMIF('[1]INPUT_ASSUMPTIONS CALC'!$CV$15:$CV$31,'[1]Summary calculation'!E126,'[1]INPUT_ASSUMPTIONS CALC'!$CW$15:$CW$31)</f>
        <v>0</v>
      </c>
      <c r="Q126" s="141">
        <f>O126*VLOOKUP($A126,'[1]INPUT_ASSUMPTIONS CALC'!$A$13:$CK$1019,Q$7,FALSE)</f>
        <v>0</v>
      </c>
      <c r="R126" s="141">
        <f>P126*VLOOKUP($A126,'[1]INPUT_ASSUMPTIONS CALC'!$A$13:$CK$1019,R$7,FALSE)</f>
        <v>0</v>
      </c>
      <c r="S126" s="140">
        <f t="shared" si="5"/>
        <v>0</v>
      </c>
      <c r="T126" s="142">
        <f t="shared" si="6"/>
        <v>0</v>
      </c>
      <c r="U126" s="61"/>
    </row>
    <row r="127" spans="1:21" x14ac:dyDescent="0.35">
      <c r="A127" s="125" t="str">
        <f t="shared" si="4"/>
        <v>119Q2</v>
      </c>
      <c r="B127" s="135">
        <v>119</v>
      </c>
      <c r="C127" s="61" t="str">
        <f>INDEX('[1]INPUT_ASSUMPTIONS CALC'!D:D,MATCH(A127,'[1]INPUT_ASSUMPTIONS CALC'!A:A,0))</f>
        <v/>
      </c>
      <c r="D127" s="61" t="str">
        <f>INDEX('[1]INPUT_ASSUMPTIONS CALC'!I:I,MATCH(A127,'[1]INPUT_ASSUMPTIONS CALC'!A:A,0))</f>
        <v/>
      </c>
      <c r="E127" s="61" t="str">
        <f>INDEX('[1]INPUT_ASSUMPTIONS CALC'!E:E,MATCH(A127,'[1]INPUT_ASSUMPTIONS CALC'!A:A,0))</f>
        <v/>
      </c>
      <c r="F127" s="136">
        <f>IF($F$5="Q1",VLOOKUP($A127,'[1]INPUT_ASSUMPTIONS CALC'!$A$13:$CK$1019,F$7,FALSE),IF($F$5="Q2",VLOOKUP($A127,'[1]INPUT_ASSUMPTIONS CALC'!$A$13:$CK$1019,F$7,FALSE),IF($F$5="Q3",VLOOKUP($A127,'[1]INPUT_ASSUMPTIONS CALC'!$A$13:$CK$1019,F$7,FALSE),IF($F$5="Q4",VLOOKUP($A127,'[1]INPUT_ASSUMPTIONS CALC'!$A$13:$CK$1019,F$7,FALSE),IF($F$5="Year",VLOOKUP($A127,'[1]INPUT_ASSUMPTIONS CALC'!$A$13:$CK$1019,F$7,FALSE),0)))))</f>
        <v>0</v>
      </c>
      <c r="G127" s="137">
        <f>SUMIF('[1]INPUT_ASSUMPTIONS CALC'!A:A,'[1]Summary calculation'!A127,'[1]INPUT_ASSUMPTIONS CALC'!BU:BU)</f>
        <v>0</v>
      </c>
      <c r="H127" s="138">
        <f>IF($F$5="Year",F127*G127*'[1]INPUT_ASSUMPTIONS CALC'!$S$7,F127*G127)</f>
        <v>0</v>
      </c>
      <c r="I127" s="138">
        <f>H127*VLOOKUP($A127,'[1]INPUT_ASSUMPTIONS CALC'!$A$13:$CK$1019,H$6,FALSE)*SUMIF('[1]INPUT_ASSUMPTIONS CALC'!$CL$15:$CL$17,'[1]Summary calculation'!E127,'[1]INPUT_ASSUMPTIONS CALC'!$CM$15:$CM$17)</f>
        <v>0</v>
      </c>
      <c r="J127" s="139">
        <f>$I127*VLOOKUP($A127,'[1]INPUT_ASSUMPTIONS CALC'!$A$13:$CK$1019,I$6,FALSE)*VLOOKUP($A127,'[1]INPUT_ASSUMPTIONS CALC'!$A$13:$CK$1019,J$7,FALSE)</f>
        <v>0</v>
      </c>
      <c r="K127" s="139">
        <f>$I127*VLOOKUP($A127,'[1]INPUT_ASSUMPTIONS CALC'!$A$13:$CK$1019,I$6,FALSE)*VLOOKUP($A127,'[1]INPUT_ASSUMPTIONS CALC'!$A$13:$CK$1019,K$7,FALSE)</f>
        <v>0</v>
      </c>
      <c r="L127" s="139">
        <f>$I127*VLOOKUP($A127,'[1]INPUT_ASSUMPTIONS CALC'!$A$13:$CK$1019,I$6,FALSE)*VLOOKUP($A127,'[1]INPUT_ASSUMPTIONS CALC'!$A$13:$CK$1019,L$7,FALSE)</f>
        <v>0</v>
      </c>
      <c r="M127" s="139">
        <f>$I127*VLOOKUP($A127,'[1]INPUT_ASSUMPTIONS CALC'!$A$13:$CK$1019,I$6,FALSE)*VLOOKUP($A127,'[1]INPUT_ASSUMPTIONS CALC'!$A$13:$CK$1019,M$7,FALSE)</f>
        <v>0</v>
      </c>
      <c r="N127" s="140">
        <f t="shared" si="7"/>
        <v>0</v>
      </c>
      <c r="O127" s="141">
        <f>H127*VLOOKUP($A127,'[1]INPUT_ASSUMPTIONS CALC'!$A$13:$CK$1019,H$6,FALSE)*SUMIF('[1]INPUT_ASSUMPTIONS CALC'!$CQ$15:$CQ$17,'[1]Summary calculation'!E127,'[1]INPUT_ASSUMPTIONS CALC'!$CR$15:$CR$17)</f>
        <v>0</v>
      </c>
      <c r="P127" s="141">
        <f>H127*VLOOKUP($A127,'[1]INPUT_ASSUMPTIONS CALC'!$A$13:$CK$1019,H$6,FALSE)*SUMIF('[1]INPUT_ASSUMPTIONS CALC'!$CV$15:$CV$31,'[1]Summary calculation'!E127,'[1]INPUT_ASSUMPTIONS CALC'!$CW$15:$CW$31)</f>
        <v>0</v>
      </c>
      <c r="Q127" s="141">
        <f>O127*VLOOKUP($A127,'[1]INPUT_ASSUMPTIONS CALC'!$A$13:$CK$1019,Q$7,FALSE)</f>
        <v>0</v>
      </c>
      <c r="R127" s="141">
        <f>P127*VLOOKUP($A127,'[1]INPUT_ASSUMPTIONS CALC'!$A$13:$CK$1019,R$7,FALSE)</f>
        <v>0</v>
      </c>
      <c r="S127" s="140">
        <f t="shared" si="5"/>
        <v>0</v>
      </c>
      <c r="T127" s="142">
        <f t="shared" si="6"/>
        <v>0</v>
      </c>
      <c r="U127" s="61"/>
    </row>
    <row r="128" spans="1:21" x14ac:dyDescent="0.35">
      <c r="A128" s="125" t="str">
        <f t="shared" si="4"/>
        <v>120Q2</v>
      </c>
      <c r="B128" s="135">
        <v>120</v>
      </c>
      <c r="C128" s="61" t="str">
        <f>INDEX('[1]INPUT_ASSUMPTIONS CALC'!D:D,MATCH(A128,'[1]INPUT_ASSUMPTIONS CALC'!A:A,0))</f>
        <v/>
      </c>
      <c r="D128" s="61" t="str">
        <f>INDEX('[1]INPUT_ASSUMPTIONS CALC'!I:I,MATCH(A128,'[1]INPUT_ASSUMPTIONS CALC'!A:A,0))</f>
        <v/>
      </c>
      <c r="E128" s="61" t="str">
        <f>INDEX('[1]INPUT_ASSUMPTIONS CALC'!E:E,MATCH(A128,'[1]INPUT_ASSUMPTIONS CALC'!A:A,0))</f>
        <v/>
      </c>
      <c r="F128" s="136">
        <f>IF($F$5="Q1",VLOOKUP($A128,'[1]INPUT_ASSUMPTIONS CALC'!$A$13:$CK$1019,F$7,FALSE),IF($F$5="Q2",VLOOKUP($A128,'[1]INPUT_ASSUMPTIONS CALC'!$A$13:$CK$1019,F$7,FALSE),IF($F$5="Q3",VLOOKUP($A128,'[1]INPUT_ASSUMPTIONS CALC'!$A$13:$CK$1019,F$7,FALSE),IF($F$5="Q4",VLOOKUP($A128,'[1]INPUT_ASSUMPTIONS CALC'!$A$13:$CK$1019,F$7,FALSE),IF($F$5="Year",VLOOKUP($A128,'[1]INPUT_ASSUMPTIONS CALC'!$A$13:$CK$1019,F$7,FALSE),0)))))</f>
        <v>0</v>
      </c>
      <c r="G128" s="137">
        <f>SUMIF('[1]INPUT_ASSUMPTIONS CALC'!A:A,'[1]Summary calculation'!A128,'[1]INPUT_ASSUMPTIONS CALC'!BU:BU)</f>
        <v>0</v>
      </c>
      <c r="H128" s="138">
        <f>IF($F$5="Year",F128*G128*'[1]INPUT_ASSUMPTIONS CALC'!$S$7,F128*G128)</f>
        <v>0</v>
      </c>
      <c r="I128" s="138">
        <f>H128*VLOOKUP($A128,'[1]INPUT_ASSUMPTIONS CALC'!$A$13:$CK$1019,H$6,FALSE)*SUMIF('[1]INPUT_ASSUMPTIONS CALC'!$CL$15:$CL$17,'[1]Summary calculation'!E128,'[1]INPUT_ASSUMPTIONS CALC'!$CM$15:$CM$17)</f>
        <v>0</v>
      </c>
      <c r="J128" s="139">
        <f>$I128*VLOOKUP($A128,'[1]INPUT_ASSUMPTIONS CALC'!$A$13:$CK$1019,I$6,FALSE)*VLOOKUP($A128,'[1]INPUT_ASSUMPTIONS CALC'!$A$13:$CK$1019,J$7,FALSE)</f>
        <v>0</v>
      </c>
      <c r="K128" s="139">
        <f>$I128*VLOOKUP($A128,'[1]INPUT_ASSUMPTIONS CALC'!$A$13:$CK$1019,I$6,FALSE)*VLOOKUP($A128,'[1]INPUT_ASSUMPTIONS CALC'!$A$13:$CK$1019,K$7,FALSE)</f>
        <v>0</v>
      </c>
      <c r="L128" s="139">
        <f>$I128*VLOOKUP($A128,'[1]INPUT_ASSUMPTIONS CALC'!$A$13:$CK$1019,I$6,FALSE)*VLOOKUP($A128,'[1]INPUT_ASSUMPTIONS CALC'!$A$13:$CK$1019,L$7,FALSE)</f>
        <v>0</v>
      </c>
      <c r="M128" s="139">
        <f>$I128*VLOOKUP($A128,'[1]INPUT_ASSUMPTIONS CALC'!$A$13:$CK$1019,I$6,FALSE)*VLOOKUP($A128,'[1]INPUT_ASSUMPTIONS CALC'!$A$13:$CK$1019,M$7,FALSE)</f>
        <v>0</v>
      </c>
      <c r="N128" s="140">
        <f t="shared" si="7"/>
        <v>0</v>
      </c>
      <c r="O128" s="141">
        <f>H128*VLOOKUP($A128,'[1]INPUT_ASSUMPTIONS CALC'!$A$13:$CK$1019,H$6,FALSE)*SUMIF('[1]INPUT_ASSUMPTIONS CALC'!$CQ$15:$CQ$17,'[1]Summary calculation'!E128,'[1]INPUT_ASSUMPTIONS CALC'!$CR$15:$CR$17)</f>
        <v>0</v>
      </c>
      <c r="P128" s="141">
        <f>H128*VLOOKUP($A128,'[1]INPUT_ASSUMPTIONS CALC'!$A$13:$CK$1019,H$6,FALSE)*SUMIF('[1]INPUT_ASSUMPTIONS CALC'!$CV$15:$CV$31,'[1]Summary calculation'!E128,'[1]INPUT_ASSUMPTIONS CALC'!$CW$15:$CW$31)</f>
        <v>0</v>
      </c>
      <c r="Q128" s="141">
        <f>O128*VLOOKUP($A128,'[1]INPUT_ASSUMPTIONS CALC'!$A$13:$CK$1019,Q$7,FALSE)</f>
        <v>0</v>
      </c>
      <c r="R128" s="141">
        <f>P128*VLOOKUP($A128,'[1]INPUT_ASSUMPTIONS CALC'!$A$13:$CK$1019,R$7,FALSE)</f>
        <v>0</v>
      </c>
      <c r="S128" s="140">
        <f t="shared" si="5"/>
        <v>0</v>
      </c>
      <c r="T128" s="142">
        <f t="shared" si="6"/>
        <v>0</v>
      </c>
      <c r="U128" s="61"/>
    </row>
    <row r="129" spans="1:21" x14ac:dyDescent="0.35">
      <c r="A129" s="125" t="str">
        <f t="shared" si="4"/>
        <v>121Q2</v>
      </c>
      <c r="B129" s="135">
        <v>121</v>
      </c>
      <c r="C129" s="61" t="str">
        <f>INDEX('[1]INPUT_ASSUMPTIONS CALC'!D:D,MATCH(A129,'[1]INPUT_ASSUMPTIONS CALC'!A:A,0))</f>
        <v/>
      </c>
      <c r="D129" s="61" t="str">
        <f>INDEX('[1]INPUT_ASSUMPTIONS CALC'!I:I,MATCH(A129,'[1]INPUT_ASSUMPTIONS CALC'!A:A,0))</f>
        <v/>
      </c>
      <c r="E129" s="61" t="str">
        <f>INDEX('[1]INPUT_ASSUMPTIONS CALC'!E:E,MATCH(A129,'[1]INPUT_ASSUMPTIONS CALC'!A:A,0))</f>
        <v/>
      </c>
      <c r="F129" s="136">
        <f>IF($F$5="Q1",VLOOKUP($A129,'[1]INPUT_ASSUMPTIONS CALC'!$A$13:$CK$1019,F$7,FALSE),IF($F$5="Q2",VLOOKUP($A129,'[1]INPUT_ASSUMPTIONS CALC'!$A$13:$CK$1019,F$7,FALSE),IF($F$5="Q3",VLOOKUP($A129,'[1]INPUT_ASSUMPTIONS CALC'!$A$13:$CK$1019,F$7,FALSE),IF($F$5="Q4",VLOOKUP($A129,'[1]INPUT_ASSUMPTIONS CALC'!$A$13:$CK$1019,F$7,FALSE),IF($F$5="Year",VLOOKUP($A129,'[1]INPUT_ASSUMPTIONS CALC'!$A$13:$CK$1019,F$7,FALSE),0)))))</f>
        <v>0</v>
      </c>
      <c r="G129" s="137">
        <f>SUMIF('[1]INPUT_ASSUMPTIONS CALC'!A:A,'[1]Summary calculation'!A129,'[1]INPUT_ASSUMPTIONS CALC'!BU:BU)</f>
        <v>0</v>
      </c>
      <c r="H129" s="138">
        <f>IF($F$5="Year",F129*G129*'[1]INPUT_ASSUMPTIONS CALC'!$S$7,F129*G129)</f>
        <v>0</v>
      </c>
      <c r="I129" s="138">
        <f>H129*VLOOKUP($A129,'[1]INPUT_ASSUMPTIONS CALC'!$A$13:$CK$1019,H$6,FALSE)*SUMIF('[1]INPUT_ASSUMPTIONS CALC'!$CL$15:$CL$17,'[1]Summary calculation'!E129,'[1]INPUT_ASSUMPTIONS CALC'!$CM$15:$CM$17)</f>
        <v>0</v>
      </c>
      <c r="J129" s="139">
        <f>$I129*VLOOKUP($A129,'[1]INPUT_ASSUMPTIONS CALC'!$A$13:$CK$1019,I$6,FALSE)*VLOOKUP($A129,'[1]INPUT_ASSUMPTIONS CALC'!$A$13:$CK$1019,J$7,FALSE)</f>
        <v>0</v>
      </c>
      <c r="K129" s="139">
        <f>$I129*VLOOKUP($A129,'[1]INPUT_ASSUMPTIONS CALC'!$A$13:$CK$1019,I$6,FALSE)*VLOOKUP($A129,'[1]INPUT_ASSUMPTIONS CALC'!$A$13:$CK$1019,K$7,FALSE)</f>
        <v>0</v>
      </c>
      <c r="L129" s="139">
        <f>$I129*VLOOKUP($A129,'[1]INPUT_ASSUMPTIONS CALC'!$A$13:$CK$1019,I$6,FALSE)*VLOOKUP($A129,'[1]INPUT_ASSUMPTIONS CALC'!$A$13:$CK$1019,L$7,FALSE)</f>
        <v>0</v>
      </c>
      <c r="M129" s="139">
        <f>$I129*VLOOKUP($A129,'[1]INPUT_ASSUMPTIONS CALC'!$A$13:$CK$1019,I$6,FALSE)*VLOOKUP($A129,'[1]INPUT_ASSUMPTIONS CALC'!$A$13:$CK$1019,M$7,FALSE)</f>
        <v>0</v>
      </c>
      <c r="N129" s="140">
        <f t="shared" si="7"/>
        <v>0</v>
      </c>
      <c r="O129" s="141">
        <f>H129*VLOOKUP($A129,'[1]INPUT_ASSUMPTIONS CALC'!$A$13:$CK$1019,H$6,FALSE)*SUMIF('[1]INPUT_ASSUMPTIONS CALC'!$CQ$15:$CQ$17,'[1]Summary calculation'!E129,'[1]INPUT_ASSUMPTIONS CALC'!$CR$15:$CR$17)</f>
        <v>0</v>
      </c>
      <c r="P129" s="141">
        <f>H129*VLOOKUP($A129,'[1]INPUT_ASSUMPTIONS CALC'!$A$13:$CK$1019,H$6,FALSE)*SUMIF('[1]INPUT_ASSUMPTIONS CALC'!$CV$15:$CV$31,'[1]Summary calculation'!E129,'[1]INPUT_ASSUMPTIONS CALC'!$CW$15:$CW$31)</f>
        <v>0</v>
      </c>
      <c r="Q129" s="141">
        <f>O129*VLOOKUP($A129,'[1]INPUT_ASSUMPTIONS CALC'!$A$13:$CK$1019,Q$7,FALSE)</f>
        <v>0</v>
      </c>
      <c r="R129" s="141">
        <f>P129*VLOOKUP($A129,'[1]INPUT_ASSUMPTIONS CALC'!$A$13:$CK$1019,R$7,FALSE)</f>
        <v>0</v>
      </c>
      <c r="S129" s="140">
        <f t="shared" si="5"/>
        <v>0</v>
      </c>
      <c r="T129" s="142">
        <f t="shared" si="6"/>
        <v>0</v>
      </c>
      <c r="U129" s="61"/>
    </row>
    <row r="130" spans="1:21" x14ac:dyDescent="0.35">
      <c r="A130" s="125" t="str">
        <f t="shared" si="4"/>
        <v>122Q2</v>
      </c>
      <c r="B130" s="135">
        <v>122</v>
      </c>
      <c r="C130" s="61" t="str">
        <f>INDEX('[1]INPUT_ASSUMPTIONS CALC'!D:D,MATCH(A130,'[1]INPUT_ASSUMPTIONS CALC'!A:A,0))</f>
        <v/>
      </c>
      <c r="D130" s="61" t="str">
        <f>INDEX('[1]INPUT_ASSUMPTIONS CALC'!I:I,MATCH(A130,'[1]INPUT_ASSUMPTIONS CALC'!A:A,0))</f>
        <v/>
      </c>
      <c r="E130" s="61" t="str">
        <f>INDEX('[1]INPUT_ASSUMPTIONS CALC'!E:E,MATCH(A130,'[1]INPUT_ASSUMPTIONS CALC'!A:A,0))</f>
        <v/>
      </c>
      <c r="F130" s="136">
        <f>IF($F$5="Q1",VLOOKUP($A130,'[1]INPUT_ASSUMPTIONS CALC'!$A$13:$CK$1019,F$7,FALSE),IF($F$5="Q2",VLOOKUP($A130,'[1]INPUT_ASSUMPTIONS CALC'!$A$13:$CK$1019,F$7,FALSE),IF($F$5="Q3",VLOOKUP($A130,'[1]INPUT_ASSUMPTIONS CALC'!$A$13:$CK$1019,F$7,FALSE),IF($F$5="Q4",VLOOKUP($A130,'[1]INPUT_ASSUMPTIONS CALC'!$A$13:$CK$1019,F$7,FALSE),IF($F$5="Year",VLOOKUP($A130,'[1]INPUT_ASSUMPTIONS CALC'!$A$13:$CK$1019,F$7,FALSE),0)))))</f>
        <v>0</v>
      </c>
      <c r="G130" s="137">
        <f>SUMIF('[1]INPUT_ASSUMPTIONS CALC'!A:A,'[1]Summary calculation'!A130,'[1]INPUT_ASSUMPTIONS CALC'!BU:BU)</f>
        <v>0</v>
      </c>
      <c r="H130" s="138">
        <f>IF($F$5="Year",F130*G130*'[1]INPUT_ASSUMPTIONS CALC'!$S$7,F130*G130)</f>
        <v>0</v>
      </c>
      <c r="I130" s="138">
        <f>H130*VLOOKUP($A130,'[1]INPUT_ASSUMPTIONS CALC'!$A$13:$CK$1019,H$6,FALSE)*SUMIF('[1]INPUT_ASSUMPTIONS CALC'!$CL$15:$CL$17,'[1]Summary calculation'!E130,'[1]INPUT_ASSUMPTIONS CALC'!$CM$15:$CM$17)</f>
        <v>0</v>
      </c>
      <c r="J130" s="139">
        <f>$I130*VLOOKUP($A130,'[1]INPUT_ASSUMPTIONS CALC'!$A$13:$CK$1019,I$6,FALSE)*VLOOKUP($A130,'[1]INPUT_ASSUMPTIONS CALC'!$A$13:$CK$1019,J$7,FALSE)</f>
        <v>0</v>
      </c>
      <c r="K130" s="139">
        <f>$I130*VLOOKUP($A130,'[1]INPUT_ASSUMPTIONS CALC'!$A$13:$CK$1019,I$6,FALSE)*VLOOKUP($A130,'[1]INPUT_ASSUMPTIONS CALC'!$A$13:$CK$1019,K$7,FALSE)</f>
        <v>0</v>
      </c>
      <c r="L130" s="139">
        <f>$I130*VLOOKUP($A130,'[1]INPUT_ASSUMPTIONS CALC'!$A$13:$CK$1019,I$6,FALSE)*VLOOKUP($A130,'[1]INPUT_ASSUMPTIONS CALC'!$A$13:$CK$1019,L$7,FALSE)</f>
        <v>0</v>
      </c>
      <c r="M130" s="139">
        <f>$I130*VLOOKUP($A130,'[1]INPUT_ASSUMPTIONS CALC'!$A$13:$CK$1019,I$6,FALSE)*VLOOKUP($A130,'[1]INPUT_ASSUMPTIONS CALC'!$A$13:$CK$1019,M$7,FALSE)</f>
        <v>0</v>
      </c>
      <c r="N130" s="140">
        <f t="shared" si="7"/>
        <v>0</v>
      </c>
      <c r="O130" s="141">
        <f>H130*VLOOKUP($A130,'[1]INPUT_ASSUMPTIONS CALC'!$A$13:$CK$1019,H$6,FALSE)*SUMIF('[1]INPUT_ASSUMPTIONS CALC'!$CQ$15:$CQ$17,'[1]Summary calculation'!E130,'[1]INPUT_ASSUMPTIONS CALC'!$CR$15:$CR$17)</f>
        <v>0</v>
      </c>
      <c r="P130" s="141">
        <f>H130*VLOOKUP($A130,'[1]INPUT_ASSUMPTIONS CALC'!$A$13:$CK$1019,H$6,FALSE)*SUMIF('[1]INPUT_ASSUMPTIONS CALC'!$CV$15:$CV$31,'[1]Summary calculation'!E130,'[1]INPUT_ASSUMPTIONS CALC'!$CW$15:$CW$31)</f>
        <v>0</v>
      </c>
      <c r="Q130" s="141">
        <f>O130*VLOOKUP($A130,'[1]INPUT_ASSUMPTIONS CALC'!$A$13:$CK$1019,Q$7,FALSE)</f>
        <v>0</v>
      </c>
      <c r="R130" s="141">
        <f>P130*VLOOKUP($A130,'[1]INPUT_ASSUMPTIONS CALC'!$A$13:$CK$1019,R$7,FALSE)</f>
        <v>0</v>
      </c>
      <c r="S130" s="140">
        <f t="shared" si="5"/>
        <v>0</v>
      </c>
      <c r="T130" s="142">
        <f t="shared" si="6"/>
        <v>0</v>
      </c>
      <c r="U130" s="61"/>
    </row>
    <row r="131" spans="1:21" x14ac:dyDescent="0.35">
      <c r="A131" s="125" t="str">
        <f t="shared" si="4"/>
        <v>123Q2</v>
      </c>
      <c r="B131" s="135">
        <v>123</v>
      </c>
      <c r="C131" s="61" t="str">
        <f>INDEX('[1]INPUT_ASSUMPTIONS CALC'!D:D,MATCH(A131,'[1]INPUT_ASSUMPTIONS CALC'!A:A,0))</f>
        <v/>
      </c>
      <c r="D131" s="61" t="str">
        <f>INDEX('[1]INPUT_ASSUMPTIONS CALC'!I:I,MATCH(A131,'[1]INPUT_ASSUMPTIONS CALC'!A:A,0))</f>
        <v/>
      </c>
      <c r="E131" s="61" t="str">
        <f>INDEX('[1]INPUT_ASSUMPTIONS CALC'!E:E,MATCH(A131,'[1]INPUT_ASSUMPTIONS CALC'!A:A,0))</f>
        <v/>
      </c>
      <c r="F131" s="136">
        <f>IF($F$5="Q1",VLOOKUP($A131,'[1]INPUT_ASSUMPTIONS CALC'!$A$13:$CK$1019,F$7,FALSE),IF($F$5="Q2",VLOOKUP($A131,'[1]INPUT_ASSUMPTIONS CALC'!$A$13:$CK$1019,F$7,FALSE),IF($F$5="Q3",VLOOKUP($A131,'[1]INPUT_ASSUMPTIONS CALC'!$A$13:$CK$1019,F$7,FALSE),IF($F$5="Q4",VLOOKUP($A131,'[1]INPUT_ASSUMPTIONS CALC'!$A$13:$CK$1019,F$7,FALSE),IF($F$5="Year",VLOOKUP($A131,'[1]INPUT_ASSUMPTIONS CALC'!$A$13:$CK$1019,F$7,FALSE),0)))))</f>
        <v>0</v>
      </c>
      <c r="G131" s="137">
        <f>SUMIF('[1]INPUT_ASSUMPTIONS CALC'!A:A,'[1]Summary calculation'!A131,'[1]INPUT_ASSUMPTIONS CALC'!BU:BU)</f>
        <v>0</v>
      </c>
      <c r="H131" s="138">
        <f>IF($F$5="Year",F131*G131*'[1]INPUT_ASSUMPTIONS CALC'!$S$7,F131*G131)</f>
        <v>0</v>
      </c>
      <c r="I131" s="138">
        <f>H131*VLOOKUP($A131,'[1]INPUT_ASSUMPTIONS CALC'!$A$13:$CK$1019,H$6,FALSE)*SUMIF('[1]INPUT_ASSUMPTIONS CALC'!$CL$15:$CL$17,'[1]Summary calculation'!E131,'[1]INPUT_ASSUMPTIONS CALC'!$CM$15:$CM$17)</f>
        <v>0</v>
      </c>
      <c r="J131" s="139">
        <f>$I131*VLOOKUP($A131,'[1]INPUT_ASSUMPTIONS CALC'!$A$13:$CK$1019,I$6,FALSE)*VLOOKUP($A131,'[1]INPUT_ASSUMPTIONS CALC'!$A$13:$CK$1019,J$7,FALSE)</f>
        <v>0</v>
      </c>
      <c r="K131" s="139">
        <f>$I131*VLOOKUP($A131,'[1]INPUT_ASSUMPTIONS CALC'!$A$13:$CK$1019,I$6,FALSE)*VLOOKUP($A131,'[1]INPUT_ASSUMPTIONS CALC'!$A$13:$CK$1019,K$7,FALSE)</f>
        <v>0</v>
      </c>
      <c r="L131" s="139">
        <f>$I131*VLOOKUP($A131,'[1]INPUT_ASSUMPTIONS CALC'!$A$13:$CK$1019,I$6,FALSE)*VLOOKUP($A131,'[1]INPUT_ASSUMPTIONS CALC'!$A$13:$CK$1019,L$7,FALSE)</f>
        <v>0</v>
      </c>
      <c r="M131" s="139">
        <f>$I131*VLOOKUP($A131,'[1]INPUT_ASSUMPTIONS CALC'!$A$13:$CK$1019,I$6,FALSE)*VLOOKUP($A131,'[1]INPUT_ASSUMPTIONS CALC'!$A$13:$CK$1019,M$7,FALSE)</f>
        <v>0</v>
      </c>
      <c r="N131" s="140">
        <f t="shared" si="7"/>
        <v>0</v>
      </c>
      <c r="O131" s="141">
        <f>H131*VLOOKUP($A131,'[1]INPUT_ASSUMPTIONS CALC'!$A$13:$CK$1019,H$6,FALSE)*SUMIF('[1]INPUT_ASSUMPTIONS CALC'!$CQ$15:$CQ$17,'[1]Summary calculation'!E131,'[1]INPUT_ASSUMPTIONS CALC'!$CR$15:$CR$17)</f>
        <v>0</v>
      </c>
      <c r="P131" s="141">
        <f>H131*VLOOKUP($A131,'[1]INPUT_ASSUMPTIONS CALC'!$A$13:$CK$1019,H$6,FALSE)*SUMIF('[1]INPUT_ASSUMPTIONS CALC'!$CV$15:$CV$31,'[1]Summary calculation'!E131,'[1]INPUT_ASSUMPTIONS CALC'!$CW$15:$CW$31)</f>
        <v>0</v>
      </c>
      <c r="Q131" s="141">
        <f>O131*VLOOKUP($A131,'[1]INPUT_ASSUMPTIONS CALC'!$A$13:$CK$1019,Q$7,FALSE)</f>
        <v>0</v>
      </c>
      <c r="R131" s="141">
        <f>P131*VLOOKUP($A131,'[1]INPUT_ASSUMPTIONS CALC'!$A$13:$CK$1019,R$7,FALSE)</f>
        <v>0</v>
      </c>
      <c r="S131" s="140">
        <f t="shared" si="5"/>
        <v>0</v>
      </c>
      <c r="T131" s="142">
        <f t="shared" si="6"/>
        <v>0</v>
      </c>
      <c r="U131" s="61"/>
    </row>
    <row r="132" spans="1:21" x14ac:dyDescent="0.35">
      <c r="A132" s="125" t="str">
        <f t="shared" si="4"/>
        <v>124Q2</v>
      </c>
      <c r="B132" s="135">
        <v>124</v>
      </c>
      <c r="C132" s="61" t="str">
        <f>INDEX('[1]INPUT_ASSUMPTIONS CALC'!D:D,MATCH(A132,'[1]INPUT_ASSUMPTIONS CALC'!A:A,0))</f>
        <v/>
      </c>
      <c r="D132" s="61" t="str">
        <f>INDEX('[1]INPUT_ASSUMPTIONS CALC'!I:I,MATCH(A132,'[1]INPUT_ASSUMPTIONS CALC'!A:A,0))</f>
        <v/>
      </c>
      <c r="E132" s="61" t="str">
        <f>INDEX('[1]INPUT_ASSUMPTIONS CALC'!E:E,MATCH(A132,'[1]INPUT_ASSUMPTIONS CALC'!A:A,0))</f>
        <v/>
      </c>
      <c r="F132" s="136">
        <f>IF($F$5="Q1",VLOOKUP($A132,'[1]INPUT_ASSUMPTIONS CALC'!$A$13:$CK$1019,F$7,FALSE),IF($F$5="Q2",VLOOKUP($A132,'[1]INPUT_ASSUMPTIONS CALC'!$A$13:$CK$1019,F$7,FALSE),IF($F$5="Q3",VLOOKUP($A132,'[1]INPUT_ASSUMPTIONS CALC'!$A$13:$CK$1019,F$7,FALSE),IF($F$5="Q4",VLOOKUP($A132,'[1]INPUT_ASSUMPTIONS CALC'!$A$13:$CK$1019,F$7,FALSE),IF($F$5="Year",VLOOKUP($A132,'[1]INPUT_ASSUMPTIONS CALC'!$A$13:$CK$1019,F$7,FALSE),0)))))</f>
        <v>0</v>
      </c>
      <c r="G132" s="137">
        <f>SUMIF('[1]INPUT_ASSUMPTIONS CALC'!A:A,'[1]Summary calculation'!A132,'[1]INPUT_ASSUMPTIONS CALC'!BU:BU)</f>
        <v>0</v>
      </c>
      <c r="H132" s="138">
        <f>IF($F$5="Year",F132*G132*'[1]INPUT_ASSUMPTIONS CALC'!$S$7,F132*G132)</f>
        <v>0</v>
      </c>
      <c r="I132" s="138">
        <f>H132*VLOOKUP($A132,'[1]INPUT_ASSUMPTIONS CALC'!$A$13:$CK$1019,H$6,FALSE)*SUMIF('[1]INPUT_ASSUMPTIONS CALC'!$CL$15:$CL$17,'[1]Summary calculation'!E132,'[1]INPUT_ASSUMPTIONS CALC'!$CM$15:$CM$17)</f>
        <v>0</v>
      </c>
      <c r="J132" s="139">
        <f>$I132*VLOOKUP($A132,'[1]INPUT_ASSUMPTIONS CALC'!$A$13:$CK$1019,I$6,FALSE)*VLOOKUP($A132,'[1]INPUT_ASSUMPTIONS CALC'!$A$13:$CK$1019,J$7,FALSE)</f>
        <v>0</v>
      </c>
      <c r="K132" s="139">
        <f>$I132*VLOOKUP($A132,'[1]INPUT_ASSUMPTIONS CALC'!$A$13:$CK$1019,I$6,FALSE)*VLOOKUP($A132,'[1]INPUT_ASSUMPTIONS CALC'!$A$13:$CK$1019,K$7,FALSE)</f>
        <v>0</v>
      </c>
      <c r="L132" s="139">
        <f>$I132*VLOOKUP($A132,'[1]INPUT_ASSUMPTIONS CALC'!$A$13:$CK$1019,I$6,FALSE)*VLOOKUP($A132,'[1]INPUT_ASSUMPTIONS CALC'!$A$13:$CK$1019,L$7,FALSE)</f>
        <v>0</v>
      </c>
      <c r="M132" s="139">
        <f>$I132*VLOOKUP($A132,'[1]INPUT_ASSUMPTIONS CALC'!$A$13:$CK$1019,I$6,FALSE)*VLOOKUP($A132,'[1]INPUT_ASSUMPTIONS CALC'!$A$13:$CK$1019,M$7,FALSE)</f>
        <v>0</v>
      </c>
      <c r="N132" s="140">
        <f t="shared" si="7"/>
        <v>0</v>
      </c>
      <c r="O132" s="141">
        <f>H132*VLOOKUP($A132,'[1]INPUT_ASSUMPTIONS CALC'!$A$13:$CK$1019,H$6,FALSE)*SUMIF('[1]INPUT_ASSUMPTIONS CALC'!$CQ$15:$CQ$17,'[1]Summary calculation'!E132,'[1]INPUT_ASSUMPTIONS CALC'!$CR$15:$CR$17)</f>
        <v>0</v>
      </c>
      <c r="P132" s="141">
        <f>H132*VLOOKUP($A132,'[1]INPUT_ASSUMPTIONS CALC'!$A$13:$CK$1019,H$6,FALSE)*SUMIF('[1]INPUT_ASSUMPTIONS CALC'!$CV$15:$CV$31,'[1]Summary calculation'!E132,'[1]INPUT_ASSUMPTIONS CALC'!$CW$15:$CW$31)</f>
        <v>0</v>
      </c>
      <c r="Q132" s="141">
        <f>O132*VLOOKUP($A132,'[1]INPUT_ASSUMPTIONS CALC'!$A$13:$CK$1019,Q$7,FALSE)</f>
        <v>0</v>
      </c>
      <c r="R132" s="141">
        <f>P132*VLOOKUP($A132,'[1]INPUT_ASSUMPTIONS CALC'!$A$13:$CK$1019,R$7,FALSE)</f>
        <v>0</v>
      </c>
      <c r="S132" s="140">
        <f t="shared" si="5"/>
        <v>0</v>
      </c>
      <c r="T132" s="142">
        <f t="shared" si="6"/>
        <v>0</v>
      </c>
      <c r="U132" s="61"/>
    </row>
    <row r="133" spans="1:21" x14ac:dyDescent="0.35">
      <c r="A133" s="125" t="str">
        <f t="shared" si="4"/>
        <v>125Q2</v>
      </c>
      <c r="B133" s="135">
        <v>125</v>
      </c>
      <c r="C133" s="61" t="str">
        <f>INDEX('[1]INPUT_ASSUMPTIONS CALC'!D:D,MATCH(A133,'[1]INPUT_ASSUMPTIONS CALC'!A:A,0))</f>
        <v/>
      </c>
      <c r="D133" s="61" t="str">
        <f>INDEX('[1]INPUT_ASSUMPTIONS CALC'!I:I,MATCH(A133,'[1]INPUT_ASSUMPTIONS CALC'!A:A,0))</f>
        <v/>
      </c>
      <c r="E133" s="61" t="str">
        <f>INDEX('[1]INPUT_ASSUMPTIONS CALC'!E:E,MATCH(A133,'[1]INPUT_ASSUMPTIONS CALC'!A:A,0))</f>
        <v/>
      </c>
      <c r="F133" s="136">
        <f>IF($F$5="Q1",VLOOKUP($A133,'[1]INPUT_ASSUMPTIONS CALC'!$A$13:$CK$1019,F$7,FALSE),IF($F$5="Q2",VLOOKUP($A133,'[1]INPUT_ASSUMPTIONS CALC'!$A$13:$CK$1019,F$7,FALSE),IF($F$5="Q3",VLOOKUP($A133,'[1]INPUT_ASSUMPTIONS CALC'!$A$13:$CK$1019,F$7,FALSE),IF($F$5="Q4",VLOOKUP($A133,'[1]INPUT_ASSUMPTIONS CALC'!$A$13:$CK$1019,F$7,FALSE),IF($F$5="Year",VLOOKUP($A133,'[1]INPUT_ASSUMPTIONS CALC'!$A$13:$CK$1019,F$7,FALSE),0)))))</f>
        <v>0</v>
      </c>
      <c r="G133" s="137">
        <f>SUMIF('[1]INPUT_ASSUMPTIONS CALC'!A:A,'[1]Summary calculation'!A133,'[1]INPUT_ASSUMPTIONS CALC'!BU:BU)</f>
        <v>0</v>
      </c>
      <c r="H133" s="138">
        <f>IF($F$5="Year",F133*G133*'[1]INPUT_ASSUMPTIONS CALC'!$S$7,F133*G133)</f>
        <v>0</v>
      </c>
      <c r="I133" s="138">
        <f>H133*VLOOKUP($A133,'[1]INPUT_ASSUMPTIONS CALC'!$A$13:$CK$1019,H$6,FALSE)*SUMIF('[1]INPUT_ASSUMPTIONS CALC'!$CL$15:$CL$17,'[1]Summary calculation'!E133,'[1]INPUT_ASSUMPTIONS CALC'!$CM$15:$CM$17)</f>
        <v>0</v>
      </c>
      <c r="J133" s="139">
        <f>$I133*VLOOKUP($A133,'[1]INPUT_ASSUMPTIONS CALC'!$A$13:$CK$1019,I$6,FALSE)*VLOOKUP($A133,'[1]INPUT_ASSUMPTIONS CALC'!$A$13:$CK$1019,J$7,FALSE)</f>
        <v>0</v>
      </c>
      <c r="K133" s="139">
        <f>$I133*VLOOKUP($A133,'[1]INPUT_ASSUMPTIONS CALC'!$A$13:$CK$1019,I$6,FALSE)*VLOOKUP($A133,'[1]INPUT_ASSUMPTIONS CALC'!$A$13:$CK$1019,K$7,FALSE)</f>
        <v>0</v>
      </c>
      <c r="L133" s="139">
        <f>$I133*VLOOKUP($A133,'[1]INPUT_ASSUMPTIONS CALC'!$A$13:$CK$1019,I$6,FALSE)*VLOOKUP($A133,'[1]INPUT_ASSUMPTIONS CALC'!$A$13:$CK$1019,L$7,FALSE)</f>
        <v>0</v>
      </c>
      <c r="M133" s="139">
        <f>$I133*VLOOKUP($A133,'[1]INPUT_ASSUMPTIONS CALC'!$A$13:$CK$1019,I$6,FALSE)*VLOOKUP($A133,'[1]INPUT_ASSUMPTIONS CALC'!$A$13:$CK$1019,M$7,FALSE)</f>
        <v>0</v>
      </c>
      <c r="N133" s="140">
        <f t="shared" si="7"/>
        <v>0</v>
      </c>
      <c r="O133" s="141">
        <f>H133*VLOOKUP($A133,'[1]INPUT_ASSUMPTIONS CALC'!$A$13:$CK$1019,H$6,FALSE)*SUMIF('[1]INPUT_ASSUMPTIONS CALC'!$CQ$15:$CQ$17,'[1]Summary calculation'!E133,'[1]INPUT_ASSUMPTIONS CALC'!$CR$15:$CR$17)</f>
        <v>0</v>
      </c>
      <c r="P133" s="141">
        <f>H133*VLOOKUP($A133,'[1]INPUT_ASSUMPTIONS CALC'!$A$13:$CK$1019,H$6,FALSE)*SUMIF('[1]INPUT_ASSUMPTIONS CALC'!$CV$15:$CV$31,'[1]Summary calculation'!E133,'[1]INPUT_ASSUMPTIONS CALC'!$CW$15:$CW$31)</f>
        <v>0</v>
      </c>
      <c r="Q133" s="141">
        <f>O133*VLOOKUP($A133,'[1]INPUT_ASSUMPTIONS CALC'!$A$13:$CK$1019,Q$7,FALSE)</f>
        <v>0</v>
      </c>
      <c r="R133" s="141">
        <f>P133*VLOOKUP($A133,'[1]INPUT_ASSUMPTIONS CALC'!$A$13:$CK$1019,R$7,FALSE)</f>
        <v>0</v>
      </c>
      <c r="S133" s="140">
        <f t="shared" si="5"/>
        <v>0</v>
      </c>
      <c r="T133" s="142">
        <f t="shared" si="6"/>
        <v>0</v>
      </c>
      <c r="U133" s="61"/>
    </row>
    <row r="134" spans="1:21" x14ac:dyDescent="0.35">
      <c r="A134" s="125" t="str">
        <f t="shared" si="4"/>
        <v>126Q2</v>
      </c>
      <c r="B134" s="135">
        <v>126</v>
      </c>
      <c r="C134" s="61" t="str">
        <f>INDEX('[1]INPUT_ASSUMPTIONS CALC'!D:D,MATCH(A134,'[1]INPUT_ASSUMPTIONS CALC'!A:A,0))</f>
        <v/>
      </c>
      <c r="D134" s="61" t="str">
        <f>INDEX('[1]INPUT_ASSUMPTIONS CALC'!I:I,MATCH(A134,'[1]INPUT_ASSUMPTIONS CALC'!A:A,0))</f>
        <v/>
      </c>
      <c r="E134" s="61" t="str">
        <f>INDEX('[1]INPUT_ASSUMPTIONS CALC'!E:E,MATCH(A134,'[1]INPUT_ASSUMPTIONS CALC'!A:A,0))</f>
        <v/>
      </c>
      <c r="F134" s="136">
        <f>IF($F$5="Q1",VLOOKUP($A134,'[1]INPUT_ASSUMPTIONS CALC'!$A$13:$CK$1019,F$7,FALSE),IF($F$5="Q2",VLOOKUP($A134,'[1]INPUT_ASSUMPTIONS CALC'!$A$13:$CK$1019,F$7,FALSE),IF($F$5="Q3",VLOOKUP($A134,'[1]INPUT_ASSUMPTIONS CALC'!$A$13:$CK$1019,F$7,FALSE),IF($F$5="Q4",VLOOKUP($A134,'[1]INPUT_ASSUMPTIONS CALC'!$A$13:$CK$1019,F$7,FALSE),IF($F$5="Year",VLOOKUP($A134,'[1]INPUT_ASSUMPTIONS CALC'!$A$13:$CK$1019,F$7,FALSE),0)))))</f>
        <v>0</v>
      </c>
      <c r="G134" s="137">
        <f>SUMIF('[1]INPUT_ASSUMPTIONS CALC'!A:A,'[1]Summary calculation'!A134,'[1]INPUT_ASSUMPTIONS CALC'!BU:BU)</f>
        <v>0</v>
      </c>
      <c r="H134" s="138">
        <f>IF($F$5="Year",F134*G134*'[1]INPUT_ASSUMPTIONS CALC'!$S$7,F134*G134)</f>
        <v>0</v>
      </c>
      <c r="I134" s="138">
        <f>H134*VLOOKUP($A134,'[1]INPUT_ASSUMPTIONS CALC'!$A$13:$CK$1019,H$6,FALSE)*SUMIF('[1]INPUT_ASSUMPTIONS CALC'!$CL$15:$CL$17,'[1]Summary calculation'!E134,'[1]INPUT_ASSUMPTIONS CALC'!$CM$15:$CM$17)</f>
        <v>0</v>
      </c>
      <c r="J134" s="139">
        <f>$I134*VLOOKUP($A134,'[1]INPUT_ASSUMPTIONS CALC'!$A$13:$CK$1019,I$6,FALSE)*VLOOKUP($A134,'[1]INPUT_ASSUMPTIONS CALC'!$A$13:$CK$1019,J$7,FALSE)</f>
        <v>0</v>
      </c>
      <c r="K134" s="139">
        <f>$I134*VLOOKUP($A134,'[1]INPUT_ASSUMPTIONS CALC'!$A$13:$CK$1019,I$6,FALSE)*VLOOKUP($A134,'[1]INPUT_ASSUMPTIONS CALC'!$A$13:$CK$1019,K$7,FALSE)</f>
        <v>0</v>
      </c>
      <c r="L134" s="139">
        <f>$I134*VLOOKUP($A134,'[1]INPUT_ASSUMPTIONS CALC'!$A$13:$CK$1019,I$6,FALSE)*VLOOKUP($A134,'[1]INPUT_ASSUMPTIONS CALC'!$A$13:$CK$1019,L$7,FALSE)</f>
        <v>0</v>
      </c>
      <c r="M134" s="139">
        <f>$I134*VLOOKUP($A134,'[1]INPUT_ASSUMPTIONS CALC'!$A$13:$CK$1019,I$6,FALSE)*VLOOKUP($A134,'[1]INPUT_ASSUMPTIONS CALC'!$A$13:$CK$1019,M$7,FALSE)</f>
        <v>0</v>
      </c>
      <c r="N134" s="140">
        <f t="shared" si="7"/>
        <v>0</v>
      </c>
      <c r="O134" s="141">
        <f>H134*VLOOKUP($A134,'[1]INPUT_ASSUMPTIONS CALC'!$A$13:$CK$1019,H$6,FALSE)*SUMIF('[1]INPUT_ASSUMPTIONS CALC'!$CQ$15:$CQ$17,'[1]Summary calculation'!E134,'[1]INPUT_ASSUMPTIONS CALC'!$CR$15:$CR$17)</f>
        <v>0</v>
      </c>
      <c r="P134" s="141">
        <f>H134*VLOOKUP($A134,'[1]INPUT_ASSUMPTIONS CALC'!$A$13:$CK$1019,H$6,FALSE)*SUMIF('[1]INPUT_ASSUMPTIONS CALC'!$CV$15:$CV$31,'[1]Summary calculation'!E134,'[1]INPUT_ASSUMPTIONS CALC'!$CW$15:$CW$31)</f>
        <v>0</v>
      </c>
      <c r="Q134" s="141">
        <f>O134*VLOOKUP($A134,'[1]INPUT_ASSUMPTIONS CALC'!$A$13:$CK$1019,Q$7,FALSE)</f>
        <v>0</v>
      </c>
      <c r="R134" s="141">
        <f>P134*VLOOKUP($A134,'[1]INPUT_ASSUMPTIONS CALC'!$A$13:$CK$1019,R$7,FALSE)</f>
        <v>0</v>
      </c>
      <c r="S134" s="140">
        <f t="shared" si="5"/>
        <v>0</v>
      </c>
      <c r="T134" s="142">
        <f t="shared" si="6"/>
        <v>0</v>
      </c>
      <c r="U134" s="61"/>
    </row>
    <row r="135" spans="1:21" x14ac:dyDescent="0.35">
      <c r="A135" s="125" t="str">
        <f t="shared" si="4"/>
        <v>127Q2</v>
      </c>
      <c r="B135" s="135">
        <v>127</v>
      </c>
      <c r="C135" s="61" t="str">
        <f>INDEX('[1]INPUT_ASSUMPTIONS CALC'!D:D,MATCH(A135,'[1]INPUT_ASSUMPTIONS CALC'!A:A,0))</f>
        <v/>
      </c>
      <c r="D135" s="61" t="str">
        <f>INDEX('[1]INPUT_ASSUMPTIONS CALC'!I:I,MATCH(A135,'[1]INPUT_ASSUMPTIONS CALC'!A:A,0))</f>
        <v/>
      </c>
      <c r="E135" s="61" t="str">
        <f>INDEX('[1]INPUT_ASSUMPTIONS CALC'!E:E,MATCH(A135,'[1]INPUT_ASSUMPTIONS CALC'!A:A,0))</f>
        <v/>
      </c>
      <c r="F135" s="136">
        <f>IF($F$5="Q1",VLOOKUP($A135,'[1]INPUT_ASSUMPTIONS CALC'!$A$13:$CK$1019,F$7,FALSE),IF($F$5="Q2",VLOOKUP($A135,'[1]INPUT_ASSUMPTIONS CALC'!$A$13:$CK$1019,F$7,FALSE),IF($F$5="Q3",VLOOKUP($A135,'[1]INPUT_ASSUMPTIONS CALC'!$A$13:$CK$1019,F$7,FALSE),IF($F$5="Q4",VLOOKUP($A135,'[1]INPUT_ASSUMPTIONS CALC'!$A$13:$CK$1019,F$7,FALSE),IF($F$5="Year",VLOOKUP($A135,'[1]INPUT_ASSUMPTIONS CALC'!$A$13:$CK$1019,F$7,FALSE),0)))))</f>
        <v>0</v>
      </c>
      <c r="G135" s="137">
        <f>SUMIF('[1]INPUT_ASSUMPTIONS CALC'!A:A,'[1]Summary calculation'!A135,'[1]INPUT_ASSUMPTIONS CALC'!BU:BU)</f>
        <v>0</v>
      </c>
      <c r="H135" s="138">
        <f>IF($F$5="Year",F135*G135*'[1]INPUT_ASSUMPTIONS CALC'!$S$7,F135*G135)</f>
        <v>0</v>
      </c>
      <c r="I135" s="138">
        <f>H135*VLOOKUP($A135,'[1]INPUT_ASSUMPTIONS CALC'!$A$13:$CK$1019,H$6,FALSE)*SUMIF('[1]INPUT_ASSUMPTIONS CALC'!$CL$15:$CL$17,'[1]Summary calculation'!E135,'[1]INPUT_ASSUMPTIONS CALC'!$CM$15:$CM$17)</f>
        <v>0</v>
      </c>
      <c r="J135" s="139">
        <f>$I135*VLOOKUP($A135,'[1]INPUT_ASSUMPTIONS CALC'!$A$13:$CK$1019,I$6,FALSE)*VLOOKUP($A135,'[1]INPUT_ASSUMPTIONS CALC'!$A$13:$CK$1019,J$7,FALSE)</f>
        <v>0</v>
      </c>
      <c r="K135" s="139">
        <f>$I135*VLOOKUP($A135,'[1]INPUT_ASSUMPTIONS CALC'!$A$13:$CK$1019,I$6,FALSE)*VLOOKUP($A135,'[1]INPUT_ASSUMPTIONS CALC'!$A$13:$CK$1019,K$7,FALSE)</f>
        <v>0</v>
      </c>
      <c r="L135" s="139">
        <f>$I135*VLOOKUP($A135,'[1]INPUT_ASSUMPTIONS CALC'!$A$13:$CK$1019,I$6,FALSE)*VLOOKUP($A135,'[1]INPUT_ASSUMPTIONS CALC'!$A$13:$CK$1019,L$7,FALSE)</f>
        <v>0</v>
      </c>
      <c r="M135" s="139">
        <f>$I135*VLOOKUP($A135,'[1]INPUT_ASSUMPTIONS CALC'!$A$13:$CK$1019,I$6,FALSE)*VLOOKUP($A135,'[1]INPUT_ASSUMPTIONS CALC'!$A$13:$CK$1019,M$7,FALSE)</f>
        <v>0</v>
      </c>
      <c r="N135" s="140">
        <f t="shared" si="7"/>
        <v>0</v>
      </c>
      <c r="O135" s="141">
        <f>H135*VLOOKUP($A135,'[1]INPUT_ASSUMPTIONS CALC'!$A$13:$CK$1019,H$6,FALSE)*SUMIF('[1]INPUT_ASSUMPTIONS CALC'!$CQ$15:$CQ$17,'[1]Summary calculation'!E135,'[1]INPUT_ASSUMPTIONS CALC'!$CR$15:$CR$17)</f>
        <v>0</v>
      </c>
      <c r="P135" s="141">
        <f>H135*VLOOKUP($A135,'[1]INPUT_ASSUMPTIONS CALC'!$A$13:$CK$1019,H$6,FALSE)*SUMIF('[1]INPUT_ASSUMPTIONS CALC'!$CV$15:$CV$31,'[1]Summary calculation'!E135,'[1]INPUT_ASSUMPTIONS CALC'!$CW$15:$CW$31)</f>
        <v>0</v>
      </c>
      <c r="Q135" s="141">
        <f>O135*VLOOKUP($A135,'[1]INPUT_ASSUMPTIONS CALC'!$A$13:$CK$1019,Q$7,FALSE)</f>
        <v>0</v>
      </c>
      <c r="R135" s="141">
        <f>P135*VLOOKUP($A135,'[1]INPUT_ASSUMPTIONS CALC'!$A$13:$CK$1019,R$7,FALSE)</f>
        <v>0</v>
      </c>
      <c r="S135" s="140">
        <f t="shared" si="5"/>
        <v>0</v>
      </c>
      <c r="T135" s="142">
        <f t="shared" si="6"/>
        <v>0</v>
      </c>
      <c r="U135" s="61"/>
    </row>
    <row r="136" spans="1:21" x14ac:dyDescent="0.35">
      <c r="A136" s="125" t="str">
        <f t="shared" si="4"/>
        <v>128Q2</v>
      </c>
      <c r="B136" s="135">
        <v>128</v>
      </c>
      <c r="C136" s="61" t="str">
        <f>INDEX('[1]INPUT_ASSUMPTIONS CALC'!D:D,MATCH(A136,'[1]INPUT_ASSUMPTIONS CALC'!A:A,0))</f>
        <v/>
      </c>
      <c r="D136" s="61" t="str">
        <f>INDEX('[1]INPUT_ASSUMPTIONS CALC'!I:I,MATCH(A136,'[1]INPUT_ASSUMPTIONS CALC'!A:A,0))</f>
        <v/>
      </c>
      <c r="E136" s="61" t="str">
        <f>INDEX('[1]INPUT_ASSUMPTIONS CALC'!E:E,MATCH(A136,'[1]INPUT_ASSUMPTIONS CALC'!A:A,0))</f>
        <v/>
      </c>
      <c r="F136" s="136">
        <f>IF($F$5="Q1",VLOOKUP($A136,'[1]INPUT_ASSUMPTIONS CALC'!$A$13:$CK$1019,F$7,FALSE),IF($F$5="Q2",VLOOKUP($A136,'[1]INPUT_ASSUMPTIONS CALC'!$A$13:$CK$1019,F$7,FALSE),IF($F$5="Q3",VLOOKUP($A136,'[1]INPUT_ASSUMPTIONS CALC'!$A$13:$CK$1019,F$7,FALSE),IF($F$5="Q4",VLOOKUP($A136,'[1]INPUT_ASSUMPTIONS CALC'!$A$13:$CK$1019,F$7,FALSE),IF($F$5="Year",VLOOKUP($A136,'[1]INPUT_ASSUMPTIONS CALC'!$A$13:$CK$1019,F$7,FALSE),0)))))</f>
        <v>0</v>
      </c>
      <c r="G136" s="137">
        <f>SUMIF('[1]INPUT_ASSUMPTIONS CALC'!A:A,'[1]Summary calculation'!A136,'[1]INPUT_ASSUMPTIONS CALC'!BU:BU)</f>
        <v>0</v>
      </c>
      <c r="H136" s="138">
        <f>IF($F$5="Year",F136*G136*'[1]INPUT_ASSUMPTIONS CALC'!$S$7,F136*G136)</f>
        <v>0</v>
      </c>
      <c r="I136" s="138">
        <f>H136*VLOOKUP($A136,'[1]INPUT_ASSUMPTIONS CALC'!$A$13:$CK$1019,H$6,FALSE)*SUMIF('[1]INPUT_ASSUMPTIONS CALC'!$CL$15:$CL$17,'[1]Summary calculation'!E136,'[1]INPUT_ASSUMPTIONS CALC'!$CM$15:$CM$17)</f>
        <v>0</v>
      </c>
      <c r="J136" s="139">
        <f>$I136*VLOOKUP($A136,'[1]INPUT_ASSUMPTIONS CALC'!$A$13:$CK$1019,I$6,FALSE)*VLOOKUP($A136,'[1]INPUT_ASSUMPTIONS CALC'!$A$13:$CK$1019,J$7,FALSE)</f>
        <v>0</v>
      </c>
      <c r="K136" s="139">
        <f>$I136*VLOOKUP($A136,'[1]INPUT_ASSUMPTIONS CALC'!$A$13:$CK$1019,I$6,FALSE)*VLOOKUP($A136,'[1]INPUT_ASSUMPTIONS CALC'!$A$13:$CK$1019,K$7,FALSE)</f>
        <v>0</v>
      </c>
      <c r="L136" s="139">
        <f>$I136*VLOOKUP($A136,'[1]INPUT_ASSUMPTIONS CALC'!$A$13:$CK$1019,I$6,FALSE)*VLOOKUP($A136,'[1]INPUT_ASSUMPTIONS CALC'!$A$13:$CK$1019,L$7,FALSE)</f>
        <v>0</v>
      </c>
      <c r="M136" s="139">
        <f>$I136*VLOOKUP($A136,'[1]INPUT_ASSUMPTIONS CALC'!$A$13:$CK$1019,I$6,FALSE)*VLOOKUP($A136,'[1]INPUT_ASSUMPTIONS CALC'!$A$13:$CK$1019,M$7,FALSE)</f>
        <v>0</v>
      </c>
      <c r="N136" s="140">
        <f t="shared" si="7"/>
        <v>0</v>
      </c>
      <c r="O136" s="141">
        <f>H136*VLOOKUP($A136,'[1]INPUT_ASSUMPTIONS CALC'!$A$13:$CK$1019,H$6,FALSE)*SUMIF('[1]INPUT_ASSUMPTIONS CALC'!$CQ$15:$CQ$17,'[1]Summary calculation'!E136,'[1]INPUT_ASSUMPTIONS CALC'!$CR$15:$CR$17)</f>
        <v>0</v>
      </c>
      <c r="P136" s="141">
        <f>H136*VLOOKUP($A136,'[1]INPUT_ASSUMPTIONS CALC'!$A$13:$CK$1019,H$6,FALSE)*SUMIF('[1]INPUT_ASSUMPTIONS CALC'!$CV$15:$CV$31,'[1]Summary calculation'!E136,'[1]INPUT_ASSUMPTIONS CALC'!$CW$15:$CW$31)</f>
        <v>0</v>
      </c>
      <c r="Q136" s="141">
        <f>O136*VLOOKUP($A136,'[1]INPUT_ASSUMPTIONS CALC'!$A$13:$CK$1019,Q$7,FALSE)</f>
        <v>0</v>
      </c>
      <c r="R136" s="141">
        <f>P136*VLOOKUP($A136,'[1]INPUT_ASSUMPTIONS CALC'!$A$13:$CK$1019,R$7,FALSE)</f>
        <v>0</v>
      </c>
      <c r="S136" s="140">
        <f t="shared" si="5"/>
        <v>0</v>
      </c>
      <c r="T136" s="142">
        <f t="shared" si="6"/>
        <v>0</v>
      </c>
      <c r="U136" s="61"/>
    </row>
    <row r="137" spans="1:21" x14ac:dyDescent="0.35">
      <c r="A137" s="125" t="str">
        <f t="shared" ref="A137:A200" si="8">CONCATENATE(B137,$F$5)</f>
        <v>129Q2</v>
      </c>
      <c r="B137" s="135">
        <v>129</v>
      </c>
      <c r="C137" s="61" t="str">
        <f>INDEX('[1]INPUT_ASSUMPTIONS CALC'!D:D,MATCH(A137,'[1]INPUT_ASSUMPTIONS CALC'!A:A,0))</f>
        <v/>
      </c>
      <c r="D137" s="61" t="str">
        <f>INDEX('[1]INPUT_ASSUMPTIONS CALC'!I:I,MATCH(A137,'[1]INPUT_ASSUMPTIONS CALC'!A:A,0))</f>
        <v/>
      </c>
      <c r="E137" s="61" t="str">
        <f>INDEX('[1]INPUT_ASSUMPTIONS CALC'!E:E,MATCH(A137,'[1]INPUT_ASSUMPTIONS CALC'!A:A,0))</f>
        <v/>
      </c>
      <c r="F137" s="136">
        <f>IF($F$5="Q1",VLOOKUP($A137,'[1]INPUT_ASSUMPTIONS CALC'!$A$13:$CK$1019,F$7,FALSE),IF($F$5="Q2",VLOOKUP($A137,'[1]INPUT_ASSUMPTIONS CALC'!$A$13:$CK$1019,F$7,FALSE),IF($F$5="Q3",VLOOKUP($A137,'[1]INPUT_ASSUMPTIONS CALC'!$A$13:$CK$1019,F$7,FALSE),IF($F$5="Q4",VLOOKUP($A137,'[1]INPUT_ASSUMPTIONS CALC'!$A$13:$CK$1019,F$7,FALSE),IF($F$5="Year",VLOOKUP($A137,'[1]INPUT_ASSUMPTIONS CALC'!$A$13:$CK$1019,F$7,FALSE),0)))))</f>
        <v>0</v>
      </c>
      <c r="G137" s="137">
        <f>SUMIF('[1]INPUT_ASSUMPTIONS CALC'!A:A,'[1]Summary calculation'!A137,'[1]INPUT_ASSUMPTIONS CALC'!BU:BU)</f>
        <v>0</v>
      </c>
      <c r="H137" s="138">
        <f>IF($F$5="Year",F137*G137*'[1]INPUT_ASSUMPTIONS CALC'!$S$7,F137*G137)</f>
        <v>0</v>
      </c>
      <c r="I137" s="138">
        <f>H137*VLOOKUP($A137,'[1]INPUT_ASSUMPTIONS CALC'!$A$13:$CK$1019,H$6,FALSE)*SUMIF('[1]INPUT_ASSUMPTIONS CALC'!$CL$15:$CL$17,'[1]Summary calculation'!E137,'[1]INPUT_ASSUMPTIONS CALC'!$CM$15:$CM$17)</f>
        <v>0</v>
      </c>
      <c r="J137" s="139">
        <f>$I137*VLOOKUP($A137,'[1]INPUT_ASSUMPTIONS CALC'!$A$13:$CK$1019,I$6,FALSE)*VLOOKUP($A137,'[1]INPUT_ASSUMPTIONS CALC'!$A$13:$CK$1019,J$7,FALSE)</f>
        <v>0</v>
      </c>
      <c r="K137" s="139">
        <f>$I137*VLOOKUP($A137,'[1]INPUT_ASSUMPTIONS CALC'!$A$13:$CK$1019,I$6,FALSE)*VLOOKUP($A137,'[1]INPUT_ASSUMPTIONS CALC'!$A$13:$CK$1019,K$7,FALSE)</f>
        <v>0</v>
      </c>
      <c r="L137" s="139">
        <f>$I137*VLOOKUP($A137,'[1]INPUT_ASSUMPTIONS CALC'!$A$13:$CK$1019,I$6,FALSE)*VLOOKUP($A137,'[1]INPUT_ASSUMPTIONS CALC'!$A$13:$CK$1019,L$7,FALSE)</f>
        <v>0</v>
      </c>
      <c r="M137" s="139">
        <f>$I137*VLOOKUP($A137,'[1]INPUT_ASSUMPTIONS CALC'!$A$13:$CK$1019,I$6,FALSE)*VLOOKUP($A137,'[1]INPUT_ASSUMPTIONS CALC'!$A$13:$CK$1019,M$7,FALSE)</f>
        <v>0</v>
      </c>
      <c r="N137" s="140">
        <f t="shared" si="7"/>
        <v>0</v>
      </c>
      <c r="O137" s="141">
        <f>H137*VLOOKUP($A137,'[1]INPUT_ASSUMPTIONS CALC'!$A$13:$CK$1019,H$6,FALSE)*SUMIF('[1]INPUT_ASSUMPTIONS CALC'!$CQ$15:$CQ$17,'[1]Summary calculation'!E137,'[1]INPUT_ASSUMPTIONS CALC'!$CR$15:$CR$17)</f>
        <v>0</v>
      </c>
      <c r="P137" s="141">
        <f>H137*VLOOKUP($A137,'[1]INPUT_ASSUMPTIONS CALC'!$A$13:$CK$1019,H$6,FALSE)*SUMIF('[1]INPUT_ASSUMPTIONS CALC'!$CV$15:$CV$31,'[1]Summary calculation'!E137,'[1]INPUT_ASSUMPTIONS CALC'!$CW$15:$CW$31)</f>
        <v>0</v>
      </c>
      <c r="Q137" s="141">
        <f>O137*VLOOKUP($A137,'[1]INPUT_ASSUMPTIONS CALC'!$A$13:$CK$1019,Q$7,FALSE)</f>
        <v>0</v>
      </c>
      <c r="R137" s="141">
        <f>P137*VLOOKUP($A137,'[1]INPUT_ASSUMPTIONS CALC'!$A$13:$CK$1019,R$7,FALSE)</f>
        <v>0</v>
      </c>
      <c r="S137" s="140">
        <f t="shared" ref="S137:S200" si="9">SUM(Q137:R137)</f>
        <v>0</v>
      </c>
      <c r="T137" s="142">
        <f t="shared" ref="T137:T200" si="10">ROUND(N137+S137,0)</f>
        <v>0</v>
      </c>
      <c r="U137" s="61"/>
    </row>
    <row r="138" spans="1:21" x14ac:dyDescent="0.35">
      <c r="A138" s="125" t="str">
        <f t="shared" si="8"/>
        <v>130Q2</v>
      </c>
      <c r="B138" s="135">
        <v>130</v>
      </c>
      <c r="C138" s="61" t="str">
        <f>INDEX('[1]INPUT_ASSUMPTIONS CALC'!D:D,MATCH(A138,'[1]INPUT_ASSUMPTIONS CALC'!A:A,0))</f>
        <v/>
      </c>
      <c r="D138" s="61" t="str">
        <f>INDEX('[1]INPUT_ASSUMPTIONS CALC'!I:I,MATCH(A138,'[1]INPUT_ASSUMPTIONS CALC'!A:A,0))</f>
        <v/>
      </c>
      <c r="E138" s="61" t="str">
        <f>INDEX('[1]INPUT_ASSUMPTIONS CALC'!E:E,MATCH(A138,'[1]INPUT_ASSUMPTIONS CALC'!A:A,0))</f>
        <v/>
      </c>
      <c r="F138" s="136">
        <f>IF($F$5="Q1",VLOOKUP($A138,'[1]INPUT_ASSUMPTIONS CALC'!$A$13:$CK$1019,F$7,FALSE),IF($F$5="Q2",VLOOKUP($A138,'[1]INPUT_ASSUMPTIONS CALC'!$A$13:$CK$1019,F$7,FALSE),IF($F$5="Q3",VLOOKUP($A138,'[1]INPUT_ASSUMPTIONS CALC'!$A$13:$CK$1019,F$7,FALSE),IF($F$5="Q4",VLOOKUP($A138,'[1]INPUT_ASSUMPTIONS CALC'!$A$13:$CK$1019,F$7,FALSE),IF($F$5="Year",VLOOKUP($A138,'[1]INPUT_ASSUMPTIONS CALC'!$A$13:$CK$1019,F$7,FALSE),0)))))</f>
        <v>0</v>
      </c>
      <c r="G138" s="137">
        <f>SUMIF('[1]INPUT_ASSUMPTIONS CALC'!A:A,'[1]Summary calculation'!A138,'[1]INPUT_ASSUMPTIONS CALC'!BU:BU)</f>
        <v>0</v>
      </c>
      <c r="H138" s="138">
        <f>IF($F$5="Year",F138*G138*'[1]INPUT_ASSUMPTIONS CALC'!$S$7,F138*G138)</f>
        <v>0</v>
      </c>
      <c r="I138" s="138">
        <f>H138*VLOOKUP($A138,'[1]INPUT_ASSUMPTIONS CALC'!$A$13:$CK$1019,H$6,FALSE)*SUMIF('[1]INPUT_ASSUMPTIONS CALC'!$CL$15:$CL$17,'[1]Summary calculation'!E138,'[1]INPUT_ASSUMPTIONS CALC'!$CM$15:$CM$17)</f>
        <v>0</v>
      </c>
      <c r="J138" s="139">
        <f>$I138*VLOOKUP($A138,'[1]INPUT_ASSUMPTIONS CALC'!$A$13:$CK$1019,I$6,FALSE)*VLOOKUP($A138,'[1]INPUT_ASSUMPTIONS CALC'!$A$13:$CK$1019,J$7,FALSE)</f>
        <v>0</v>
      </c>
      <c r="K138" s="139">
        <f>$I138*VLOOKUP($A138,'[1]INPUT_ASSUMPTIONS CALC'!$A$13:$CK$1019,I$6,FALSE)*VLOOKUP($A138,'[1]INPUT_ASSUMPTIONS CALC'!$A$13:$CK$1019,K$7,FALSE)</f>
        <v>0</v>
      </c>
      <c r="L138" s="139">
        <f>$I138*VLOOKUP($A138,'[1]INPUT_ASSUMPTIONS CALC'!$A$13:$CK$1019,I$6,FALSE)*VLOOKUP($A138,'[1]INPUT_ASSUMPTIONS CALC'!$A$13:$CK$1019,L$7,FALSE)</f>
        <v>0</v>
      </c>
      <c r="M138" s="139">
        <f>$I138*VLOOKUP($A138,'[1]INPUT_ASSUMPTIONS CALC'!$A$13:$CK$1019,I$6,FALSE)*VLOOKUP($A138,'[1]INPUT_ASSUMPTIONS CALC'!$A$13:$CK$1019,M$7,FALSE)</f>
        <v>0</v>
      </c>
      <c r="N138" s="140">
        <f t="shared" ref="N138:N201" si="11">SUM(J138:M138)</f>
        <v>0</v>
      </c>
      <c r="O138" s="141">
        <f>H138*VLOOKUP($A138,'[1]INPUT_ASSUMPTIONS CALC'!$A$13:$CK$1019,H$6,FALSE)*SUMIF('[1]INPUT_ASSUMPTIONS CALC'!$CQ$15:$CQ$17,'[1]Summary calculation'!E138,'[1]INPUT_ASSUMPTIONS CALC'!$CR$15:$CR$17)</f>
        <v>0</v>
      </c>
      <c r="P138" s="141">
        <f>H138*VLOOKUP($A138,'[1]INPUT_ASSUMPTIONS CALC'!$A$13:$CK$1019,H$6,FALSE)*SUMIF('[1]INPUT_ASSUMPTIONS CALC'!$CV$15:$CV$31,'[1]Summary calculation'!E138,'[1]INPUT_ASSUMPTIONS CALC'!$CW$15:$CW$31)</f>
        <v>0</v>
      </c>
      <c r="Q138" s="141">
        <f>O138*VLOOKUP($A138,'[1]INPUT_ASSUMPTIONS CALC'!$A$13:$CK$1019,Q$7,FALSE)</f>
        <v>0</v>
      </c>
      <c r="R138" s="141">
        <f>P138*VLOOKUP($A138,'[1]INPUT_ASSUMPTIONS CALC'!$A$13:$CK$1019,R$7,FALSE)</f>
        <v>0</v>
      </c>
      <c r="S138" s="140">
        <f t="shared" si="9"/>
        <v>0</v>
      </c>
      <c r="T138" s="142">
        <f t="shared" si="10"/>
        <v>0</v>
      </c>
      <c r="U138" s="61"/>
    </row>
    <row r="139" spans="1:21" x14ac:dyDescent="0.35">
      <c r="A139" s="125" t="str">
        <f t="shared" si="8"/>
        <v>131Q2</v>
      </c>
      <c r="B139" s="135">
        <v>131</v>
      </c>
      <c r="C139" s="61" t="str">
        <f>INDEX('[1]INPUT_ASSUMPTIONS CALC'!D:D,MATCH(A139,'[1]INPUT_ASSUMPTIONS CALC'!A:A,0))</f>
        <v/>
      </c>
      <c r="D139" s="61" t="str">
        <f>INDEX('[1]INPUT_ASSUMPTIONS CALC'!I:I,MATCH(A139,'[1]INPUT_ASSUMPTIONS CALC'!A:A,0))</f>
        <v/>
      </c>
      <c r="E139" s="61" t="str">
        <f>INDEX('[1]INPUT_ASSUMPTIONS CALC'!E:E,MATCH(A139,'[1]INPUT_ASSUMPTIONS CALC'!A:A,0))</f>
        <v/>
      </c>
      <c r="F139" s="136">
        <f>IF($F$5="Q1",VLOOKUP($A139,'[1]INPUT_ASSUMPTIONS CALC'!$A$13:$CK$1019,F$7,FALSE),IF($F$5="Q2",VLOOKUP($A139,'[1]INPUT_ASSUMPTIONS CALC'!$A$13:$CK$1019,F$7,FALSE),IF($F$5="Q3",VLOOKUP($A139,'[1]INPUT_ASSUMPTIONS CALC'!$A$13:$CK$1019,F$7,FALSE),IF($F$5="Q4",VLOOKUP($A139,'[1]INPUT_ASSUMPTIONS CALC'!$A$13:$CK$1019,F$7,FALSE),IF($F$5="Year",VLOOKUP($A139,'[1]INPUT_ASSUMPTIONS CALC'!$A$13:$CK$1019,F$7,FALSE),0)))))</f>
        <v>0</v>
      </c>
      <c r="G139" s="137">
        <f>SUMIF('[1]INPUT_ASSUMPTIONS CALC'!A:A,'[1]Summary calculation'!A139,'[1]INPUT_ASSUMPTIONS CALC'!BU:BU)</f>
        <v>0</v>
      </c>
      <c r="H139" s="138">
        <f>IF($F$5="Year",F139*G139*'[1]INPUT_ASSUMPTIONS CALC'!$S$7,F139*G139)</f>
        <v>0</v>
      </c>
      <c r="I139" s="138">
        <f>H139*VLOOKUP($A139,'[1]INPUT_ASSUMPTIONS CALC'!$A$13:$CK$1019,H$6,FALSE)*SUMIF('[1]INPUT_ASSUMPTIONS CALC'!$CL$15:$CL$17,'[1]Summary calculation'!E139,'[1]INPUT_ASSUMPTIONS CALC'!$CM$15:$CM$17)</f>
        <v>0</v>
      </c>
      <c r="J139" s="139">
        <f>$I139*VLOOKUP($A139,'[1]INPUT_ASSUMPTIONS CALC'!$A$13:$CK$1019,I$6,FALSE)*VLOOKUP($A139,'[1]INPUT_ASSUMPTIONS CALC'!$A$13:$CK$1019,J$7,FALSE)</f>
        <v>0</v>
      </c>
      <c r="K139" s="139">
        <f>$I139*VLOOKUP($A139,'[1]INPUT_ASSUMPTIONS CALC'!$A$13:$CK$1019,I$6,FALSE)*VLOOKUP($A139,'[1]INPUT_ASSUMPTIONS CALC'!$A$13:$CK$1019,K$7,FALSE)</f>
        <v>0</v>
      </c>
      <c r="L139" s="139">
        <f>$I139*VLOOKUP($A139,'[1]INPUT_ASSUMPTIONS CALC'!$A$13:$CK$1019,I$6,FALSE)*VLOOKUP($A139,'[1]INPUT_ASSUMPTIONS CALC'!$A$13:$CK$1019,L$7,FALSE)</f>
        <v>0</v>
      </c>
      <c r="M139" s="139">
        <f>$I139*VLOOKUP($A139,'[1]INPUT_ASSUMPTIONS CALC'!$A$13:$CK$1019,I$6,FALSE)*VLOOKUP($A139,'[1]INPUT_ASSUMPTIONS CALC'!$A$13:$CK$1019,M$7,FALSE)</f>
        <v>0</v>
      </c>
      <c r="N139" s="140">
        <f t="shared" si="11"/>
        <v>0</v>
      </c>
      <c r="O139" s="141">
        <f>H139*VLOOKUP($A139,'[1]INPUT_ASSUMPTIONS CALC'!$A$13:$CK$1019,H$6,FALSE)*SUMIF('[1]INPUT_ASSUMPTIONS CALC'!$CQ$15:$CQ$17,'[1]Summary calculation'!E139,'[1]INPUT_ASSUMPTIONS CALC'!$CR$15:$CR$17)</f>
        <v>0</v>
      </c>
      <c r="P139" s="141">
        <f>H139*VLOOKUP($A139,'[1]INPUT_ASSUMPTIONS CALC'!$A$13:$CK$1019,H$6,FALSE)*SUMIF('[1]INPUT_ASSUMPTIONS CALC'!$CV$15:$CV$31,'[1]Summary calculation'!E139,'[1]INPUT_ASSUMPTIONS CALC'!$CW$15:$CW$31)</f>
        <v>0</v>
      </c>
      <c r="Q139" s="141">
        <f>O139*VLOOKUP($A139,'[1]INPUT_ASSUMPTIONS CALC'!$A$13:$CK$1019,Q$7,FALSE)</f>
        <v>0</v>
      </c>
      <c r="R139" s="141">
        <f>P139*VLOOKUP($A139,'[1]INPUT_ASSUMPTIONS CALC'!$A$13:$CK$1019,R$7,FALSE)</f>
        <v>0</v>
      </c>
      <c r="S139" s="140">
        <f t="shared" si="9"/>
        <v>0</v>
      </c>
      <c r="T139" s="142">
        <f t="shared" si="10"/>
        <v>0</v>
      </c>
      <c r="U139" s="61"/>
    </row>
    <row r="140" spans="1:21" x14ac:dyDescent="0.35">
      <c r="A140" s="125" t="str">
        <f t="shared" si="8"/>
        <v>132Q2</v>
      </c>
      <c r="B140" s="135">
        <v>132</v>
      </c>
      <c r="C140" s="61" t="str">
        <f>INDEX('[1]INPUT_ASSUMPTIONS CALC'!D:D,MATCH(A140,'[1]INPUT_ASSUMPTIONS CALC'!A:A,0))</f>
        <v/>
      </c>
      <c r="D140" s="61" t="str">
        <f>INDEX('[1]INPUT_ASSUMPTIONS CALC'!I:I,MATCH(A140,'[1]INPUT_ASSUMPTIONS CALC'!A:A,0))</f>
        <v/>
      </c>
      <c r="E140" s="61" t="str">
        <f>INDEX('[1]INPUT_ASSUMPTIONS CALC'!E:E,MATCH(A140,'[1]INPUT_ASSUMPTIONS CALC'!A:A,0))</f>
        <v/>
      </c>
      <c r="F140" s="136">
        <f>IF($F$5="Q1",VLOOKUP($A140,'[1]INPUT_ASSUMPTIONS CALC'!$A$13:$CK$1019,F$7,FALSE),IF($F$5="Q2",VLOOKUP($A140,'[1]INPUT_ASSUMPTIONS CALC'!$A$13:$CK$1019,F$7,FALSE),IF($F$5="Q3",VLOOKUP($A140,'[1]INPUT_ASSUMPTIONS CALC'!$A$13:$CK$1019,F$7,FALSE),IF($F$5="Q4",VLOOKUP($A140,'[1]INPUT_ASSUMPTIONS CALC'!$A$13:$CK$1019,F$7,FALSE),IF($F$5="Year",VLOOKUP($A140,'[1]INPUT_ASSUMPTIONS CALC'!$A$13:$CK$1019,F$7,FALSE),0)))))</f>
        <v>0</v>
      </c>
      <c r="G140" s="137">
        <f>SUMIF('[1]INPUT_ASSUMPTIONS CALC'!A:A,'[1]Summary calculation'!A140,'[1]INPUT_ASSUMPTIONS CALC'!BU:BU)</f>
        <v>0</v>
      </c>
      <c r="H140" s="138">
        <f>IF($F$5="Year",F140*G140*'[1]INPUT_ASSUMPTIONS CALC'!$S$7,F140*G140)</f>
        <v>0</v>
      </c>
      <c r="I140" s="138">
        <f>H140*VLOOKUP($A140,'[1]INPUT_ASSUMPTIONS CALC'!$A$13:$CK$1019,H$6,FALSE)*SUMIF('[1]INPUT_ASSUMPTIONS CALC'!$CL$15:$CL$17,'[1]Summary calculation'!E140,'[1]INPUT_ASSUMPTIONS CALC'!$CM$15:$CM$17)</f>
        <v>0</v>
      </c>
      <c r="J140" s="139">
        <f>$I140*VLOOKUP($A140,'[1]INPUT_ASSUMPTIONS CALC'!$A$13:$CK$1019,I$6,FALSE)*VLOOKUP($A140,'[1]INPUT_ASSUMPTIONS CALC'!$A$13:$CK$1019,J$7,FALSE)</f>
        <v>0</v>
      </c>
      <c r="K140" s="139">
        <f>$I140*VLOOKUP($A140,'[1]INPUT_ASSUMPTIONS CALC'!$A$13:$CK$1019,I$6,FALSE)*VLOOKUP($A140,'[1]INPUT_ASSUMPTIONS CALC'!$A$13:$CK$1019,K$7,FALSE)</f>
        <v>0</v>
      </c>
      <c r="L140" s="139">
        <f>$I140*VLOOKUP($A140,'[1]INPUT_ASSUMPTIONS CALC'!$A$13:$CK$1019,I$6,FALSE)*VLOOKUP($A140,'[1]INPUT_ASSUMPTIONS CALC'!$A$13:$CK$1019,L$7,FALSE)</f>
        <v>0</v>
      </c>
      <c r="M140" s="139">
        <f>$I140*VLOOKUP($A140,'[1]INPUT_ASSUMPTIONS CALC'!$A$13:$CK$1019,I$6,FALSE)*VLOOKUP($A140,'[1]INPUT_ASSUMPTIONS CALC'!$A$13:$CK$1019,M$7,FALSE)</f>
        <v>0</v>
      </c>
      <c r="N140" s="140">
        <f t="shared" si="11"/>
        <v>0</v>
      </c>
      <c r="O140" s="141">
        <f>H140*VLOOKUP($A140,'[1]INPUT_ASSUMPTIONS CALC'!$A$13:$CK$1019,H$6,FALSE)*SUMIF('[1]INPUT_ASSUMPTIONS CALC'!$CQ$15:$CQ$17,'[1]Summary calculation'!E140,'[1]INPUT_ASSUMPTIONS CALC'!$CR$15:$CR$17)</f>
        <v>0</v>
      </c>
      <c r="P140" s="141">
        <f>H140*VLOOKUP($A140,'[1]INPUT_ASSUMPTIONS CALC'!$A$13:$CK$1019,H$6,FALSE)*SUMIF('[1]INPUT_ASSUMPTIONS CALC'!$CV$15:$CV$31,'[1]Summary calculation'!E140,'[1]INPUT_ASSUMPTIONS CALC'!$CW$15:$CW$31)</f>
        <v>0</v>
      </c>
      <c r="Q140" s="141">
        <f>O140*VLOOKUP($A140,'[1]INPUT_ASSUMPTIONS CALC'!$A$13:$CK$1019,Q$7,FALSE)</f>
        <v>0</v>
      </c>
      <c r="R140" s="141">
        <f>P140*VLOOKUP($A140,'[1]INPUT_ASSUMPTIONS CALC'!$A$13:$CK$1019,R$7,FALSE)</f>
        <v>0</v>
      </c>
      <c r="S140" s="140">
        <f t="shared" si="9"/>
        <v>0</v>
      </c>
      <c r="T140" s="142">
        <f t="shared" si="10"/>
        <v>0</v>
      </c>
      <c r="U140" s="61"/>
    </row>
    <row r="141" spans="1:21" x14ac:dyDescent="0.35">
      <c r="A141" s="125" t="str">
        <f t="shared" si="8"/>
        <v>133Q2</v>
      </c>
      <c r="B141" s="135">
        <v>133</v>
      </c>
      <c r="C141" s="61" t="str">
        <f>INDEX('[1]INPUT_ASSUMPTIONS CALC'!D:D,MATCH(A141,'[1]INPUT_ASSUMPTIONS CALC'!A:A,0))</f>
        <v/>
      </c>
      <c r="D141" s="61" t="str">
        <f>INDEX('[1]INPUT_ASSUMPTIONS CALC'!I:I,MATCH(A141,'[1]INPUT_ASSUMPTIONS CALC'!A:A,0))</f>
        <v/>
      </c>
      <c r="E141" s="61" t="str">
        <f>INDEX('[1]INPUT_ASSUMPTIONS CALC'!E:E,MATCH(A141,'[1]INPUT_ASSUMPTIONS CALC'!A:A,0))</f>
        <v/>
      </c>
      <c r="F141" s="136">
        <f>IF($F$5="Q1",VLOOKUP($A141,'[1]INPUT_ASSUMPTIONS CALC'!$A$13:$CK$1019,F$7,FALSE),IF($F$5="Q2",VLOOKUP($A141,'[1]INPUT_ASSUMPTIONS CALC'!$A$13:$CK$1019,F$7,FALSE),IF($F$5="Q3",VLOOKUP($A141,'[1]INPUT_ASSUMPTIONS CALC'!$A$13:$CK$1019,F$7,FALSE),IF($F$5="Q4",VLOOKUP($A141,'[1]INPUT_ASSUMPTIONS CALC'!$A$13:$CK$1019,F$7,FALSE),IF($F$5="Year",VLOOKUP($A141,'[1]INPUT_ASSUMPTIONS CALC'!$A$13:$CK$1019,F$7,FALSE),0)))))</f>
        <v>0</v>
      </c>
      <c r="G141" s="137">
        <f>SUMIF('[1]INPUT_ASSUMPTIONS CALC'!A:A,'[1]Summary calculation'!A141,'[1]INPUT_ASSUMPTIONS CALC'!BU:BU)</f>
        <v>0</v>
      </c>
      <c r="H141" s="138">
        <f>IF($F$5="Year",F141*G141*'[1]INPUT_ASSUMPTIONS CALC'!$S$7,F141*G141)</f>
        <v>0</v>
      </c>
      <c r="I141" s="138">
        <f>H141*VLOOKUP($A141,'[1]INPUT_ASSUMPTIONS CALC'!$A$13:$CK$1019,H$6,FALSE)*SUMIF('[1]INPUT_ASSUMPTIONS CALC'!$CL$15:$CL$17,'[1]Summary calculation'!E141,'[1]INPUT_ASSUMPTIONS CALC'!$CM$15:$CM$17)</f>
        <v>0</v>
      </c>
      <c r="J141" s="139">
        <f>$I141*VLOOKUP($A141,'[1]INPUT_ASSUMPTIONS CALC'!$A$13:$CK$1019,I$6,FALSE)*VLOOKUP($A141,'[1]INPUT_ASSUMPTIONS CALC'!$A$13:$CK$1019,J$7,FALSE)</f>
        <v>0</v>
      </c>
      <c r="K141" s="139">
        <f>$I141*VLOOKUP($A141,'[1]INPUT_ASSUMPTIONS CALC'!$A$13:$CK$1019,I$6,FALSE)*VLOOKUP($A141,'[1]INPUT_ASSUMPTIONS CALC'!$A$13:$CK$1019,K$7,FALSE)</f>
        <v>0</v>
      </c>
      <c r="L141" s="139">
        <f>$I141*VLOOKUP($A141,'[1]INPUT_ASSUMPTIONS CALC'!$A$13:$CK$1019,I$6,FALSE)*VLOOKUP($A141,'[1]INPUT_ASSUMPTIONS CALC'!$A$13:$CK$1019,L$7,FALSE)</f>
        <v>0</v>
      </c>
      <c r="M141" s="139">
        <f>$I141*VLOOKUP($A141,'[1]INPUT_ASSUMPTIONS CALC'!$A$13:$CK$1019,I$6,FALSE)*VLOOKUP($A141,'[1]INPUT_ASSUMPTIONS CALC'!$A$13:$CK$1019,M$7,FALSE)</f>
        <v>0</v>
      </c>
      <c r="N141" s="140">
        <f t="shared" si="11"/>
        <v>0</v>
      </c>
      <c r="O141" s="141">
        <f>H141*VLOOKUP($A141,'[1]INPUT_ASSUMPTIONS CALC'!$A$13:$CK$1019,H$6,FALSE)*SUMIF('[1]INPUT_ASSUMPTIONS CALC'!$CQ$15:$CQ$17,'[1]Summary calculation'!E141,'[1]INPUT_ASSUMPTIONS CALC'!$CR$15:$CR$17)</f>
        <v>0</v>
      </c>
      <c r="P141" s="141">
        <f>H141*VLOOKUP($A141,'[1]INPUT_ASSUMPTIONS CALC'!$A$13:$CK$1019,H$6,FALSE)*SUMIF('[1]INPUT_ASSUMPTIONS CALC'!$CV$15:$CV$31,'[1]Summary calculation'!E141,'[1]INPUT_ASSUMPTIONS CALC'!$CW$15:$CW$31)</f>
        <v>0</v>
      </c>
      <c r="Q141" s="141">
        <f>O141*VLOOKUP($A141,'[1]INPUT_ASSUMPTIONS CALC'!$A$13:$CK$1019,Q$7,FALSE)</f>
        <v>0</v>
      </c>
      <c r="R141" s="141">
        <f>P141*VLOOKUP($A141,'[1]INPUT_ASSUMPTIONS CALC'!$A$13:$CK$1019,R$7,FALSE)</f>
        <v>0</v>
      </c>
      <c r="S141" s="140">
        <f t="shared" si="9"/>
        <v>0</v>
      </c>
      <c r="T141" s="142">
        <f t="shared" si="10"/>
        <v>0</v>
      </c>
      <c r="U141" s="61"/>
    </row>
    <row r="142" spans="1:21" x14ac:dyDescent="0.35">
      <c r="A142" s="125" t="str">
        <f t="shared" si="8"/>
        <v>134Q2</v>
      </c>
      <c r="B142" s="135">
        <v>134</v>
      </c>
      <c r="C142" s="61" t="str">
        <f>INDEX('[1]INPUT_ASSUMPTIONS CALC'!D:D,MATCH(A142,'[1]INPUT_ASSUMPTIONS CALC'!A:A,0))</f>
        <v/>
      </c>
      <c r="D142" s="61" t="str">
        <f>INDEX('[1]INPUT_ASSUMPTIONS CALC'!I:I,MATCH(A142,'[1]INPUT_ASSUMPTIONS CALC'!A:A,0))</f>
        <v/>
      </c>
      <c r="E142" s="61" t="str">
        <f>INDEX('[1]INPUT_ASSUMPTIONS CALC'!E:E,MATCH(A142,'[1]INPUT_ASSUMPTIONS CALC'!A:A,0))</f>
        <v/>
      </c>
      <c r="F142" s="136">
        <f>IF($F$5="Q1",VLOOKUP($A142,'[1]INPUT_ASSUMPTIONS CALC'!$A$13:$CK$1019,F$7,FALSE),IF($F$5="Q2",VLOOKUP($A142,'[1]INPUT_ASSUMPTIONS CALC'!$A$13:$CK$1019,F$7,FALSE),IF($F$5="Q3",VLOOKUP($A142,'[1]INPUT_ASSUMPTIONS CALC'!$A$13:$CK$1019,F$7,FALSE),IF($F$5="Q4",VLOOKUP($A142,'[1]INPUT_ASSUMPTIONS CALC'!$A$13:$CK$1019,F$7,FALSE),IF($F$5="Year",VLOOKUP($A142,'[1]INPUT_ASSUMPTIONS CALC'!$A$13:$CK$1019,F$7,FALSE),0)))))</f>
        <v>0</v>
      </c>
      <c r="G142" s="137">
        <f>SUMIF('[1]INPUT_ASSUMPTIONS CALC'!A:A,'[1]Summary calculation'!A142,'[1]INPUT_ASSUMPTIONS CALC'!BU:BU)</f>
        <v>0</v>
      </c>
      <c r="H142" s="138">
        <f>IF($F$5="Year",F142*G142*'[1]INPUT_ASSUMPTIONS CALC'!$S$7,F142*G142)</f>
        <v>0</v>
      </c>
      <c r="I142" s="138">
        <f>H142*VLOOKUP($A142,'[1]INPUT_ASSUMPTIONS CALC'!$A$13:$CK$1019,H$6,FALSE)*SUMIF('[1]INPUT_ASSUMPTIONS CALC'!$CL$15:$CL$17,'[1]Summary calculation'!E142,'[1]INPUT_ASSUMPTIONS CALC'!$CM$15:$CM$17)</f>
        <v>0</v>
      </c>
      <c r="J142" s="139">
        <f>$I142*VLOOKUP($A142,'[1]INPUT_ASSUMPTIONS CALC'!$A$13:$CK$1019,I$6,FALSE)*VLOOKUP($A142,'[1]INPUT_ASSUMPTIONS CALC'!$A$13:$CK$1019,J$7,FALSE)</f>
        <v>0</v>
      </c>
      <c r="K142" s="139">
        <f>$I142*VLOOKUP($A142,'[1]INPUT_ASSUMPTIONS CALC'!$A$13:$CK$1019,I$6,FALSE)*VLOOKUP($A142,'[1]INPUT_ASSUMPTIONS CALC'!$A$13:$CK$1019,K$7,FALSE)</f>
        <v>0</v>
      </c>
      <c r="L142" s="139">
        <f>$I142*VLOOKUP($A142,'[1]INPUT_ASSUMPTIONS CALC'!$A$13:$CK$1019,I$6,FALSE)*VLOOKUP($A142,'[1]INPUT_ASSUMPTIONS CALC'!$A$13:$CK$1019,L$7,FALSE)</f>
        <v>0</v>
      </c>
      <c r="M142" s="139">
        <f>$I142*VLOOKUP($A142,'[1]INPUT_ASSUMPTIONS CALC'!$A$13:$CK$1019,I$6,FALSE)*VLOOKUP($A142,'[1]INPUT_ASSUMPTIONS CALC'!$A$13:$CK$1019,M$7,FALSE)</f>
        <v>0</v>
      </c>
      <c r="N142" s="140">
        <f t="shared" si="11"/>
        <v>0</v>
      </c>
      <c r="O142" s="141">
        <f>H142*VLOOKUP($A142,'[1]INPUT_ASSUMPTIONS CALC'!$A$13:$CK$1019,H$6,FALSE)*SUMIF('[1]INPUT_ASSUMPTIONS CALC'!$CQ$15:$CQ$17,'[1]Summary calculation'!E142,'[1]INPUT_ASSUMPTIONS CALC'!$CR$15:$CR$17)</f>
        <v>0</v>
      </c>
      <c r="P142" s="141">
        <f>H142*VLOOKUP($A142,'[1]INPUT_ASSUMPTIONS CALC'!$A$13:$CK$1019,H$6,FALSE)*SUMIF('[1]INPUT_ASSUMPTIONS CALC'!$CV$15:$CV$31,'[1]Summary calculation'!E142,'[1]INPUT_ASSUMPTIONS CALC'!$CW$15:$CW$31)</f>
        <v>0</v>
      </c>
      <c r="Q142" s="141">
        <f>O142*VLOOKUP($A142,'[1]INPUT_ASSUMPTIONS CALC'!$A$13:$CK$1019,Q$7,FALSE)</f>
        <v>0</v>
      </c>
      <c r="R142" s="141">
        <f>P142*VLOOKUP($A142,'[1]INPUT_ASSUMPTIONS CALC'!$A$13:$CK$1019,R$7,FALSE)</f>
        <v>0</v>
      </c>
      <c r="S142" s="140">
        <f t="shared" si="9"/>
        <v>0</v>
      </c>
      <c r="T142" s="142">
        <f t="shared" si="10"/>
        <v>0</v>
      </c>
      <c r="U142" s="61"/>
    </row>
    <row r="143" spans="1:21" x14ac:dyDescent="0.35">
      <c r="A143" s="125" t="str">
        <f t="shared" si="8"/>
        <v>135Q2</v>
      </c>
      <c r="B143" s="135">
        <v>135</v>
      </c>
      <c r="C143" s="61" t="str">
        <f>INDEX('[1]INPUT_ASSUMPTIONS CALC'!D:D,MATCH(A143,'[1]INPUT_ASSUMPTIONS CALC'!A:A,0))</f>
        <v/>
      </c>
      <c r="D143" s="61" t="str">
        <f>INDEX('[1]INPUT_ASSUMPTIONS CALC'!I:I,MATCH(A143,'[1]INPUT_ASSUMPTIONS CALC'!A:A,0))</f>
        <v/>
      </c>
      <c r="E143" s="61" t="str">
        <f>INDEX('[1]INPUT_ASSUMPTIONS CALC'!E:E,MATCH(A143,'[1]INPUT_ASSUMPTIONS CALC'!A:A,0))</f>
        <v/>
      </c>
      <c r="F143" s="136">
        <f>IF($F$5="Q1",VLOOKUP($A143,'[1]INPUT_ASSUMPTIONS CALC'!$A$13:$CK$1019,F$7,FALSE),IF($F$5="Q2",VLOOKUP($A143,'[1]INPUT_ASSUMPTIONS CALC'!$A$13:$CK$1019,F$7,FALSE),IF($F$5="Q3",VLOOKUP($A143,'[1]INPUT_ASSUMPTIONS CALC'!$A$13:$CK$1019,F$7,FALSE),IF($F$5="Q4",VLOOKUP($A143,'[1]INPUT_ASSUMPTIONS CALC'!$A$13:$CK$1019,F$7,FALSE),IF($F$5="Year",VLOOKUP($A143,'[1]INPUT_ASSUMPTIONS CALC'!$A$13:$CK$1019,F$7,FALSE),0)))))</f>
        <v>0</v>
      </c>
      <c r="G143" s="137">
        <f>SUMIF('[1]INPUT_ASSUMPTIONS CALC'!A:A,'[1]Summary calculation'!A143,'[1]INPUT_ASSUMPTIONS CALC'!BU:BU)</f>
        <v>0</v>
      </c>
      <c r="H143" s="138">
        <f>IF($F$5="Year",F143*G143*'[1]INPUT_ASSUMPTIONS CALC'!$S$7,F143*G143)</f>
        <v>0</v>
      </c>
      <c r="I143" s="138">
        <f>H143*VLOOKUP($A143,'[1]INPUT_ASSUMPTIONS CALC'!$A$13:$CK$1019,H$6,FALSE)*SUMIF('[1]INPUT_ASSUMPTIONS CALC'!$CL$15:$CL$17,'[1]Summary calculation'!E143,'[1]INPUT_ASSUMPTIONS CALC'!$CM$15:$CM$17)</f>
        <v>0</v>
      </c>
      <c r="J143" s="139">
        <f>$I143*VLOOKUP($A143,'[1]INPUT_ASSUMPTIONS CALC'!$A$13:$CK$1019,I$6,FALSE)*VLOOKUP($A143,'[1]INPUT_ASSUMPTIONS CALC'!$A$13:$CK$1019,J$7,FALSE)</f>
        <v>0</v>
      </c>
      <c r="K143" s="139">
        <f>$I143*VLOOKUP($A143,'[1]INPUT_ASSUMPTIONS CALC'!$A$13:$CK$1019,I$6,FALSE)*VLOOKUP($A143,'[1]INPUT_ASSUMPTIONS CALC'!$A$13:$CK$1019,K$7,FALSE)</f>
        <v>0</v>
      </c>
      <c r="L143" s="139">
        <f>$I143*VLOOKUP($A143,'[1]INPUT_ASSUMPTIONS CALC'!$A$13:$CK$1019,I$6,FALSE)*VLOOKUP($A143,'[1]INPUT_ASSUMPTIONS CALC'!$A$13:$CK$1019,L$7,FALSE)</f>
        <v>0</v>
      </c>
      <c r="M143" s="139">
        <f>$I143*VLOOKUP($A143,'[1]INPUT_ASSUMPTIONS CALC'!$A$13:$CK$1019,I$6,FALSE)*VLOOKUP($A143,'[1]INPUT_ASSUMPTIONS CALC'!$A$13:$CK$1019,M$7,FALSE)</f>
        <v>0</v>
      </c>
      <c r="N143" s="140">
        <f t="shared" si="11"/>
        <v>0</v>
      </c>
      <c r="O143" s="141">
        <f>H143*VLOOKUP($A143,'[1]INPUT_ASSUMPTIONS CALC'!$A$13:$CK$1019,H$6,FALSE)*SUMIF('[1]INPUT_ASSUMPTIONS CALC'!$CQ$15:$CQ$17,'[1]Summary calculation'!E143,'[1]INPUT_ASSUMPTIONS CALC'!$CR$15:$CR$17)</f>
        <v>0</v>
      </c>
      <c r="P143" s="141">
        <f>H143*VLOOKUP($A143,'[1]INPUT_ASSUMPTIONS CALC'!$A$13:$CK$1019,H$6,FALSE)*SUMIF('[1]INPUT_ASSUMPTIONS CALC'!$CV$15:$CV$31,'[1]Summary calculation'!E143,'[1]INPUT_ASSUMPTIONS CALC'!$CW$15:$CW$31)</f>
        <v>0</v>
      </c>
      <c r="Q143" s="141">
        <f>O143*VLOOKUP($A143,'[1]INPUT_ASSUMPTIONS CALC'!$A$13:$CK$1019,Q$7,FALSE)</f>
        <v>0</v>
      </c>
      <c r="R143" s="141">
        <f>P143*VLOOKUP($A143,'[1]INPUT_ASSUMPTIONS CALC'!$A$13:$CK$1019,R$7,FALSE)</f>
        <v>0</v>
      </c>
      <c r="S143" s="140">
        <f t="shared" si="9"/>
        <v>0</v>
      </c>
      <c r="T143" s="142">
        <f t="shared" si="10"/>
        <v>0</v>
      </c>
      <c r="U143" s="61"/>
    </row>
    <row r="144" spans="1:21" x14ac:dyDescent="0.35">
      <c r="A144" s="125" t="str">
        <f t="shared" si="8"/>
        <v>136Q2</v>
      </c>
      <c r="B144" s="135">
        <v>136</v>
      </c>
      <c r="C144" s="61" t="str">
        <f>INDEX('[1]INPUT_ASSUMPTIONS CALC'!D:D,MATCH(A144,'[1]INPUT_ASSUMPTIONS CALC'!A:A,0))</f>
        <v/>
      </c>
      <c r="D144" s="61" t="str">
        <f>INDEX('[1]INPUT_ASSUMPTIONS CALC'!I:I,MATCH(A144,'[1]INPUT_ASSUMPTIONS CALC'!A:A,0))</f>
        <v/>
      </c>
      <c r="E144" s="61" t="str">
        <f>INDEX('[1]INPUT_ASSUMPTIONS CALC'!E:E,MATCH(A144,'[1]INPUT_ASSUMPTIONS CALC'!A:A,0))</f>
        <v/>
      </c>
      <c r="F144" s="136">
        <f>IF($F$5="Q1",VLOOKUP($A144,'[1]INPUT_ASSUMPTIONS CALC'!$A$13:$CK$1019,F$7,FALSE),IF($F$5="Q2",VLOOKUP($A144,'[1]INPUT_ASSUMPTIONS CALC'!$A$13:$CK$1019,F$7,FALSE),IF($F$5="Q3",VLOOKUP($A144,'[1]INPUT_ASSUMPTIONS CALC'!$A$13:$CK$1019,F$7,FALSE),IF($F$5="Q4",VLOOKUP($A144,'[1]INPUT_ASSUMPTIONS CALC'!$A$13:$CK$1019,F$7,FALSE),IF($F$5="Year",VLOOKUP($A144,'[1]INPUT_ASSUMPTIONS CALC'!$A$13:$CK$1019,F$7,FALSE),0)))))</f>
        <v>0</v>
      </c>
      <c r="G144" s="137">
        <f>SUMIF('[1]INPUT_ASSUMPTIONS CALC'!A:A,'[1]Summary calculation'!A144,'[1]INPUT_ASSUMPTIONS CALC'!BU:BU)</f>
        <v>0</v>
      </c>
      <c r="H144" s="138">
        <f>IF($F$5="Year",F144*G144*'[1]INPUT_ASSUMPTIONS CALC'!$S$7,F144*G144)</f>
        <v>0</v>
      </c>
      <c r="I144" s="138">
        <f>H144*VLOOKUP($A144,'[1]INPUT_ASSUMPTIONS CALC'!$A$13:$CK$1019,H$6,FALSE)*SUMIF('[1]INPUT_ASSUMPTIONS CALC'!$CL$15:$CL$17,'[1]Summary calculation'!E144,'[1]INPUT_ASSUMPTIONS CALC'!$CM$15:$CM$17)</f>
        <v>0</v>
      </c>
      <c r="J144" s="139">
        <f>$I144*VLOOKUP($A144,'[1]INPUT_ASSUMPTIONS CALC'!$A$13:$CK$1019,I$6,FALSE)*VLOOKUP($A144,'[1]INPUT_ASSUMPTIONS CALC'!$A$13:$CK$1019,J$7,FALSE)</f>
        <v>0</v>
      </c>
      <c r="K144" s="139">
        <f>$I144*VLOOKUP($A144,'[1]INPUT_ASSUMPTIONS CALC'!$A$13:$CK$1019,I$6,FALSE)*VLOOKUP($A144,'[1]INPUT_ASSUMPTIONS CALC'!$A$13:$CK$1019,K$7,FALSE)</f>
        <v>0</v>
      </c>
      <c r="L144" s="139">
        <f>$I144*VLOOKUP($A144,'[1]INPUT_ASSUMPTIONS CALC'!$A$13:$CK$1019,I$6,FALSE)*VLOOKUP($A144,'[1]INPUT_ASSUMPTIONS CALC'!$A$13:$CK$1019,L$7,FALSE)</f>
        <v>0</v>
      </c>
      <c r="M144" s="139">
        <f>$I144*VLOOKUP($A144,'[1]INPUT_ASSUMPTIONS CALC'!$A$13:$CK$1019,I$6,FALSE)*VLOOKUP($A144,'[1]INPUT_ASSUMPTIONS CALC'!$A$13:$CK$1019,M$7,FALSE)</f>
        <v>0</v>
      </c>
      <c r="N144" s="140">
        <f t="shared" si="11"/>
        <v>0</v>
      </c>
      <c r="O144" s="141">
        <f>H144*VLOOKUP($A144,'[1]INPUT_ASSUMPTIONS CALC'!$A$13:$CK$1019,H$6,FALSE)*SUMIF('[1]INPUT_ASSUMPTIONS CALC'!$CQ$15:$CQ$17,'[1]Summary calculation'!E144,'[1]INPUT_ASSUMPTIONS CALC'!$CR$15:$CR$17)</f>
        <v>0</v>
      </c>
      <c r="P144" s="141">
        <f>H144*VLOOKUP($A144,'[1]INPUT_ASSUMPTIONS CALC'!$A$13:$CK$1019,H$6,FALSE)*SUMIF('[1]INPUT_ASSUMPTIONS CALC'!$CV$15:$CV$31,'[1]Summary calculation'!E144,'[1]INPUT_ASSUMPTIONS CALC'!$CW$15:$CW$31)</f>
        <v>0</v>
      </c>
      <c r="Q144" s="141">
        <f>O144*VLOOKUP($A144,'[1]INPUT_ASSUMPTIONS CALC'!$A$13:$CK$1019,Q$7,FALSE)</f>
        <v>0</v>
      </c>
      <c r="R144" s="141">
        <f>P144*VLOOKUP($A144,'[1]INPUT_ASSUMPTIONS CALC'!$A$13:$CK$1019,R$7,FALSE)</f>
        <v>0</v>
      </c>
      <c r="S144" s="140">
        <f t="shared" si="9"/>
        <v>0</v>
      </c>
      <c r="T144" s="142">
        <f t="shared" si="10"/>
        <v>0</v>
      </c>
      <c r="U144" s="61"/>
    </row>
    <row r="145" spans="1:21" x14ac:dyDescent="0.35">
      <c r="A145" s="125" t="str">
        <f t="shared" si="8"/>
        <v>137Q2</v>
      </c>
      <c r="B145" s="135">
        <v>137</v>
      </c>
      <c r="C145" s="61" t="str">
        <f>INDEX('[1]INPUT_ASSUMPTIONS CALC'!D:D,MATCH(A145,'[1]INPUT_ASSUMPTIONS CALC'!A:A,0))</f>
        <v/>
      </c>
      <c r="D145" s="61" t="str">
        <f>INDEX('[1]INPUT_ASSUMPTIONS CALC'!I:I,MATCH(A145,'[1]INPUT_ASSUMPTIONS CALC'!A:A,0))</f>
        <v/>
      </c>
      <c r="E145" s="61" t="str">
        <f>INDEX('[1]INPUT_ASSUMPTIONS CALC'!E:E,MATCH(A145,'[1]INPUT_ASSUMPTIONS CALC'!A:A,0))</f>
        <v/>
      </c>
      <c r="F145" s="136">
        <f>IF($F$5="Q1",VLOOKUP($A145,'[1]INPUT_ASSUMPTIONS CALC'!$A$13:$CK$1019,F$7,FALSE),IF($F$5="Q2",VLOOKUP($A145,'[1]INPUT_ASSUMPTIONS CALC'!$A$13:$CK$1019,F$7,FALSE),IF($F$5="Q3",VLOOKUP($A145,'[1]INPUT_ASSUMPTIONS CALC'!$A$13:$CK$1019,F$7,FALSE),IF($F$5="Q4",VLOOKUP($A145,'[1]INPUT_ASSUMPTIONS CALC'!$A$13:$CK$1019,F$7,FALSE),IF($F$5="Year",VLOOKUP($A145,'[1]INPUT_ASSUMPTIONS CALC'!$A$13:$CK$1019,F$7,FALSE),0)))))</f>
        <v>0</v>
      </c>
      <c r="G145" s="137">
        <f>SUMIF('[1]INPUT_ASSUMPTIONS CALC'!A:A,'[1]Summary calculation'!A145,'[1]INPUT_ASSUMPTIONS CALC'!BU:BU)</f>
        <v>0</v>
      </c>
      <c r="H145" s="138">
        <f>IF($F$5="Year",F145*G145*'[1]INPUT_ASSUMPTIONS CALC'!$S$7,F145*G145)</f>
        <v>0</v>
      </c>
      <c r="I145" s="138">
        <f>H145*VLOOKUP($A145,'[1]INPUT_ASSUMPTIONS CALC'!$A$13:$CK$1019,H$6,FALSE)*SUMIF('[1]INPUT_ASSUMPTIONS CALC'!$CL$15:$CL$17,'[1]Summary calculation'!E145,'[1]INPUT_ASSUMPTIONS CALC'!$CM$15:$CM$17)</f>
        <v>0</v>
      </c>
      <c r="J145" s="139">
        <f>$I145*VLOOKUP($A145,'[1]INPUT_ASSUMPTIONS CALC'!$A$13:$CK$1019,I$6,FALSE)*VLOOKUP($A145,'[1]INPUT_ASSUMPTIONS CALC'!$A$13:$CK$1019,J$7,FALSE)</f>
        <v>0</v>
      </c>
      <c r="K145" s="139">
        <f>$I145*VLOOKUP($A145,'[1]INPUT_ASSUMPTIONS CALC'!$A$13:$CK$1019,I$6,FALSE)*VLOOKUP($A145,'[1]INPUT_ASSUMPTIONS CALC'!$A$13:$CK$1019,K$7,FALSE)</f>
        <v>0</v>
      </c>
      <c r="L145" s="139">
        <f>$I145*VLOOKUP($A145,'[1]INPUT_ASSUMPTIONS CALC'!$A$13:$CK$1019,I$6,FALSE)*VLOOKUP($A145,'[1]INPUT_ASSUMPTIONS CALC'!$A$13:$CK$1019,L$7,FALSE)</f>
        <v>0</v>
      </c>
      <c r="M145" s="139">
        <f>$I145*VLOOKUP($A145,'[1]INPUT_ASSUMPTIONS CALC'!$A$13:$CK$1019,I$6,FALSE)*VLOOKUP($A145,'[1]INPUT_ASSUMPTIONS CALC'!$A$13:$CK$1019,M$7,FALSE)</f>
        <v>0</v>
      </c>
      <c r="N145" s="140">
        <f t="shared" si="11"/>
        <v>0</v>
      </c>
      <c r="O145" s="141">
        <f>H145*VLOOKUP($A145,'[1]INPUT_ASSUMPTIONS CALC'!$A$13:$CK$1019,H$6,FALSE)*SUMIF('[1]INPUT_ASSUMPTIONS CALC'!$CQ$15:$CQ$17,'[1]Summary calculation'!E145,'[1]INPUT_ASSUMPTIONS CALC'!$CR$15:$CR$17)</f>
        <v>0</v>
      </c>
      <c r="P145" s="141">
        <f>H145*VLOOKUP($A145,'[1]INPUT_ASSUMPTIONS CALC'!$A$13:$CK$1019,H$6,FALSE)*SUMIF('[1]INPUT_ASSUMPTIONS CALC'!$CV$15:$CV$31,'[1]Summary calculation'!E145,'[1]INPUT_ASSUMPTIONS CALC'!$CW$15:$CW$31)</f>
        <v>0</v>
      </c>
      <c r="Q145" s="141">
        <f>O145*VLOOKUP($A145,'[1]INPUT_ASSUMPTIONS CALC'!$A$13:$CK$1019,Q$7,FALSE)</f>
        <v>0</v>
      </c>
      <c r="R145" s="141">
        <f>P145*VLOOKUP($A145,'[1]INPUT_ASSUMPTIONS CALC'!$A$13:$CK$1019,R$7,FALSE)</f>
        <v>0</v>
      </c>
      <c r="S145" s="140">
        <f t="shared" si="9"/>
        <v>0</v>
      </c>
      <c r="T145" s="142">
        <f t="shared" si="10"/>
        <v>0</v>
      </c>
      <c r="U145" s="61"/>
    </row>
    <row r="146" spans="1:21" x14ac:dyDescent="0.35">
      <c r="A146" s="125" t="str">
        <f t="shared" si="8"/>
        <v>138Q2</v>
      </c>
      <c r="B146" s="135">
        <v>138</v>
      </c>
      <c r="C146" s="61" t="str">
        <f>INDEX('[1]INPUT_ASSUMPTIONS CALC'!D:D,MATCH(A146,'[1]INPUT_ASSUMPTIONS CALC'!A:A,0))</f>
        <v/>
      </c>
      <c r="D146" s="61" t="str">
        <f>INDEX('[1]INPUT_ASSUMPTIONS CALC'!I:I,MATCH(A146,'[1]INPUT_ASSUMPTIONS CALC'!A:A,0))</f>
        <v/>
      </c>
      <c r="E146" s="61" t="str">
        <f>INDEX('[1]INPUT_ASSUMPTIONS CALC'!E:E,MATCH(A146,'[1]INPUT_ASSUMPTIONS CALC'!A:A,0))</f>
        <v/>
      </c>
      <c r="F146" s="136">
        <f>IF($F$5="Q1",VLOOKUP($A146,'[1]INPUT_ASSUMPTIONS CALC'!$A$13:$CK$1019,F$7,FALSE),IF($F$5="Q2",VLOOKUP($A146,'[1]INPUT_ASSUMPTIONS CALC'!$A$13:$CK$1019,F$7,FALSE),IF($F$5="Q3",VLOOKUP($A146,'[1]INPUT_ASSUMPTIONS CALC'!$A$13:$CK$1019,F$7,FALSE),IF($F$5="Q4",VLOOKUP($A146,'[1]INPUT_ASSUMPTIONS CALC'!$A$13:$CK$1019,F$7,FALSE),IF($F$5="Year",VLOOKUP($A146,'[1]INPUT_ASSUMPTIONS CALC'!$A$13:$CK$1019,F$7,FALSE),0)))))</f>
        <v>0</v>
      </c>
      <c r="G146" s="137">
        <f>SUMIF('[1]INPUT_ASSUMPTIONS CALC'!A:A,'[1]Summary calculation'!A146,'[1]INPUT_ASSUMPTIONS CALC'!BU:BU)</f>
        <v>0</v>
      </c>
      <c r="H146" s="138">
        <f>IF($F$5="Year",F146*G146*'[1]INPUT_ASSUMPTIONS CALC'!$S$7,F146*G146)</f>
        <v>0</v>
      </c>
      <c r="I146" s="138">
        <f>H146*VLOOKUP($A146,'[1]INPUT_ASSUMPTIONS CALC'!$A$13:$CK$1019,H$6,FALSE)*SUMIF('[1]INPUT_ASSUMPTIONS CALC'!$CL$15:$CL$17,'[1]Summary calculation'!E146,'[1]INPUT_ASSUMPTIONS CALC'!$CM$15:$CM$17)</f>
        <v>0</v>
      </c>
      <c r="J146" s="139">
        <f>$I146*VLOOKUP($A146,'[1]INPUT_ASSUMPTIONS CALC'!$A$13:$CK$1019,I$6,FALSE)*VLOOKUP($A146,'[1]INPUT_ASSUMPTIONS CALC'!$A$13:$CK$1019,J$7,FALSE)</f>
        <v>0</v>
      </c>
      <c r="K146" s="139">
        <f>$I146*VLOOKUP($A146,'[1]INPUT_ASSUMPTIONS CALC'!$A$13:$CK$1019,I$6,FALSE)*VLOOKUP($A146,'[1]INPUT_ASSUMPTIONS CALC'!$A$13:$CK$1019,K$7,FALSE)</f>
        <v>0</v>
      </c>
      <c r="L146" s="139">
        <f>$I146*VLOOKUP($A146,'[1]INPUT_ASSUMPTIONS CALC'!$A$13:$CK$1019,I$6,FALSE)*VLOOKUP($A146,'[1]INPUT_ASSUMPTIONS CALC'!$A$13:$CK$1019,L$7,FALSE)</f>
        <v>0</v>
      </c>
      <c r="M146" s="139">
        <f>$I146*VLOOKUP($A146,'[1]INPUT_ASSUMPTIONS CALC'!$A$13:$CK$1019,I$6,FALSE)*VLOOKUP($A146,'[1]INPUT_ASSUMPTIONS CALC'!$A$13:$CK$1019,M$7,FALSE)</f>
        <v>0</v>
      </c>
      <c r="N146" s="140">
        <f t="shared" si="11"/>
        <v>0</v>
      </c>
      <c r="O146" s="141">
        <f>H146*VLOOKUP($A146,'[1]INPUT_ASSUMPTIONS CALC'!$A$13:$CK$1019,H$6,FALSE)*SUMIF('[1]INPUT_ASSUMPTIONS CALC'!$CQ$15:$CQ$17,'[1]Summary calculation'!E146,'[1]INPUT_ASSUMPTIONS CALC'!$CR$15:$CR$17)</f>
        <v>0</v>
      </c>
      <c r="P146" s="141">
        <f>H146*VLOOKUP($A146,'[1]INPUT_ASSUMPTIONS CALC'!$A$13:$CK$1019,H$6,FALSE)*SUMIF('[1]INPUT_ASSUMPTIONS CALC'!$CV$15:$CV$31,'[1]Summary calculation'!E146,'[1]INPUT_ASSUMPTIONS CALC'!$CW$15:$CW$31)</f>
        <v>0</v>
      </c>
      <c r="Q146" s="141">
        <f>O146*VLOOKUP($A146,'[1]INPUT_ASSUMPTIONS CALC'!$A$13:$CK$1019,Q$7,FALSE)</f>
        <v>0</v>
      </c>
      <c r="R146" s="141">
        <f>P146*VLOOKUP($A146,'[1]INPUT_ASSUMPTIONS CALC'!$A$13:$CK$1019,R$7,FALSE)</f>
        <v>0</v>
      </c>
      <c r="S146" s="140">
        <f t="shared" si="9"/>
        <v>0</v>
      </c>
      <c r="T146" s="142">
        <f t="shared" si="10"/>
        <v>0</v>
      </c>
      <c r="U146" s="61"/>
    </row>
    <row r="147" spans="1:21" x14ac:dyDescent="0.35">
      <c r="A147" s="125" t="str">
        <f t="shared" si="8"/>
        <v>139Q2</v>
      </c>
      <c r="B147" s="135">
        <v>139</v>
      </c>
      <c r="C147" s="61" t="str">
        <f>INDEX('[1]INPUT_ASSUMPTIONS CALC'!D:D,MATCH(A147,'[1]INPUT_ASSUMPTIONS CALC'!A:A,0))</f>
        <v/>
      </c>
      <c r="D147" s="61" t="str">
        <f>INDEX('[1]INPUT_ASSUMPTIONS CALC'!I:I,MATCH(A147,'[1]INPUT_ASSUMPTIONS CALC'!A:A,0))</f>
        <v/>
      </c>
      <c r="E147" s="61" t="str">
        <f>INDEX('[1]INPUT_ASSUMPTIONS CALC'!E:E,MATCH(A147,'[1]INPUT_ASSUMPTIONS CALC'!A:A,0))</f>
        <v/>
      </c>
      <c r="F147" s="136">
        <f>IF($F$5="Q1",VLOOKUP($A147,'[1]INPUT_ASSUMPTIONS CALC'!$A$13:$CK$1019,F$7,FALSE),IF($F$5="Q2",VLOOKUP($A147,'[1]INPUT_ASSUMPTIONS CALC'!$A$13:$CK$1019,F$7,FALSE),IF($F$5="Q3",VLOOKUP($A147,'[1]INPUT_ASSUMPTIONS CALC'!$A$13:$CK$1019,F$7,FALSE),IF($F$5="Q4",VLOOKUP($A147,'[1]INPUT_ASSUMPTIONS CALC'!$A$13:$CK$1019,F$7,FALSE),IF($F$5="Year",VLOOKUP($A147,'[1]INPUT_ASSUMPTIONS CALC'!$A$13:$CK$1019,F$7,FALSE),0)))))</f>
        <v>0</v>
      </c>
      <c r="G147" s="137">
        <f>SUMIF('[1]INPUT_ASSUMPTIONS CALC'!A:A,'[1]Summary calculation'!A147,'[1]INPUT_ASSUMPTIONS CALC'!BU:BU)</f>
        <v>0</v>
      </c>
      <c r="H147" s="138">
        <f>IF($F$5="Year",F147*G147*'[1]INPUT_ASSUMPTIONS CALC'!$S$7,F147*G147)</f>
        <v>0</v>
      </c>
      <c r="I147" s="138">
        <f>H147*VLOOKUP($A147,'[1]INPUT_ASSUMPTIONS CALC'!$A$13:$CK$1019,H$6,FALSE)*SUMIF('[1]INPUT_ASSUMPTIONS CALC'!$CL$15:$CL$17,'[1]Summary calculation'!E147,'[1]INPUT_ASSUMPTIONS CALC'!$CM$15:$CM$17)</f>
        <v>0</v>
      </c>
      <c r="J147" s="139">
        <f>$I147*VLOOKUP($A147,'[1]INPUT_ASSUMPTIONS CALC'!$A$13:$CK$1019,I$6,FALSE)*VLOOKUP($A147,'[1]INPUT_ASSUMPTIONS CALC'!$A$13:$CK$1019,J$7,FALSE)</f>
        <v>0</v>
      </c>
      <c r="K147" s="139">
        <f>$I147*VLOOKUP($A147,'[1]INPUT_ASSUMPTIONS CALC'!$A$13:$CK$1019,I$6,FALSE)*VLOOKUP($A147,'[1]INPUT_ASSUMPTIONS CALC'!$A$13:$CK$1019,K$7,FALSE)</f>
        <v>0</v>
      </c>
      <c r="L147" s="139">
        <f>$I147*VLOOKUP($A147,'[1]INPUT_ASSUMPTIONS CALC'!$A$13:$CK$1019,I$6,FALSE)*VLOOKUP($A147,'[1]INPUT_ASSUMPTIONS CALC'!$A$13:$CK$1019,L$7,FALSE)</f>
        <v>0</v>
      </c>
      <c r="M147" s="139">
        <f>$I147*VLOOKUP($A147,'[1]INPUT_ASSUMPTIONS CALC'!$A$13:$CK$1019,I$6,FALSE)*VLOOKUP($A147,'[1]INPUT_ASSUMPTIONS CALC'!$A$13:$CK$1019,M$7,FALSE)</f>
        <v>0</v>
      </c>
      <c r="N147" s="140">
        <f t="shared" si="11"/>
        <v>0</v>
      </c>
      <c r="O147" s="141">
        <f>H147*VLOOKUP($A147,'[1]INPUT_ASSUMPTIONS CALC'!$A$13:$CK$1019,H$6,FALSE)*SUMIF('[1]INPUT_ASSUMPTIONS CALC'!$CQ$15:$CQ$17,'[1]Summary calculation'!E147,'[1]INPUT_ASSUMPTIONS CALC'!$CR$15:$CR$17)</f>
        <v>0</v>
      </c>
      <c r="P147" s="141">
        <f>H147*VLOOKUP($A147,'[1]INPUT_ASSUMPTIONS CALC'!$A$13:$CK$1019,H$6,FALSE)*SUMIF('[1]INPUT_ASSUMPTIONS CALC'!$CV$15:$CV$31,'[1]Summary calculation'!E147,'[1]INPUT_ASSUMPTIONS CALC'!$CW$15:$CW$31)</f>
        <v>0</v>
      </c>
      <c r="Q147" s="141">
        <f>O147*VLOOKUP($A147,'[1]INPUT_ASSUMPTIONS CALC'!$A$13:$CK$1019,Q$7,FALSE)</f>
        <v>0</v>
      </c>
      <c r="R147" s="141">
        <f>P147*VLOOKUP($A147,'[1]INPUT_ASSUMPTIONS CALC'!$A$13:$CK$1019,R$7,FALSE)</f>
        <v>0</v>
      </c>
      <c r="S147" s="140">
        <f t="shared" si="9"/>
        <v>0</v>
      </c>
      <c r="T147" s="142">
        <f t="shared" si="10"/>
        <v>0</v>
      </c>
      <c r="U147" s="61"/>
    </row>
    <row r="148" spans="1:21" x14ac:dyDescent="0.35">
      <c r="A148" s="125" t="str">
        <f t="shared" si="8"/>
        <v>140Q2</v>
      </c>
      <c r="B148" s="135">
        <v>140</v>
      </c>
      <c r="C148" s="61" t="str">
        <f>INDEX('[1]INPUT_ASSUMPTIONS CALC'!D:D,MATCH(A148,'[1]INPUT_ASSUMPTIONS CALC'!A:A,0))</f>
        <v/>
      </c>
      <c r="D148" s="61" t="str">
        <f>INDEX('[1]INPUT_ASSUMPTIONS CALC'!I:I,MATCH(A148,'[1]INPUT_ASSUMPTIONS CALC'!A:A,0))</f>
        <v/>
      </c>
      <c r="E148" s="61" t="str">
        <f>INDEX('[1]INPUT_ASSUMPTIONS CALC'!E:E,MATCH(A148,'[1]INPUT_ASSUMPTIONS CALC'!A:A,0))</f>
        <v/>
      </c>
      <c r="F148" s="136">
        <f>IF($F$5="Q1",VLOOKUP($A148,'[1]INPUT_ASSUMPTIONS CALC'!$A$13:$CK$1019,F$7,FALSE),IF($F$5="Q2",VLOOKUP($A148,'[1]INPUT_ASSUMPTIONS CALC'!$A$13:$CK$1019,F$7,FALSE),IF($F$5="Q3",VLOOKUP($A148,'[1]INPUT_ASSUMPTIONS CALC'!$A$13:$CK$1019,F$7,FALSE),IF($F$5="Q4",VLOOKUP($A148,'[1]INPUT_ASSUMPTIONS CALC'!$A$13:$CK$1019,F$7,FALSE),IF($F$5="Year",VLOOKUP($A148,'[1]INPUT_ASSUMPTIONS CALC'!$A$13:$CK$1019,F$7,FALSE),0)))))</f>
        <v>0</v>
      </c>
      <c r="G148" s="137">
        <f>SUMIF('[1]INPUT_ASSUMPTIONS CALC'!A:A,'[1]Summary calculation'!A148,'[1]INPUT_ASSUMPTIONS CALC'!BU:BU)</f>
        <v>0</v>
      </c>
      <c r="H148" s="138">
        <f>IF($F$5="Year",F148*G148*'[1]INPUT_ASSUMPTIONS CALC'!$S$7,F148*G148)</f>
        <v>0</v>
      </c>
      <c r="I148" s="138">
        <f>H148*VLOOKUP($A148,'[1]INPUT_ASSUMPTIONS CALC'!$A$13:$CK$1019,H$6,FALSE)*SUMIF('[1]INPUT_ASSUMPTIONS CALC'!$CL$15:$CL$17,'[1]Summary calculation'!E148,'[1]INPUT_ASSUMPTIONS CALC'!$CM$15:$CM$17)</f>
        <v>0</v>
      </c>
      <c r="J148" s="139">
        <f>$I148*VLOOKUP($A148,'[1]INPUT_ASSUMPTIONS CALC'!$A$13:$CK$1019,I$6,FALSE)*VLOOKUP($A148,'[1]INPUT_ASSUMPTIONS CALC'!$A$13:$CK$1019,J$7,FALSE)</f>
        <v>0</v>
      </c>
      <c r="K148" s="139">
        <f>$I148*VLOOKUP($A148,'[1]INPUT_ASSUMPTIONS CALC'!$A$13:$CK$1019,I$6,FALSE)*VLOOKUP($A148,'[1]INPUT_ASSUMPTIONS CALC'!$A$13:$CK$1019,K$7,FALSE)</f>
        <v>0</v>
      </c>
      <c r="L148" s="139">
        <f>$I148*VLOOKUP($A148,'[1]INPUT_ASSUMPTIONS CALC'!$A$13:$CK$1019,I$6,FALSE)*VLOOKUP($A148,'[1]INPUT_ASSUMPTIONS CALC'!$A$13:$CK$1019,L$7,FALSE)</f>
        <v>0</v>
      </c>
      <c r="M148" s="139">
        <f>$I148*VLOOKUP($A148,'[1]INPUT_ASSUMPTIONS CALC'!$A$13:$CK$1019,I$6,FALSE)*VLOOKUP($A148,'[1]INPUT_ASSUMPTIONS CALC'!$A$13:$CK$1019,M$7,FALSE)</f>
        <v>0</v>
      </c>
      <c r="N148" s="140">
        <f t="shared" si="11"/>
        <v>0</v>
      </c>
      <c r="O148" s="141">
        <f>H148*VLOOKUP($A148,'[1]INPUT_ASSUMPTIONS CALC'!$A$13:$CK$1019,H$6,FALSE)*SUMIF('[1]INPUT_ASSUMPTIONS CALC'!$CQ$15:$CQ$17,'[1]Summary calculation'!E148,'[1]INPUT_ASSUMPTIONS CALC'!$CR$15:$CR$17)</f>
        <v>0</v>
      </c>
      <c r="P148" s="141">
        <f>H148*VLOOKUP($A148,'[1]INPUT_ASSUMPTIONS CALC'!$A$13:$CK$1019,H$6,FALSE)*SUMIF('[1]INPUT_ASSUMPTIONS CALC'!$CV$15:$CV$31,'[1]Summary calculation'!E148,'[1]INPUT_ASSUMPTIONS CALC'!$CW$15:$CW$31)</f>
        <v>0</v>
      </c>
      <c r="Q148" s="141">
        <f>O148*VLOOKUP($A148,'[1]INPUT_ASSUMPTIONS CALC'!$A$13:$CK$1019,Q$7,FALSE)</f>
        <v>0</v>
      </c>
      <c r="R148" s="141">
        <f>P148*VLOOKUP($A148,'[1]INPUT_ASSUMPTIONS CALC'!$A$13:$CK$1019,R$7,FALSE)</f>
        <v>0</v>
      </c>
      <c r="S148" s="140">
        <f t="shared" si="9"/>
        <v>0</v>
      </c>
      <c r="T148" s="142">
        <f t="shared" si="10"/>
        <v>0</v>
      </c>
      <c r="U148" s="61"/>
    </row>
    <row r="149" spans="1:21" x14ac:dyDescent="0.35">
      <c r="A149" s="125" t="str">
        <f t="shared" si="8"/>
        <v>141Q2</v>
      </c>
      <c r="B149" s="135">
        <v>141</v>
      </c>
      <c r="C149" s="61" t="str">
        <f>INDEX('[1]INPUT_ASSUMPTIONS CALC'!D:D,MATCH(A149,'[1]INPUT_ASSUMPTIONS CALC'!A:A,0))</f>
        <v/>
      </c>
      <c r="D149" s="61" t="str">
        <f>INDEX('[1]INPUT_ASSUMPTIONS CALC'!I:I,MATCH(A149,'[1]INPUT_ASSUMPTIONS CALC'!A:A,0))</f>
        <v/>
      </c>
      <c r="E149" s="61" t="str">
        <f>INDEX('[1]INPUT_ASSUMPTIONS CALC'!E:E,MATCH(A149,'[1]INPUT_ASSUMPTIONS CALC'!A:A,0))</f>
        <v/>
      </c>
      <c r="F149" s="136">
        <f>IF($F$5="Q1",VLOOKUP($A149,'[1]INPUT_ASSUMPTIONS CALC'!$A$13:$CK$1019,F$7,FALSE),IF($F$5="Q2",VLOOKUP($A149,'[1]INPUT_ASSUMPTIONS CALC'!$A$13:$CK$1019,F$7,FALSE),IF($F$5="Q3",VLOOKUP($A149,'[1]INPUT_ASSUMPTIONS CALC'!$A$13:$CK$1019,F$7,FALSE),IF($F$5="Q4",VLOOKUP($A149,'[1]INPUT_ASSUMPTIONS CALC'!$A$13:$CK$1019,F$7,FALSE),IF($F$5="Year",VLOOKUP($A149,'[1]INPUT_ASSUMPTIONS CALC'!$A$13:$CK$1019,F$7,FALSE),0)))))</f>
        <v>0</v>
      </c>
      <c r="G149" s="137">
        <f>SUMIF('[1]INPUT_ASSUMPTIONS CALC'!A:A,'[1]Summary calculation'!A149,'[1]INPUT_ASSUMPTIONS CALC'!BU:BU)</f>
        <v>0</v>
      </c>
      <c r="H149" s="138">
        <f>IF($F$5="Year",F149*G149*'[1]INPUT_ASSUMPTIONS CALC'!$S$7,F149*G149)</f>
        <v>0</v>
      </c>
      <c r="I149" s="138">
        <f>H149*VLOOKUP($A149,'[1]INPUT_ASSUMPTIONS CALC'!$A$13:$CK$1019,H$6,FALSE)*SUMIF('[1]INPUT_ASSUMPTIONS CALC'!$CL$15:$CL$17,'[1]Summary calculation'!E149,'[1]INPUT_ASSUMPTIONS CALC'!$CM$15:$CM$17)</f>
        <v>0</v>
      </c>
      <c r="J149" s="139">
        <f>$I149*VLOOKUP($A149,'[1]INPUT_ASSUMPTIONS CALC'!$A$13:$CK$1019,I$6,FALSE)*VLOOKUP($A149,'[1]INPUT_ASSUMPTIONS CALC'!$A$13:$CK$1019,J$7,FALSE)</f>
        <v>0</v>
      </c>
      <c r="K149" s="139">
        <f>$I149*VLOOKUP($A149,'[1]INPUT_ASSUMPTIONS CALC'!$A$13:$CK$1019,I$6,FALSE)*VLOOKUP($A149,'[1]INPUT_ASSUMPTIONS CALC'!$A$13:$CK$1019,K$7,FALSE)</f>
        <v>0</v>
      </c>
      <c r="L149" s="139">
        <f>$I149*VLOOKUP($A149,'[1]INPUT_ASSUMPTIONS CALC'!$A$13:$CK$1019,I$6,FALSE)*VLOOKUP($A149,'[1]INPUT_ASSUMPTIONS CALC'!$A$13:$CK$1019,L$7,FALSE)</f>
        <v>0</v>
      </c>
      <c r="M149" s="139">
        <f>$I149*VLOOKUP($A149,'[1]INPUT_ASSUMPTIONS CALC'!$A$13:$CK$1019,I$6,FALSE)*VLOOKUP($A149,'[1]INPUT_ASSUMPTIONS CALC'!$A$13:$CK$1019,M$7,FALSE)</f>
        <v>0</v>
      </c>
      <c r="N149" s="140">
        <f t="shared" si="11"/>
        <v>0</v>
      </c>
      <c r="O149" s="141">
        <f>H149*VLOOKUP($A149,'[1]INPUT_ASSUMPTIONS CALC'!$A$13:$CK$1019,H$6,FALSE)*SUMIF('[1]INPUT_ASSUMPTIONS CALC'!$CQ$15:$CQ$17,'[1]Summary calculation'!E149,'[1]INPUT_ASSUMPTIONS CALC'!$CR$15:$CR$17)</f>
        <v>0</v>
      </c>
      <c r="P149" s="141">
        <f>H149*VLOOKUP($A149,'[1]INPUT_ASSUMPTIONS CALC'!$A$13:$CK$1019,H$6,FALSE)*SUMIF('[1]INPUT_ASSUMPTIONS CALC'!$CV$15:$CV$31,'[1]Summary calculation'!E149,'[1]INPUT_ASSUMPTIONS CALC'!$CW$15:$CW$31)</f>
        <v>0</v>
      </c>
      <c r="Q149" s="141">
        <f>O149*VLOOKUP($A149,'[1]INPUT_ASSUMPTIONS CALC'!$A$13:$CK$1019,Q$7,FALSE)</f>
        <v>0</v>
      </c>
      <c r="R149" s="141">
        <f>P149*VLOOKUP($A149,'[1]INPUT_ASSUMPTIONS CALC'!$A$13:$CK$1019,R$7,FALSE)</f>
        <v>0</v>
      </c>
      <c r="S149" s="140">
        <f t="shared" si="9"/>
        <v>0</v>
      </c>
      <c r="T149" s="142">
        <f t="shared" si="10"/>
        <v>0</v>
      </c>
      <c r="U149" s="61"/>
    </row>
    <row r="150" spans="1:21" x14ac:dyDescent="0.35">
      <c r="A150" s="125" t="str">
        <f t="shared" si="8"/>
        <v>142Q2</v>
      </c>
      <c r="B150" s="135">
        <v>142</v>
      </c>
      <c r="C150" s="61" t="str">
        <f>INDEX('[1]INPUT_ASSUMPTIONS CALC'!D:D,MATCH(A150,'[1]INPUT_ASSUMPTIONS CALC'!A:A,0))</f>
        <v/>
      </c>
      <c r="D150" s="61" t="str">
        <f>INDEX('[1]INPUT_ASSUMPTIONS CALC'!I:I,MATCH(A150,'[1]INPUT_ASSUMPTIONS CALC'!A:A,0))</f>
        <v/>
      </c>
      <c r="E150" s="61" t="str">
        <f>INDEX('[1]INPUT_ASSUMPTIONS CALC'!E:E,MATCH(A150,'[1]INPUT_ASSUMPTIONS CALC'!A:A,0))</f>
        <v/>
      </c>
      <c r="F150" s="136">
        <f>IF($F$5="Q1",VLOOKUP($A150,'[1]INPUT_ASSUMPTIONS CALC'!$A$13:$CK$1019,F$7,FALSE),IF($F$5="Q2",VLOOKUP($A150,'[1]INPUT_ASSUMPTIONS CALC'!$A$13:$CK$1019,F$7,FALSE),IF($F$5="Q3",VLOOKUP($A150,'[1]INPUT_ASSUMPTIONS CALC'!$A$13:$CK$1019,F$7,FALSE),IF($F$5="Q4",VLOOKUP($A150,'[1]INPUT_ASSUMPTIONS CALC'!$A$13:$CK$1019,F$7,FALSE),IF($F$5="Year",VLOOKUP($A150,'[1]INPUT_ASSUMPTIONS CALC'!$A$13:$CK$1019,F$7,FALSE),0)))))</f>
        <v>0</v>
      </c>
      <c r="G150" s="137">
        <f>SUMIF('[1]INPUT_ASSUMPTIONS CALC'!A:A,'[1]Summary calculation'!A150,'[1]INPUT_ASSUMPTIONS CALC'!BU:BU)</f>
        <v>0</v>
      </c>
      <c r="H150" s="138">
        <f>IF($F$5="Year",F150*G150*'[1]INPUT_ASSUMPTIONS CALC'!$S$7,F150*G150)</f>
        <v>0</v>
      </c>
      <c r="I150" s="138">
        <f>H150*VLOOKUP($A150,'[1]INPUT_ASSUMPTIONS CALC'!$A$13:$CK$1019,H$6,FALSE)*SUMIF('[1]INPUT_ASSUMPTIONS CALC'!$CL$15:$CL$17,'[1]Summary calculation'!E150,'[1]INPUT_ASSUMPTIONS CALC'!$CM$15:$CM$17)</f>
        <v>0</v>
      </c>
      <c r="J150" s="139">
        <f>$I150*VLOOKUP($A150,'[1]INPUT_ASSUMPTIONS CALC'!$A$13:$CK$1019,I$6,FALSE)*VLOOKUP($A150,'[1]INPUT_ASSUMPTIONS CALC'!$A$13:$CK$1019,J$7,FALSE)</f>
        <v>0</v>
      </c>
      <c r="K150" s="139">
        <f>$I150*VLOOKUP($A150,'[1]INPUT_ASSUMPTIONS CALC'!$A$13:$CK$1019,I$6,FALSE)*VLOOKUP($A150,'[1]INPUT_ASSUMPTIONS CALC'!$A$13:$CK$1019,K$7,FALSE)</f>
        <v>0</v>
      </c>
      <c r="L150" s="139">
        <f>$I150*VLOOKUP($A150,'[1]INPUT_ASSUMPTIONS CALC'!$A$13:$CK$1019,I$6,FALSE)*VLOOKUP($A150,'[1]INPUT_ASSUMPTIONS CALC'!$A$13:$CK$1019,L$7,FALSE)</f>
        <v>0</v>
      </c>
      <c r="M150" s="139">
        <f>$I150*VLOOKUP($A150,'[1]INPUT_ASSUMPTIONS CALC'!$A$13:$CK$1019,I$6,FALSE)*VLOOKUP($A150,'[1]INPUT_ASSUMPTIONS CALC'!$A$13:$CK$1019,M$7,FALSE)</f>
        <v>0</v>
      </c>
      <c r="N150" s="140">
        <f t="shared" si="11"/>
        <v>0</v>
      </c>
      <c r="O150" s="141">
        <f>H150*VLOOKUP($A150,'[1]INPUT_ASSUMPTIONS CALC'!$A$13:$CK$1019,H$6,FALSE)*SUMIF('[1]INPUT_ASSUMPTIONS CALC'!$CQ$15:$CQ$17,'[1]Summary calculation'!E150,'[1]INPUT_ASSUMPTIONS CALC'!$CR$15:$CR$17)</f>
        <v>0</v>
      </c>
      <c r="P150" s="141">
        <f>H150*VLOOKUP($A150,'[1]INPUT_ASSUMPTIONS CALC'!$A$13:$CK$1019,H$6,FALSE)*SUMIF('[1]INPUT_ASSUMPTIONS CALC'!$CV$15:$CV$31,'[1]Summary calculation'!E150,'[1]INPUT_ASSUMPTIONS CALC'!$CW$15:$CW$31)</f>
        <v>0</v>
      </c>
      <c r="Q150" s="141">
        <f>O150*VLOOKUP($A150,'[1]INPUT_ASSUMPTIONS CALC'!$A$13:$CK$1019,Q$7,FALSE)</f>
        <v>0</v>
      </c>
      <c r="R150" s="141">
        <f>P150*VLOOKUP($A150,'[1]INPUT_ASSUMPTIONS CALC'!$A$13:$CK$1019,R$7,FALSE)</f>
        <v>0</v>
      </c>
      <c r="S150" s="140">
        <f t="shared" si="9"/>
        <v>0</v>
      </c>
      <c r="T150" s="142">
        <f t="shared" si="10"/>
        <v>0</v>
      </c>
      <c r="U150" s="61"/>
    </row>
    <row r="151" spans="1:21" x14ac:dyDescent="0.35">
      <c r="A151" s="125" t="str">
        <f t="shared" si="8"/>
        <v>143Q2</v>
      </c>
      <c r="B151" s="135">
        <v>143</v>
      </c>
      <c r="C151" s="61" t="str">
        <f>INDEX('[1]INPUT_ASSUMPTIONS CALC'!D:D,MATCH(A151,'[1]INPUT_ASSUMPTIONS CALC'!A:A,0))</f>
        <v/>
      </c>
      <c r="D151" s="61" t="str">
        <f>INDEX('[1]INPUT_ASSUMPTIONS CALC'!I:I,MATCH(A151,'[1]INPUT_ASSUMPTIONS CALC'!A:A,0))</f>
        <v/>
      </c>
      <c r="E151" s="61" t="str">
        <f>INDEX('[1]INPUT_ASSUMPTIONS CALC'!E:E,MATCH(A151,'[1]INPUT_ASSUMPTIONS CALC'!A:A,0))</f>
        <v/>
      </c>
      <c r="F151" s="136">
        <f>IF($F$5="Q1",VLOOKUP($A151,'[1]INPUT_ASSUMPTIONS CALC'!$A$13:$CK$1019,F$7,FALSE),IF($F$5="Q2",VLOOKUP($A151,'[1]INPUT_ASSUMPTIONS CALC'!$A$13:$CK$1019,F$7,FALSE),IF($F$5="Q3",VLOOKUP($A151,'[1]INPUT_ASSUMPTIONS CALC'!$A$13:$CK$1019,F$7,FALSE),IF($F$5="Q4",VLOOKUP($A151,'[1]INPUT_ASSUMPTIONS CALC'!$A$13:$CK$1019,F$7,FALSE),IF($F$5="Year",VLOOKUP($A151,'[1]INPUT_ASSUMPTIONS CALC'!$A$13:$CK$1019,F$7,FALSE),0)))))</f>
        <v>0</v>
      </c>
      <c r="G151" s="137">
        <f>SUMIF('[1]INPUT_ASSUMPTIONS CALC'!A:A,'[1]Summary calculation'!A151,'[1]INPUT_ASSUMPTIONS CALC'!BU:BU)</f>
        <v>0</v>
      </c>
      <c r="H151" s="138">
        <f>IF($F$5="Year",F151*G151*'[1]INPUT_ASSUMPTIONS CALC'!$S$7,F151*G151)</f>
        <v>0</v>
      </c>
      <c r="I151" s="138">
        <f>H151*VLOOKUP($A151,'[1]INPUT_ASSUMPTIONS CALC'!$A$13:$CK$1019,H$6,FALSE)*SUMIF('[1]INPUT_ASSUMPTIONS CALC'!$CL$15:$CL$17,'[1]Summary calculation'!E151,'[1]INPUT_ASSUMPTIONS CALC'!$CM$15:$CM$17)</f>
        <v>0</v>
      </c>
      <c r="J151" s="139">
        <f>$I151*VLOOKUP($A151,'[1]INPUT_ASSUMPTIONS CALC'!$A$13:$CK$1019,I$6,FALSE)*VLOOKUP($A151,'[1]INPUT_ASSUMPTIONS CALC'!$A$13:$CK$1019,J$7,FALSE)</f>
        <v>0</v>
      </c>
      <c r="K151" s="139">
        <f>$I151*VLOOKUP($A151,'[1]INPUT_ASSUMPTIONS CALC'!$A$13:$CK$1019,I$6,FALSE)*VLOOKUP($A151,'[1]INPUT_ASSUMPTIONS CALC'!$A$13:$CK$1019,K$7,FALSE)</f>
        <v>0</v>
      </c>
      <c r="L151" s="139">
        <f>$I151*VLOOKUP($A151,'[1]INPUT_ASSUMPTIONS CALC'!$A$13:$CK$1019,I$6,FALSE)*VLOOKUP($A151,'[1]INPUT_ASSUMPTIONS CALC'!$A$13:$CK$1019,L$7,FALSE)</f>
        <v>0</v>
      </c>
      <c r="M151" s="139">
        <f>$I151*VLOOKUP($A151,'[1]INPUT_ASSUMPTIONS CALC'!$A$13:$CK$1019,I$6,FALSE)*VLOOKUP($A151,'[1]INPUT_ASSUMPTIONS CALC'!$A$13:$CK$1019,M$7,FALSE)</f>
        <v>0</v>
      </c>
      <c r="N151" s="140">
        <f t="shared" si="11"/>
        <v>0</v>
      </c>
      <c r="O151" s="141">
        <f>H151*VLOOKUP($A151,'[1]INPUT_ASSUMPTIONS CALC'!$A$13:$CK$1019,H$6,FALSE)*SUMIF('[1]INPUT_ASSUMPTIONS CALC'!$CQ$15:$CQ$17,'[1]Summary calculation'!E151,'[1]INPUT_ASSUMPTIONS CALC'!$CR$15:$CR$17)</f>
        <v>0</v>
      </c>
      <c r="P151" s="141">
        <f>H151*VLOOKUP($A151,'[1]INPUT_ASSUMPTIONS CALC'!$A$13:$CK$1019,H$6,FALSE)*SUMIF('[1]INPUT_ASSUMPTIONS CALC'!$CV$15:$CV$31,'[1]Summary calculation'!E151,'[1]INPUT_ASSUMPTIONS CALC'!$CW$15:$CW$31)</f>
        <v>0</v>
      </c>
      <c r="Q151" s="141">
        <f>O151*VLOOKUP($A151,'[1]INPUT_ASSUMPTIONS CALC'!$A$13:$CK$1019,Q$7,FALSE)</f>
        <v>0</v>
      </c>
      <c r="R151" s="141">
        <f>P151*VLOOKUP($A151,'[1]INPUT_ASSUMPTIONS CALC'!$A$13:$CK$1019,R$7,FALSE)</f>
        <v>0</v>
      </c>
      <c r="S151" s="140">
        <f t="shared" si="9"/>
        <v>0</v>
      </c>
      <c r="T151" s="142">
        <f t="shared" si="10"/>
        <v>0</v>
      </c>
      <c r="U151" s="61"/>
    </row>
    <row r="152" spans="1:21" x14ac:dyDescent="0.35">
      <c r="A152" s="125" t="str">
        <f t="shared" si="8"/>
        <v>144Q2</v>
      </c>
      <c r="B152" s="135">
        <v>144</v>
      </c>
      <c r="C152" s="61" t="str">
        <f>INDEX('[1]INPUT_ASSUMPTIONS CALC'!D:D,MATCH(A152,'[1]INPUT_ASSUMPTIONS CALC'!A:A,0))</f>
        <v/>
      </c>
      <c r="D152" s="61" t="str">
        <f>INDEX('[1]INPUT_ASSUMPTIONS CALC'!I:I,MATCH(A152,'[1]INPUT_ASSUMPTIONS CALC'!A:A,0))</f>
        <v/>
      </c>
      <c r="E152" s="61" t="str">
        <f>INDEX('[1]INPUT_ASSUMPTIONS CALC'!E:E,MATCH(A152,'[1]INPUT_ASSUMPTIONS CALC'!A:A,0))</f>
        <v/>
      </c>
      <c r="F152" s="136">
        <f>IF($F$5="Q1",VLOOKUP($A152,'[1]INPUT_ASSUMPTIONS CALC'!$A$13:$CK$1019,F$7,FALSE),IF($F$5="Q2",VLOOKUP($A152,'[1]INPUT_ASSUMPTIONS CALC'!$A$13:$CK$1019,F$7,FALSE),IF($F$5="Q3",VLOOKUP($A152,'[1]INPUT_ASSUMPTIONS CALC'!$A$13:$CK$1019,F$7,FALSE),IF($F$5="Q4",VLOOKUP($A152,'[1]INPUT_ASSUMPTIONS CALC'!$A$13:$CK$1019,F$7,FALSE),IF($F$5="Year",VLOOKUP($A152,'[1]INPUT_ASSUMPTIONS CALC'!$A$13:$CK$1019,F$7,FALSE),0)))))</f>
        <v>0</v>
      </c>
      <c r="G152" s="137">
        <f>SUMIF('[1]INPUT_ASSUMPTIONS CALC'!A:A,'[1]Summary calculation'!A152,'[1]INPUT_ASSUMPTIONS CALC'!BU:BU)</f>
        <v>0</v>
      </c>
      <c r="H152" s="138">
        <f>IF($F$5="Year",F152*G152*'[1]INPUT_ASSUMPTIONS CALC'!$S$7,F152*G152)</f>
        <v>0</v>
      </c>
      <c r="I152" s="138">
        <f>H152*VLOOKUP($A152,'[1]INPUT_ASSUMPTIONS CALC'!$A$13:$CK$1019,H$6,FALSE)*SUMIF('[1]INPUT_ASSUMPTIONS CALC'!$CL$15:$CL$17,'[1]Summary calculation'!E152,'[1]INPUT_ASSUMPTIONS CALC'!$CM$15:$CM$17)</f>
        <v>0</v>
      </c>
      <c r="J152" s="139">
        <f>$I152*VLOOKUP($A152,'[1]INPUT_ASSUMPTIONS CALC'!$A$13:$CK$1019,I$6,FALSE)*VLOOKUP($A152,'[1]INPUT_ASSUMPTIONS CALC'!$A$13:$CK$1019,J$7,FALSE)</f>
        <v>0</v>
      </c>
      <c r="K152" s="139">
        <f>$I152*VLOOKUP($A152,'[1]INPUT_ASSUMPTIONS CALC'!$A$13:$CK$1019,I$6,FALSE)*VLOOKUP($A152,'[1]INPUT_ASSUMPTIONS CALC'!$A$13:$CK$1019,K$7,FALSE)</f>
        <v>0</v>
      </c>
      <c r="L152" s="139">
        <f>$I152*VLOOKUP($A152,'[1]INPUT_ASSUMPTIONS CALC'!$A$13:$CK$1019,I$6,FALSE)*VLOOKUP($A152,'[1]INPUT_ASSUMPTIONS CALC'!$A$13:$CK$1019,L$7,FALSE)</f>
        <v>0</v>
      </c>
      <c r="M152" s="139">
        <f>$I152*VLOOKUP($A152,'[1]INPUT_ASSUMPTIONS CALC'!$A$13:$CK$1019,I$6,FALSE)*VLOOKUP($A152,'[1]INPUT_ASSUMPTIONS CALC'!$A$13:$CK$1019,M$7,FALSE)</f>
        <v>0</v>
      </c>
      <c r="N152" s="140">
        <f t="shared" si="11"/>
        <v>0</v>
      </c>
      <c r="O152" s="141">
        <f>H152*VLOOKUP($A152,'[1]INPUT_ASSUMPTIONS CALC'!$A$13:$CK$1019,H$6,FALSE)*SUMIF('[1]INPUT_ASSUMPTIONS CALC'!$CQ$15:$CQ$17,'[1]Summary calculation'!E152,'[1]INPUT_ASSUMPTIONS CALC'!$CR$15:$CR$17)</f>
        <v>0</v>
      </c>
      <c r="P152" s="141">
        <f>H152*VLOOKUP($A152,'[1]INPUT_ASSUMPTIONS CALC'!$A$13:$CK$1019,H$6,FALSE)*SUMIF('[1]INPUT_ASSUMPTIONS CALC'!$CV$15:$CV$31,'[1]Summary calculation'!E152,'[1]INPUT_ASSUMPTIONS CALC'!$CW$15:$CW$31)</f>
        <v>0</v>
      </c>
      <c r="Q152" s="141">
        <f>O152*VLOOKUP($A152,'[1]INPUT_ASSUMPTIONS CALC'!$A$13:$CK$1019,Q$7,FALSE)</f>
        <v>0</v>
      </c>
      <c r="R152" s="141">
        <f>P152*VLOOKUP($A152,'[1]INPUT_ASSUMPTIONS CALC'!$A$13:$CK$1019,R$7,FALSE)</f>
        <v>0</v>
      </c>
      <c r="S152" s="140">
        <f t="shared" si="9"/>
        <v>0</v>
      </c>
      <c r="T152" s="142">
        <f t="shared" si="10"/>
        <v>0</v>
      </c>
      <c r="U152" s="61"/>
    </row>
    <row r="153" spans="1:21" x14ac:dyDescent="0.35">
      <c r="A153" s="125" t="str">
        <f t="shared" si="8"/>
        <v>145Q2</v>
      </c>
      <c r="B153" s="135">
        <v>145</v>
      </c>
      <c r="C153" s="61" t="str">
        <f>INDEX('[1]INPUT_ASSUMPTIONS CALC'!D:D,MATCH(A153,'[1]INPUT_ASSUMPTIONS CALC'!A:A,0))</f>
        <v/>
      </c>
      <c r="D153" s="61" t="str">
        <f>INDEX('[1]INPUT_ASSUMPTIONS CALC'!I:I,MATCH(A153,'[1]INPUT_ASSUMPTIONS CALC'!A:A,0))</f>
        <v/>
      </c>
      <c r="E153" s="61" t="str">
        <f>INDEX('[1]INPUT_ASSUMPTIONS CALC'!E:E,MATCH(A153,'[1]INPUT_ASSUMPTIONS CALC'!A:A,0))</f>
        <v/>
      </c>
      <c r="F153" s="136">
        <f>IF($F$5="Q1",VLOOKUP($A153,'[1]INPUT_ASSUMPTIONS CALC'!$A$13:$CK$1019,F$7,FALSE),IF($F$5="Q2",VLOOKUP($A153,'[1]INPUT_ASSUMPTIONS CALC'!$A$13:$CK$1019,F$7,FALSE),IF($F$5="Q3",VLOOKUP($A153,'[1]INPUT_ASSUMPTIONS CALC'!$A$13:$CK$1019,F$7,FALSE),IF($F$5="Q4",VLOOKUP($A153,'[1]INPUT_ASSUMPTIONS CALC'!$A$13:$CK$1019,F$7,FALSE),IF($F$5="Year",VLOOKUP($A153,'[1]INPUT_ASSUMPTIONS CALC'!$A$13:$CK$1019,F$7,FALSE),0)))))</f>
        <v>0</v>
      </c>
      <c r="G153" s="137">
        <f>SUMIF('[1]INPUT_ASSUMPTIONS CALC'!A:A,'[1]Summary calculation'!A153,'[1]INPUT_ASSUMPTIONS CALC'!BU:BU)</f>
        <v>0</v>
      </c>
      <c r="H153" s="138">
        <f>IF($F$5="Year",F153*G153*'[1]INPUT_ASSUMPTIONS CALC'!$S$7,F153*G153)</f>
        <v>0</v>
      </c>
      <c r="I153" s="138">
        <f>H153*VLOOKUP($A153,'[1]INPUT_ASSUMPTIONS CALC'!$A$13:$CK$1019,H$6,FALSE)*SUMIF('[1]INPUT_ASSUMPTIONS CALC'!$CL$15:$CL$17,'[1]Summary calculation'!E153,'[1]INPUT_ASSUMPTIONS CALC'!$CM$15:$CM$17)</f>
        <v>0</v>
      </c>
      <c r="J153" s="139">
        <f>$I153*VLOOKUP($A153,'[1]INPUT_ASSUMPTIONS CALC'!$A$13:$CK$1019,I$6,FALSE)*VLOOKUP($A153,'[1]INPUT_ASSUMPTIONS CALC'!$A$13:$CK$1019,J$7,FALSE)</f>
        <v>0</v>
      </c>
      <c r="K153" s="139">
        <f>$I153*VLOOKUP($A153,'[1]INPUT_ASSUMPTIONS CALC'!$A$13:$CK$1019,I$6,FALSE)*VLOOKUP($A153,'[1]INPUT_ASSUMPTIONS CALC'!$A$13:$CK$1019,K$7,FALSE)</f>
        <v>0</v>
      </c>
      <c r="L153" s="139">
        <f>$I153*VLOOKUP($A153,'[1]INPUT_ASSUMPTIONS CALC'!$A$13:$CK$1019,I$6,FALSE)*VLOOKUP($A153,'[1]INPUT_ASSUMPTIONS CALC'!$A$13:$CK$1019,L$7,FALSE)</f>
        <v>0</v>
      </c>
      <c r="M153" s="139">
        <f>$I153*VLOOKUP($A153,'[1]INPUT_ASSUMPTIONS CALC'!$A$13:$CK$1019,I$6,FALSE)*VLOOKUP($A153,'[1]INPUT_ASSUMPTIONS CALC'!$A$13:$CK$1019,M$7,FALSE)</f>
        <v>0</v>
      </c>
      <c r="N153" s="140">
        <f t="shared" si="11"/>
        <v>0</v>
      </c>
      <c r="O153" s="141">
        <f>H153*VLOOKUP($A153,'[1]INPUT_ASSUMPTIONS CALC'!$A$13:$CK$1019,H$6,FALSE)*SUMIF('[1]INPUT_ASSUMPTIONS CALC'!$CQ$15:$CQ$17,'[1]Summary calculation'!E153,'[1]INPUT_ASSUMPTIONS CALC'!$CR$15:$CR$17)</f>
        <v>0</v>
      </c>
      <c r="P153" s="141">
        <f>H153*VLOOKUP($A153,'[1]INPUT_ASSUMPTIONS CALC'!$A$13:$CK$1019,H$6,FALSE)*SUMIF('[1]INPUT_ASSUMPTIONS CALC'!$CV$15:$CV$31,'[1]Summary calculation'!E153,'[1]INPUT_ASSUMPTIONS CALC'!$CW$15:$CW$31)</f>
        <v>0</v>
      </c>
      <c r="Q153" s="141">
        <f>O153*VLOOKUP($A153,'[1]INPUT_ASSUMPTIONS CALC'!$A$13:$CK$1019,Q$7,FALSE)</f>
        <v>0</v>
      </c>
      <c r="R153" s="141">
        <f>P153*VLOOKUP($A153,'[1]INPUT_ASSUMPTIONS CALC'!$A$13:$CK$1019,R$7,FALSE)</f>
        <v>0</v>
      </c>
      <c r="S153" s="140">
        <f t="shared" si="9"/>
        <v>0</v>
      </c>
      <c r="T153" s="142">
        <f t="shared" si="10"/>
        <v>0</v>
      </c>
      <c r="U153" s="61"/>
    </row>
    <row r="154" spans="1:21" x14ac:dyDescent="0.35">
      <c r="A154" s="125" t="str">
        <f t="shared" si="8"/>
        <v>146Q2</v>
      </c>
      <c r="B154" s="135">
        <v>146</v>
      </c>
      <c r="C154" s="61" t="str">
        <f>INDEX('[1]INPUT_ASSUMPTIONS CALC'!D:D,MATCH(A154,'[1]INPUT_ASSUMPTIONS CALC'!A:A,0))</f>
        <v/>
      </c>
      <c r="D154" s="61" t="str">
        <f>INDEX('[1]INPUT_ASSUMPTIONS CALC'!I:I,MATCH(A154,'[1]INPUT_ASSUMPTIONS CALC'!A:A,0))</f>
        <v/>
      </c>
      <c r="E154" s="61" t="str">
        <f>INDEX('[1]INPUT_ASSUMPTIONS CALC'!E:E,MATCH(A154,'[1]INPUT_ASSUMPTIONS CALC'!A:A,0))</f>
        <v/>
      </c>
      <c r="F154" s="136">
        <f>IF($F$5="Q1",VLOOKUP($A154,'[1]INPUT_ASSUMPTIONS CALC'!$A$13:$CK$1019,F$7,FALSE),IF($F$5="Q2",VLOOKUP($A154,'[1]INPUT_ASSUMPTIONS CALC'!$A$13:$CK$1019,F$7,FALSE),IF($F$5="Q3",VLOOKUP($A154,'[1]INPUT_ASSUMPTIONS CALC'!$A$13:$CK$1019,F$7,FALSE),IF($F$5="Q4",VLOOKUP($A154,'[1]INPUT_ASSUMPTIONS CALC'!$A$13:$CK$1019,F$7,FALSE),IF($F$5="Year",VLOOKUP($A154,'[1]INPUT_ASSUMPTIONS CALC'!$A$13:$CK$1019,F$7,FALSE),0)))))</f>
        <v>0</v>
      </c>
      <c r="G154" s="137">
        <f>SUMIF('[1]INPUT_ASSUMPTIONS CALC'!A:A,'[1]Summary calculation'!A154,'[1]INPUT_ASSUMPTIONS CALC'!BU:BU)</f>
        <v>0</v>
      </c>
      <c r="H154" s="138">
        <f>IF($F$5="Year",F154*G154*'[1]INPUT_ASSUMPTIONS CALC'!$S$7,F154*G154)</f>
        <v>0</v>
      </c>
      <c r="I154" s="138">
        <f>H154*VLOOKUP($A154,'[1]INPUT_ASSUMPTIONS CALC'!$A$13:$CK$1019,H$6,FALSE)*SUMIF('[1]INPUT_ASSUMPTIONS CALC'!$CL$15:$CL$17,'[1]Summary calculation'!E154,'[1]INPUT_ASSUMPTIONS CALC'!$CM$15:$CM$17)</f>
        <v>0</v>
      </c>
      <c r="J154" s="139">
        <f>$I154*VLOOKUP($A154,'[1]INPUT_ASSUMPTIONS CALC'!$A$13:$CK$1019,I$6,FALSE)*VLOOKUP($A154,'[1]INPUT_ASSUMPTIONS CALC'!$A$13:$CK$1019,J$7,FALSE)</f>
        <v>0</v>
      </c>
      <c r="K154" s="139">
        <f>$I154*VLOOKUP($A154,'[1]INPUT_ASSUMPTIONS CALC'!$A$13:$CK$1019,I$6,FALSE)*VLOOKUP($A154,'[1]INPUT_ASSUMPTIONS CALC'!$A$13:$CK$1019,K$7,FALSE)</f>
        <v>0</v>
      </c>
      <c r="L154" s="139">
        <f>$I154*VLOOKUP($A154,'[1]INPUT_ASSUMPTIONS CALC'!$A$13:$CK$1019,I$6,FALSE)*VLOOKUP($A154,'[1]INPUT_ASSUMPTIONS CALC'!$A$13:$CK$1019,L$7,FALSE)</f>
        <v>0</v>
      </c>
      <c r="M154" s="139">
        <f>$I154*VLOOKUP($A154,'[1]INPUT_ASSUMPTIONS CALC'!$A$13:$CK$1019,I$6,FALSE)*VLOOKUP($A154,'[1]INPUT_ASSUMPTIONS CALC'!$A$13:$CK$1019,M$7,FALSE)</f>
        <v>0</v>
      </c>
      <c r="N154" s="140">
        <f t="shared" si="11"/>
        <v>0</v>
      </c>
      <c r="O154" s="141">
        <f>H154*VLOOKUP($A154,'[1]INPUT_ASSUMPTIONS CALC'!$A$13:$CK$1019,H$6,FALSE)*SUMIF('[1]INPUT_ASSUMPTIONS CALC'!$CQ$15:$CQ$17,'[1]Summary calculation'!E154,'[1]INPUT_ASSUMPTIONS CALC'!$CR$15:$CR$17)</f>
        <v>0</v>
      </c>
      <c r="P154" s="141">
        <f>H154*VLOOKUP($A154,'[1]INPUT_ASSUMPTIONS CALC'!$A$13:$CK$1019,H$6,FALSE)*SUMIF('[1]INPUT_ASSUMPTIONS CALC'!$CV$15:$CV$31,'[1]Summary calculation'!E154,'[1]INPUT_ASSUMPTIONS CALC'!$CW$15:$CW$31)</f>
        <v>0</v>
      </c>
      <c r="Q154" s="141">
        <f>O154*VLOOKUP($A154,'[1]INPUT_ASSUMPTIONS CALC'!$A$13:$CK$1019,Q$7,FALSE)</f>
        <v>0</v>
      </c>
      <c r="R154" s="141">
        <f>P154*VLOOKUP($A154,'[1]INPUT_ASSUMPTIONS CALC'!$A$13:$CK$1019,R$7,FALSE)</f>
        <v>0</v>
      </c>
      <c r="S154" s="140">
        <f t="shared" si="9"/>
        <v>0</v>
      </c>
      <c r="T154" s="142">
        <f t="shared" si="10"/>
        <v>0</v>
      </c>
      <c r="U154" s="61"/>
    </row>
    <row r="155" spans="1:21" x14ac:dyDescent="0.35">
      <c r="A155" s="125" t="str">
        <f t="shared" si="8"/>
        <v>147Q2</v>
      </c>
      <c r="B155" s="135">
        <v>147</v>
      </c>
      <c r="C155" s="61" t="str">
        <f>INDEX('[1]INPUT_ASSUMPTIONS CALC'!D:D,MATCH(A155,'[1]INPUT_ASSUMPTIONS CALC'!A:A,0))</f>
        <v/>
      </c>
      <c r="D155" s="61" t="str">
        <f>INDEX('[1]INPUT_ASSUMPTIONS CALC'!I:I,MATCH(A155,'[1]INPUT_ASSUMPTIONS CALC'!A:A,0))</f>
        <v/>
      </c>
      <c r="E155" s="61" t="str">
        <f>INDEX('[1]INPUT_ASSUMPTIONS CALC'!E:E,MATCH(A155,'[1]INPUT_ASSUMPTIONS CALC'!A:A,0))</f>
        <v/>
      </c>
      <c r="F155" s="136">
        <f>IF($F$5="Q1",VLOOKUP($A155,'[1]INPUT_ASSUMPTIONS CALC'!$A$13:$CK$1019,F$7,FALSE),IF($F$5="Q2",VLOOKUP($A155,'[1]INPUT_ASSUMPTIONS CALC'!$A$13:$CK$1019,F$7,FALSE),IF($F$5="Q3",VLOOKUP($A155,'[1]INPUT_ASSUMPTIONS CALC'!$A$13:$CK$1019,F$7,FALSE),IF($F$5="Q4",VLOOKUP($A155,'[1]INPUT_ASSUMPTIONS CALC'!$A$13:$CK$1019,F$7,FALSE),IF($F$5="Year",VLOOKUP($A155,'[1]INPUT_ASSUMPTIONS CALC'!$A$13:$CK$1019,F$7,FALSE),0)))))</f>
        <v>0</v>
      </c>
      <c r="G155" s="137">
        <f>SUMIF('[1]INPUT_ASSUMPTIONS CALC'!A:A,'[1]Summary calculation'!A155,'[1]INPUT_ASSUMPTIONS CALC'!BU:BU)</f>
        <v>0</v>
      </c>
      <c r="H155" s="138">
        <f>IF($F$5="Year",F155*G155*'[1]INPUT_ASSUMPTIONS CALC'!$S$7,F155*G155)</f>
        <v>0</v>
      </c>
      <c r="I155" s="138">
        <f>H155*VLOOKUP($A155,'[1]INPUT_ASSUMPTIONS CALC'!$A$13:$CK$1019,H$6,FALSE)*SUMIF('[1]INPUT_ASSUMPTIONS CALC'!$CL$15:$CL$17,'[1]Summary calculation'!E155,'[1]INPUT_ASSUMPTIONS CALC'!$CM$15:$CM$17)</f>
        <v>0</v>
      </c>
      <c r="J155" s="139">
        <f>$I155*VLOOKUP($A155,'[1]INPUT_ASSUMPTIONS CALC'!$A$13:$CK$1019,I$6,FALSE)*VLOOKUP($A155,'[1]INPUT_ASSUMPTIONS CALC'!$A$13:$CK$1019,J$7,FALSE)</f>
        <v>0</v>
      </c>
      <c r="K155" s="139">
        <f>$I155*VLOOKUP($A155,'[1]INPUT_ASSUMPTIONS CALC'!$A$13:$CK$1019,I$6,FALSE)*VLOOKUP($A155,'[1]INPUT_ASSUMPTIONS CALC'!$A$13:$CK$1019,K$7,FALSE)</f>
        <v>0</v>
      </c>
      <c r="L155" s="139">
        <f>$I155*VLOOKUP($A155,'[1]INPUT_ASSUMPTIONS CALC'!$A$13:$CK$1019,I$6,FALSE)*VLOOKUP($A155,'[1]INPUT_ASSUMPTIONS CALC'!$A$13:$CK$1019,L$7,FALSE)</f>
        <v>0</v>
      </c>
      <c r="M155" s="139">
        <f>$I155*VLOOKUP($A155,'[1]INPUT_ASSUMPTIONS CALC'!$A$13:$CK$1019,I$6,FALSE)*VLOOKUP($A155,'[1]INPUT_ASSUMPTIONS CALC'!$A$13:$CK$1019,M$7,FALSE)</f>
        <v>0</v>
      </c>
      <c r="N155" s="140">
        <f t="shared" si="11"/>
        <v>0</v>
      </c>
      <c r="O155" s="141">
        <f>H155*VLOOKUP($A155,'[1]INPUT_ASSUMPTIONS CALC'!$A$13:$CK$1019,H$6,FALSE)*SUMIF('[1]INPUT_ASSUMPTIONS CALC'!$CQ$15:$CQ$17,'[1]Summary calculation'!E155,'[1]INPUT_ASSUMPTIONS CALC'!$CR$15:$CR$17)</f>
        <v>0</v>
      </c>
      <c r="P155" s="141">
        <f>H155*VLOOKUP($A155,'[1]INPUT_ASSUMPTIONS CALC'!$A$13:$CK$1019,H$6,FALSE)*SUMIF('[1]INPUT_ASSUMPTIONS CALC'!$CV$15:$CV$31,'[1]Summary calculation'!E155,'[1]INPUT_ASSUMPTIONS CALC'!$CW$15:$CW$31)</f>
        <v>0</v>
      </c>
      <c r="Q155" s="141">
        <f>O155*VLOOKUP($A155,'[1]INPUT_ASSUMPTIONS CALC'!$A$13:$CK$1019,Q$7,FALSE)</f>
        <v>0</v>
      </c>
      <c r="R155" s="141">
        <f>P155*VLOOKUP($A155,'[1]INPUT_ASSUMPTIONS CALC'!$A$13:$CK$1019,R$7,FALSE)</f>
        <v>0</v>
      </c>
      <c r="S155" s="140">
        <f t="shared" si="9"/>
        <v>0</v>
      </c>
      <c r="T155" s="142">
        <f t="shared" si="10"/>
        <v>0</v>
      </c>
      <c r="U155" s="61"/>
    </row>
    <row r="156" spans="1:21" x14ac:dyDescent="0.35">
      <c r="A156" s="125" t="str">
        <f t="shared" si="8"/>
        <v>148Q2</v>
      </c>
      <c r="B156" s="135">
        <v>148</v>
      </c>
      <c r="C156" s="61" t="str">
        <f>INDEX('[1]INPUT_ASSUMPTIONS CALC'!D:D,MATCH(A156,'[1]INPUT_ASSUMPTIONS CALC'!A:A,0))</f>
        <v/>
      </c>
      <c r="D156" s="61" t="str">
        <f>INDEX('[1]INPUT_ASSUMPTIONS CALC'!I:I,MATCH(A156,'[1]INPUT_ASSUMPTIONS CALC'!A:A,0))</f>
        <v/>
      </c>
      <c r="E156" s="61" t="str">
        <f>INDEX('[1]INPUT_ASSUMPTIONS CALC'!E:E,MATCH(A156,'[1]INPUT_ASSUMPTIONS CALC'!A:A,0))</f>
        <v/>
      </c>
      <c r="F156" s="136">
        <f>IF($F$5="Q1",VLOOKUP($A156,'[1]INPUT_ASSUMPTIONS CALC'!$A$13:$CK$1019,F$7,FALSE),IF($F$5="Q2",VLOOKUP($A156,'[1]INPUT_ASSUMPTIONS CALC'!$A$13:$CK$1019,F$7,FALSE),IF($F$5="Q3",VLOOKUP($A156,'[1]INPUT_ASSUMPTIONS CALC'!$A$13:$CK$1019,F$7,FALSE),IF($F$5="Q4",VLOOKUP($A156,'[1]INPUT_ASSUMPTIONS CALC'!$A$13:$CK$1019,F$7,FALSE),IF($F$5="Year",VLOOKUP($A156,'[1]INPUT_ASSUMPTIONS CALC'!$A$13:$CK$1019,F$7,FALSE),0)))))</f>
        <v>0</v>
      </c>
      <c r="G156" s="137">
        <f>SUMIF('[1]INPUT_ASSUMPTIONS CALC'!A:A,'[1]Summary calculation'!A156,'[1]INPUT_ASSUMPTIONS CALC'!BU:BU)</f>
        <v>0</v>
      </c>
      <c r="H156" s="138">
        <f>IF($F$5="Year",F156*G156*'[1]INPUT_ASSUMPTIONS CALC'!$S$7,F156*G156)</f>
        <v>0</v>
      </c>
      <c r="I156" s="138">
        <f>H156*VLOOKUP($A156,'[1]INPUT_ASSUMPTIONS CALC'!$A$13:$CK$1019,H$6,FALSE)*SUMIF('[1]INPUT_ASSUMPTIONS CALC'!$CL$15:$CL$17,'[1]Summary calculation'!E156,'[1]INPUT_ASSUMPTIONS CALC'!$CM$15:$CM$17)</f>
        <v>0</v>
      </c>
      <c r="J156" s="139">
        <f>$I156*VLOOKUP($A156,'[1]INPUT_ASSUMPTIONS CALC'!$A$13:$CK$1019,I$6,FALSE)*VLOOKUP($A156,'[1]INPUT_ASSUMPTIONS CALC'!$A$13:$CK$1019,J$7,FALSE)</f>
        <v>0</v>
      </c>
      <c r="K156" s="139">
        <f>$I156*VLOOKUP($A156,'[1]INPUT_ASSUMPTIONS CALC'!$A$13:$CK$1019,I$6,FALSE)*VLOOKUP($A156,'[1]INPUT_ASSUMPTIONS CALC'!$A$13:$CK$1019,K$7,FALSE)</f>
        <v>0</v>
      </c>
      <c r="L156" s="139">
        <f>$I156*VLOOKUP($A156,'[1]INPUT_ASSUMPTIONS CALC'!$A$13:$CK$1019,I$6,FALSE)*VLOOKUP($A156,'[1]INPUT_ASSUMPTIONS CALC'!$A$13:$CK$1019,L$7,FALSE)</f>
        <v>0</v>
      </c>
      <c r="M156" s="139">
        <f>$I156*VLOOKUP($A156,'[1]INPUT_ASSUMPTIONS CALC'!$A$13:$CK$1019,I$6,FALSE)*VLOOKUP($A156,'[1]INPUT_ASSUMPTIONS CALC'!$A$13:$CK$1019,M$7,FALSE)</f>
        <v>0</v>
      </c>
      <c r="N156" s="140">
        <f t="shared" si="11"/>
        <v>0</v>
      </c>
      <c r="O156" s="141">
        <f>H156*VLOOKUP($A156,'[1]INPUT_ASSUMPTIONS CALC'!$A$13:$CK$1019,H$6,FALSE)*SUMIF('[1]INPUT_ASSUMPTIONS CALC'!$CQ$15:$CQ$17,'[1]Summary calculation'!E156,'[1]INPUT_ASSUMPTIONS CALC'!$CR$15:$CR$17)</f>
        <v>0</v>
      </c>
      <c r="P156" s="141">
        <f>H156*VLOOKUP($A156,'[1]INPUT_ASSUMPTIONS CALC'!$A$13:$CK$1019,H$6,FALSE)*SUMIF('[1]INPUT_ASSUMPTIONS CALC'!$CV$15:$CV$31,'[1]Summary calculation'!E156,'[1]INPUT_ASSUMPTIONS CALC'!$CW$15:$CW$31)</f>
        <v>0</v>
      </c>
      <c r="Q156" s="141">
        <f>O156*VLOOKUP($A156,'[1]INPUT_ASSUMPTIONS CALC'!$A$13:$CK$1019,Q$7,FALSE)</f>
        <v>0</v>
      </c>
      <c r="R156" s="141">
        <f>P156*VLOOKUP($A156,'[1]INPUT_ASSUMPTIONS CALC'!$A$13:$CK$1019,R$7,FALSE)</f>
        <v>0</v>
      </c>
      <c r="S156" s="140">
        <f t="shared" si="9"/>
        <v>0</v>
      </c>
      <c r="T156" s="142">
        <f t="shared" si="10"/>
        <v>0</v>
      </c>
      <c r="U156" s="61"/>
    </row>
    <row r="157" spans="1:21" x14ac:dyDescent="0.35">
      <c r="A157" s="125" t="str">
        <f t="shared" si="8"/>
        <v>149Q2</v>
      </c>
      <c r="B157" s="135">
        <v>149</v>
      </c>
      <c r="C157" s="61" t="str">
        <f>INDEX('[1]INPUT_ASSUMPTIONS CALC'!D:D,MATCH(A157,'[1]INPUT_ASSUMPTIONS CALC'!A:A,0))</f>
        <v/>
      </c>
      <c r="D157" s="61" t="str">
        <f>INDEX('[1]INPUT_ASSUMPTIONS CALC'!I:I,MATCH(A157,'[1]INPUT_ASSUMPTIONS CALC'!A:A,0))</f>
        <v/>
      </c>
      <c r="E157" s="61" t="str">
        <f>INDEX('[1]INPUT_ASSUMPTIONS CALC'!E:E,MATCH(A157,'[1]INPUT_ASSUMPTIONS CALC'!A:A,0))</f>
        <v/>
      </c>
      <c r="F157" s="136">
        <f>IF($F$5="Q1",VLOOKUP($A157,'[1]INPUT_ASSUMPTIONS CALC'!$A$13:$CK$1019,F$7,FALSE),IF($F$5="Q2",VLOOKUP($A157,'[1]INPUT_ASSUMPTIONS CALC'!$A$13:$CK$1019,F$7,FALSE),IF($F$5="Q3",VLOOKUP($A157,'[1]INPUT_ASSUMPTIONS CALC'!$A$13:$CK$1019,F$7,FALSE),IF($F$5="Q4",VLOOKUP($A157,'[1]INPUT_ASSUMPTIONS CALC'!$A$13:$CK$1019,F$7,FALSE),IF($F$5="Year",VLOOKUP($A157,'[1]INPUT_ASSUMPTIONS CALC'!$A$13:$CK$1019,F$7,FALSE),0)))))</f>
        <v>0</v>
      </c>
      <c r="G157" s="137">
        <f>SUMIF('[1]INPUT_ASSUMPTIONS CALC'!A:A,'[1]Summary calculation'!A157,'[1]INPUT_ASSUMPTIONS CALC'!BU:BU)</f>
        <v>0</v>
      </c>
      <c r="H157" s="138">
        <f>IF($F$5="Year",F157*G157*'[1]INPUT_ASSUMPTIONS CALC'!$S$7,F157*G157)</f>
        <v>0</v>
      </c>
      <c r="I157" s="138">
        <f>H157*VLOOKUP($A157,'[1]INPUT_ASSUMPTIONS CALC'!$A$13:$CK$1019,H$6,FALSE)*SUMIF('[1]INPUT_ASSUMPTIONS CALC'!$CL$15:$CL$17,'[1]Summary calculation'!E157,'[1]INPUT_ASSUMPTIONS CALC'!$CM$15:$CM$17)</f>
        <v>0</v>
      </c>
      <c r="J157" s="139">
        <f>$I157*VLOOKUP($A157,'[1]INPUT_ASSUMPTIONS CALC'!$A$13:$CK$1019,I$6,FALSE)*VLOOKUP($A157,'[1]INPUT_ASSUMPTIONS CALC'!$A$13:$CK$1019,J$7,FALSE)</f>
        <v>0</v>
      </c>
      <c r="K157" s="139">
        <f>$I157*VLOOKUP($A157,'[1]INPUT_ASSUMPTIONS CALC'!$A$13:$CK$1019,I$6,FALSE)*VLOOKUP($A157,'[1]INPUT_ASSUMPTIONS CALC'!$A$13:$CK$1019,K$7,FALSE)</f>
        <v>0</v>
      </c>
      <c r="L157" s="139">
        <f>$I157*VLOOKUP($A157,'[1]INPUT_ASSUMPTIONS CALC'!$A$13:$CK$1019,I$6,FALSE)*VLOOKUP($A157,'[1]INPUT_ASSUMPTIONS CALC'!$A$13:$CK$1019,L$7,FALSE)</f>
        <v>0</v>
      </c>
      <c r="M157" s="139">
        <f>$I157*VLOOKUP($A157,'[1]INPUT_ASSUMPTIONS CALC'!$A$13:$CK$1019,I$6,FALSE)*VLOOKUP($A157,'[1]INPUT_ASSUMPTIONS CALC'!$A$13:$CK$1019,M$7,FALSE)</f>
        <v>0</v>
      </c>
      <c r="N157" s="140">
        <f t="shared" si="11"/>
        <v>0</v>
      </c>
      <c r="O157" s="141">
        <f>H157*VLOOKUP($A157,'[1]INPUT_ASSUMPTIONS CALC'!$A$13:$CK$1019,H$6,FALSE)*SUMIF('[1]INPUT_ASSUMPTIONS CALC'!$CQ$15:$CQ$17,'[1]Summary calculation'!E157,'[1]INPUT_ASSUMPTIONS CALC'!$CR$15:$CR$17)</f>
        <v>0</v>
      </c>
      <c r="P157" s="141">
        <f>H157*VLOOKUP($A157,'[1]INPUT_ASSUMPTIONS CALC'!$A$13:$CK$1019,H$6,FALSE)*SUMIF('[1]INPUT_ASSUMPTIONS CALC'!$CV$15:$CV$31,'[1]Summary calculation'!E157,'[1]INPUT_ASSUMPTIONS CALC'!$CW$15:$CW$31)</f>
        <v>0</v>
      </c>
      <c r="Q157" s="141">
        <f>O157*VLOOKUP($A157,'[1]INPUT_ASSUMPTIONS CALC'!$A$13:$CK$1019,Q$7,FALSE)</f>
        <v>0</v>
      </c>
      <c r="R157" s="141">
        <f>P157*VLOOKUP($A157,'[1]INPUT_ASSUMPTIONS CALC'!$A$13:$CK$1019,R$7,FALSE)</f>
        <v>0</v>
      </c>
      <c r="S157" s="140">
        <f t="shared" si="9"/>
        <v>0</v>
      </c>
      <c r="T157" s="142">
        <f t="shared" si="10"/>
        <v>0</v>
      </c>
      <c r="U157" s="61"/>
    </row>
    <row r="158" spans="1:21" x14ac:dyDescent="0.35">
      <c r="A158" s="125" t="str">
        <f t="shared" si="8"/>
        <v>150Q2</v>
      </c>
      <c r="B158" s="135">
        <v>150</v>
      </c>
      <c r="C158" s="61" t="str">
        <f>INDEX('[1]INPUT_ASSUMPTIONS CALC'!D:D,MATCH(A158,'[1]INPUT_ASSUMPTIONS CALC'!A:A,0))</f>
        <v/>
      </c>
      <c r="D158" s="61" t="str">
        <f>INDEX('[1]INPUT_ASSUMPTIONS CALC'!I:I,MATCH(A158,'[1]INPUT_ASSUMPTIONS CALC'!A:A,0))</f>
        <v/>
      </c>
      <c r="E158" s="61" t="str">
        <f>INDEX('[1]INPUT_ASSUMPTIONS CALC'!E:E,MATCH(A158,'[1]INPUT_ASSUMPTIONS CALC'!A:A,0))</f>
        <v/>
      </c>
      <c r="F158" s="136">
        <f>IF($F$5="Q1",VLOOKUP($A158,'[1]INPUT_ASSUMPTIONS CALC'!$A$13:$CK$1019,F$7,FALSE),IF($F$5="Q2",VLOOKUP($A158,'[1]INPUT_ASSUMPTIONS CALC'!$A$13:$CK$1019,F$7,FALSE),IF($F$5="Q3",VLOOKUP($A158,'[1]INPUT_ASSUMPTIONS CALC'!$A$13:$CK$1019,F$7,FALSE),IF($F$5="Q4",VLOOKUP($A158,'[1]INPUT_ASSUMPTIONS CALC'!$A$13:$CK$1019,F$7,FALSE),IF($F$5="Year",VLOOKUP($A158,'[1]INPUT_ASSUMPTIONS CALC'!$A$13:$CK$1019,F$7,FALSE),0)))))</f>
        <v>0</v>
      </c>
      <c r="G158" s="137">
        <f>SUMIF('[1]INPUT_ASSUMPTIONS CALC'!A:A,'[1]Summary calculation'!A158,'[1]INPUT_ASSUMPTIONS CALC'!BU:BU)</f>
        <v>0</v>
      </c>
      <c r="H158" s="138">
        <f>IF($F$5="Year",F158*G158*'[1]INPUT_ASSUMPTIONS CALC'!$S$7,F158*G158)</f>
        <v>0</v>
      </c>
      <c r="I158" s="138">
        <f>H158*VLOOKUP($A158,'[1]INPUT_ASSUMPTIONS CALC'!$A$13:$CK$1019,H$6,FALSE)*SUMIF('[1]INPUT_ASSUMPTIONS CALC'!$CL$15:$CL$17,'[1]Summary calculation'!E158,'[1]INPUT_ASSUMPTIONS CALC'!$CM$15:$CM$17)</f>
        <v>0</v>
      </c>
      <c r="J158" s="139">
        <f>$I158*VLOOKUP($A158,'[1]INPUT_ASSUMPTIONS CALC'!$A$13:$CK$1019,I$6,FALSE)*VLOOKUP($A158,'[1]INPUT_ASSUMPTIONS CALC'!$A$13:$CK$1019,J$7,FALSE)</f>
        <v>0</v>
      </c>
      <c r="K158" s="139">
        <f>$I158*VLOOKUP($A158,'[1]INPUT_ASSUMPTIONS CALC'!$A$13:$CK$1019,I$6,FALSE)*VLOOKUP($A158,'[1]INPUT_ASSUMPTIONS CALC'!$A$13:$CK$1019,K$7,FALSE)</f>
        <v>0</v>
      </c>
      <c r="L158" s="139">
        <f>$I158*VLOOKUP($A158,'[1]INPUT_ASSUMPTIONS CALC'!$A$13:$CK$1019,I$6,FALSE)*VLOOKUP($A158,'[1]INPUT_ASSUMPTIONS CALC'!$A$13:$CK$1019,L$7,FALSE)</f>
        <v>0</v>
      </c>
      <c r="M158" s="139">
        <f>$I158*VLOOKUP($A158,'[1]INPUT_ASSUMPTIONS CALC'!$A$13:$CK$1019,I$6,FALSE)*VLOOKUP($A158,'[1]INPUT_ASSUMPTIONS CALC'!$A$13:$CK$1019,M$7,FALSE)</f>
        <v>0</v>
      </c>
      <c r="N158" s="140">
        <f t="shared" si="11"/>
        <v>0</v>
      </c>
      <c r="O158" s="141">
        <f>H158*VLOOKUP($A158,'[1]INPUT_ASSUMPTIONS CALC'!$A$13:$CK$1019,H$6,FALSE)*SUMIF('[1]INPUT_ASSUMPTIONS CALC'!$CQ$15:$CQ$17,'[1]Summary calculation'!E158,'[1]INPUT_ASSUMPTIONS CALC'!$CR$15:$CR$17)</f>
        <v>0</v>
      </c>
      <c r="P158" s="141">
        <f>H158*VLOOKUP($A158,'[1]INPUT_ASSUMPTIONS CALC'!$A$13:$CK$1019,H$6,FALSE)*SUMIF('[1]INPUT_ASSUMPTIONS CALC'!$CV$15:$CV$31,'[1]Summary calculation'!E158,'[1]INPUT_ASSUMPTIONS CALC'!$CW$15:$CW$31)</f>
        <v>0</v>
      </c>
      <c r="Q158" s="141">
        <f>O158*VLOOKUP($A158,'[1]INPUT_ASSUMPTIONS CALC'!$A$13:$CK$1019,Q$7,FALSE)</f>
        <v>0</v>
      </c>
      <c r="R158" s="141">
        <f>P158*VLOOKUP($A158,'[1]INPUT_ASSUMPTIONS CALC'!$A$13:$CK$1019,R$7,FALSE)</f>
        <v>0</v>
      </c>
      <c r="S158" s="140">
        <f t="shared" si="9"/>
        <v>0</v>
      </c>
      <c r="T158" s="142">
        <f t="shared" si="10"/>
        <v>0</v>
      </c>
      <c r="U158" s="61"/>
    </row>
    <row r="159" spans="1:21" x14ac:dyDescent="0.35">
      <c r="A159" s="125" t="str">
        <f t="shared" si="8"/>
        <v>151Q2</v>
      </c>
      <c r="B159" s="135">
        <v>151</v>
      </c>
      <c r="C159" s="61" t="str">
        <f>INDEX('[1]INPUT_ASSUMPTIONS CALC'!D:D,MATCH(A159,'[1]INPUT_ASSUMPTIONS CALC'!A:A,0))</f>
        <v/>
      </c>
      <c r="D159" s="61" t="str">
        <f>INDEX('[1]INPUT_ASSUMPTIONS CALC'!I:I,MATCH(A159,'[1]INPUT_ASSUMPTIONS CALC'!A:A,0))</f>
        <v/>
      </c>
      <c r="E159" s="61" t="str">
        <f>INDEX('[1]INPUT_ASSUMPTIONS CALC'!E:E,MATCH(A159,'[1]INPUT_ASSUMPTIONS CALC'!A:A,0))</f>
        <v/>
      </c>
      <c r="F159" s="136">
        <f>IF($F$5="Q1",VLOOKUP($A159,'[1]INPUT_ASSUMPTIONS CALC'!$A$13:$CK$1019,F$7,FALSE),IF($F$5="Q2",VLOOKUP($A159,'[1]INPUT_ASSUMPTIONS CALC'!$A$13:$CK$1019,F$7,FALSE),IF($F$5="Q3",VLOOKUP($A159,'[1]INPUT_ASSUMPTIONS CALC'!$A$13:$CK$1019,F$7,FALSE),IF($F$5="Q4",VLOOKUP($A159,'[1]INPUT_ASSUMPTIONS CALC'!$A$13:$CK$1019,F$7,FALSE),IF($F$5="Year",VLOOKUP($A159,'[1]INPUT_ASSUMPTIONS CALC'!$A$13:$CK$1019,F$7,FALSE),0)))))</f>
        <v>0</v>
      </c>
      <c r="G159" s="137">
        <f>SUMIF('[1]INPUT_ASSUMPTIONS CALC'!A:A,'[1]Summary calculation'!A159,'[1]INPUT_ASSUMPTIONS CALC'!BU:BU)</f>
        <v>0</v>
      </c>
      <c r="H159" s="138">
        <f>IF($F$5="Year",F159*G159*'[1]INPUT_ASSUMPTIONS CALC'!$S$7,F159*G159)</f>
        <v>0</v>
      </c>
      <c r="I159" s="138">
        <f>H159*VLOOKUP($A159,'[1]INPUT_ASSUMPTIONS CALC'!$A$13:$CK$1019,H$6,FALSE)*SUMIF('[1]INPUT_ASSUMPTIONS CALC'!$CL$15:$CL$17,'[1]Summary calculation'!E159,'[1]INPUT_ASSUMPTIONS CALC'!$CM$15:$CM$17)</f>
        <v>0</v>
      </c>
      <c r="J159" s="139">
        <f>$I159*VLOOKUP($A159,'[1]INPUT_ASSUMPTIONS CALC'!$A$13:$CK$1019,I$6,FALSE)*VLOOKUP($A159,'[1]INPUT_ASSUMPTIONS CALC'!$A$13:$CK$1019,J$7,FALSE)</f>
        <v>0</v>
      </c>
      <c r="K159" s="139">
        <f>$I159*VLOOKUP($A159,'[1]INPUT_ASSUMPTIONS CALC'!$A$13:$CK$1019,I$6,FALSE)*VLOOKUP($A159,'[1]INPUT_ASSUMPTIONS CALC'!$A$13:$CK$1019,K$7,FALSE)</f>
        <v>0</v>
      </c>
      <c r="L159" s="139">
        <f>$I159*VLOOKUP($A159,'[1]INPUT_ASSUMPTIONS CALC'!$A$13:$CK$1019,I$6,FALSE)*VLOOKUP($A159,'[1]INPUT_ASSUMPTIONS CALC'!$A$13:$CK$1019,L$7,FALSE)</f>
        <v>0</v>
      </c>
      <c r="M159" s="139">
        <f>$I159*VLOOKUP($A159,'[1]INPUT_ASSUMPTIONS CALC'!$A$13:$CK$1019,I$6,FALSE)*VLOOKUP($A159,'[1]INPUT_ASSUMPTIONS CALC'!$A$13:$CK$1019,M$7,FALSE)</f>
        <v>0</v>
      </c>
      <c r="N159" s="140">
        <f t="shared" si="11"/>
        <v>0</v>
      </c>
      <c r="O159" s="141">
        <f>H159*VLOOKUP($A159,'[1]INPUT_ASSUMPTIONS CALC'!$A$13:$CK$1019,H$6,FALSE)*SUMIF('[1]INPUT_ASSUMPTIONS CALC'!$CQ$15:$CQ$17,'[1]Summary calculation'!E159,'[1]INPUT_ASSUMPTIONS CALC'!$CR$15:$CR$17)</f>
        <v>0</v>
      </c>
      <c r="P159" s="141">
        <f>H159*VLOOKUP($A159,'[1]INPUT_ASSUMPTIONS CALC'!$A$13:$CK$1019,H$6,FALSE)*SUMIF('[1]INPUT_ASSUMPTIONS CALC'!$CV$15:$CV$31,'[1]Summary calculation'!E159,'[1]INPUT_ASSUMPTIONS CALC'!$CW$15:$CW$31)</f>
        <v>0</v>
      </c>
      <c r="Q159" s="141">
        <f>O159*VLOOKUP($A159,'[1]INPUT_ASSUMPTIONS CALC'!$A$13:$CK$1019,Q$7,FALSE)</f>
        <v>0</v>
      </c>
      <c r="R159" s="141">
        <f>P159*VLOOKUP($A159,'[1]INPUT_ASSUMPTIONS CALC'!$A$13:$CK$1019,R$7,FALSE)</f>
        <v>0</v>
      </c>
      <c r="S159" s="140">
        <f t="shared" si="9"/>
        <v>0</v>
      </c>
      <c r="T159" s="142">
        <f t="shared" si="10"/>
        <v>0</v>
      </c>
      <c r="U159" s="61"/>
    </row>
    <row r="160" spans="1:21" x14ac:dyDescent="0.35">
      <c r="A160" s="125" t="str">
        <f t="shared" si="8"/>
        <v>152Q2</v>
      </c>
      <c r="B160" s="135">
        <v>152</v>
      </c>
      <c r="C160" s="61" t="str">
        <f>INDEX('[1]INPUT_ASSUMPTIONS CALC'!D:D,MATCH(A160,'[1]INPUT_ASSUMPTIONS CALC'!A:A,0))</f>
        <v/>
      </c>
      <c r="D160" s="61" t="str">
        <f>INDEX('[1]INPUT_ASSUMPTIONS CALC'!I:I,MATCH(A160,'[1]INPUT_ASSUMPTIONS CALC'!A:A,0))</f>
        <v/>
      </c>
      <c r="E160" s="61" t="str">
        <f>INDEX('[1]INPUT_ASSUMPTIONS CALC'!E:E,MATCH(A160,'[1]INPUT_ASSUMPTIONS CALC'!A:A,0))</f>
        <v/>
      </c>
      <c r="F160" s="136">
        <f>IF($F$5="Q1",VLOOKUP($A160,'[1]INPUT_ASSUMPTIONS CALC'!$A$13:$CK$1019,F$7,FALSE),IF($F$5="Q2",VLOOKUP($A160,'[1]INPUT_ASSUMPTIONS CALC'!$A$13:$CK$1019,F$7,FALSE),IF($F$5="Q3",VLOOKUP($A160,'[1]INPUT_ASSUMPTIONS CALC'!$A$13:$CK$1019,F$7,FALSE),IF($F$5="Q4",VLOOKUP($A160,'[1]INPUT_ASSUMPTIONS CALC'!$A$13:$CK$1019,F$7,FALSE),IF($F$5="Year",VLOOKUP($A160,'[1]INPUT_ASSUMPTIONS CALC'!$A$13:$CK$1019,F$7,FALSE),0)))))</f>
        <v>0</v>
      </c>
      <c r="G160" s="137">
        <f>SUMIF('[1]INPUT_ASSUMPTIONS CALC'!A:A,'[1]Summary calculation'!A160,'[1]INPUT_ASSUMPTIONS CALC'!BU:BU)</f>
        <v>0</v>
      </c>
      <c r="H160" s="138">
        <f>IF($F$5="Year",F160*G160*'[1]INPUT_ASSUMPTIONS CALC'!$S$7,F160*G160)</f>
        <v>0</v>
      </c>
      <c r="I160" s="138">
        <f>H160*VLOOKUP($A160,'[1]INPUT_ASSUMPTIONS CALC'!$A$13:$CK$1019,H$6,FALSE)*SUMIF('[1]INPUT_ASSUMPTIONS CALC'!$CL$15:$CL$17,'[1]Summary calculation'!E160,'[1]INPUT_ASSUMPTIONS CALC'!$CM$15:$CM$17)</f>
        <v>0</v>
      </c>
      <c r="J160" s="139">
        <f>$I160*VLOOKUP($A160,'[1]INPUT_ASSUMPTIONS CALC'!$A$13:$CK$1019,I$6,FALSE)*VLOOKUP($A160,'[1]INPUT_ASSUMPTIONS CALC'!$A$13:$CK$1019,J$7,FALSE)</f>
        <v>0</v>
      </c>
      <c r="K160" s="139">
        <f>$I160*VLOOKUP($A160,'[1]INPUT_ASSUMPTIONS CALC'!$A$13:$CK$1019,I$6,FALSE)*VLOOKUP($A160,'[1]INPUT_ASSUMPTIONS CALC'!$A$13:$CK$1019,K$7,FALSE)</f>
        <v>0</v>
      </c>
      <c r="L160" s="139">
        <f>$I160*VLOOKUP($A160,'[1]INPUT_ASSUMPTIONS CALC'!$A$13:$CK$1019,I$6,FALSE)*VLOOKUP($A160,'[1]INPUT_ASSUMPTIONS CALC'!$A$13:$CK$1019,L$7,FALSE)</f>
        <v>0</v>
      </c>
      <c r="M160" s="139">
        <f>$I160*VLOOKUP($A160,'[1]INPUT_ASSUMPTIONS CALC'!$A$13:$CK$1019,I$6,FALSE)*VLOOKUP($A160,'[1]INPUT_ASSUMPTIONS CALC'!$A$13:$CK$1019,M$7,FALSE)</f>
        <v>0</v>
      </c>
      <c r="N160" s="140">
        <f t="shared" si="11"/>
        <v>0</v>
      </c>
      <c r="O160" s="141">
        <f>H160*VLOOKUP($A160,'[1]INPUT_ASSUMPTIONS CALC'!$A$13:$CK$1019,H$6,FALSE)*SUMIF('[1]INPUT_ASSUMPTIONS CALC'!$CQ$15:$CQ$17,'[1]Summary calculation'!E160,'[1]INPUT_ASSUMPTIONS CALC'!$CR$15:$CR$17)</f>
        <v>0</v>
      </c>
      <c r="P160" s="141">
        <f>H160*VLOOKUP($A160,'[1]INPUT_ASSUMPTIONS CALC'!$A$13:$CK$1019,H$6,FALSE)*SUMIF('[1]INPUT_ASSUMPTIONS CALC'!$CV$15:$CV$31,'[1]Summary calculation'!E160,'[1]INPUT_ASSUMPTIONS CALC'!$CW$15:$CW$31)</f>
        <v>0</v>
      </c>
      <c r="Q160" s="141">
        <f>O160*VLOOKUP($A160,'[1]INPUT_ASSUMPTIONS CALC'!$A$13:$CK$1019,Q$7,FALSE)</f>
        <v>0</v>
      </c>
      <c r="R160" s="141">
        <f>P160*VLOOKUP($A160,'[1]INPUT_ASSUMPTIONS CALC'!$A$13:$CK$1019,R$7,FALSE)</f>
        <v>0</v>
      </c>
      <c r="S160" s="140">
        <f t="shared" si="9"/>
        <v>0</v>
      </c>
      <c r="T160" s="142">
        <f t="shared" si="10"/>
        <v>0</v>
      </c>
      <c r="U160" s="61"/>
    </row>
    <row r="161" spans="1:21" x14ac:dyDescent="0.35">
      <c r="A161" s="125" t="str">
        <f t="shared" si="8"/>
        <v>153Q2</v>
      </c>
      <c r="B161" s="135">
        <v>153</v>
      </c>
      <c r="C161" s="61" t="str">
        <f>INDEX('[1]INPUT_ASSUMPTIONS CALC'!D:D,MATCH(A161,'[1]INPUT_ASSUMPTIONS CALC'!A:A,0))</f>
        <v/>
      </c>
      <c r="D161" s="61" t="str">
        <f>INDEX('[1]INPUT_ASSUMPTIONS CALC'!I:I,MATCH(A161,'[1]INPUT_ASSUMPTIONS CALC'!A:A,0))</f>
        <v/>
      </c>
      <c r="E161" s="61" t="str">
        <f>INDEX('[1]INPUT_ASSUMPTIONS CALC'!E:E,MATCH(A161,'[1]INPUT_ASSUMPTIONS CALC'!A:A,0))</f>
        <v/>
      </c>
      <c r="F161" s="136">
        <f>IF($F$5="Q1",VLOOKUP($A161,'[1]INPUT_ASSUMPTIONS CALC'!$A$13:$CK$1019,F$7,FALSE),IF($F$5="Q2",VLOOKUP($A161,'[1]INPUT_ASSUMPTIONS CALC'!$A$13:$CK$1019,F$7,FALSE),IF($F$5="Q3",VLOOKUP($A161,'[1]INPUT_ASSUMPTIONS CALC'!$A$13:$CK$1019,F$7,FALSE),IF($F$5="Q4",VLOOKUP($A161,'[1]INPUT_ASSUMPTIONS CALC'!$A$13:$CK$1019,F$7,FALSE),IF($F$5="Year",VLOOKUP($A161,'[1]INPUT_ASSUMPTIONS CALC'!$A$13:$CK$1019,F$7,FALSE),0)))))</f>
        <v>0</v>
      </c>
      <c r="G161" s="137">
        <f>SUMIF('[1]INPUT_ASSUMPTIONS CALC'!A:A,'[1]Summary calculation'!A161,'[1]INPUT_ASSUMPTIONS CALC'!BU:BU)</f>
        <v>0</v>
      </c>
      <c r="H161" s="138">
        <f>IF($F$5="Year",F161*G161*'[1]INPUT_ASSUMPTIONS CALC'!$S$7,F161*G161)</f>
        <v>0</v>
      </c>
      <c r="I161" s="138">
        <f>H161*VLOOKUP($A161,'[1]INPUT_ASSUMPTIONS CALC'!$A$13:$CK$1019,H$6,FALSE)*SUMIF('[1]INPUT_ASSUMPTIONS CALC'!$CL$15:$CL$17,'[1]Summary calculation'!E161,'[1]INPUT_ASSUMPTIONS CALC'!$CM$15:$CM$17)</f>
        <v>0</v>
      </c>
      <c r="J161" s="139">
        <f>$I161*VLOOKUP($A161,'[1]INPUT_ASSUMPTIONS CALC'!$A$13:$CK$1019,I$6,FALSE)*VLOOKUP($A161,'[1]INPUT_ASSUMPTIONS CALC'!$A$13:$CK$1019,J$7,FALSE)</f>
        <v>0</v>
      </c>
      <c r="K161" s="139">
        <f>$I161*VLOOKUP($A161,'[1]INPUT_ASSUMPTIONS CALC'!$A$13:$CK$1019,I$6,FALSE)*VLOOKUP($A161,'[1]INPUT_ASSUMPTIONS CALC'!$A$13:$CK$1019,K$7,FALSE)</f>
        <v>0</v>
      </c>
      <c r="L161" s="139">
        <f>$I161*VLOOKUP($A161,'[1]INPUT_ASSUMPTIONS CALC'!$A$13:$CK$1019,I$6,FALSE)*VLOOKUP($A161,'[1]INPUT_ASSUMPTIONS CALC'!$A$13:$CK$1019,L$7,FALSE)</f>
        <v>0</v>
      </c>
      <c r="M161" s="139">
        <f>$I161*VLOOKUP($A161,'[1]INPUT_ASSUMPTIONS CALC'!$A$13:$CK$1019,I$6,FALSE)*VLOOKUP($A161,'[1]INPUT_ASSUMPTIONS CALC'!$A$13:$CK$1019,M$7,FALSE)</f>
        <v>0</v>
      </c>
      <c r="N161" s="140">
        <f t="shared" si="11"/>
        <v>0</v>
      </c>
      <c r="O161" s="141">
        <f>H161*VLOOKUP($A161,'[1]INPUT_ASSUMPTIONS CALC'!$A$13:$CK$1019,H$6,FALSE)*SUMIF('[1]INPUT_ASSUMPTIONS CALC'!$CQ$15:$CQ$17,'[1]Summary calculation'!E161,'[1]INPUT_ASSUMPTIONS CALC'!$CR$15:$CR$17)</f>
        <v>0</v>
      </c>
      <c r="P161" s="141">
        <f>H161*VLOOKUP($A161,'[1]INPUT_ASSUMPTIONS CALC'!$A$13:$CK$1019,H$6,FALSE)*SUMIF('[1]INPUT_ASSUMPTIONS CALC'!$CV$15:$CV$31,'[1]Summary calculation'!E161,'[1]INPUT_ASSUMPTIONS CALC'!$CW$15:$CW$31)</f>
        <v>0</v>
      </c>
      <c r="Q161" s="141">
        <f>O161*VLOOKUP($A161,'[1]INPUT_ASSUMPTIONS CALC'!$A$13:$CK$1019,Q$7,FALSE)</f>
        <v>0</v>
      </c>
      <c r="R161" s="141">
        <f>P161*VLOOKUP($A161,'[1]INPUT_ASSUMPTIONS CALC'!$A$13:$CK$1019,R$7,FALSE)</f>
        <v>0</v>
      </c>
      <c r="S161" s="140">
        <f t="shared" si="9"/>
        <v>0</v>
      </c>
      <c r="T161" s="142">
        <f t="shared" si="10"/>
        <v>0</v>
      </c>
      <c r="U161" s="61"/>
    </row>
    <row r="162" spans="1:21" x14ac:dyDescent="0.35">
      <c r="A162" s="125" t="str">
        <f t="shared" si="8"/>
        <v>154Q2</v>
      </c>
      <c r="B162" s="135">
        <v>154</v>
      </c>
      <c r="C162" s="61" t="str">
        <f>INDEX('[1]INPUT_ASSUMPTIONS CALC'!D:D,MATCH(A162,'[1]INPUT_ASSUMPTIONS CALC'!A:A,0))</f>
        <v/>
      </c>
      <c r="D162" s="61" t="str">
        <f>INDEX('[1]INPUT_ASSUMPTIONS CALC'!I:I,MATCH(A162,'[1]INPUT_ASSUMPTIONS CALC'!A:A,0))</f>
        <v/>
      </c>
      <c r="E162" s="61" t="str">
        <f>INDEX('[1]INPUT_ASSUMPTIONS CALC'!E:E,MATCH(A162,'[1]INPUT_ASSUMPTIONS CALC'!A:A,0))</f>
        <v/>
      </c>
      <c r="F162" s="136">
        <f>IF($F$5="Q1",VLOOKUP($A162,'[1]INPUT_ASSUMPTIONS CALC'!$A$13:$CK$1019,F$7,FALSE),IF($F$5="Q2",VLOOKUP($A162,'[1]INPUT_ASSUMPTIONS CALC'!$A$13:$CK$1019,F$7,FALSE),IF($F$5="Q3",VLOOKUP($A162,'[1]INPUT_ASSUMPTIONS CALC'!$A$13:$CK$1019,F$7,FALSE),IF($F$5="Q4",VLOOKUP($A162,'[1]INPUT_ASSUMPTIONS CALC'!$A$13:$CK$1019,F$7,FALSE),IF($F$5="Year",VLOOKUP($A162,'[1]INPUT_ASSUMPTIONS CALC'!$A$13:$CK$1019,F$7,FALSE),0)))))</f>
        <v>0</v>
      </c>
      <c r="G162" s="137">
        <f>SUMIF('[1]INPUT_ASSUMPTIONS CALC'!A:A,'[1]Summary calculation'!A162,'[1]INPUT_ASSUMPTIONS CALC'!BU:BU)</f>
        <v>0</v>
      </c>
      <c r="H162" s="138">
        <f>IF($F$5="Year",F162*G162*'[1]INPUT_ASSUMPTIONS CALC'!$S$7,F162*G162)</f>
        <v>0</v>
      </c>
      <c r="I162" s="138">
        <f>H162*VLOOKUP($A162,'[1]INPUT_ASSUMPTIONS CALC'!$A$13:$CK$1019,H$6,FALSE)*SUMIF('[1]INPUT_ASSUMPTIONS CALC'!$CL$15:$CL$17,'[1]Summary calculation'!E162,'[1]INPUT_ASSUMPTIONS CALC'!$CM$15:$CM$17)</f>
        <v>0</v>
      </c>
      <c r="J162" s="139">
        <f>$I162*VLOOKUP($A162,'[1]INPUT_ASSUMPTIONS CALC'!$A$13:$CK$1019,I$6,FALSE)*VLOOKUP($A162,'[1]INPUT_ASSUMPTIONS CALC'!$A$13:$CK$1019,J$7,FALSE)</f>
        <v>0</v>
      </c>
      <c r="K162" s="139">
        <f>$I162*VLOOKUP($A162,'[1]INPUT_ASSUMPTIONS CALC'!$A$13:$CK$1019,I$6,FALSE)*VLOOKUP($A162,'[1]INPUT_ASSUMPTIONS CALC'!$A$13:$CK$1019,K$7,FALSE)</f>
        <v>0</v>
      </c>
      <c r="L162" s="139">
        <f>$I162*VLOOKUP($A162,'[1]INPUT_ASSUMPTIONS CALC'!$A$13:$CK$1019,I$6,FALSE)*VLOOKUP($A162,'[1]INPUT_ASSUMPTIONS CALC'!$A$13:$CK$1019,L$7,FALSE)</f>
        <v>0</v>
      </c>
      <c r="M162" s="139">
        <f>$I162*VLOOKUP($A162,'[1]INPUT_ASSUMPTIONS CALC'!$A$13:$CK$1019,I$6,FALSE)*VLOOKUP($A162,'[1]INPUT_ASSUMPTIONS CALC'!$A$13:$CK$1019,M$7,FALSE)</f>
        <v>0</v>
      </c>
      <c r="N162" s="140">
        <f t="shared" si="11"/>
        <v>0</v>
      </c>
      <c r="O162" s="141">
        <f>H162*VLOOKUP($A162,'[1]INPUT_ASSUMPTIONS CALC'!$A$13:$CK$1019,H$6,FALSE)*SUMIF('[1]INPUT_ASSUMPTIONS CALC'!$CQ$15:$CQ$17,'[1]Summary calculation'!E162,'[1]INPUT_ASSUMPTIONS CALC'!$CR$15:$CR$17)</f>
        <v>0</v>
      </c>
      <c r="P162" s="141">
        <f>H162*VLOOKUP($A162,'[1]INPUT_ASSUMPTIONS CALC'!$A$13:$CK$1019,H$6,FALSE)*SUMIF('[1]INPUT_ASSUMPTIONS CALC'!$CV$15:$CV$31,'[1]Summary calculation'!E162,'[1]INPUT_ASSUMPTIONS CALC'!$CW$15:$CW$31)</f>
        <v>0</v>
      </c>
      <c r="Q162" s="141">
        <f>O162*VLOOKUP($A162,'[1]INPUT_ASSUMPTIONS CALC'!$A$13:$CK$1019,Q$7,FALSE)</f>
        <v>0</v>
      </c>
      <c r="R162" s="141">
        <f>P162*VLOOKUP($A162,'[1]INPUT_ASSUMPTIONS CALC'!$A$13:$CK$1019,R$7,FALSE)</f>
        <v>0</v>
      </c>
      <c r="S162" s="140">
        <f t="shared" si="9"/>
        <v>0</v>
      </c>
      <c r="T162" s="142">
        <f t="shared" si="10"/>
        <v>0</v>
      </c>
      <c r="U162" s="61"/>
    </row>
    <row r="163" spans="1:21" x14ac:dyDescent="0.35">
      <c r="A163" s="125" t="str">
        <f t="shared" si="8"/>
        <v>155Q2</v>
      </c>
      <c r="B163" s="135">
        <v>155</v>
      </c>
      <c r="C163" s="61" t="str">
        <f>INDEX('[1]INPUT_ASSUMPTIONS CALC'!D:D,MATCH(A163,'[1]INPUT_ASSUMPTIONS CALC'!A:A,0))</f>
        <v/>
      </c>
      <c r="D163" s="61" t="str">
        <f>INDEX('[1]INPUT_ASSUMPTIONS CALC'!I:I,MATCH(A163,'[1]INPUT_ASSUMPTIONS CALC'!A:A,0))</f>
        <v/>
      </c>
      <c r="E163" s="61" t="str">
        <f>INDEX('[1]INPUT_ASSUMPTIONS CALC'!E:E,MATCH(A163,'[1]INPUT_ASSUMPTIONS CALC'!A:A,0))</f>
        <v/>
      </c>
      <c r="F163" s="136">
        <f>IF($F$5="Q1",VLOOKUP($A163,'[1]INPUT_ASSUMPTIONS CALC'!$A$13:$CK$1019,F$7,FALSE),IF($F$5="Q2",VLOOKUP($A163,'[1]INPUT_ASSUMPTIONS CALC'!$A$13:$CK$1019,F$7,FALSE),IF($F$5="Q3",VLOOKUP($A163,'[1]INPUT_ASSUMPTIONS CALC'!$A$13:$CK$1019,F$7,FALSE),IF($F$5="Q4",VLOOKUP($A163,'[1]INPUT_ASSUMPTIONS CALC'!$A$13:$CK$1019,F$7,FALSE),IF($F$5="Year",VLOOKUP($A163,'[1]INPUT_ASSUMPTIONS CALC'!$A$13:$CK$1019,F$7,FALSE),0)))))</f>
        <v>0</v>
      </c>
      <c r="G163" s="137">
        <f>SUMIF('[1]INPUT_ASSUMPTIONS CALC'!A:A,'[1]Summary calculation'!A163,'[1]INPUT_ASSUMPTIONS CALC'!BU:BU)</f>
        <v>0</v>
      </c>
      <c r="H163" s="138">
        <f>IF($F$5="Year",F163*G163*'[1]INPUT_ASSUMPTIONS CALC'!$S$7,F163*G163)</f>
        <v>0</v>
      </c>
      <c r="I163" s="138">
        <f>H163*VLOOKUP($A163,'[1]INPUT_ASSUMPTIONS CALC'!$A$13:$CK$1019,H$6,FALSE)*SUMIF('[1]INPUT_ASSUMPTIONS CALC'!$CL$15:$CL$17,'[1]Summary calculation'!E163,'[1]INPUT_ASSUMPTIONS CALC'!$CM$15:$CM$17)</f>
        <v>0</v>
      </c>
      <c r="J163" s="139">
        <f>$I163*VLOOKUP($A163,'[1]INPUT_ASSUMPTIONS CALC'!$A$13:$CK$1019,I$6,FALSE)*VLOOKUP($A163,'[1]INPUT_ASSUMPTIONS CALC'!$A$13:$CK$1019,J$7,FALSE)</f>
        <v>0</v>
      </c>
      <c r="K163" s="139">
        <f>$I163*VLOOKUP($A163,'[1]INPUT_ASSUMPTIONS CALC'!$A$13:$CK$1019,I$6,FALSE)*VLOOKUP($A163,'[1]INPUT_ASSUMPTIONS CALC'!$A$13:$CK$1019,K$7,FALSE)</f>
        <v>0</v>
      </c>
      <c r="L163" s="139">
        <f>$I163*VLOOKUP($A163,'[1]INPUT_ASSUMPTIONS CALC'!$A$13:$CK$1019,I$6,FALSE)*VLOOKUP($A163,'[1]INPUT_ASSUMPTIONS CALC'!$A$13:$CK$1019,L$7,FALSE)</f>
        <v>0</v>
      </c>
      <c r="M163" s="139">
        <f>$I163*VLOOKUP($A163,'[1]INPUT_ASSUMPTIONS CALC'!$A$13:$CK$1019,I$6,FALSE)*VLOOKUP($A163,'[1]INPUT_ASSUMPTIONS CALC'!$A$13:$CK$1019,M$7,FALSE)</f>
        <v>0</v>
      </c>
      <c r="N163" s="140">
        <f t="shared" si="11"/>
        <v>0</v>
      </c>
      <c r="O163" s="141">
        <f>H163*VLOOKUP($A163,'[1]INPUT_ASSUMPTIONS CALC'!$A$13:$CK$1019,H$6,FALSE)*SUMIF('[1]INPUT_ASSUMPTIONS CALC'!$CQ$15:$CQ$17,'[1]Summary calculation'!E163,'[1]INPUT_ASSUMPTIONS CALC'!$CR$15:$CR$17)</f>
        <v>0</v>
      </c>
      <c r="P163" s="141">
        <f>H163*VLOOKUP($A163,'[1]INPUT_ASSUMPTIONS CALC'!$A$13:$CK$1019,H$6,FALSE)*SUMIF('[1]INPUT_ASSUMPTIONS CALC'!$CV$15:$CV$31,'[1]Summary calculation'!E163,'[1]INPUT_ASSUMPTIONS CALC'!$CW$15:$CW$31)</f>
        <v>0</v>
      </c>
      <c r="Q163" s="141">
        <f>O163*VLOOKUP($A163,'[1]INPUT_ASSUMPTIONS CALC'!$A$13:$CK$1019,Q$7,FALSE)</f>
        <v>0</v>
      </c>
      <c r="R163" s="141">
        <f>P163*VLOOKUP($A163,'[1]INPUT_ASSUMPTIONS CALC'!$A$13:$CK$1019,R$7,FALSE)</f>
        <v>0</v>
      </c>
      <c r="S163" s="140">
        <f t="shared" si="9"/>
        <v>0</v>
      </c>
      <c r="T163" s="142">
        <f t="shared" si="10"/>
        <v>0</v>
      </c>
      <c r="U163" s="61"/>
    </row>
    <row r="164" spans="1:21" x14ac:dyDescent="0.35">
      <c r="A164" s="125" t="str">
        <f t="shared" si="8"/>
        <v>156Q2</v>
      </c>
      <c r="B164" s="135">
        <v>156</v>
      </c>
      <c r="C164" s="61" t="str">
        <f>INDEX('[1]INPUT_ASSUMPTIONS CALC'!D:D,MATCH(A164,'[1]INPUT_ASSUMPTIONS CALC'!A:A,0))</f>
        <v/>
      </c>
      <c r="D164" s="61" t="str">
        <f>INDEX('[1]INPUT_ASSUMPTIONS CALC'!I:I,MATCH(A164,'[1]INPUT_ASSUMPTIONS CALC'!A:A,0))</f>
        <v/>
      </c>
      <c r="E164" s="61" t="str">
        <f>INDEX('[1]INPUT_ASSUMPTIONS CALC'!E:E,MATCH(A164,'[1]INPUT_ASSUMPTIONS CALC'!A:A,0))</f>
        <v/>
      </c>
      <c r="F164" s="136">
        <f>IF($F$5="Q1",VLOOKUP($A164,'[1]INPUT_ASSUMPTIONS CALC'!$A$13:$CK$1019,F$7,FALSE),IF($F$5="Q2",VLOOKUP($A164,'[1]INPUT_ASSUMPTIONS CALC'!$A$13:$CK$1019,F$7,FALSE),IF($F$5="Q3",VLOOKUP($A164,'[1]INPUT_ASSUMPTIONS CALC'!$A$13:$CK$1019,F$7,FALSE),IF($F$5="Q4",VLOOKUP($A164,'[1]INPUT_ASSUMPTIONS CALC'!$A$13:$CK$1019,F$7,FALSE),IF($F$5="Year",VLOOKUP($A164,'[1]INPUT_ASSUMPTIONS CALC'!$A$13:$CK$1019,F$7,FALSE),0)))))</f>
        <v>0</v>
      </c>
      <c r="G164" s="137">
        <f>SUMIF('[1]INPUT_ASSUMPTIONS CALC'!A:A,'[1]Summary calculation'!A164,'[1]INPUT_ASSUMPTIONS CALC'!BU:BU)</f>
        <v>0</v>
      </c>
      <c r="H164" s="138">
        <f>IF($F$5="Year",F164*G164*'[1]INPUT_ASSUMPTIONS CALC'!$S$7,F164*G164)</f>
        <v>0</v>
      </c>
      <c r="I164" s="138">
        <f>H164*VLOOKUP($A164,'[1]INPUT_ASSUMPTIONS CALC'!$A$13:$CK$1019,H$6,FALSE)*SUMIF('[1]INPUT_ASSUMPTIONS CALC'!$CL$15:$CL$17,'[1]Summary calculation'!E164,'[1]INPUT_ASSUMPTIONS CALC'!$CM$15:$CM$17)</f>
        <v>0</v>
      </c>
      <c r="J164" s="139">
        <f>$I164*VLOOKUP($A164,'[1]INPUT_ASSUMPTIONS CALC'!$A$13:$CK$1019,I$6,FALSE)*VLOOKUP($A164,'[1]INPUT_ASSUMPTIONS CALC'!$A$13:$CK$1019,J$7,FALSE)</f>
        <v>0</v>
      </c>
      <c r="K164" s="139">
        <f>$I164*VLOOKUP($A164,'[1]INPUT_ASSUMPTIONS CALC'!$A$13:$CK$1019,I$6,FALSE)*VLOOKUP($A164,'[1]INPUT_ASSUMPTIONS CALC'!$A$13:$CK$1019,K$7,FALSE)</f>
        <v>0</v>
      </c>
      <c r="L164" s="139">
        <f>$I164*VLOOKUP($A164,'[1]INPUT_ASSUMPTIONS CALC'!$A$13:$CK$1019,I$6,FALSE)*VLOOKUP($A164,'[1]INPUT_ASSUMPTIONS CALC'!$A$13:$CK$1019,L$7,FALSE)</f>
        <v>0</v>
      </c>
      <c r="M164" s="139">
        <f>$I164*VLOOKUP($A164,'[1]INPUT_ASSUMPTIONS CALC'!$A$13:$CK$1019,I$6,FALSE)*VLOOKUP($A164,'[1]INPUT_ASSUMPTIONS CALC'!$A$13:$CK$1019,M$7,FALSE)</f>
        <v>0</v>
      </c>
      <c r="N164" s="140">
        <f t="shared" si="11"/>
        <v>0</v>
      </c>
      <c r="O164" s="141">
        <f>H164*VLOOKUP($A164,'[1]INPUT_ASSUMPTIONS CALC'!$A$13:$CK$1019,H$6,FALSE)*SUMIF('[1]INPUT_ASSUMPTIONS CALC'!$CQ$15:$CQ$17,'[1]Summary calculation'!E164,'[1]INPUT_ASSUMPTIONS CALC'!$CR$15:$CR$17)</f>
        <v>0</v>
      </c>
      <c r="P164" s="141">
        <f>H164*VLOOKUP($A164,'[1]INPUT_ASSUMPTIONS CALC'!$A$13:$CK$1019,H$6,FALSE)*SUMIF('[1]INPUT_ASSUMPTIONS CALC'!$CV$15:$CV$31,'[1]Summary calculation'!E164,'[1]INPUT_ASSUMPTIONS CALC'!$CW$15:$CW$31)</f>
        <v>0</v>
      </c>
      <c r="Q164" s="141">
        <f>O164*VLOOKUP($A164,'[1]INPUT_ASSUMPTIONS CALC'!$A$13:$CK$1019,Q$7,FALSE)</f>
        <v>0</v>
      </c>
      <c r="R164" s="141">
        <f>P164*VLOOKUP($A164,'[1]INPUT_ASSUMPTIONS CALC'!$A$13:$CK$1019,R$7,FALSE)</f>
        <v>0</v>
      </c>
      <c r="S164" s="140">
        <f t="shared" si="9"/>
        <v>0</v>
      </c>
      <c r="T164" s="142">
        <f t="shared" si="10"/>
        <v>0</v>
      </c>
      <c r="U164" s="61"/>
    </row>
    <row r="165" spans="1:21" x14ac:dyDescent="0.35">
      <c r="A165" s="125" t="str">
        <f t="shared" si="8"/>
        <v>157Q2</v>
      </c>
      <c r="B165" s="135">
        <v>157</v>
      </c>
      <c r="C165" s="61" t="str">
        <f>INDEX('[1]INPUT_ASSUMPTIONS CALC'!D:D,MATCH(A165,'[1]INPUT_ASSUMPTIONS CALC'!A:A,0))</f>
        <v/>
      </c>
      <c r="D165" s="61" t="str">
        <f>INDEX('[1]INPUT_ASSUMPTIONS CALC'!I:I,MATCH(A165,'[1]INPUT_ASSUMPTIONS CALC'!A:A,0))</f>
        <v/>
      </c>
      <c r="E165" s="61" t="str">
        <f>INDEX('[1]INPUT_ASSUMPTIONS CALC'!E:E,MATCH(A165,'[1]INPUT_ASSUMPTIONS CALC'!A:A,0))</f>
        <v/>
      </c>
      <c r="F165" s="136">
        <f>IF($F$5="Q1",VLOOKUP($A165,'[1]INPUT_ASSUMPTIONS CALC'!$A$13:$CK$1019,F$7,FALSE),IF($F$5="Q2",VLOOKUP($A165,'[1]INPUT_ASSUMPTIONS CALC'!$A$13:$CK$1019,F$7,FALSE),IF($F$5="Q3",VLOOKUP($A165,'[1]INPUT_ASSUMPTIONS CALC'!$A$13:$CK$1019,F$7,FALSE),IF($F$5="Q4",VLOOKUP($A165,'[1]INPUT_ASSUMPTIONS CALC'!$A$13:$CK$1019,F$7,FALSE),IF($F$5="Year",VLOOKUP($A165,'[1]INPUT_ASSUMPTIONS CALC'!$A$13:$CK$1019,F$7,FALSE),0)))))</f>
        <v>0</v>
      </c>
      <c r="G165" s="137">
        <f>SUMIF('[1]INPUT_ASSUMPTIONS CALC'!A:A,'[1]Summary calculation'!A165,'[1]INPUT_ASSUMPTIONS CALC'!BU:BU)</f>
        <v>0</v>
      </c>
      <c r="H165" s="138">
        <f>IF($F$5="Year",F165*G165*'[1]INPUT_ASSUMPTIONS CALC'!$S$7,F165*G165)</f>
        <v>0</v>
      </c>
      <c r="I165" s="138">
        <f>H165*VLOOKUP($A165,'[1]INPUT_ASSUMPTIONS CALC'!$A$13:$CK$1019,H$6,FALSE)*SUMIF('[1]INPUT_ASSUMPTIONS CALC'!$CL$15:$CL$17,'[1]Summary calculation'!E165,'[1]INPUT_ASSUMPTIONS CALC'!$CM$15:$CM$17)</f>
        <v>0</v>
      </c>
      <c r="J165" s="139">
        <f>$I165*VLOOKUP($A165,'[1]INPUT_ASSUMPTIONS CALC'!$A$13:$CK$1019,I$6,FALSE)*VLOOKUP($A165,'[1]INPUT_ASSUMPTIONS CALC'!$A$13:$CK$1019,J$7,FALSE)</f>
        <v>0</v>
      </c>
      <c r="K165" s="139">
        <f>$I165*VLOOKUP($A165,'[1]INPUT_ASSUMPTIONS CALC'!$A$13:$CK$1019,I$6,FALSE)*VLOOKUP($A165,'[1]INPUT_ASSUMPTIONS CALC'!$A$13:$CK$1019,K$7,FALSE)</f>
        <v>0</v>
      </c>
      <c r="L165" s="139">
        <f>$I165*VLOOKUP($A165,'[1]INPUT_ASSUMPTIONS CALC'!$A$13:$CK$1019,I$6,FALSE)*VLOOKUP($A165,'[1]INPUT_ASSUMPTIONS CALC'!$A$13:$CK$1019,L$7,FALSE)</f>
        <v>0</v>
      </c>
      <c r="M165" s="139">
        <f>$I165*VLOOKUP($A165,'[1]INPUT_ASSUMPTIONS CALC'!$A$13:$CK$1019,I$6,FALSE)*VLOOKUP($A165,'[1]INPUT_ASSUMPTIONS CALC'!$A$13:$CK$1019,M$7,FALSE)</f>
        <v>0</v>
      </c>
      <c r="N165" s="140">
        <f t="shared" si="11"/>
        <v>0</v>
      </c>
      <c r="O165" s="141">
        <f>H165*VLOOKUP($A165,'[1]INPUT_ASSUMPTIONS CALC'!$A$13:$CK$1019,H$6,FALSE)*SUMIF('[1]INPUT_ASSUMPTIONS CALC'!$CQ$15:$CQ$17,'[1]Summary calculation'!E165,'[1]INPUT_ASSUMPTIONS CALC'!$CR$15:$CR$17)</f>
        <v>0</v>
      </c>
      <c r="P165" s="141">
        <f>H165*VLOOKUP($A165,'[1]INPUT_ASSUMPTIONS CALC'!$A$13:$CK$1019,H$6,FALSE)*SUMIF('[1]INPUT_ASSUMPTIONS CALC'!$CV$15:$CV$31,'[1]Summary calculation'!E165,'[1]INPUT_ASSUMPTIONS CALC'!$CW$15:$CW$31)</f>
        <v>0</v>
      </c>
      <c r="Q165" s="141">
        <f>O165*VLOOKUP($A165,'[1]INPUT_ASSUMPTIONS CALC'!$A$13:$CK$1019,Q$7,FALSE)</f>
        <v>0</v>
      </c>
      <c r="R165" s="141">
        <f>P165*VLOOKUP($A165,'[1]INPUT_ASSUMPTIONS CALC'!$A$13:$CK$1019,R$7,FALSE)</f>
        <v>0</v>
      </c>
      <c r="S165" s="140">
        <f t="shared" si="9"/>
        <v>0</v>
      </c>
      <c r="T165" s="142">
        <f t="shared" si="10"/>
        <v>0</v>
      </c>
      <c r="U165" s="61"/>
    </row>
    <row r="166" spans="1:21" x14ac:dyDescent="0.35">
      <c r="A166" s="125" t="str">
        <f t="shared" si="8"/>
        <v>158Q2</v>
      </c>
      <c r="B166" s="135">
        <v>158</v>
      </c>
      <c r="C166" s="61" t="str">
        <f>INDEX('[1]INPUT_ASSUMPTIONS CALC'!D:D,MATCH(A166,'[1]INPUT_ASSUMPTIONS CALC'!A:A,0))</f>
        <v/>
      </c>
      <c r="D166" s="61" t="str">
        <f>INDEX('[1]INPUT_ASSUMPTIONS CALC'!I:I,MATCH(A166,'[1]INPUT_ASSUMPTIONS CALC'!A:A,0))</f>
        <v/>
      </c>
      <c r="E166" s="61" t="str">
        <f>INDEX('[1]INPUT_ASSUMPTIONS CALC'!E:E,MATCH(A166,'[1]INPUT_ASSUMPTIONS CALC'!A:A,0))</f>
        <v/>
      </c>
      <c r="F166" s="136">
        <f>IF($F$5="Q1",VLOOKUP($A166,'[1]INPUT_ASSUMPTIONS CALC'!$A$13:$CK$1019,F$7,FALSE),IF($F$5="Q2",VLOOKUP($A166,'[1]INPUT_ASSUMPTIONS CALC'!$A$13:$CK$1019,F$7,FALSE),IF($F$5="Q3",VLOOKUP($A166,'[1]INPUT_ASSUMPTIONS CALC'!$A$13:$CK$1019,F$7,FALSE),IF($F$5="Q4",VLOOKUP($A166,'[1]INPUT_ASSUMPTIONS CALC'!$A$13:$CK$1019,F$7,FALSE),IF($F$5="Year",VLOOKUP($A166,'[1]INPUT_ASSUMPTIONS CALC'!$A$13:$CK$1019,F$7,FALSE),0)))))</f>
        <v>0</v>
      </c>
      <c r="G166" s="137">
        <f>SUMIF('[1]INPUT_ASSUMPTIONS CALC'!A:A,'[1]Summary calculation'!A166,'[1]INPUT_ASSUMPTIONS CALC'!BU:BU)</f>
        <v>0</v>
      </c>
      <c r="H166" s="138">
        <f>IF($F$5="Year",F166*G166*'[1]INPUT_ASSUMPTIONS CALC'!$S$7,F166*G166)</f>
        <v>0</v>
      </c>
      <c r="I166" s="138">
        <f>H166*VLOOKUP($A166,'[1]INPUT_ASSUMPTIONS CALC'!$A$13:$CK$1019,H$6,FALSE)*SUMIF('[1]INPUT_ASSUMPTIONS CALC'!$CL$15:$CL$17,'[1]Summary calculation'!E166,'[1]INPUT_ASSUMPTIONS CALC'!$CM$15:$CM$17)</f>
        <v>0</v>
      </c>
      <c r="J166" s="139">
        <f>$I166*VLOOKUP($A166,'[1]INPUT_ASSUMPTIONS CALC'!$A$13:$CK$1019,I$6,FALSE)*VLOOKUP($A166,'[1]INPUT_ASSUMPTIONS CALC'!$A$13:$CK$1019,J$7,FALSE)</f>
        <v>0</v>
      </c>
      <c r="K166" s="139">
        <f>$I166*VLOOKUP($A166,'[1]INPUT_ASSUMPTIONS CALC'!$A$13:$CK$1019,I$6,FALSE)*VLOOKUP($A166,'[1]INPUT_ASSUMPTIONS CALC'!$A$13:$CK$1019,K$7,FALSE)</f>
        <v>0</v>
      </c>
      <c r="L166" s="139">
        <f>$I166*VLOOKUP($A166,'[1]INPUT_ASSUMPTIONS CALC'!$A$13:$CK$1019,I$6,FALSE)*VLOOKUP($A166,'[1]INPUT_ASSUMPTIONS CALC'!$A$13:$CK$1019,L$7,FALSE)</f>
        <v>0</v>
      </c>
      <c r="M166" s="139">
        <f>$I166*VLOOKUP($A166,'[1]INPUT_ASSUMPTIONS CALC'!$A$13:$CK$1019,I$6,FALSE)*VLOOKUP($A166,'[1]INPUT_ASSUMPTIONS CALC'!$A$13:$CK$1019,M$7,FALSE)</f>
        <v>0</v>
      </c>
      <c r="N166" s="140">
        <f t="shared" si="11"/>
        <v>0</v>
      </c>
      <c r="O166" s="141">
        <f>H166*VLOOKUP($A166,'[1]INPUT_ASSUMPTIONS CALC'!$A$13:$CK$1019,H$6,FALSE)*SUMIF('[1]INPUT_ASSUMPTIONS CALC'!$CQ$15:$CQ$17,'[1]Summary calculation'!E166,'[1]INPUT_ASSUMPTIONS CALC'!$CR$15:$CR$17)</f>
        <v>0</v>
      </c>
      <c r="P166" s="141">
        <f>H166*VLOOKUP($A166,'[1]INPUT_ASSUMPTIONS CALC'!$A$13:$CK$1019,H$6,FALSE)*SUMIF('[1]INPUT_ASSUMPTIONS CALC'!$CV$15:$CV$31,'[1]Summary calculation'!E166,'[1]INPUT_ASSUMPTIONS CALC'!$CW$15:$CW$31)</f>
        <v>0</v>
      </c>
      <c r="Q166" s="141">
        <f>O166*VLOOKUP($A166,'[1]INPUT_ASSUMPTIONS CALC'!$A$13:$CK$1019,Q$7,FALSE)</f>
        <v>0</v>
      </c>
      <c r="R166" s="141">
        <f>P166*VLOOKUP($A166,'[1]INPUT_ASSUMPTIONS CALC'!$A$13:$CK$1019,R$7,FALSE)</f>
        <v>0</v>
      </c>
      <c r="S166" s="140">
        <f t="shared" si="9"/>
        <v>0</v>
      </c>
      <c r="T166" s="142">
        <f t="shared" si="10"/>
        <v>0</v>
      </c>
      <c r="U166" s="61"/>
    </row>
    <row r="167" spans="1:21" x14ac:dyDescent="0.35">
      <c r="A167" s="125" t="str">
        <f t="shared" si="8"/>
        <v>159Q2</v>
      </c>
      <c r="B167" s="135">
        <v>159</v>
      </c>
      <c r="C167" s="61" t="str">
        <f>INDEX('[1]INPUT_ASSUMPTIONS CALC'!D:D,MATCH(A167,'[1]INPUT_ASSUMPTIONS CALC'!A:A,0))</f>
        <v/>
      </c>
      <c r="D167" s="61" t="str">
        <f>INDEX('[1]INPUT_ASSUMPTIONS CALC'!I:I,MATCH(A167,'[1]INPUT_ASSUMPTIONS CALC'!A:A,0))</f>
        <v/>
      </c>
      <c r="E167" s="61" t="str">
        <f>INDEX('[1]INPUT_ASSUMPTIONS CALC'!E:E,MATCH(A167,'[1]INPUT_ASSUMPTIONS CALC'!A:A,0))</f>
        <v/>
      </c>
      <c r="F167" s="136">
        <f>IF($F$5="Q1",VLOOKUP($A167,'[1]INPUT_ASSUMPTIONS CALC'!$A$13:$CK$1019,F$7,FALSE),IF($F$5="Q2",VLOOKUP($A167,'[1]INPUT_ASSUMPTIONS CALC'!$A$13:$CK$1019,F$7,FALSE),IF($F$5="Q3",VLOOKUP($A167,'[1]INPUT_ASSUMPTIONS CALC'!$A$13:$CK$1019,F$7,FALSE),IF($F$5="Q4",VLOOKUP($A167,'[1]INPUT_ASSUMPTIONS CALC'!$A$13:$CK$1019,F$7,FALSE),IF($F$5="Year",VLOOKUP($A167,'[1]INPUT_ASSUMPTIONS CALC'!$A$13:$CK$1019,F$7,FALSE),0)))))</f>
        <v>0</v>
      </c>
      <c r="G167" s="137">
        <f>SUMIF('[1]INPUT_ASSUMPTIONS CALC'!A:A,'[1]Summary calculation'!A167,'[1]INPUT_ASSUMPTIONS CALC'!BU:BU)</f>
        <v>0</v>
      </c>
      <c r="H167" s="138">
        <f>IF($F$5="Year",F167*G167*'[1]INPUT_ASSUMPTIONS CALC'!$S$7,F167*G167)</f>
        <v>0</v>
      </c>
      <c r="I167" s="138">
        <f>H167*VLOOKUP($A167,'[1]INPUT_ASSUMPTIONS CALC'!$A$13:$CK$1019,H$6,FALSE)*SUMIF('[1]INPUT_ASSUMPTIONS CALC'!$CL$15:$CL$17,'[1]Summary calculation'!E167,'[1]INPUT_ASSUMPTIONS CALC'!$CM$15:$CM$17)</f>
        <v>0</v>
      </c>
      <c r="J167" s="139">
        <f>$I167*VLOOKUP($A167,'[1]INPUT_ASSUMPTIONS CALC'!$A$13:$CK$1019,I$6,FALSE)*VLOOKUP($A167,'[1]INPUT_ASSUMPTIONS CALC'!$A$13:$CK$1019,J$7,FALSE)</f>
        <v>0</v>
      </c>
      <c r="K167" s="139">
        <f>$I167*VLOOKUP($A167,'[1]INPUT_ASSUMPTIONS CALC'!$A$13:$CK$1019,I$6,FALSE)*VLOOKUP($A167,'[1]INPUT_ASSUMPTIONS CALC'!$A$13:$CK$1019,K$7,FALSE)</f>
        <v>0</v>
      </c>
      <c r="L167" s="139">
        <f>$I167*VLOOKUP($A167,'[1]INPUT_ASSUMPTIONS CALC'!$A$13:$CK$1019,I$6,FALSE)*VLOOKUP($A167,'[1]INPUT_ASSUMPTIONS CALC'!$A$13:$CK$1019,L$7,FALSE)</f>
        <v>0</v>
      </c>
      <c r="M167" s="139">
        <f>$I167*VLOOKUP($A167,'[1]INPUT_ASSUMPTIONS CALC'!$A$13:$CK$1019,I$6,FALSE)*VLOOKUP($A167,'[1]INPUT_ASSUMPTIONS CALC'!$A$13:$CK$1019,M$7,FALSE)</f>
        <v>0</v>
      </c>
      <c r="N167" s="140">
        <f t="shared" si="11"/>
        <v>0</v>
      </c>
      <c r="O167" s="141">
        <f>H167*VLOOKUP($A167,'[1]INPUT_ASSUMPTIONS CALC'!$A$13:$CK$1019,H$6,FALSE)*SUMIF('[1]INPUT_ASSUMPTIONS CALC'!$CQ$15:$CQ$17,'[1]Summary calculation'!E167,'[1]INPUT_ASSUMPTIONS CALC'!$CR$15:$CR$17)</f>
        <v>0</v>
      </c>
      <c r="P167" s="141">
        <f>H167*VLOOKUP($A167,'[1]INPUT_ASSUMPTIONS CALC'!$A$13:$CK$1019,H$6,FALSE)*SUMIF('[1]INPUT_ASSUMPTIONS CALC'!$CV$15:$CV$31,'[1]Summary calculation'!E167,'[1]INPUT_ASSUMPTIONS CALC'!$CW$15:$CW$31)</f>
        <v>0</v>
      </c>
      <c r="Q167" s="141">
        <f>O167*VLOOKUP($A167,'[1]INPUT_ASSUMPTIONS CALC'!$A$13:$CK$1019,Q$7,FALSE)</f>
        <v>0</v>
      </c>
      <c r="R167" s="141">
        <f>P167*VLOOKUP($A167,'[1]INPUT_ASSUMPTIONS CALC'!$A$13:$CK$1019,R$7,FALSE)</f>
        <v>0</v>
      </c>
      <c r="S167" s="140">
        <f t="shared" si="9"/>
        <v>0</v>
      </c>
      <c r="T167" s="142">
        <f t="shared" si="10"/>
        <v>0</v>
      </c>
      <c r="U167" s="61"/>
    </row>
    <row r="168" spans="1:21" x14ac:dyDescent="0.35">
      <c r="A168" s="125" t="str">
        <f t="shared" si="8"/>
        <v>160Q2</v>
      </c>
      <c r="B168" s="135">
        <v>160</v>
      </c>
      <c r="C168" s="61" t="str">
        <f>INDEX('[1]INPUT_ASSUMPTIONS CALC'!D:D,MATCH(A168,'[1]INPUT_ASSUMPTIONS CALC'!A:A,0))</f>
        <v/>
      </c>
      <c r="D168" s="61" t="str">
        <f>INDEX('[1]INPUT_ASSUMPTIONS CALC'!I:I,MATCH(A168,'[1]INPUT_ASSUMPTIONS CALC'!A:A,0))</f>
        <v/>
      </c>
      <c r="E168" s="61" t="str">
        <f>INDEX('[1]INPUT_ASSUMPTIONS CALC'!E:E,MATCH(A168,'[1]INPUT_ASSUMPTIONS CALC'!A:A,0))</f>
        <v/>
      </c>
      <c r="F168" s="136">
        <f>IF($F$5="Q1",VLOOKUP($A168,'[1]INPUT_ASSUMPTIONS CALC'!$A$13:$CK$1019,F$7,FALSE),IF($F$5="Q2",VLOOKUP($A168,'[1]INPUT_ASSUMPTIONS CALC'!$A$13:$CK$1019,F$7,FALSE),IF($F$5="Q3",VLOOKUP($A168,'[1]INPUT_ASSUMPTIONS CALC'!$A$13:$CK$1019,F$7,FALSE),IF($F$5="Q4",VLOOKUP($A168,'[1]INPUT_ASSUMPTIONS CALC'!$A$13:$CK$1019,F$7,FALSE),IF($F$5="Year",VLOOKUP($A168,'[1]INPUT_ASSUMPTIONS CALC'!$A$13:$CK$1019,F$7,FALSE),0)))))</f>
        <v>0</v>
      </c>
      <c r="G168" s="137">
        <f>SUMIF('[1]INPUT_ASSUMPTIONS CALC'!A:A,'[1]Summary calculation'!A168,'[1]INPUT_ASSUMPTIONS CALC'!BU:BU)</f>
        <v>0</v>
      </c>
      <c r="H168" s="138">
        <f>IF($F$5="Year",F168*G168*'[1]INPUT_ASSUMPTIONS CALC'!$S$7,F168*G168)</f>
        <v>0</v>
      </c>
      <c r="I168" s="138">
        <f>H168*VLOOKUP($A168,'[1]INPUT_ASSUMPTIONS CALC'!$A$13:$CK$1019,H$6,FALSE)*SUMIF('[1]INPUT_ASSUMPTIONS CALC'!$CL$15:$CL$17,'[1]Summary calculation'!E168,'[1]INPUT_ASSUMPTIONS CALC'!$CM$15:$CM$17)</f>
        <v>0</v>
      </c>
      <c r="J168" s="139">
        <f>$I168*VLOOKUP($A168,'[1]INPUT_ASSUMPTIONS CALC'!$A$13:$CK$1019,I$6,FALSE)*VLOOKUP($A168,'[1]INPUT_ASSUMPTIONS CALC'!$A$13:$CK$1019,J$7,FALSE)</f>
        <v>0</v>
      </c>
      <c r="K168" s="139">
        <f>$I168*VLOOKUP($A168,'[1]INPUT_ASSUMPTIONS CALC'!$A$13:$CK$1019,I$6,FALSE)*VLOOKUP($A168,'[1]INPUT_ASSUMPTIONS CALC'!$A$13:$CK$1019,K$7,FALSE)</f>
        <v>0</v>
      </c>
      <c r="L168" s="139">
        <f>$I168*VLOOKUP($A168,'[1]INPUT_ASSUMPTIONS CALC'!$A$13:$CK$1019,I$6,FALSE)*VLOOKUP($A168,'[1]INPUT_ASSUMPTIONS CALC'!$A$13:$CK$1019,L$7,FALSE)</f>
        <v>0</v>
      </c>
      <c r="M168" s="139">
        <f>$I168*VLOOKUP($A168,'[1]INPUT_ASSUMPTIONS CALC'!$A$13:$CK$1019,I$6,FALSE)*VLOOKUP($A168,'[1]INPUT_ASSUMPTIONS CALC'!$A$13:$CK$1019,M$7,FALSE)</f>
        <v>0</v>
      </c>
      <c r="N168" s="140">
        <f t="shared" si="11"/>
        <v>0</v>
      </c>
      <c r="O168" s="141">
        <f>H168*VLOOKUP($A168,'[1]INPUT_ASSUMPTIONS CALC'!$A$13:$CK$1019,H$6,FALSE)*SUMIF('[1]INPUT_ASSUMPTIONS CALC'!$CQ$15:$CQ$17,'[1]Summary calculation'!E168,'[1]INPUT_ASSUMPTIONS CALC'!$CR$15:$CR$17)</f>
        <v>0</v>
      </c>
      <c r="P168" s="141">
        <f>H168*VLOOKUP($A168,'[1]INPUT_ASSUMPTIONS CALC'!$A$13:$CK$1019,H$6,FALSE)*SUMIF('[1]INPUT_ASSUMPTIONS CALC'!$CV$15:$CV$31,'[1]Summary calculation'!E168,'[1]INPUT_ASSUMPTIONS CALC'!$CW$15:$CW$31)</f>
        <v>0</v>
      </c>
      <c r="Q168" s="141">
        <f>O168*VLOOKUP($A168,'[1]INPUT_ASSUMPTIONS CALC'!$A$13:$CK$1019,Q$7,FALSE)</f>
        <v>0</v>
      </c>
      <c r="R168" s="141">
        <f>P168*VLOOKUP($A168,'[1]INPUT_ASSUMPTIONS CALC'!$A$13:$CK$1019,R$7,FALSE)</f>
        <v>0</v>
      </c>
      <c r="S168" s="140">
        <f t="shared" si="9"/>
        <v>0</v>
      </c>
      <c r="T168" s="142">
        <f t="shared" si="10"/>
        <v>0</v>
      </c>
      <c r="U168" s="61"/>
    </row>
    <row r="169" spans="1:21" x14ac:dyDescent="0.35">
      <c r="A169" s="125" t="str">
        <f t="shared" si="8"/>
        <v>161Q2</v>
      </c>
      <c r="B169" s="135">
        <v>161</v>
      </c>
      <c r="C169" s="61" t="str">
        <f>INDEX('[1]INPUT_ASSUMPTIONS CALC'!D:D,MATCH(A169,'[1]INPUT_ASSUMPTIONS CALC'!A:A,0))</f>
        <v/>
      </c>
      <c r="D169" s="61" t="str">
        <f>INDEX('[1]INPUT_ASSUMPTIONS CALC'!I:I,MATCH(A169,'[1]INPUT_ASSUMPTIONS CALC'!A:A,0))</f>
        <v/>
      </c>
      <c r="E169" s="61" t="str">
        <f>INDEX('[1]INPUT_ASSUMPTIONS CALC'!E:E,MATCH(A169,'[1]INPUT_ASSUMPTIONS CALC'!A:A,0))</f>
        <v/>
      </c>
      <c r="F169" s="136">
        <f>IF($F$5="Q1",VLOOKUP($A169,'[1]INPUT_ASSUMPTIONS CALC'!$A$13:$CK$1019,F$7,FALSE),IF($F$5="Q2",VLOOKUP($A169,'[1]INPUT_ASSUMPTIONS CALC'!$A$13:$CK$1019,F$7,FALSE),IF($F$5="Q3",VLOOKUP($A169,'[1]INPUT_ASSUMPTIONS CALC'!$A$13:$CK$1019,F$7,FALSE),IF($F$5="Q4",VLOOKUP($A169,'[1]INPUT_ASSUMPTIONS CALC'!$A$13:$CK$1019,F$7,FALSE),IF($F$5="Year",VLOOKUP($A169,'[1]INPUT_ASSUMPTIONS CALC'!$A$13:$CK$1019,F$7,FALSE),0)))))</f>
        <v>0</v>
      </c>
      <c r="G169" s="137">
        <f>SUMIF('[1]INPUT_ASSUMPTIONS CALC'!A:A,'[1]Summary calculation'!A169,'[1]INPUT_ASSUMPTIONS CALC'!BU:BU)</f>
        <v>0</v>
      </c>
      <c r="H169" s="138">
        <f>IF($F$5="Year",F169*G169*'[1]INPUT_ASSUMPTIONS CALC'!$S$7,F169*G169)</f>
        <v>0</v>
      </c>
      <c r="I169" s="138">
        <f>H169*VLOOKUP($A169,'[1]INPUT_ASSUMPTIONS CALC'!$A$13:$CK$1019,H$6,FALSE)*SUMIF('[1]INPUT_ASSUMPTIONS CALC'!$CL$15:$CL$17,'[1]Summary calculation'!E169,'[1]INPUT_ASSUMPTIONS CALC'!$CM$15:$CM$17)</f>
        <v>0</v>
      </c>
      <c r="J169" s="139">
        <f>$I169*VLOOKUP($A169,'[1]INPUT_ASSUMPTIONS CALC'!$A$13:$CK$1019,I$6,FALSE)*VLOOKUP($A169,'[1]INPUT_ASSUMPTIONS CALC'!$A$13:$CK$1019,J$7,FALSE)</f>
        <v>0</v>
      </c>
      <c r="K169" s="139">
        <f>$I169*VLOOKUP($A169,'[1]INPUT_ASSUMPTIONS CALC'!$A$13:$CK$1019,I$6,FALSE)*VLOOKUP($A169,'[1]INPUT_ASSUMPTIONS CALC'!$A$13:$CK$1019,K$7,FALSE)</f>
        <v>0</v>
      </c>
      <c r="L169" s="139">
        <f>$I169*VLOOKUP($A169,'[1]INPUT_ASSUMPTIONS CALC'!$A$13:$CK$1019,I$6,FALSE)*VLOOKUP($A169,'[1]INPUT_ASSUMPTIONS CALC'!$A$13:$CK$1019,L$7,FALSE)</f>
        <v>0</v>
      </c>
      <c r="M169" s="139">
        <f>$I169*VLOOKUP($A169,'[1]INPUT_ASSUMPTIONS CALC'!$A$13:$CK$1019,I$6,FALSE)*VLOOKUP($A169,'[1]INPUT_ASSUMPTIONS CALC'!$A$13:$CK$1019,M$7,FALSE)</f>
        <v>0</v>
      </c>
      <c r="N169" s="140">
        <f t="shared" si="11"/>
        <v>0</v>
      </c>
      <c r="O169" s="141">
        <f>H169*VLOOKUP($A169,'[1]INPUT_ASSUMPTIONS CALC'!$A$13:$CK$1019,H$6,FALSE)*SUMIF('[1]INPUT_ASSUMPTIONS CALC'!$CQ$15:$CQ$17,'[1]Summary calculation'!E169,'[1]INPUT_ASSUMPTIONS CALC'!$CR$15:$CR$17)</f>
        <v>0</v>
      </c>
      <c r="P169" s="141">
        <f>H169*VLOOKUP($A169,'[1]INPUT_ASSUMPTIONS CALC'!$A$13:$CK$1019,H$6,FALSE)*SUMIF('[1]INPUT_ASSUMPTIONS CALC'!$CV$15:$CV$31,'[1]Summary calculation'!E169,'[1]INPUT_ASSUMPTIONS CALC'!$CW$15:$CW$31)</f>
        <v>0</v>
      </c>
      <c r="Q169" s="141">
        <f>O169*VLOOKUP($A169,'[1]INPUT_ASSUMPTIONS CALC'!$A$13:$CK$1019,Q$7,FALSE)</f>
        <v>0</v>
      </c>
      <c r="R169" s="141">
        <f>P169*VLOOKUP($A169,'[1]INPUT_ASSUMPTIONS CALC'!$A$13:$CK$1019,R$7,FALSE)</f>
        <v>0</v>
      </c>
      <c r="S169" s="140">
        <f t="shared" si="9"/>
        <v>0</v>
      </c>
      <c r="T169" s="142">
        <f t="shared" si="10"/>
        <v>0</v>
      </c>
      <c r="U169" s="61"/>
    </row>
    <row r="170" spans="1:21" x14ac:dyDescent="0.35">
      <c r="A170" s="125" t="str">
        <f t="shared" si="8"/>
        <v>162Q2</v>
      </c>
      <c r="B170" s="135">
        <v>162</v>
      </c>
      <c r="C170" s="61" t="str">
        <f>INDEX('[1]INPUT_ASSUMPTIONS CALC'!D:D,MATCH(A170,'[1]INPUT_ASSUMPTIONS CALC'!A:A,0))</f>
        <v/>
      </c>
      <c r="D170" s="61" t="str">
        <f>INDEX('[1]INPUT_ASSUMPTIONS CALC'!I:I,MATCH(A170,'[1]INPUT_ASSUMPTIONS CALC'!A:A,0))</f>
        <v/>
      </c>
      <c r="E170" s="61" t="str">
        <f>INDEX('[1]INPUT_ASSUMPTIONS CALC'!E:E,MATCH(A170,'[1]INPUT_ASSUMPTIONS CALC'!A:A,0))</f>
        <v/>
      </c>
      <c r="F170" s="136">
        <f>IF($F$5="Q1",VLOOKUP($A170,'[1]INPUT_ASSUMPTIONS CALC'!$A$13:$CK$1019,F$7,FALSE),IF($F$5="Q2",VLOOKUP($A170,'[1]INPUT_ASSUMPTIONS CALC'!$A$13:$CK$1019,F$7,FALSE),IF($F$5="Q3",VLOOKUP($A170,'[1]INPUT_ASSUMPTIONS CALC'!$A$13:$CK$1019,F$7,FALSE),IF($F$5="Q4",VLOOKUP($A170,'[1]INPUT_ASSUMPTIONS CALC'!$A$13:$CK$1019,F$7,FALSE),IF($F$5="Year",VLOOKUP($A170,'[1]INPUT_ASSUMPTIONS CALC'!$A$13:$CK$1019,F$7,FALSE),0)))))</f>
        <v>0</v>
      </c>
      <c r="G170" s="137">
        <f>SUMIF('[1]INPUT_ASSUMPTIONS CALC'!A:A,'[1]Summary calculation'!A170,'[1]INPUT_ASSUMPTIONS CALC'!BU:BU)</f>
        <v>0</v>
      </c>
      <c r="H170" s="138">
        <f>IF($F$5="Year",F170*G170*'[1]INPUT_ASSUMPTIONS CALC'!$S$7,F170*G170)</f>
        <v>0</v>
      </c>
      <c r="I170" s="138">
        <f>H170*VLOOKUP($A170,'[1]INPUT_ASSUMPTIONS CALC'!$A$13:$CK$1019,H$6,FALSE)*SUMIF('[1]INPUT_ASSUMPTIONS CALC'!$CL$15:$CL$17,'[1]Summary calculation'!E170,'[1]INPUT_ASSUMPTIONS CALC'!$CM$15:$CM$17)</f>
        <v>0</v>
      </c>
      <c r="J170" s="139">
        <f>$I170*VLOOKUP($A170,'[1]INPUT_ASSUMPTIONS CALC'!$A$13:$CK$1019,I$6,FALSE)*VLOOKUP($A170,'[1]INPUT_ASSUMPTIONS CALC'!$A$13:$CK$1019,J$7,FALSE)</f>
        <v>0</v>
      </c>
      <c r="K170" s="139">
        <f>$I170*VLOOKUP($A170,'[1]INPUT_ASSUMPTIONS CALC'!$A$13:$CK$1019,I$6,FALSE)*VLOOKUP($A170,'[1]INPUT_ASSUMPTIONS CALC'!$A$13:$CK$1019,K$7,FALSE)</f>
        <v>0</v>
      </c>
      <c r="L170" s="139">
        <f>$I170*VLOOKUP($A170,'[1]INPUT_ASSUMPTIONS CALC'!$A$13:$CK$1019,I$6,FALSE)*VLOOKUP($A170,'[1]INPUT_ASSUMPTIONS CALC'!$A$13:$CK$1019,L$7,FALSE)</f>
        <v>0</v>
      </c>
      <c r="M170" s="139">
        <f>$I170*VLOOKUP($A170,'[1]INPUT_ASSUMPTIONS CALC'!$A$13:$CK$1019,I$6,FALSE)*VLOOKUP($A170,'[1]INPUT_ASSUMPTIONS CALC'!$A$13:$CK$1019,M$7,FALSE)</f>
        <v>0</v>
      </c>
      <c r="N170" s="140">
        <f t="shared" si="11"/>
        <v>0</v>
      </c>
      <c r="O170" s="141">
        <f>H170*VLOOKUP($A170,'[1]INPUT_ASSUMPTIONS CALC'!$A$13:$CK$1019,H$6,FALSE)*SUMIF('[1]INPUT_ASSUMPTIONS CALC'!$CQ$15:$CQ$17,'[1]Summary calculation'!E170,'[1]INPUT_ASSUMPTIONS CALC'!$CR$15:$CR$17)</f>
        <v>0</v>
      </c>
      <c r="P170" s="141">
        <f>H170*VLOOKUP($A170,'[1]INPUT_ASSUMPTIONS CALC'!$A$13:$CK$1019,H$6,FALSE)*SUMIF('[1]INPUT_ASSUMPTIONS CALC'!$CV$15:$CV$31,'[1]Summary calculation'!E170,'[1]INPUT_ASSUMPTIONS CALC'!$CW$15:$CW$31)</f>
        <v>0</v>
      </c>
      <c r="Q170" s="141">
        <f>O170*VLOOKUP($A170,'[1]INPUT_ASSUMPTIONS CALC'!$A$13:$CK$1019,Q$7,FALSE)</f>
        <v>0</v>
      </c>
      <c r="R170" s="141">
        <f>P170*VLOOKUP($A170,'[1]INPUT_ASSUMPTIONS CALC'!$A$13:$CK$1019,R$7,FALSE)</f>
        <v>0</v>
      </c>
      <c r="S170" s="140">
        <f t="shared" si="9"/>
        <v>0</v>
      </c>
      <c r="T170" s="142">
        <f t="shared" si="10"/>
        <v>0</v>
      </c>
      <c r="U170" s="61"/>
    </row>
    <row r="171" spans="1:21" x14ac:dyDescent="0.35">
      <c r="A171" s="125" t="str">
        <f t="shared" si="8"/>
        <v>163Q2</v>
      </c>
      <c r="B171" s="135">
        <v>163</v>
      </c>
      <c r="C171" s="61" t="str">
        <f>INDEX('[1]INPUT_ASSUMPTIONS CALC'!D:D,MATCH(A171,'[1]INPUT_ASSUMPTIONS CALC'!A:A,0))</f>
        <v/>
      </c>
      <c r="D171" s="61" t="str">
        <f>INDEX('[1]INPUT_ASSUMPTIONS CALC'!I:I,MATCH(A171,'[1]INPUT_ASSUMPTIONS CALC'!A:A,0))</f>
        <v/>
      </c>
      <c r="E171" s="61" t="str">
        <f>INDEX('[1]INPUT_ASSUMPTIONS CALC'!E:E,MATCH(A171,'[1]INPUT_ASSUMPTIONS CALC'!A:A,0))</f>
        <v/>
      </c>
      <c r="F171" s="136">
        <f>IF($F$5="Q1",VLOOKUP($A171,'[1]INPUT_ASSUMPTIONS CALC'!$A$13:$CK$1019,F$7,FALSE),IF($F$5="Q2",VLOOKUP($A171,'[1]INPUT_ASSUMPTIONS CALC'!$A$13:$CK$1019,F$7,FALSE),IF($F$5="Q3",VLOOKUP($A171,'[1]INPUT_ASSUMPTIONS CALC'!$A$13:$CK$1019,F$7,FALSE),IF($F$5="Q4",VLOOKUP($A171,'[1]INPUT_ASSUMPTIONS CALC'!$A$13:$CK$1019,F$7,FALSE),IF($F$5="Year",VLOOKUP($A171,'[1]INPUT_ASSUMPTIONS CALC'!$A$13:$CK$1019,F$7,FALSE),0)))))</f>
        <v>0</v>
      </c>
      <c r="G171" s="137">
        <f>SUMIF('[1]INPUT_ASSUMPTIONS CALC'!A:A,'[1]Summary calculation'!A171,'[1]INPUT_ASSUMPTIONS CALC'!BU:BU)</f>
        <v>0</v>
      </c>
      <c r="H171" s="138">
        <f>IF($F$5="Year",F171*G171*'[1]INPUT_ASSUMPTIONS CALC'!$S$7,F171*G171)</f>
        <v>0</v>
      </c>
      <c r="I171" s="138">
        <f>H171*VLOOKUP($A171,'[1]INPUT_ASSUMPTIONS CALC'!$A$13:$CK$1019,H$6,FALSE)*SUMIF('[1]INPUT_ASSUMPTIONS CALC'!$CL$15:$CL$17,'[1]Summary calculation'!E171,'[1]INPUT_ASSUMPTIONS CALC'!$CM$15:$CM$17)</f>
        <v>0</v>
      </c>
      <c r="J171" s="139">
        <f>$I171*VLOOKUP($A171,'[1]INPUT_ASSUMPTIONS CALC'!$A$13:$CK$1019,I$6,FALSE)*VLOOKUP($A171,'[1]INPUT_ASSUMPTIONS CALC'!$A$13:$CK$1019,J$7,FALSE)</f>
        <v>0</v>
      </c>
      <c r="K171" s="139">
        <f>$I171*VLOOKUP($A171,'[1]INPUT_ASSUMPTIONS CALC'!$A$13:$CK$1019,I$6,FALSE)*VLOOKUP($A171,'[1]INPUT_ASSUMPTIONS CALC'!$A$13:$CK$1019,K$7,FALSE)</f>
        <v>0</v>
      </c>
      <c r="L171" s="139">
        <f>$I171*VLOOKUP($A171,'[1]INPUT_ASSUMPTIONS CALC'!$A$13:$CK$1019,I$6,FALSE)*VLOOKUP($A171,'[1]INPUT_ASSUMPTIONS CALC'!$A$13:$CK$1019,L$7,FALSE)</f>
        <v>0</v>
      </c>
      <c r="M171" s="139">
        <f>$I171*VLOOKUP($A171,'[1]INPUT_ASSUMPTIONS CALC'!$A$13:$CK$1019,I$6,FALSE)*VLOOKUP($A171,'[1]INPUT_ASSUMPTIONS CALC'!$A$13:$CK$1019,M$7,FALSE)</f>
        <v>0</v>
      </c>
      <c r="N171" s="140">
        <f t="shared" si="11"/>
        <v>0</v>
      </c>
      <c r="O171" s="141">
        <f>H171*VLOOKUP($A171,'[1]INPUT_ASSUMPTIONS CALC'!$A$13:$CK$1019,H$6,FALSE)*SUMIF('[1]INPUT_ASSUMPTIONS CALC'!$CQ$15:$CQ$17,'[1]Summary calculation'!E171,'[1]INPUT_ASSUMPTIONS CALC'!$CR$15:$CR$17)</f>
        <v>0</v>
      </c>
      <c r="P171" s="141">
        <f>H171*VLOOKUP($A171,'[1]INPUT_ASSUMPTIONS CALC'!$A$13:$CK$1019,H$6,FALSE)*SUMIF('[1]INPUT_ASSUMPTIONS CALC'!$CV$15:$CV$31,'[1]Summary calculation'!E171,'[1]INPUT_ASSUMPTIONS CALC'!$CW$15:$CW$31)</f>
        <v>0</v>
      </c>
      <c r="Q171" s="141">
        <f>O171*VLOOKUP($A171,'[1]INPUT_ASSUMPTIONS CALC'!$A$13:$CK$1019,Q$7,FALSE)</f>
        <v>0</v>
      </c>
      <c r="R171" s="141">
        <f>P171*VLOOKUP($A171,'[1]INPUT_ASSUMPTIONS CALC'!$A$13:$CK$1019,R$7,FALSE)</f>
        <v>0</v>
      </c>
      <c r="S171" s="140">
        <f t="shared" si="9"/>
        <v>0</v>
      </c>
      <c r="T171" s="142">
        <f t="shared" si="10"/>
        <v>0</v>
      </c>
      <c r="U171" s="61"/>
    </row>
    <row r="172" spans="1:21" x14ac:dyDescent="0.35">
      <c r="A172" s="125" t="str">
        <f t="shared" si="8"/>
        <v>164Q2</v>
      </c>
      <c r="B172" s="135">
        <v>164</v>
      </c>
      <c r="C172" s="61" t="str">
        <f>INDEX('[1]INPUT_ASSUMPTIONS CALC'!D:D,MATCH(A172,'[1]INPUT_ASSUMPTIONS CALC'!A:A,0))</f>
        <v/>
      </c>
      <c r="D172" s="61" t="str">
        <f>INDEX('[1]INPUT_ASSUMPTIONS CALC'!I:I,MATCH(A172,'[1]INPUT_ASSUMPTIONS CALC'!A:A,0))</f>
        <v/>
      </c>
      <c r="E172" s="61" t="str">
        <f>INDEX('[1]INPUT_ASSUMPTIONS CALC'!E:E,MATCH(A172,'[1]INPUT_ASSUMPTIONS CALC'!A:A,0))</f>
        <v/>
      </c>
      <c r="F172" s="136">
        <f>IF($F$5="Q1",VLOOKUP($A172,'[1]INPUT_ASSUMPTIONS CALC'!$A$13:$CK$1019,F$7,FALSE),IF($F$5="Q2",VLOOKUP($A172,'[1]INPUT_ASSUMPTIONS CALC'!$A$13:$CK$1019,F$7,FALSE),IF($F$5="Q3",VLOOKUP($A172,'[1]INPUT_ASSUMPTIONS CALC'!$A$13:$CK$1019,F$7,FALSE),IF($F$5="Q4",VLOOKUP($A172,'[1]INPUT_ASSUMPTIONS CALC'!$A$13:$CK$1019,F$7,FALSE),IF($F$5="Year",VLOOKUP($A172,'[1]INPUT_ASSUMPTIONS CALC'!$A$13:$CK$1019,F$7,FALSE),0)))))</f>
        <v>0</v>
      </c>
      <c r="G172" s="137">
        <f>SUMIF('[1]INPUT_ASSUMPTIONS CALC'!A:A,'[1]Summary calculation'!A172,'[1]INPUT_ASSUMPTIONS CALC'!BU:BU)</f>
        <v>0</v>
      </c>
      <c r="H172" s="138">
        <f>IF($F$5="Year",F172*G172*'[1]INPUT_ASSUMPTIONS CALC'!$S$7,F172*G172)</f>
        <v>0</v>
      </c>
      <c r="I172" s="138">
        <f>H172*VLOOKUP($A172,'[1]INPUT_ASSUMPTIONS CALC'!$A$13:$CK$1019,H$6,FALSE)*SUMIF('[1]INPUT_ASSUMPTIONS CALC'!$CL$15:$CL$17,'[1]Summary calculation'!E172,'[1]INPUT_ASSUMPTIONS CALC'!$CM$15:$CM$17)</f>
        <v>0</v>
      </c>
      <c r="J172" s="139">
        <f>$I172*VLOOKUP($A172,'[1]INPUT_ASSUMPTIONS CALC'!$A$13:$CK$1019,I$6,FALSE)*VLOOKUP($A172,'[1]INPUT_ASSUMPTIONS CALC'!$A$13:$CK$1019,J$7,FALSE)</f>
        <v>0</v>
      </c>
      <c r="K172" s="139">
        <f>$I172*VLOOKUP($A172,'[1]INPUT_ASSUMPTIONS CALC'!$A$13:$CK$1019,I$6,FALSE)*VLOOKUP($A172,'[1]INPUT_ASSUMPTIONS CALC'!$A$13:$CK$1019,K$7,FALSE)</f>
        <v>0</v>
      </c>
      <c r="L172" s="139">
        <f>$I172*VLOOKUP($A172,'[1]INPUT_ASSUMPTIONS CALC'!$A$13:$CK$1019,I$6,FALSE)*VLOOKUP($A172,'[1]INPUT_ASSUMPTIONS CALC'!$A$13:$CK$1019,L$7,FALSE)</f>
        <v>0</v>
      </c>
      <c r="M172" s="139">
        <f>$I172*VLOOKUP($A172,'[1]INPUT_ASSUMPTIONS CALC'!$A$13:$CK$1019,I$6,FALSE)*VLOOKUP($A172,'[1]INPUT_ASSUMPTIONS CALC'!$A$13:$CK$1019,M$7,FALSE)</f>
        <v>0</v>
      </c>
      <c r="N172" s="140">
        <f t="shared" si="11"/>
        <v>0</v>
      </c>
      <c r="O172" s="141">
        <f>H172*VLOOKUP($A172,'[1]INPUT_ASSUMPTIONS CALC'!$A$13:$CK$1019,H$6,FALSE)*SUMIF('[1]INPUT_ASSUMPTIONS CALC'!$CQ$15:$CQ$17,'[1]Summary calculation'!E172,'[1]INPUT_ASSUMPTIONS CALC'!$CR$15:$CR$17)</f>
        <v>0</v>
      </c>
      <c r="P172" s="141">
        <f>H172*VLOOKUP($A172,'[1]INPUT_ASSUMPTIONS CALC'!$A$13:$CK$1019,H$6,FALSE)*SUMIF('[1]INPUT_ASSUMPTIONS CALC'!$CV$15:$CV$31,'[1]Summary calculation'!E172,'[1]INPUT_ASSUMPTIONS CALC'!$CW$15:$CW$31)</f>
        <v>0</v>
      </c>
      <c r="Q172" s="141">
        <f>O172*VLOOKUP($A172,'[1]INPUT_ASSUMPTIONS CALC'!$A$13:$CK$1019,Q$7,FALSE)</f>
        <v>0</v>
      </c>
      <c r="R172" s="141">
        <f>P172*VLOOKUP($A172,'[1]INPUT_ASSUMPTIONS CALC'!$A$13:$CK$1019,R$7,FALSE)</f>
        <v>0</v>
      </c>
      <c r="S172" s="140">
        <f t="shared" si="9"/>
        <v>0</v>
      </c>
      <c r="T172" s="142">
        <f t="shared" si="10"/>
        <v>0</v>
      </c>
      <c r="U172" s="61"/>
    </row>
    <row r="173" spans="1:21" x14ac:dyDescent="0.35">
      <c r="A173" s="125" t="str">
        <f t="shared" si="8"/>
        <v>165Q2</v>
      </c>
      <c r="B173" s="135">
        <v>165</v>
      </c>
      <c r="C173" s="61" t="str">
        <f>INDEX('[1]INPUT_ASSUMPTIONS CALC'!D:D,MATCH(A173,'[1]INPUT_ASSUMPTIONS CALC'!A:A,0))</f>
        <v/>
      </c>
      <c r="D173" s="61" t="str">
        <f>INDEX('[1]INPUT_ASSUMPTIONS CALC'!I:I,MATCH(A173,'[1]INPUT_ASSUMPTIONS CALC'!A:A,0))</f>
        <v/>
      </c>
      <c r="E173" s="61" t="str">
        <f>INDEX('[1]INPUT_ASSUMPTIONS CALC'!E:E,MATCH(A173,'[1]INPUT_ASSUMPTIONS CALC'!A:A,0))</f>
        <v/>
      </c>
      <c r="F173" s="136">
        <f>IF($F$5="Q1",VLOOKUP($A173,'[1]INPUT_ASSUMPTIONS CALC'!$A$13:$CK$1019,F$7,FALSE),IF($F$5="Q2",VLOOKUP($A173,'[1]INPUT_ASSUMPTIONS CALC'!$A$13:$CK$1019,F$7,FALSE),IF($F$5="Q3",VLOOKUP($A173,'[1]INPUT_ASSUMPTIONS CALC'!$A$13:$CK$1019,F$7,FALSE),IF($F$5="Q4",VLOOKUP($A173,'[1]INPUT_ASSUMPTIONS CALC'!$A$13:$CK$1019,F$7,FALSE),IF($F$5="Year",VLOOKUP($A173,'[1]INPUT_ASSUMPTIONS CALC'!$A$13:$CK$1019,F$7,FALSE),0)))))</f>
        <v>0</v>
      </c>
      <c r="G173" s="137">
        <f>SUMIF('[1]INPUT_ASSUMPTIONS CALC'!A:A,'[1]Summary calculation'!A173,'[1]INPUT_ASSUMPTIONS CALC'!BU:BU)</f>
        <v>0</v>
      </c>
      <c r="H173" s="138">
        <f>IF($F$5="Year",F173*G173*'[1]INPUT_ASSUMPTIONS CALC'!$S$7,F173*G173)</f>
        <v>0</v>
      </c>
      <c r="I173" s="138">
        <f>H173*VLOOKUP($A173,'[1]INPUT_ASSUMPTIONS CALC'!$A$13:$CK$1019,H$6,FALSE)*SUMIF('[1]INPUT_ASSUMPTIONS CALC'!$CL$15:$CL$17,'[1]Summary calculation'!E173,'[1]INPUT_ASSUMPTIONS CALC'!$CM$15:$CM$17)</f>
        <v>0</v>
      </c>
      <c r="J173" s="139">
        <f>$I173*VLOOKUP($A173,'[1]INPUT_ASSUMPTIONS CALC'!$A$13:$CK$1019,I$6,FALSE)*VLOOKUP($A173,'[1]INPUT_ASSUMPTIONS CALC'!$A$13:$CK$1019,J$7,FALSE)</f>
        <v>0</v>
      </c>
      <c r="K173" s="139">
        <f>$I173*VLOOKUP($A173,'[1]INPUT_ASSUMPTIONS CALC'!$A$13:$CK$1019,I$6,FALSE)*VLOOKUP($A173,'[1]INPUT_ASSUMPTIONS CALC'!$A$13:$CK$1019,K$7,FALSE)</f>
        <v>0</v>
      </c>
      <c r="L173" s="139">
        <f>$I173*VLOOKUP($A173,'[1]INPUT_ASSUMPTIONS CALC'!$A$13:$CK$1019,I$6,FALSE)*VLOOKUP($A173,'[1]INPUT_ASSUMPTIONS CALC'!$A$13:$CK$1019,L$7,FALSE)</f>
        <v>0</v>
      </c>
      <c r="M173" s="139">
        <f>$I173*VLOOKUP($A173,'[1]INPUT_ASSUMPTIONS CALC'!$A$13:$CK$1019,I$6,FALSE)*VLOOKUP($A173,'[1]INPUT_ASSUMPTIONS CALC'!$A$13:$CK$1019,M$7,FALSE)</f>
        <v>0</v>
      </c>
      <c r="N173" s="140">
        <f t="shared" si="11"/>
        <v>0</v>
      </c>
      <c r="O173" s="141">
        <f>H173*VLOOKUP($A173,'[1]INPUT_ASSUMPTIONS CALC'!$A$13:$CK$1019,H$6,FALSE)*SUMIF('[1]INPUT_ASSUMPTIONS CALC'!$CQ$15:$CQ$17,'[1]Summary calculation'!E173,'[1]INPUT_ASSUMPTIONS CALC'!$CR$15:$CR$17)</f>
        <v>0</v>
      </c>
      <c r="P173" s="141">
        <f>H173*VLOOKUP($A173,'[1]INPUT_ASSUMPTIONS CALC'!$A$13:$CK$1019,H$6,FALSE)*SUMIF('[1]INPUT_ASSUMPTIONS CALC'!$CV$15:$CV$31,'[1]Summary calculation'!E173,'[1]INPUT_ASSUMPTIONS CALC'!$CW$15:$CW$31)</f>
        <v>0</v>
      </c>
      <c r="Q173" s="141">
        <f>O173*VLOOKUP($A173,'[1]INPUT_ASSUMPTIONS CALC'!$A$13:$CK$1019,Q$7,FALSE)</f>
        <v>0</v>
      </c>
      <c r="R173" s="141">
        <f>P173*VLOOKUP($A173,'[1]INPUT_ASSUMPTIONS CALC'!$A$13:$CK$1019,R$7,FALSE)</f>
        <v>0</v>
      </c>
      <c r="S173" s="140">
        <f t="shared" si="9"/>
        <v>0</v>
      </c>
      <c r="T173" s="142">
        <f t="shared" si="10"/>
        <v>0</v>
      </c>
      <c r="U173" s="61"/>
    </row>
    <row r="174" spans="1:21" x14ac:dyDescent="0.35">
      <c r="A174" s="125" t="str">
        <f t="shared" si="8"/>
        <v>166Q2</v>
      </c>
      <c r="B174" s="135">
        <v>166</v>
      </c>
      <c r="C174" s="61" t="str">
        <f>INDEX('[1]INPUT_ASSUMPTIONS CALC'!D:D,MATCH(A174,'[1]INPUT_ASSUMPTIONS CALC'!A:A,0))</f>
        <v/>
      </c>
      <c r="D174" s="61" t="str">
        <f>INDEX('[1]INPUT_ASSUMPTIONS CALC'!I:I,MATCH(A174,'[1]INPUT_ASSUMPTIONS CALC'!A:A,0))</f>
        <v/>
      </c>
      <c r="E174" s="61" t="str">
        <f>INDEX('[1]INPUT_ASSUMPTIONS CALC'!E:E,MATCH(A174,'[1]INPUT_ASSUMPTIONS CALC'!A:A,0))</f>
        <v/>
      </c>
      <c r="F174" s="136">
        <f>IF($F$5="Q1",VLOOKUP($A174,'[1]INPUT_ASSUMPTIONS CALC'!$A$13:$CK$1019,F$7,FALSE),IF($F$5="Q2",VLOOKUP($A174,'[1]INPUT_ASSUMPTIONS CALC'!$A$13:$CK$1019,F$7,FALSE),IF($F$5="Q3",VLOOKUP($A174,'[1]INPUT_ASSUMPTIONS CALC'!$A$13:$CK$1019,F$7,FALSE),IF($F$5="Q4",VLOOKUP($A174,'[1]INPUT_ASSUMPTIONS CALC'!$A$13:$CK$1019,F$7,FALSE),IF($F$5="Year",VLOOKUP($A174,'[1]INPUT_ASSUMPTIONS CALC'!$A$13:$CK$1019,F$7,FALSE),0)))))</f>
        <v>0</v>
      </c>
      <c r="G174" s="137">
        <f>SUMIF('[1]INPUT_ASSUMPTIONS CALC'!A:A,'[1]Summary calculation'!A174,'[1]INPUT_ASSUMPTIONS CALC'!BU:BU)</f>
        <v>0</v>
      </c>
      <c r="H174" s="138">
        <f>IF($F$5="Year",F174*G174*'[1]INPUT_ASSUMPTIONS CALC'!$S$7,F174*G174)</f>
        <v>0</v>
      </c>
      <c r="I174" s="138">
        <f>H174*VLOOKUP($A174,'[1]INPUT_ASSUMPTIONS CALC'!$A$13:$CK$1019,H$6,FALSE)*SUMIF('[1]INPUT_ASSUMPTIONS CALC'!$CL$15:$CL$17,'[1]Summary calculation'!E174,'[1]INPUT_ASSUMPTIONS CALC'!$CM$15:$CM$17)</f>
        <v>0</v>
      </c>
      <c r="J174" s="139">
        <f>$I174*VLOOKUP($A174,'[1]INPUT_ASSUMPTIONS CALC'!$A$13:$CK$1019,I$6,FALSE)*VLOOKUP($A174,'[1]INPUT_ASSUMPTIONS CALC'!$A$13:$CK$1019,J$7,FALSE)</f>
        <v>0</v>
      </c>
      <c r="K174" s="139">
        <f>$I174*VLOOKUP($A174,'[1]INPUT_ASSUMPTIONS CALC'!$A$13:$CK$1019,I$6,FALSE)*VLOOKUP($A174,'[1]INPUT_ASSUMPTIONS CALC'!$A$13:$CK$1019,K$7,FALSE)</f>
        <v>0</v>
      </c>
      <c r="L174" s="139">
        <f>$I174*VLOOKUP($A174,'[1]INPUT_ASSUMPTIONS CALC'!$A$13:$CK$1019,I$6,FALSE)*VLOOKUP($A174,'[1]INPUT_ASSUMPTIONS CALC'!$A$13:$CK$1019,L$7,FALSE)</f>
        <v>0</v>
      </c>
      <c r="M174" s="139">
        <f>$I174*VLOOKUP($A174,'[1]INPUT_ASSUMPTIONS CALC'!$A$13:$CK$1019,I$6,FALSE)*VLOOKUP($A174,'[1]INPUT_ASSUMPTIONS CALC'!$A$13:$CK$1019,M$7,FALSE)</f>
        <v>0</v>
      </c>
      <c r="N174" s="140">
        <f t="shared" si="11"/>
        <v>0</v>
      </c>
      <c r="O174" s="141">
        <f>H174*VLOOKUP($A174,'[1]INPUT_ASSUMPTIONS CALC'!$A$13:$CK$1019,H$6,FALSE)*SUMIF('[1]INPUT_ASSUMPTIONS CALC'!$CQ$15:$CQ$17,'[1]Summary calculation'!E174,'[1]INPUT_ASSUMPTIONS CALC'!$CR$15:$CR$17)</f>
        <v>0</v>
      </c>
      <c r="P174" s="141">
        <f>H174*VLOOKUP($A174,'[1]INPUT_ASSUMPTIONS CALC'!$A$13:$CK$1019,H$6,FALSE)*SUMIF('[1]INPUT_ASSUMPTIONS CALC'!$CV$15:$CV$31,'[1]Summary calculation'!E174,'[1]INPUT_ASSUMPTIONS CALC'!$CW$15:$CW$31)</f>
        <v>0</v>
      </c>
      <c r="Q174" s="141">
        <f>O174*VLOOKUP($A174,'[1]INPUT_ASSUMPTIONS CALC'!$A$13:$CK$1019,Q$7,FALSE)</f>
        <v>0</v>
      </c>
      <c r="R174" s="141">
        <f>P174*VLOOKUP($A174,'[1]INPUT_ASSUMPTIONS CALC'!$A$13:$CK$1019,R$7,FALSE)</f>
        <v>0</v>
      </c>
      <c r="S174" s="140">
        <f t="shared" si="9"/>
        <v>0</v>
      </c>
      <c r="T174" s="142">
        <f t="shared" si="10"/>
        <v>0</v>
      </c>
      <c r="U174" s="61"/>
    </row>
    <row r="175" spans="1:21" x14ac:dyDescent="0.35">
      <c r="A175" s="125" t="str">
        <f t="shared" si="8"/>
        <v>167Q2</v>
      </c>
      <c r="B175" s="135">
        <v>167</v>
      </c>
      <c r="C175" s="61" t="str">
        <f>INDEX('[1]INPUT_ASSUMPTIONS CALC'!D:D,MATCH(A175,'[1]INPUT_ASSUMPTIONS CALC'!A:A,0))</f>
        <v/>
      </c>
      <c r="D175" s="61" t="str">
        <f>INDEX('[1]INPUT_ASSUMPTIONS CALC'!I:I,MATCH(A175,'[1]INPUT_ASSUMPTIONS CALC'!A:A,0))</f>
        <v/>
      </c>
      <c r="E175" s="61" t="str">
        <f>INDEX('[1]INPUT_ASSUMPTIONS CALC'!E:E,MATCH(A175,'[1]INPUT_ASSUMPTIONS CALC'!A:A,0))</f>
        <v/>
      </c>
      <c r="F175" s="136">
        <f>IF($F$5="Q1",VLOOKUP($A175,'[1]INPUT_ASSUMPTIONS CALC'!$A$13:$CK$1019,F$7,FALSE),IF($F$5="Q2",VLOOKUP($A175,'[1]INPUT_ASSUMPTIONS CALC'!$A$13:$CK$1019,F$7,FALSE),IF($F$5="Q3",VLOOKUP($A175,'[1]INPUT_ASSUMPTIONS CALC'!$A$13:$CK$1019,F$7,FALSE),IF($F$5="Q4",VLOOKUP($A175,'[1]INPUT_ASSUMPTIONS CALC'!$A$13:$CK$1019,F$7,FALSE),IF($F$5="Year",VLOOKUP($A175,'[1]INPUT_ASSUMPTIONS CALC'!$A$13:$CK$1019,F$7,FALSE),0)))))</f>
        <v>0</v>
      </c>
      <c r="G175" s="137">
        <f>SUMIF('[1]INPUT_ASSUMPTIONS CALC'!A:A,'[1]Summary calculation'!A175,'[1]INPUT_ASSUMPTIONS CALC'!BU:BU)</f>
        <v>0</v>
      </c>
      <c r="H175" s="138">
        <f>IF($F$5="Year",F175*G175*'[1]INPUT_ASSUMPTIONS CALC'!$S$7,F175*G175)</f>
        <v>0</v>
      </c>
      <c r="I175" s="138">
        <f>H175*VLOOKUP($A175,'[1]INPUT_ASSUMPTIONS CALC'!$A$13:$CK$1019,H$6,FALSE)*SUMIF('[1]INPUT_ASSUMPTIONS CALC'!$CL$15:$CL$17,'[1]Summary calculation'!E175,'[1]INPUT_ASSUMPTIONS CALC'!$CM$15:$CM$17)</f>
        <v>0</v>
      </c>
      <c r="J175" s="139">
        <f>$I175*VLOOKUP($A175,'[1]INPUT_ASSUMPTIONS CALC'!$A$13:$CK$1019,I$6,FALSE)*VLOOKUP($A175,'[1]INPUT_ASSUMPTIONS CALC'!$A$13:$CK$1019,J$7,FALSE)</f>
        <v>0</v>
      </c>
      <c r="K175" s="139">
        <f>$I175*VLOOKUP($A175,'[1]INPUT_ASSUMPTIONS CALC'!$A$13:$CK$1019,I$6,FALSE)*VLOOKUP($A175,'[1]INPUT_ASSUMPTIONS CALC'!$A$13:$CK$1019,K$7,FALSE)</f>
        <v>0</v>
      </c>
      <c r="L175" s="139">
        <f>$I175*VLOOKUP($A175,'[1]INPUT_ASSUMPTIONS CALC'!$A$13:$CK$1019,I$6,FALSE)*VLOOKUP($A175,'[1]INPUT_ASSUMPTIONS CALC'!$A$13:$CK$1019,L$7,FALSE)</f>
        <v>0</v>
      </c>
      <c r="M175" s="139">
        <f>$I175*VLOOKUP($A175,'[1]INPUT_ASSUMPTIONS CALC'!$A$13:$CK$1019,I$6,FALSE)*VLOOKUP($A175,'[1]INPUT_ASSUMPTIONS CALC'!$A$13:$CK$1019,M$7,FALSE)</f>
        <v>0</v>
      </c>
      <c r="N175" s="140">
        <f t="shared" si="11"/>
        <v>0</v>
      </c>
      <c r="O175" s="141">
        <f>H175*VLOOKUP($A175,'[1]INPUT_ASSUMPTIONS CALC'!$A$13:$CK$1019,H$6,FALSE)*SUMIF('[1]INPUT_ASSUMPTIONS CALC'!$CQ$15:$CQ$17,'[1]Summary calculation'!E175,'[1]INPUT_ASSUMPTIONS CALC'!$CR$15:$CR$17)</f>
        <v>0</v>
      </c>
      <c r="P175" s="141">
        <f>H175*VLOOKUP($A175,'[1]INPUT_ASSUMPTIONS CALC'!$A$13:$CK$1019,H$6,FALSE)*SUMIF('[1]INPUT_ASSUMPTIONS CALC'!$CV$15:$CV$31,'[1]Summary calculation'!E175,'[1]INPUT_ASSUMPTIONS CALC'!$CW$15:$CW$31)</f>
        <v>0</v>
      </c>
      <c r="Q175" s="141">
        <f>O175*VLOOKUP($A175,'[1]INPUT_ASSUMPTIONS CALC'!$A$13:$CK$1019,Q$7,FALSE)</f>
        <v>0</v>
      </c>
      <c r="R175" s="141">
        <f>P175*VLOOKUP($A175,'[1]INPUT_ASSUMPTIONS CALC'!$A$13:$CK$1019,R$7,FALSE)</f>
        <v>0</v>
      </c>
      <c r="S175" s="140">
        <f t="shared" si="9"/>
        <v>0</v>
      </c>
      <c r="T175" s="142">
        <f t="shared" si="10"/>
        <v>0</v>
      </c>
      <c r="U175" s="61"/>
    </row>
    <row r="176" spans="1:21" x14ac:dyDescent="0.35">
      <c r="A176" s="125" t="str">
        <f t="shared" si="8"/>
        <v>168Q2</v>
      </c>
      <c r="B176" s="135">
        <v>168</v>
      </c>
      <c r="C176" s="61" t="str">
        <f>INDEX('[1]INPUT_ASSUMPTIONS CALC'!D:D,MATCH(A176,'[1]INPUT_ASSUMPTIONS CALC'!A:A,0))</f>
        <v/>
      </c>
      <c r="D176" s="61" t="str">
        <f>INDEX('[1]INPUT_ASSUMPTIONS CALC'!I:I,MATCH(A176,'[1]INPUT_ASSUMPTIONS CALC'!A:A,0))</f>
        <v/>
      </c>
      <c r="E176" s="61" t="str">
        <f>INDEX('[1]INPUT_ASSUMPTIONS CALC'!E:E,MATCH(A176,'[1]INPUT_ASSUMPTIONS CALC'!A:A,0))</f>
        <v/>
      </c>
      <c r="F176" s="136">
        <f>IF($F$5="Q1",VLOOKUP($A176,'[1]INPUT_ASSUMPTIONS CALC'!$A$13:$CK$1019,F$7,FALSE),IF($F$5="Q2",VLOOKUP($A176,'[1]INPUT_ASSUMPTIONS CALC'!$A$13:$CK$1019,F$7,FALSE),IF($F$5="Q3",VLOOKUP($A176,'[1]INPUT_ASSUMPTIONS CALC'!$A$13:$CK$1019,F$7,FALSE),IF($F$5="Q4",VLOOKUP($A176,'[1]INPUT_ASSUMPTIONS CALC'!$A$13:$CK$1019,F$7,FALSE),IF($F$5="Year",VLOOKUP($A176,'[1]INPUT_ASSUMPTIONS CALC'!$A$13:$CK$1019,F$7,FALSE),0)))))</f>
        <v>0</v>
      </c>
      <c r="G176" s="137">
        <f>SUMIF('[1]INPUT_ASSUMPTIONS CALC'!A:A,'[1]Summary calculation'!A176,'[1]INPUT_ASSUMPTIONS CALC'!BU:BU)</f>
        <v>0</v>
      </c>
      <c r="H176" s="138">
        <f>IF($F$5="Year",F176*G176*'[1]INPUT_ASSUMPTIONS CALC'!$S$7,F176*G176)</f>
        <v>0</v>
      </c>
      <c r="I176" s="138">
        <f>H176*VLOOKUP($A176,'[1]INPUT_ASSUMPTIONS CALC'!$A$13:$CK$1019,H$6,FALSE)*SUMIF('[1]INPUT_ASSUMPTIONS CALC'!$CL$15:$CL$17,'[1]Summary calculation'!E176,'[1]INPUT_ASSUMPTIONS CALC'!$CM$15:$CM$17)</f>
        <v>0</v>
      </c>
      <c r="J176" s="139">
        <f>$I176*VLOOKUP($A176,'[1]INPUT_ASSUMPTIONS CALC'!$A$13:$CK$1019,I$6,FALSE)*VLOOKUP($A176,'[1]INPUT_ASSUMPTIONS CALC'!$A$13:$CK$1019,J$7,FALSE)</f>
        <v>0</v>
      </c>
      <c r="K176" s="139">
        <f>$I176*VLOOKUP($A176,'[1]INPUT_ASSUMPTIONS CALC'!$A$13:$CK$1019,I$6,FALSE)*VLOOKUP($A176,'[1]INPUT_ASSUMPTIONS CALC'!$A$13:$CK$1019,K$7,FALSE)</f>
        <v>0</v>
      </c>
      <c r="L176" s="139">
        <f>$I176*VLOOKUP($A176,'[1]INPUT_ASSUMPTIONS CALC'!$A$13:$CK$1019,I$6,FALSE)*VLOOKUP($A176,'[1]INPUT_ASSUMPTIONS CALC'!$A$13:$CK$1019,L$7,FALSE)</f>
        <v>0</v>
      </c>
      <c r="M176" s="139">
        <f>$I176*VLOOKUP($A176,'[1]INPUT_ASSUMPTIONS CALC'!$A$13:$CK$1019,I$6,FALSE)*VLOOKUP($A176,'[1]INPUT_ASSUMPTIONS CALC'!$A$13:$CK$1019,M$7,FALSE)</f>
        <v>0</v>
      </c>
      <c r="N176" s="140">
        <f t="shared" si="11"/>
        <v>0</v>
      </c>
      <c r="O176" s="141">
        <f>H176*VLOOKUP($A176,'[1]INPUT_ASSUMPTIONS CALC'!$A$13:$CK$1019,H$6,FALSE)*SUMIF('[1]INPUT_ASSUMPTIONS CALC'!$CQ$15:$CQ$17,'[1]Summary calculation'!E176,'[1]INPUT_ASSUMPTIONS CALC'!$CR$15:$CR$17)</f>
        <v>0</v>
      </c>
      <c r="P176" s="141">
        <f>H176*VLOOKUP($A176,'[1]INPUT_ASSUMPTIONS CALC'!$A$13:$CK$1019,H$6,FALSE)*SUMIF('[1]INPUT_ASSUMPTIONS CALC'!$CV$15:$CV$31,'[1]Summary calculation'!E176,'[1]INPUT_ASSUMPTIONS CALC'!$CW$15:$CW$31)</f>
        <v>0</v>
      </c>
      <c r="Q176" s="141">
        <f>O176*VLOOKUP($A176,'[1]INPUT_ASSUMPTIONS CALC'!$A$13:$CK$1019,Q$7,FALSE)</f>
        <v>0</v>
      </c>
      <c r="R176" s="141">
        <f>P176*VLOOKUP($A176,'[1]INPUT_ASSUMPTIONS CALC'!$A$13:$CK$1019,R$7,FALSE)</f>
        <v>0</v>
      </c>
      <c r="S176" s="140">
        <f t="shared" si="9"/>
        <v>0</v>
      </c>
      <c r="T176" s="142">
        <f t="shared" si="10"/>
        <v>0</v>
      </c>
      <c r="U176" s="61"/>
    </row>
    <row r="177" spans="1:21" x14ac:dyDescent="0.35">
      <c r="A177" s="125" t="str">
        <f t="shared" si="8"/>
        <v>169Q2</v>
      </c>
      <c r="B177" s="135">
        <v>169</v>
      </c>
      <c r="C177" s="61" t="str">
        <f>INDEX('[1]INPUT_ASSUMPTIONS CALC'!D:D,MATCH(A177,'[1]INPUT_ASSUMPTIONS CALC'!A:A,0))</f>
        <v/>
      </c>
      <c r="D177" s="61" t="str">
        <f>INDEX('[1]INPUT_ASSUMPTIONS CALC'!I:I,MATCH(A177,'[1]INPUT_ASSUMPTIONS CALC'!A:A,0))</f>
        <v/>
      </c>
      <c r="E177" s="61" t="str">
        <f>INDEX('[1]INPUT_ASSUMPTIONS CALC'!E:E,MATCH(A177,'[1]INPUT_ASSUMPTIONS CALC'!A:A,0))</f>
        <v/>
      </c>
      <c r="F177" s="136">
        <f>IF($F$5="Q1",VLOOKUP($A177,'[1]INPUT_ASSUMPTIONS CALC'!$A$13:$CK$1019,F$7,FALSE),IF($F$5="Q2",VLOOKUP($A177,'[1]INPUT_ASSUMPTIONS CALC'!$A$13:$CK$1019,F$7,FALSE),IF($F$5="Q3",VLOOKUP($A177,'[1]INPUT_ASSUMPTIONS CALC'!$A$13:$CK$1019,F$7,FALSE),IF($F$5="Q4",VLOOKUP($A177,'[1]INPUT_ASSUMPTIONS CALC'!$A$13:$CK$1019,F$7,FALSE),IF($F$5="Year",VLOOKUP($A177,'[1]INPUT_ASSUMPTIONS CALC'!$A$13:$CK$1019,F$7,FALSE),0)))))</f>
        <v>0</v>
      </c>
      <c r="G177" s="137">
        <f>SUMIF('[1]INPUT_ASSUMPTIONS CALC'!A:A,'[1]Summary calculation'!A177,'[1]INPUT_ASSUMPTIONS CALC'!BU:BU)</f>
        <v>0</v>
      </c>
      <c r="H177" s="138">
        <f>IF($F$5="Year",F177*G177*'[1]INPUT_ASSUMPTIONS CALC'!$S$7,F177*G177)</f>
        <v>0</v>
      </c>
      <c r="I177" s="138">
        <f>H177*VLOOKUP($A177,'[1]INPUT_ASSUMPTIONS CALC'!$A$13:$CK$1019,H$6,FALSE)*SUMIF('[1]INPUT_ASSUMPTIONS CALC'!$CL$15:$CL$17,'[1]Summary calculation'!E177,'[1]INPUT_ASSUMPTIONS CALC'!$CM$15:$CM$17)</f>
        <v>0</v>
      </c>
      <c r="J177" s="139">
        <f>$I177*VLOOKUP($A177,'[1]INPUT_ASSUMPTIONS CALC'!$A$13:$CK$1019,I$6,FALSE)*VLOOKUP($A177,'[1]INPUT_ASSUMPTIONS CALC'!$A$13:$CK$1019,J$7,FALSE)</f>
        <v>0</v>
      </c>
      <c r="K177" s="139">
        <f>$I177*VLOOKUP($A177,'[1]INPUT_ASSUMPTIONS CALC'!$A$13:$CK$1019,I$6,FALSE)*VLOOKUP($A177,'[1]INPUT_ASSUMPTIONS CALC'!$A$13:$CK$1019,K$7,FALSE)</f>
        <v>0</v>
      </c>
      <c r="L177" s="139">
        <f>$I177*VLOOKUP($A177,'[1]INPUT_ASSUMPTIONS CALC'!$A$13:$CK$1019,I$6,FALSE)*VLOOKUP($A177,'[1]INPUT_ASSUMPTIONS CALC'!$A$13:$CK$1019,L$7,FALSE)</f>
        <v>0</v>
      </c>
      <c r="M177" s="139">
        <f>$I177*VLOOKUP($A177,'[1]INPUT_ASSUMPTIONS CALC'!$A$13:$CK$1019,I$6,FALSE)*VLOOKUP($A177,'[1]INPUT_ASSUMPTIONS CALC'!$A$13:$CK$1019,M$7,FALSE)</f>
        <v>0</v>
      </c>
      <c r="N177" s="140">
        <f t="shared" si="11"/>
        <v>0</v>
      </c>
      <c r="O177" s="141">
        <f>H177*VLOOKUP($A177,'[1]INPUT_ASSUMPTIONS CALC'!$A$13:$CK$1019,H$6,FALSE)*SUMIF('[1]INPUT_ASSUMPTIONS CALC'!$CQ$15:$CQ$17,'[1]Summary calculation'!E177,'[1]INPUT_ASSUMPTIONS CALC'!$CR$15:$CR$17)</f>
        <v>0</v>
      </c>
      <c r="P177" s="141">
        <f>H177*VLOOKUP($A177,'[1]INPUT_ASSUMPTIONS CALC'!$A$13:$CK$1019,H$6,FALSE)*SUMIF('[1]INPUT_ASSUMPTIONS CALC'!$CV$15:$CV$31,'[1]Summary calculation'!E177,'[1]INPUT_ASSUMPTIONS CALC'!$CW$15:$CW$31)</f>
        <v>0</v>
      </c>
      <c r="Q177" s="141">
        <f>O177*VLOOKUP($A177,'[1]INPUT_ASSUMPTIONS CALC'!$A$13:$CK$1019,Q$7,FALSE)</f>
        <v>0</v>
      </c>
      <c r="R177" s="141">
        <f>P177*VLOOKUP($A177,'[1]INPUT_ASSUMPTIONS CALC'!$A$13:$CK$1019,R$7,FALSE)</f>
        <v>0</v>
      </c>
      <c r="S177" s="140">
        <f t="shared" si="9"/>
        <v>0</v>
      </c>
      <c r="T177" s="142">
        <f t="shared" si="10"/>
        <v>0</v>
      </c>
      <c r="U177" s="61"/>
    </row>
    <row r="178" spans="1:21" x14ac:dyDescent="0.35">
      <c r="A178" s="125" t="str">
        <f t="shared" si="8"/>
        <v>170Q2</v>
      </c>
      <c r="B178" s="135">
        <v>170</v>
      </c>
      <c r="C178" s="61" t="str">
        <f>INDEX('[1]INPUT_ASSUMPTIONS CALC'!D:D,MATCH(A178,'[1]INPUT_ASSUMPTIONS CALC'!A:A,0))</f>
        <v/>
      </c>
      <c r="D178" s="61" t="str">
        <f>INDEX('[1]INPUT_ASSUMPTIONS CALC'!I:I,MATCH(A178,'[1]INPUT_ASSUMPTIONS CALC'!A:A,0))</f>
        <v/>
      </c>
      <c r="E178" s="61" t="str">
        <f>INDEX('[1]INPUT_ASSUMPTIONS CALC'!E:E,MATCH(A178,'[1]INPUT_ASSUMPTIONS CALC'!A:A,0))</f>
        <v/>
      </c>
      <c r="F178" s="136">
        <f>IF($F$5="Q1",VLOOKUP($A178,'[1]INPUT_ASSUMPTIONS CALC'!$A$13:$CK$1019,F$7,FALSE),IF($F$5="Q2",VLOOKUP($A178,'[1]INPUT_ASSUMPTIONS CALC'!$A$13:$CK$1019,F$7,FALSE),IF($F$5="Q3",VLOOKUP($A178,'[1]INPUT_ASSUMPTIONS CALC'!$A$13:$CK$1019,F$7,FALSE),IF($F$5="Q4",VLOOKUP($A178,'[1]INPUT_ASSUMPTIONS CALC'!$A$13:$CK$1019,F$7,FALSE),IF($F$5="Year",VLOOKUP($A178,'[1]INPUT_ASSUMPTIONS CALC'!$A$13:$CK$1019,F$7,FALSE),0)))))</f>
        <v>0</v>
      </c>
      <c r="G178" s="137">
        <f>SUMIF('[1]INPUT_ASSUMPTIONS CALC'!A:A,'[1]Summary calculation'!A178,'[1]INPUT_ASSUMPTIONS CALC'!BU:BU)</f>
        <v>0</v>
      </c>
      <c r="H178" s="138">
        <f>IF($F$5="Year",F178*G178*'[1]INPUT_ASSUMPTIONS CALC'!$S$7,F178*G178)</f>
        <v>0</v>
      </c>
      <c r="I178" s="138">
        <f>H178*VLOOKUP($A178,'[1]INPUT_ASSUMPTIONS CALC'!$A$13:$CK$1019,H$6,FALSE)*SUMIF('[1]INPUT_ASSUMPTIONS CALC'!$CL$15:$CL$17,'[1]Summary calculation'!E178,'[1]INPUT_ASSUMPTIONS CALC'!$CM$15:$CM$17)</f>
        <v>0</v>
      </c>
      <c r="J178" s="139">
        <f>$I178*VLOOKUP($A178,'[1]INPUT_ASSUMPTIONS CALC'!$A$13:$CK$1019,I$6,FALSE)*VLOOKUP($A178,'[1]INPUT_ASSUMPTIONS CALC'!$A$13:$CK$1019,J$7,FALSE)</f>
        <v>0</v>
      </c>
      <c r="K178" s="139">
        <f>$I178*VLOOKUP($A178,'[1]INPUT_ASSUMPTIONS CALC'!$A$13:$CK$1019,I$6,FALSE)*VLOOKUP($A178,'[1]INPUT_ASSUMPTIONS CALC'!$A$13:$CK$1019,K$7,FALSE)</f>
        <v>0</v>
      </c>
      <c r="L178" s="139">
        <f>$I178*VLOOKUP($A178,'[1]INPUT_ASSUMPTIONS CALC'!$A$13:$CK$1019,I$6,FALSE)*VLOOKUP($A178,'[1]INPUT_ASSUMPTIONS CALC'!$A$13:$CK$1019,L$7,FALSE)</f>
        <v>0</v>
      </c>
      <c r="M178" s="139">
        <f>$I178*VLOOKUP($A178,'[1]INPUT_ASSUMPTIONS CALC'!$A$13:$CK$1019,I$6,FALSE)*VLOOKUP($A178,'[1]INPUT_ASSUMPTIONS CALC'!$A$13:$CK$1019,M$7,FALSE)</f>
        <v>0</v>
      </c>
      <c r="N178" s="140">
        <f t="shared" si="11"/>
        <v>0</v>
      </c>
      <c r="O178" s="141">
        <f>H178*VLOOKUP($A178,'[1]INPUT_ASSUMPTIONS CALC'!$A$13:$CK$1019,H$6,FALSE)*SUMIF('[1]INPUT_ASSUMPTIONS CALC'!$CQ$15:$CQ$17,'[1]Summary calculation'!E178,'[1]INPUT_ASSUMPTIONS CALC'!$CR$15:$CR$17)</f>
        <v>0</v>
      </c>
      <c r="P178" s="141">
        <f>H178*VLOOKUP($A178,'[1]INPUT_ASSUMPTIONS CALC'!$A$13:$CK$1019,H$6,FALSE)*SUMIF('[1]INPUT_ASSUMPTIONS CALC'!$CV$15:$CV$31,'[1]Summary calculation'!E178,'[1]INPUT_ASSUMPTIONS CALC'!$CW$15:$CW$31)</f>
        <v>0</v>
      </c>
      <c r="Q178" s="141">
        <f>O178*VLOOKUP($A178,'[1]INPUT_ASSUMPTIONS CALC'!$A$13:$CK$1019,Q$7,FALSE)</f>
        <v>0</v>
      </c>
      <c r="R178" s="141">
        <f>P178*VLOOKUP($A178,'[1]INPUT_ASSUMPTIONS CALC'!$A$13:$CK$1019,R$7,FALSE)</f>
        <v>0</v>
      </c>
      <c r="S178" s="140">
        <f t="shared" si="9"/>
        <v>0</v>
      </c>
      <c r="T178" s="142">
        <f t="shared" si="10"/>
        <v>0</v>
      </c>
      <c r="U178" s="61"/>
    </row>
    <row r="179" spans="1:21" x14ac:dyDescent="0.35">
      <c r="A179" s="125" t="str">
        <f t="shared" si="8"/>
        <v>171Q2</v>
      </c>
      <c r="B179" s="135">
        <v>171</v>
      </c>
      <c r="C179" s="61" t="str">
        <f>INDEX('[1]INPUT_ASSUMPTIONS CALC'!D:D,MATCH(A179,'[1]INPUT_ASSUMPTIONS CALC'!A:A,0))</f>
        <v/>
      </c>
      <c r="D179" s="61" t="str">
        <f>INDEX('[1]INPUT_ASSUMPTIONS CALC'!I:I,MATCH(A179,'[1]INPUT_ASSUMPTIONS CALC'!A:A,0))</f>
        <v/>
      </c>
      <c r="E179" s="61" t="str">
        <f>INDEX('[1]INPUT_ASSUMPTIONS CALC'!E:E,MATCH(A179,'[1]INPUT_ASSUMPTIONS CALC'!A:A,0))</f>
        <v/>
      </c>
      <c r="F179" s="136">
        <f>IF($F$5="Q1",VLOOKUP($A179,'[1]INPUT_ASSUMPTIONS CALC'!$A$13:$CK$1019,F$7,FALSE),IF($F$5="Q2",VLOOKUP($A179,'[1]INPUT_ASSUMPTIONS CALC'!$A$13:$CK$1019,F$7,FALSE),IF($F$5="Q3",VLOOKUP($A179,'[1]INPUT_ASSUMPTIONS CALC'!$A$13:$CK$1019,F$7,FALSE),IF($F$5="Q4",VLOOKUP($A179,'[1]INPUT_ASSUMPTIONS CALC'!$A$13:$CK$1019,F$7,FALSE),IF($F$5="Year",VLOOKUP($A179,'[1]INPUT_ASSUMPTIONS CALC'!$A$13:$CK$1019,F$7,FALSE),0)))))</f>
        <v>0</v>
      </c>
      <c r="G179" s="137">
        <f>SUMIF('[1]INPUT_ASSUMPTIONS CALC'!A:A,'[1]Summary calculation'!A179,'[1]INPUT_ASSUMPTIONS CALC'!BU:BU)</f>
        <v>0</v>
      </c>
      <c r="H179" s="138">
        <f>IF($F$5="Year",F179*G179*'[1]INPUT_ASSUMPTIONS CALC'!$S$7,F179*G179)</f>
        <v>0</v>
      </c>
      <c r="I179" s="138">
        <f>H179*VLOOKUP($A179,'[1]INPUT_ASSUMPTIONS CALC'!$A$13:$CK$1019,H$6,FALSE)*SUMIF('[1]INPUT_ASSUMPTIONS CALC'!$CL$15:$CL$17,'[1]Summary calculation'!E179,'[1]INPUT_ASSUMPTIONS CALC'!$CM$15:$CM$17)</f>
        <v>0</v>
      </c>
      <c r="J179" s="139">
        <f>$I179*VLOOKUP($A179,'[1]INPUT_ASSUMPTIONS CALC'!$A$13:$CK$1019,I$6,FALSE)*VLOOKUP($A179,'[1]INPUT_ASSUMPTIONS CALC'!$A$13:$CK$1019,J$7,FALSE)</f>
        <v>0</v>
      </c>
      <c r="K179" s="139">
        <f>$I179*VLOOKUP($A179,'[1]INPUT_ASSUMPTIONS CALC'!$A$13:$CK$1019,I$6,FALSE)*VLOOKUP($A179,'[1]INPUT_ASSUMPTIONS CALC'!$A$13:$CK$1019,K$7,FALSE)</f>
        <v>0</v>
      </c>
      <c r="L179" s="139">
        <f>$I179*VLOOKUP($A179,'[1]INPUT_ASSUMPTIONS CALC'!$A$13:$CK$1019,I$6,FALSE)*VLOOKUP($A179,'[1]INPUT_ASSUMPTIONS CALC'!$A$13:$CK$1019,L$7,FALSE)</f>
        <v>0</v>
      </c>
      <c r="M179" s="139">
        <f>$I179*VLOOKUP($A179,'[1]INPUT_ASSUMPTIONS CALC'!$A$13:$CK$1019,I$6,FALSE)*VLOOKUP($A179,'[1]INPUT_ASSUMPTIONS CALC'!$A$13:$CK$1019,M$7,FALSE)</f>
        <v>0</v>
      </c>
      <c r="N179" s="140">
        <f t="shared" si="11"/>
        <v>0</v>
      </c>
      <c r="O179" s="141">
        <f>H179*VLOOKUP($A179,'[1]INPUT_ASSUMPTIONS CALC'!$A$13:$CK$1019,H$6,FALSE)*SUMIF('[1]INPUT_ASSUMPTIONS CALC'!$CQ$15:$CQ$17,'[1]Summary calculation'!E179,'[1]INPUT_ASSUMPTIONS CALC'!$CR$15:$CR$17)</f>
        <v>0</v>
      </c>
      <c r="P179" s="141">
        <f>H179*VLOOKUP($A179,'[1]INPUT_ASSUMPTIONS CALC'!$A$13:$CK$1019,H$6,FALSE)*SUMIF('[1]INPUT_ASSUMPTIONS CALC'!$CV$15:$CV$31,'[1]Summary calculation'!E179,'[1]INPUT_ASSUMPTIONS CALC'!$CW$15:$CW$31)</f>
        <v>0</v>
      </c>
      <c r="Q179" s="141">
        <f>O179*VLOOKUP($A179,'[1]INPUT_ASSUMPTIONS CALC'!$A$13:$CK$1019,Q$7,FALSE)</f>
        <v>0</v>
      </c>
      <c r="R179" s="141">
        <f>P179*VLOOKUP($A179,'[1]INPUT_ASSUMPTIONS CALC'!$A$13:$CK$1019,R$7,FALSE)</f>
        <v>0</v>
      </c>
      <c r="S179" s="140">
        <f t="shared" si="9"/>
        <v>0</v>
      </c>
      <c r="T179" s="142">
        <f t="shared" si="10"/>
        <v>0</v>
      </c>
      <c r="U179" s="61"/>
    </row>
    <row r="180" spans="1:21" x14ac:dyDescent="0.35">
      <c r="A180" s="125" t="str">
        <f t="shared" si="8"/>
        <v>172Q2</v>
      </c>
      <c r="B180" s="135">
        <v>172</v>
      </c>
      <c r="C180" s="61" t="str">
        <f>INDEX('[1]INPUT_ASSUMPTIONS CALC'!D:D,MATCH(A180,'[1]INPUT_ASSUMPTIONS CALC'!A:A,0))</f>
        <v/>
      </c>
      <c r="D180" s="61" t="str">
        <f>INDEX('[1]INPUT_ASSUMPTIONS CALC'!I:I,MATCH(A180,'[1]INPUT_ASSUMPTIONS CALC'!A:A,0))</f>
        <v/>
      </c>
      <c r="E180" s="61" t="str">
        <f>INDEX('[1]INPUT_ASSUMPTIONS CALC'!E:E,MATCH(A180,'[1]INPUT_ASSUMPTIONS CALC'!A:A,0))</f>
        <v/>
      </c>
      <c r="F180" s="136">
        <f>IF($F$5="Q1",VLOOKUP($A180,'[1]INPUT_ASSUMPTIONS CALC'!$A$13:$CK$1019,F$7,FALSE),IF($F$5="Q2",VLOOKUP($A180,'[1]INPUT_ASSUMPTIONS CALC'!$A$13:$CK$1019,F$7,FALSE),IF($F$5="Q3",VLOOKUP($A180,'[1]INPUT_ASSUMPTIONS CALC'!$A$13:$CK$1019,F$7,FALSE),IF($F$5="Q4",VLOOKUP($A180,'[1]INPUT_ASSUMPTIONS CALC'!$A$13:$CK$1019,F$7,FALSE),IF($F$5="Year",VLOOKUP($A180,'[1]INPUT_ASSUMPTIONS CALC'!$A$13:$CK$1019,F$7,FALSE),0)))))</f>
        <v>0</v>
      </c>
      <c r="G180" s="137">
        <f>SUMIF('[1]INPUT_ASSUMPTIONS CALC'!A:A,'[1]Summary calculation'!A180,'[1]INPUT_ASSUMPTIONS CALC'!BU:BU)</f>
        <v>0</v>
      </c>
      <c r="H180" s="138">
        <f>IF($F$5="Year",F180*G180*'[1]INPUT_ASSUMPTIONS CALC'!$S$7,F180*G180)</f>
        <v>0</v>
      </c>
      <c r="I180" s="138">
        <f>H180*VLOOKUP($A180,'[1]INPUT_ASSUMPTIONS CALC'!$A$13:$CK$1019,H$6,FALSE)*SUMIF('[1]INPUT_ASSUMPTIONS CALC'!$CL$15:$CL$17,'[1]Summary calculation'!E180,'[1]INPUT_ASSUMPTIONS CALC'!$CM$15:$CM$17)</f>
        <v>0</v>
      </c>
      <c r="J180" s="139">
        <f>$I180*VLOOKUP($A180,'[1]INPUT_ASSUMPTIONS CALC'!$A$13:$CK$1019,I$6,FALSE)*VLOOKUP($A180,'[1]INPUT_ASSUMPTIONS CALC'!$A$13:$CK$1019,J$7,FALSE)</f>
        <v>0</v>
      </c>
      <c r="K180" s="139">
        <f>$I180*VLOOKUP($A180,'[1]INPUT_ASSUMPTIONS CALC'!$A$13:$CK$1019,I$6,FALSE)*VLOOKUP($A180,'[1]INPUT_ASSUMPTIONS CALC'!$A$13:$CK$1019,K$7,FALSE)</f>
        <v>0</v>
      </c>
      <c r="L180" s="139">
        <f>$I180*VLOOKUP($A180,'[1]INPUT_ASSUMPTIONS CALC'!$A$13:$CK$1019,I$6,FALSE)*VLOOKUP($A180,'[1]INPUT_ASSUMPTIONS CALC'!$A$13:$CK$1019,L$7,FALSE)</f>
        <v>0</v>
      </c>
      <c r="M180" s="139">
        <f>$I180*VLOOKUP($A180,'[1]INPUT_ASSUMPTIONS CALC'!$A$13:$CK$1019,I$6,FALSE)*VLOOKUP($A180,'[1]INPUT_ASSUMPTIONS CALC'!$A$13:$CK$1019,M$7,FALSE)</f>
        <v>0</v>
      </c>
      <c r="N180" s="140">
        <f t="shared" si="11"/>
        <v>0</v>
      </c>
      <c r="O180" s="141">
        <f>H180*VLOOKUP($A180,'[1]INPUT_ASSUMPTIONS CALC'!$A$13:$CK$1019,H$6,FALSE)*SUMIF('[1]INPUT_ASSUMPTIONS CALC'!$CQ$15:$CQ$17,'[1]Summary calculation'!E180,'[1]INPUT_ASSUMPTIONS CALC'!$CR$15:$CR$17)</f>
        <v>0</v>
      </c>
      <c r="P180" s="141">
        <f>H180*VLOOKUP($A180,'[1]INPUT_ASSUMPTIONS CALC'!$A$13:$CK$1019,H$6,FALSE)*SUMIF('[1]INPUT_ASSUMPTIONS CALC'!$CV$15:$CV$31,'[1]Summary calculation'!E180,'[1]INPUT_ASSUMPTIONS CALC'!$CW$15:$CW$31)</f>
        <v>0</v>
      </c>
      <c r="Q180" s="141">
        <f>O180*VLOOKUP($A180,'[1]INPUT_ASSUMPTIONS CALC'!$A$13:$CK$1019,Q$7,FALSE)</f>
        <v>0</v>
      </c>
      <c r="R180" s="141">
        <f>P180*VLOOKUP($A180,'[1]INPUT_ASSUMPTIONS CALC'!$A$13:$CK$1019,R$7,FALSE)</f>
        <v>0</v>
      </c>
      <c r="S180" s="140">
        <f t="shared" si="9"/>
        <v>0</v>
      </c>
      <c r="T180" s="142">
        <f t="shared" si="10"/>
        <v>0</v>
      </c>
      <c r="U180" s="61"/>
    </row>
    <row r="181" spans="1:21" x14ac:dyDescent="0.35">
      <c r="A181" s="125" t="str">
        <f t="shared" si="8"/>
        <v>173Q2</v>
      </c>
      <c r="B181" s="135">
        <v>173</v>
      </c>
      <c r="C181" s="61" t="str">
        <f>INDEX('[1]INPUT_ASSUMPTIONS CALC'!D:D,MATCH(A181,'[1]INPUT_ASSUMPTIONS CALC'!A:A,0))</f>
        <v/>
      </c>
      <c r="D181" s="61" t="str">
        <f>INDEX('[1]INPUT_ASSUMPTIONS CALC'!I:I,MATCH(A181,'[1]INPUT_ASSUMPTIONS CALC'!A:A,0))</f>
        <v/>
      </c>
      <c r="E181" s="61" t="str">
        <f>INDEX('[1]INPUT_ASSUMPTIONS CALC'!E:E,MATCH(A181,'[1]INPUT_ASSUMPTIONS CALC'!A:A,0))</f>
        <v/>
      </c>
      <c r="F181" s="136">
        <f>IF($F$5="Q1",VLOOKUP($A181,'[1]INPUT_ASSUMPTIONS CALC'!$A$13:$CK$1019,F$7,FALSE),IF($F$5="Q2",VLOOKUP($A181,'[1]INPUT_ASSUMPTIONS CALC'!$A$13:$CK$1019,F$7,FALSE),IF($F$5="Q3",VLOOKUP($A181,'[1]INPUT_ASSUMPTIONS CALC'!$A$13:$CK$1019,F$7,FALSE),IF($F$5="Q4",VLOOKUP($A181,'[1]INPUT_ASSUMPTIONS CALC'!$A$13:$CK$1019,F$7,FALSE),IF($F$5="Year",VLOOKUP($A181,'[1]INPUT_ASSUMPTIONS CALC'!$A$13:$CK$1019,F$7,FALSE),0)))))</f>
        <v>0</v>
      </c>
      <c r="G181" s="137">
        <f>SUMIF('[1]INPUT_ASSUMPTIONS CALC'!A:A,'[1]Summary calculation'!A181,'[1]INPUT_ASSUMPTIONS CALC'!BU:BU)</f>
        <v>0</v>
      </c>
      <c r="H181" s="138">
        <f>IF($F$5="Year",F181*G181*'[1]INPUT_ASSUMPTIONS CALC'!$S$7,F181*G181)</f>
        <v>0</v>
      </c>
      <c r="I181" s="138">
        <f>H181*VLOOKUP($A181,'[1]INPUT_ASSUMPTIONS CALC'!$A$13:$CK$1019,H$6,FALSE)*SUMIF('[1]INPUT_ASSUMPTIONS CALC'!$CL$15:$CL$17,'[1]Summary calculation'!E181,'[1]INPUT_ASSUMPTIONS CALC'!$CM$15:$CM$17)</f>
        <v>0</v>
      </c>
      <c r="J181" s="139">
        <f>$I181*VLOOKUP($A181,'[1]INPUT_ASSUMPTIONS CALC'!$A$13:$CK$1019,I$6,FALSE)*VLOOKUP($A181,'[1]INPUT_ASSUMPTIONS CALC'!$A$13:$CK$1019,J$7,FALSE)</f>
        <v>0</v>
      </c>
      <c r="K181" s="139">
        <f>$I181*VLOOKUP($A181,'[1]INPUT_ASSUMPTIONS CALC'!$A$13:$CK$1019,I$6,FALSE)*VLOOKUP($A181,'[1]INPUT_ASSUMPTIONS CALC'!$A$13:$CK$1019,K$7,FALSE)</f>
        <v>0</v>
      </c>
      <c r="L181" s="139">
        <f>$I181*VLOOKUP($A181,'[1]INPUT_ASSUMPTIONS CALC'!$A$13:$CK$1019,I$6,FALSE)*VLOOKUP($A181,'[1]INPUT_ASSUMPTIONS CALC'!$A$13:$CK$1019,L$7,FALSE)</f>
        <v>0</v>
      </c>
      <c r="M181" s="139">
        <f>$I181*VLOOKUP($A181,'[1]INPUT_ASSUMPTIONS CALC'!$A$13:$CK$1019,I$6,FALSE)*VLOOKUP($A181,'[1]INPUT_ASSUMPTIONS CALC'!$A$13:$CK$1019,M$7,FALSE)</f>
        <v>0</v>
      </c>
      <c r="N181" s="140">
        <f t="shared" si="11"/>
        <v>0</v>
      </c>
      <c r="O181" s="141">
        <f>H181*VLOOKUP($A181,'[1]INPUT_ASSUMPTIONS CALC'!$A$13:$CK$1019,H$6,FALSE)*SUMIF('[1]INPUT_ASSUMPTIONS CALC'!$CQ$15:$CQ$17,'[1]Summary calculation'!E181,'[1]INPUT_ASSUMPTIONS CALC'!$CR$15:$CR$17)</f>
        <v>0</v>
      </c>
      <c r="P181" s="141">
        <f>H181*VLOOKUP($A181,'[1]INPUT_ASSUMPTIONS CALC'!$A$13:$CK$1019,H$6,FALSE)*SUMIF('[1]INPUT_ASSUMPTIONS CALC'!$CV$15:$CV$31,'[1]Summary calculation'!E181,'[1]INPUT_ASSUMPTIONS CALC'!$CW$15:$CW$31)</f>
        <v>0</v>
      </c>
      <c r="Q181" s="141">
        <f>O181*VLOOKUP($A181,'[1]INPUT_ASSUMPTIONS CALC'!$A$13:$CK$1019,Q$7,FALSE)</f>
        <v>0</v>
      </c>
      <c r="R181" s="141">
        <f>P181*VLOOKUP($A181,'[1]INPUT_ASSUMPTIONS CALC'!$A$13:$CK$1019,R$7,FALSE)</f>
        <v>0</v>
      </c>
      <c r="S181" s="140">
        <f t="shared" si="9"/>
        <v>0</v>
      </c>
      <c r="T181" s="142">
        <f t="shared" si="10"/>
        <v>0</v>
      </c>
      <c r="U181" s="61"/>
    </row>
    <row r="182" spans="1:21" x14ac:dyDescent="0.35">
      <c r="A182" s="125" t="str">
        <f t="shared" si="8"/>
        <v>174Q2</v>
      </c>
      <c r="B182" s="135">
        <v>174</v>
      </c>
      <c r="C182" s="61" t="str">
        <f>INDEX('[1]INPUT_ASSUMPTIONS CALC'!D:D,MATCH(A182,'[1]INPUT_ASSUMPTIONS CALC'!A:A,0))</f>
        <v/>
      </c>
      <c r="D182" s="61" t="str">
        <f>INDEX('[1]INPUT_ASSUMPTIONS CALC'!I:I,MATCH(A182,'[1]INPUT_ASSUMPTIONS CALC'!A:A,0))</f>
        <v/>
      </c>
      <c r="E182" s="61" t="str">
        <f>INDEX('[1]INPUT_ASSUMPTIONS CALC'!E:E,MATCH(A182,'[1]INPUT_ASSUMPTIONS CALC'!A:A,0))</f>
        <v/>
      </c>
      <c r="F182" s="136">
        <f>IF($F$5="Q1",VLOOKUP($A182,'[1]INPUT_ASSUMPTIONS CALC'!$A$13:$CK$1019,F$7,FALSE),IF($F$5="Q2",VLOOKUP($A182,'[1]INPUT_ASSUMPTIONS CALC'!$A$13:$CK$1019,F$7,FALSE),IF($F$5="Q3",VLOOKUP($A182,'[1]INPUT_ASSUMPTIONS CALC'!$A$13:$CK$1019,F$7,FALSE),IF($F$5="Q4",VLOOKUP($A182,'[1]INPUT_ASSUMPTIONS CALC'!$A$13:$CK$1019,F$7,FALSE),IF($F$5="Year",VLOOKUP($A182,'[1]INPUT_ASSUMPTIONS CALC'!$A$13:$CK$1019,F$7,FALSE),0)))))</f>
        <v>0</v>
      </c>
      <c r="G182" s="137">
        <f>SUMIF('[1]INPUT_ASSUMPTIONS CALC'!A:A,'[1]Summary calculation'!A182,'[1]INPUT_ASSUMPTIONS CALC'!BU:BU)</f>
        <v>0</v>
      </c>
      <c r="H182" s="138">
        <f>IF($F$5="Year",F182*G182*'[1]INPUT_ASSUMPTIONS CALC'!$S$7,F182*G182)</f>
        <v>0</v>
      </c>
      <c r="I182" s="138">
        <f>H182*VLOOKUP($A182,'[1]INPUT_ASSUMPTIONS CALC'!$A$13:$CK$1019,H$6,FALSE)*SUMIF('[1]INPUT_ASSUMPTIONS CALC'!$CL$15:$CL$17,'[1]Summary calculation'!E182,'[1]INPUT_ASSUMPTIONS CALC'!$CM$15:$CM$17)</f>
        <v>0</v>
      </c>
      <c r="J182" s="139">
        <f>$I182*VLOOKUP($A182,'[1]INPUT_ASSUMPTIONS CALC'!$A$13:$CK$1019,I$6,FALSE)*VLOOKUP($A182,'[1]INPUT_ASSUMPTIONS CALC'!$A$13:$CK$1019,J$7,FALSE)</f>
        <v>0</v>
      </c>
      <c r="K182" s="139">
        <f>$I182*VLOOKUP($A182,'[1]INPUT_ASSUMPTIONS CALC'!$A$13:$CK$1019,I$6,FALSE)*VLOOKUP($A182,'[1]INPUT_ASSUMPTIONS CALC'!$A$13:$CK$1019,K$7,FALSE)</f>
        <v>0</v>
      </c>
      <c r="L182" s="139">
        <f>$I182*VLOOKUP($A182,'[1]INPUT_ASSUMPTIONS CALC'!$A$13:$CK$1019,I$6,FALSE)*VLOOKUP($A182,'[1]INPUT_ASSUMPTIONS CALC'!$A$13:$CK$1019,L$7,FALSE)</f>
        <v>0</v>
      </c>
      <c r="M182" s="139">
        <f>$I182*VLOOKUP($A182,'[1]INPUT_ASSUMPTIONS CALC'!$A$13:$CK$1019,I$6,FALSE)*VLOOKUP($A182,'[1]INPUT_ASSUMPTIONS CALC'!$A$13:$CK$1019,M$7,FALSE)</f>
        <v>0</v>
      </c>
      <c r="N182" s="140">
        <f t="shared" si="11"/>
        <v>0</v>
      </c>
      <c r="O182" s="141">
        <f>H182*VLOOKUP($A182,'[1]INPUT_ASSUMPTIONS CALC'!$A$13:$CK$1019,H$6,FALSE)*SUMIF('[1]INPUT_ASSUMPTIONS CALC'!$CQ$15:$CQ$17,'[1]Summary calculation'!E182,'[1]INPUT_ASSUMPTIONS CALC'!$CR$15:$CR$17)</f>
        <v>0</v>
      </c>
      <c r="P182" s="141">
        <f>H182*VLOOKUP($A182,'[1]INPUT_ASSUMPTIONS CALC'!$A$13:$CK$1019,H$6,FALSE)*SUMIF('[1]INPUT_ASSUMPTIONS CALC'!$CV$15:$CV$31,'[1]Summary calculation'!E182,'[1]INPUT_ASSUMPTIONS CALC'!$CW$15:$CW$31)</f>
        <v>0</v>
      </c>
      <c r="Q182" s="141">
        <f>O182*VLOOKUP($A182,'[1]INPUT_ASSUMPTIONS CALC'!$A$13:$CK$1019,Q$7,FALSE)</f>
        <v>0</v>
      </c>
      <c r="R182" s="141">
        <f>P182*VLOOKUP($A182,'[1]INPUT_ASSUMPTIONS CALC'!$A$13:$CK$1019,R$7,FALSE)</f>
        <v>0</v>
      </c>
      <c r="S182" s="140">
        <f t="shared" si="9"/>
        <v>0</v>
      </c>
      <c r="T182" s="142">
        <f t="shared" si="10"/>
        <v>0</v>
      </c>
      <c r="U182" s="61"/>
    </row>
    <row r="183" spans="1:21" x14ac:dyDescent="0.35">
      <c r="A183" s="125" t="str">
        <f t="shared" si="8"/>
        <v>175Q2</v>
      </c>
      <c r="B183" s="135">
        <v>175</v>
      </c>
      <c r="C183" s="61" t="str">
        <f>INDEX('[1]INPUT_ASSUMPTIONS CALC'!D:D,MATCH(A183,'[1]INPUT_ASSUMPTIONS CALC'!A:A,0))</f>
        <v/>
      </c>
      <c r="D183" s="61" t="str">
        <f>INDEX('[1]INPUT_ASSUMPTIONS CALC'!I:I,MATCH(A183,'[1]INPUT_ASSUMPTIONS CALC'!A:A,0))</f>
        <v/>
      </c>
      <c r="E183" s="61" t="str">
        <f>INDEX('[1]INPUT_ASSUMPTIONS CALC'!E:E,MATCH(A183,'[1]INPUT_ASSUMPTIONS CALC'!A:A,0))</f>
        <v/>
      </c>
      <c r="F183" s="136">
        <f>IF($F$5="Q1",VLOOKUP($A183,'[1]INPUT_ASSUMPTIONS CALC'!$A$13:$CK$1019,F$7,FALSE),IF($F$5="Q2",VLOOKUP($A183,'[1]INPUT_ASSUMPTIONS CALC'!$A$13:$CK$1019,F$7,FALSE),IF($F$5="Q3",VLOOKUP($A183,'[1]INPUT_ASSUMPTIONS CALC'!$A$13:$CK$1019,F$7,FALSE),IF($F$5="Q4",VLOOKUP($A183,'[1]INPUT_ASSUMPTIONS CALC'!$A$13:$CK$1019,F$7,FALSE),IF($F$5="Year",VLOOKUP($A183,'[1]INPUT_ASSUMPTIONS CALC'!$A$13:$CK$1019,F$7,FALSE),0)))))</f>
        <v>0</v>
      </c>
      <c r="G183" s="137">
        <f>SUMIF('[1]INPUT_ASSUMPTIONS CALC'!A:A,'[1]Summary calculation'!A183,'[1]INPUT_ASSUMPTIONS CALC'!BU:BU)</f>
        <v>0</v>
      </c>
      <c r="H183" s="138">
        <f>IF($F$5="Year",F183*G183*'[1]INPUT_ASSUMPTIONS CALC'!$S$7,F183*G183)</f>
        <v>0</v>
      </c>
      <c r="I183" s="138">
        <f>H183*VLOOKUP($A183,'[1]INPUT_ASSUMPTIONS CALC'!$A$13:$CK$1019,H$6,FALSE)*SUMIF('[1]INPUT_ASSUMPTIONS CALC'!$CL$15:$CL$17,'[1]Summary calculation'!E183,'[1]INPUT_ASSUMPTIONS CALC'!$CM$15:$CM$17)</f>
        <v>0</v>
      </c>
      <c r="J183" s="139">
        <f>$I183*VLOOKUP($A183,'[1]INPUT_ASSUMPTIONS CALC'!$A$13:$CK$1019,I$6,FALSE)*VLOOKUP($A183,'[1]INPUT_ASSUMPTIONS CALC'!$A$13:$CK$1019,J$7,FALSE)</f>
        <v>0</v>
      </c>
      <c r="K183" s="139">
        <f>$I183*VLOOKUP($A183,'[1]INPUT_ASSUMPTIONS CALC'!$A$13:$CK$1019,I$6,FALSE)*VLOOKUP($A183,'[1]INPUT_ASSUMPTIONS CALC'!$A$13:$CK$1019,K$7,FALSE)</f>
        <v>0</v>
      </c>
      <c r="L183" s="139">
        <f>$I183*VLOOKUP($A183,'[1]INPUT_ASSUMPTIONS CALC'!$A$13:$CK$1019,I$6,FALSE)*VLOOKUP($A183,'[1]INPUT_ASSUMPTIONS CALC'!$A$13:$CK$1019,L$7,FALSE)</f>
        <v>0</v>
      </c>
      <c r="M183" s="139">
        <f>$I183*VLOOKUP($A183,'[1]INPUT_ASSUMPTIONS CALC'!$A$13:$CK$1019,I$6,FALSE)*VLOOKUP($A183,'[1]INPUT_ASSUMPTIONS CALC'!$A$13:$CK$1019,M$7,FALSE)</f>
        <v>0</v>
      </c>
      <c r="N183" s="140">
        <f t="shared" si="11"/>
        <v>0</v>
      </c>
      <c r="O183" s="141">
        <f>H183*VLOOKUP($A183,'[1]INPUT_ASSUMPTIONS CALC'!$A$13:$CK$1019,H$6,FALSE)*SUMIF('[1]INPUT_ASSUMPTIONS CALC'!$CQ$15:$CQ$17,'[1]Summary calculation'!E183,'[1]INPUT_ASSUMPTIONS CALC'!$CR$15:$CR$17)</f>
        <v>0</v>
      </c>
      <c r="P183" s="141">
        <f>H183*VLOOKUP($A183,'[1]INPUT_ASSUMPTIONS CALC'!$A$13:$CK$1019,H$6,FALSE)*SUMIF('[1]INPUT_ASSUMPTIONS CALC'!$CV$15:$CV$31,'[1]Summary calculation'!E183,'[1]INPUT_ASSUMPTIONS CALC'!$CW$15:$CW$31)</f>
        <v>0</v>
      </c>
      <c r="Q183" s="141">
        <f>O183*VLOOKUP($A183,'[1]INPUT_ASSUMPTIONS CALC'!$A$13:$CK$1019,Q$7,FALSE)</f>
        <v>0</v>
      </c>
      <c r="R183" s="141">
        <f>P183*VLOOKUP($A183,'[1]INPUT_ASSUMPTIONS CALC'!$A$13:$CK$1019,R$7,FALSE)</f>
        <v>0</v>
      </c>
      <c r="S183" s="140">
        <f t="shared" si="9"/>
        <v>0</v>
      </c>
      <c r="T183" s="142">
        <f t="shared" si="10"/>
        <v>0</v>
      </c>
      <c r="U183" s="61"/>
    </row>
    <row r="184" spans="1:21" x14ac:dyDescent="0.35">
      <c r="A184" s="125" t="str">
        <f t="shared" si="8"/>
        <v>176Q2</v>
      </c>
      <c r="B184" s="135">
        <v>176</v>
      </c>
      <c r="C184" s="61" t="str">
        <f>INDEX('[1]INPUT_ASSUMPTIONS CALC'!D:D,MATCH(A184,'[1]INPUT_ASSUMPTIONS CALC'!A:A,0))</f>
        <v/>
      </c>
      <c r="D184" s="61" t="str">
        <f>INDEX('[1]INPUT_ASSUMPTIONS CALC'!I:I,MATCH(A184,'[1]INPUT_ASSUMPTIONS CALC'!A:A,0))</f>
        <v/>
      </c>
      <c r="E184" s="61" t="str">
        <f>INDEX('[1]INPUT_ASSUMPTIONS CALC'!E:E,MATCH(A184,'[1]INPUT_ASSUMPTIONS CALC'!A:A,0))</f>
        <v/>
      </c>
      <c r="F184" s="136">
        <f>IF($F$5="Q1",VLOOKUP($A184,'[1]INPUT_ASSUMPTIONS CALC'!$A$13:$CK$1019,F$7,FALSE),IF($F$5="Q2",VLOOKUP($A184,'[1]INPUT_ASSUMPTIONS CALC'!$A$13:$CK$1019,F$7,FALSE),IF($F$5="Q3",VLOOKUP($A184,'[1]INPUT_ASSUMPTIONS CALC'!$A$13:$CK$1019,F$7,FALSE),IF($F$5="Q4",VLOOKUP($A184,'[1]INPUT_ASSUMPTIONS CALC'!$A$13:$CK$1019,F$7,FALSE),IF($F$5="Year",VLOOKUP($A184,'[1]INPUT_ASSUMPTIONS CALC'!$A$13:$CK$1019,F$7,FALSE),0)))))</f>
        <v>0</v>
      </c>
      <c r="G184" s="137">
        <f>SUMIF('[1]INPUT_ASSUMPTIONS CALC'!A:A,'[1]Summary calculation'!A184,'[1]INPUT_ASSUMPTIONS CALC'!BU:BU)</f>
        <v>0</v>
      </c>
      <c r="H184" s="138">
        <f>IF($F$5="Year",F184*G184*'[1]INPUT_ASSUMPTIONS CALC'!$S$7,F184*G184)</f>
        <v>0</v>
      </c>
      <c r="I184" s="138">
        <f>H184*VLOOKUP($A184,'[1]INPUT_ASSUMPTIONS CALC'!$A$13:$CK$1019,H$6,FALSE)*SUMIF('[1]INPUT_ASSUMPTIONS CALC'!$CL$15:$CL$17,'[1]Summary calculation'!E184,'[1]INPUT_ASSUMPTIONS CALC'!$CM$15:$CM$17)</f>
        <v>0</v>
      </c>
      <c r="J184" s="139">
        <f>$I184*VLOOKUP($A184,'[1]INPUT_ASSUMPTIONS CALC'!$A$13:$CK$1019,I$6,FALSE)*VLOOKUP($A184,'[1]INPUT_ASSUMPTIONS CALC'!$A$13:$CK$1019,J$7,FALSE)</f>
        <v>0</v>
      </c>
      <c r="K184" s="139">
        <f>$I184*VLOOKUP($A184,'[1]INPUT_ASSUMPTIONS CALC'!$A$13:$CK$1019,I$6,FALSE)*VLOOKUP($A184,'[1]INPUT_ASSUMPTIONS CALC'!$A$13:$CK$1019,K$7,FALSE)</f>
        <v>0</v>
      </c>
      <c r="L184" s="139">
        <f>$I184*VLOOKUP($A184,'[1]INPUT_ASSUMPTIONS CALC'!$A$13:$CK$1019,I$6,FALSE)*VLOOKUP($A184,'[1]INPUT_ASSUMPTIONS CALC'!$A$13:$CK$1019,L$7,FALSE)</f>
        <v>0</v>
      </c>
      <c r="M184" s="139">
        <f>$I184*VLOOKUP($A184,'[1]INPUT_ASSUMPTIONS CALC'!$A$13:$CK$1019,I$6,FALSE)*VLOOKUP($A184,'[1]INPUT_ASSUMPTIONS CALC'!$A$13:$CK$1019,M$7,FALSE)</f>
        <v>0</v>
      </c>
      <c r="N184" s="140">
        <f t="shared" si="11"/>
        <v>0</v>
      </c>
      <c r="O184" s="141">
        <f>H184*VLOOKUP($A184,'[1]INPUT_ASSUMPTIONS CALC'!$A$13:$CK$1019,H$6,FALSE)*SUMIF('[1]INPUT_ASSUMPTIONS CALC'!$CQ$15:$CQ$17,'[1]Summary calculation'!E184,'[1]INPUT_ASSUMPTIONS CALC'!$CR$15:$CR$17)</f>
        <v>0</v>
      </c>
      <c r="P184" s="141">
        <f>H184*VLOOKUP($A184,'[1]INPUT_ASSUMPTIONS CALC'!$A$13:$CK$1019,H$6,FALSE)*SUMIF('[1]INPUT_ASSUMPTIONS CALC'!$CV$15:$CV$31,'[1]Summary calculation'!E184,'[1]INPUT_ASSUMPTIONS CALC'!$CW$15:$CW$31)</f>
        <v>0</v>
      </c>
      <c r="Q184" s="141">
        <f>O184*VLOOKUP($A184,'[1]INPUT_ASSUMPTIONS CALC'!$A$13:$CK$1019,Q$7,FALSE)</f>
        <v>0</v>
      </c>
      <c r="R184" s="141">
        <f>P184*VLOOKUP($A184,'[1]INPUT_ASSUMPTIONS CALC'!$A$13:$CK$1019,R$7,FALSE)</f>
        <v>0</v>
      </c>
      <c r="S184" s="140">
        <f t="shared" si="9"/>
        <v>0</v>
      </c>
      <c r="T184" s="142">
        <f t="shared" si="10"/>
        <v>0</v>
      </c>
      <c r="U184" s="61"/>
    </row>
    <row r="185" spans="1:21" x14ac:dyDescent="0.35">
      <c r="A185" s="125" t="str">
        <f t="shared" si="8"/>
        <v>177Q2</v>
      </c>
      <c r="B185" s="135">
        <v>177</v>
      </c>
      <c r="C185" s="61" t="str">
        <f>INDEX('[1]INPUT_ASSUMPTIONS CALC'!D:D,MATCH(A185,'[1]INPUT_ASSUMPTIONS CALC'!A:A,0))</f>
        <v/>
      </c>
      <c r="D185" s="61" t="str">
        <f>INDEX('[1]INPUT_ASSUMPTIONS CALC'!I:I,MATCH(A185,'[1]INPUT_ASSUMPTIONS CALC'!A:A,0))</f>
        <v/>
      </c>
      <c r="E185" s="61" t="str">
        <f>INDEX('[1]INPUT_ASSUMPTIONS CALC'!E:E,MATCH(A185,'[1]INPUT_ASSUMPTIONS CALC'!A:A,0))</f>
        <v/>
      </c>
      <c r="F185" s="136">
        <f>IF($F$5="Q1",VLOOKUP($A185,'[1]INPUT_ASSUMPTIONS CALC'!$A$13:$CK$1019,F$7,FALSE),IF($F$5="Q2",VLOOKUP($A185,'[1]INPUT_ASSUMPTIONS CALC'!$A$13:$CK$1019,F$7,FALSE),IF($F$5="Q3",VLOOKUP($A185,'[1]INPUT_ASSUMPTIONS CALC'!$A$13:$CK$1019,F$7,FALSE),IF($F$5="Q4",VLOOKUP($A185,'[1]INPUT_ASSUMPTIONS CALC'!$A$13:$CK$1019,F$7,FALSE),IF($F$5="Year",VLOOKUP($A185,'[1]INPUT_ASSUMPTIONS CALC'!$A$13:$CK$1019,F$7,FALSE),0)))))</f>
        <v>0</v>
      </c>
      <c r="G185" s="137">
        <f>SUMIF('[1]INPUT_ASSUMPTIONS CALC'!A:A,'[1]Summary calculation'!A185,'[1]INPUT_ASSUMPTIONS CALC'!BU:BU)</f>
        <v>0</v>
      </c>
      <c r="H185" s="138">
        <f>IF($F$5="Year",F185*G185*'[1]INPUT_ASSUMPTIONS CALC'!$S$7,F185*G185)</f>
        <v>0</v>
      </c>
      <c r="I185" s="138">
        <f>H185*VLOOKUP($A185,'[1]INPUT_ASSUMPTIONS CALC'!$A$13:$CK$1019,H$6,FALSE)*SUMIF('[1]INPUT_ASSUMPTIONS CALC'!$CL$15:$CL$17,'[1]Summary calculation'!E185,'[1]INPUT_ASSUMPTIONS CALC'!$CM$15:$CM$17)</f>
        <v>0</v>
      </c>
      <c r="J185" s="139">
        <f>$I185*VLOOKUP($A185,'[1]INPUT_ASSUMPTIONS CALC'!$A$13:$CK$1019,I$6,FALSE)*VLOOKUP($A185,'[1]INPUT_ASSUMPTIONS CALC'!$A$13:$CK$1019,J$7,FALSE)</f>
        <v>0</v>
      </c>
      <c r="K185" s="139">
        <f>$I185*VLOOKUP($A185,'[1]INPUT_ASSUMPTIONS CALC'!$A$13:$CK$1019,I$6,FALSE)*VLOOKUP($A185,'[1]INPUT_ASSUMPTIONS CALC'!$A$13:$CK$1019,K$7,FALSE)</f>
        <v>0</v>
      </c>
      <c r="L185" s="139">
        <f>$I185*VLOOKUP($A185,'[1]INPUT_ASSUMPTIONS CALC'!$A$13:$CK$1019,I$6,FALSE)*VLOOKUP($A185,'[1]INPUT_ASSUMPTIONS CALC'!$A$13:$CK$1019,L$7,FALSE)</f>
        <v>0</v>
      </c>
      <c r="M185" s="139">
        <f>$I185*VLOOKUP($A185,'[1]INPUT_ASSUMPTIONS CALC'!$A$13:$CK$1019,I$6,FALSE)*VLOOKUP($A185,'[1]INPUT_ASSUMPTIONS CALC'!$A$13:$CK$1019,M$7,FALSE)</f>
        <v>0</v>
      </c>
      <c r="N185" s="140">
        <f t="shared" si="11"/>
        <v>0</v>
      </c>
      <c r="O185" s="141">
        <f>H185*VLOOKUP($A185,'[1]INPUT_ASSUMPTIONS CALC'!$A$13:$CK$1019,H$6,FALSE)*SUMIF('[1]INPUT_ASSUMPTIONS CALC'!$CQ$15:$CQ$17,'[1]Summary calculation'!E185,'[1]INPUT_ASSUMPTIONS CALC'!$CR$15:$CR$17)</f>
        <v>0</v>
      </c>
      <c r="P185" s="141">
        <f>H185*VLOOKUP($A185,'[1]INPUT_ASSUMPTIONS CALC'!$A$13:$CK$1019,H$6,FALSE)*SUMIF('[1]INPUT_ASSUMPTIONS CALC'!$CV$15:$CV$31,'[1]Summary calculation'!E185,'[1]INPUT_ASSUMPTIONS CALC'!$CW$15:$CW$31)</f>
        <v>0</v>
      </c>
      <c r="Q185" s="141">
        <f>O185*VLOOKUP($A185,'[1]INPUT_ASSUMPTIONS CALC'!$A$13:$CK$1019,Q$7,FALSE)</f>
        <v>0</v>
      </c>
      <c r="R185" s="141">
        <f>P185*VLOOKUP($A185,'[1]INPUT_ASSUMPTIONS CALC'!$A$13:$CK$1019,R$7,FALSE)</f>
        <v>0</v>
      </c>
      <c r="S185" s="140">
        <f t="shared" si="9"/>
        <v>0</v>
      </c>
      <c r="T185" s="142">
        <f t="shared" si="10"/>
        <v>0</v>
      </c>
      <c r="U185" s="61"/>
    </row>
    <row r="186" spans="1:21" x14ac:dyDescent="0.35">
      <c r="A186" s="125" t="str">
        <f t="shared" si="8"/>
        <v>178Q2</v>
      </c>
      <c r="B186" s="135">
        <v>178</v>
      </c>
      <c r="C186" s="61" t="str">
        <f>INDEX('[1]INPUT_ASSUMPTIONS CALC'!D:D,MATCH(A186,'[1]INPUT_ASSUMPTIONS CALC'!A:A,0))</f>
        <v/>
      </c>
      <c r="D186" s="61" t="str">
        <f>INDEX('[1]INPUT_ASSUMPTIONS CALC'!I:I,MATCH(A186,'[1]INPUT_ASSUMPTIONS CALC'!A:A,0))</f>
        <v/>
      </c>
      <c r="E186" s="61" t="str">
        <f>INDEX('[1]INPUT_ASSUMPTIONS CALC'!E:E,MATCH(A186,'[1]INPUT_ASSUMPTIONS CALC'!A:A,0))</f>
        <v/>
      </c>
      <c r="F186" s="136">
        <f>IF($F$5="Q1",VLOOKUP($A186,'[1]INPUT_ASSUMPTIONS CALC'!$A$13:$CK$1019,F$7,FALSE),IF($F$5="Q2",VLOOKUP($A186,'[1]INPUT_ASSUMPTIONS CALC'!$A$13:$CK$1019,F$7,FALSE),IF($F$5="Q3",VLOOKUP($A186,'[1]INPUT_ASSUMPTIONS CALC'!$A$13:$CK$1019,F$7,FALSE),IF($F$5="Q4",VLOOKUP($A186,'[1]INPUT_ASSUMPTIONS CALC'!$A$13:$CK$1019,F$7,FALSE),IF($F$5="Year",VLOOKUP($A186,'[1]INPUT_ASSUMPTIONS CALC'!$A$13:$CK$1019,F$7,FALSE),0)))))</f>
        <v>0</v>
      </c>
      <c r="G186" s="137">
        <f>SUMIF('[1]INPUT_ASSUMPTIONS CALC'!A:A,'[1]Summary calculation'!A186,'[1]INPUT_ASSUMPTIONS CALC'!BU:BU)</f>
        <v>0</v>
      </c>
      <c r="H186" s="138">
        <f>IF($F$5="Year",F186*G186*'[1]INPUT_ASSUMPTIONS CALC'!$S$7,F186*G186)</f>
        <v>0</v>
      </c>
      <c r="I186" s="138">
        <f>H186*VLOOKUP($A186,'[1]INPUT_ASSUMPTIONS CALC'!$A$13:$CK$1019,H$6,FALSE)*SUMIF('[1]INPUT_ASSUMPTIONS CALC'!$CL$15:$CL$17,'[1]Summary calculation'!E186,'[1]INPUT_ASSUMPTIONS CALC'!$CM$15:$CM$17)</f>
        <v>0</v>
      </c>
      <c r="J186" s="139">
        <f>$I186*VLOOKUP($A186,'[1]INPUT_ASSUMPTIONS CALC'!$A$13:$CK$1019,I$6,FALSE)*VLOOKUP($A186,'[1]INPUT_ASSUMPTIONS CALC'!$A$13:$CK$1019,J$7,FALSE)</f>
        <v>0</v>
      </c>
      <c r="K186" s="139">
        <f>$I186*VLOOKUP($A186,'[1]INPUT_ASSUMPTIONS CALC'!$A$13:$CK$1019,I$6,FALSE)*VLOOKUP($A186,'[1]INPUT_ASSUMPTIONS CALC'!$A$13:$CK$1019,K$7,FALSE)</f>
        <v>0</v>
      </c>
      <c r="L186" s="139">
        <f>$I186*VLOOKUP($A186,'[1]INPUT_ASSUMPTIONS CALC'!$A$13:$CK$1019,I$6,FALSE)*VLOOKUP($A186,'[1]INPUT_ASSUMPTIONS CALC'!$A$13:$CK$1019,L$7,FALSE)</f>
        <v>0</v>
      </c>
      <c r="M186" s="139">
        <f>$I186*VLOOKUP($A186,'[1]INPUT_ASSUMPTIONS CALC'!$A$13:$CK$1019,I$6,FALSE)*VLOOKUP($A186,'[1]INPUT_ASSUMPTIONS CALC'!$A$13:$CK$1019,M$7,FALSE)</f>
        <v>0</v>
      </c>
      <c r="N186" s="140">
        <f t="shared" si="11"/>
        <v>0</v>
      </c>
      <c r="O186" s="141">
        <f>H186*VLOOKUP($A186,'[1]INPUT_ASSUMPTIONS CALC'!$A$13:$CK$1019,H$6,FALSE)*SUMIF('[1]INPUT_ASSUMPTIONS CALC'!$CQ$15:$CQ$17,'[1]Summary calculation'!E186,'[1]INPUT_ASSUMPTIONS CALC'!$CR$15:$CR$17)</f>
        <v>0</v>
      </c>
      <c r="P186" s="141">
        <f>H186*VLOOKUP($A186,'[1]INPUT_ASSUMPTIONS CALC'!$A$13:$CK$1019,H$6,FALSE)*SUMIF('[1]INPUT_ASSUMPTIONS CALC'!$CV$15:$CV$31,'[1]Summary calculation'!E186,'[1]INPUT_ASSUMPTIONS CALC'!$CW$15:$CW$31)</f>
        <v>0</v>
      </c>
      <c r="Q186" s="141">
        <f>O186*VLOOKUP($A186,'[1]INPUT_ASSUMPTIONS CALC'!$A$13:$CK$1019,Q$7,FALSE)</f>
        <v>0</v>
      </c>
      <c r="R186" s="141">
        <f>P186*VLOOKUP($A186,'[1]INPUT_ASSUMPTIONS CALC'!$A$13:$CK$1019,R$7,FALSE)</f>
        <v>0</v>
      </c>
      <c r="S186" s="140">
        <f t="shared" si="9"/>
        <v>0</v>
      </c>
      <c r="T186" s="142">
        <f t="shared" si="10"/>
        <v>0</v>
      </c>
      <c r="U186" s="61"/>
    </row>
    <row r="187" spans="1:21" x14ac:dyDescent="0.35">
      <c r="A187" s="125" t="str">
        <f t="shared" si="8"/>
        <v>179Q2</v>
      </c>
      <c r="B187" s="135">
        <v>179</v>
      </c>
      <c r="C187" s="61" t="str">
        <f>INDEX('[1]INPUT_ASSUMPTIONS CALC'!D:D,MATCH(A187,'[1]INPUT_ASSUMPTIONS CALC'!A:A,0))</f>
        <v/>
      </c>
      <c r="D187" s="61" t="str">
        <f>INDEX('[1]INPUT_ASSUMPTIONS CALC'!I:I,MATCH(A187,'[1]INPUT_ASSUMPTIONS CALC'!A:A,0))</f>
        <v/>
      </c>
      <c r="E187" s="61" t="str">
        <f>INDEX('[1]INPUT_ASSUMPTIONS CALC'!E:E,MATCH(A187,'[1]INPUT_ASSUMPTIONS CALC'!A:A,0))</f>
        <v/>
      </c>
      <c r="F187" s="136">
        <f>IF($F$5="Q1",VLOOKUP($A187,'[1]INPUT_ASSUMPTIONS CALC'!$A$13:$CK$1019,F$7,FALSE),IF($F$5="Q2",VLOOKUP($A187,'[1]INPUT_ASSUMPTIONS CALC'!$A$13:$CK$1019,F$7,FALSE),IF($F$5="Q3",VLOOKUP($A187,'[1]INPUT_ASSUMPTIONS CALC'!$A$13:$CK$1019,F$7,FALSE),IF($F$5="Q4",VLOOKUP($A187,'[1]INPUT_ASSUMPTIONS CALC'!$A$13:$CK$1019,F$7,FALSE),IF($F$5="Year",VLOOKUP($A187,'[1]INPUT_ASSUMPTIONS CALC'!$A$13:$CK$1019,F$7,FALSE),0)))))</f>
        <v>0</v>
      </c>
      <c r="G187" s="137">
        <f>SUMIF('[1]INPUT_ASSUMPTIONS CALC'!A:A,'[1]Summary calculation'!A187,'[1]INPUT_ASSUMPTIONS CALC'!BU:BU)</f>
        <v>0</v>
      </c>
      <c r="H187" s="138">
        <f>IF($F$5="Year",F187*G187*'[1]INPUT_ASSUMPTIONS CALC'!$S$7,F187*G187)</f>
        <v>0</v>
      </c>
      <c r="I187" s="138">
        <f>H187*VLOOKUP($A187,'[1]INPUT_ASSUMPTIONS CALC'!$A$13:$CK$1019,H$6,FALSE)*SUMIF('[1]INPUT_ASSUMPTIONS CALC'!$CL$15:$CL$17,'[1]Summary calculation'!E187,'[1]INPUT_ASSUMPTIONS CALC'!$CM$15:$CM$17)</f>
        <v>0</v>
      </c>
      <c r="J187" s="139">
        <f>$I187*VLOOKUP($A187,'[1]INPUT_ASSUMPTIONS CALC'!$A$13:$CK$1019,I$6,FALSE)*VLOOKUP($A187,'[1]INPUT_ASSUMPTIONS CALC'!$A$13:$CK$1019,J$7,FALSE)</f>
        <v>0</v>
      </c>
      <c r="K187" s="139">
        <f>$I187*VLOOKUP($A187,'[1]INPUT_ASSUMPTIONS CALC'!$A$13:$CK$1019,I$6,FALSE)*VLOOKUP($A187,'[1]INPUT_ASSUMPTIONS CALC'!$A$13:$CK$1019,K$7,FALSE)</f>
        <v>0</v>
      </c>
      <c r="L187" s="139">
        <f>$I187*VLOOKUP($A187,'[1]INPUT_ASSUMPTIONS CALC'!$A$13:$CK$1019,I$6,FALSE)*VLOOKUP($A187,'[1]INPUT_ASSUMPTIONS CALC'!$A$13:$CK$1019,L$7,FALSE)</f>
        <v>0</v>
      </c>
      <c r="M187" s="139">
        <f>$I187*VLOOKUP($A187,'[1]INPUT_ASSUMPTIONS CALC'!$A$13:$CK$1019,I$6,FALSE)*VLOOKUP($A187,'[1]INPUT_ASSUMPTIONS CALC'!$A$13:$CK$1019,M$7,FALSE)</f>
        <v>0</v>
      </c>
      <c r="N187" s="140">
        <f t="shared" si="11"/>
        <v>0</v>
      </c>
      <c r="O187" s="141">
        <f>H187*VLOOKUP($A187,'[1]INPUT_ASSUMPTIONS CALC'!$A$13:$CK$1019,H$6,FALSE)*SUMIF('[1]INPUT_ASSUMPTIONS CALC'!$CQ$15:$CQ$17,'[1]Summary calculation'!E187,'[1]INPUT_ASSUMPTIONS CALC'!$CR$15:$CR$17)</f>
        <v>0</v>
      </c>
      <c r="P187" s="141">
        <f>H187*VLOOKUP($A187,'[1]INPUT_ASSUMPTIONS CALC'!$A$13:$CK$1019,H$6,FALSE)*SUMIF('[1]INPUT_ASSUMPTIONS CALC'!$CV$15:$CV$31,'[1]Summary calculation'!E187,'[1]INPUT_ASSUMPTIONS CALC'!$CW$15:$CW$31)</f>
        <v>0</v>
      </c>
      <c r="Q187" s="141">
        <f>O187*VLOOKUP($A187,'[1]INPUT_ASSUMPTIONS CALC'!$A$13:$CK$1019,Q$7,FALSE)</f>
        <v>0</v>
      </c>
      <c r="R187" s="141">
        <f>P187*VLOOKUP($A187,'[1]INPUT_ASSUMPTIONS CALC'!$A$13:$CK$1019,R$7,FALSE)</f>
        <v>0</v>
      </c>
      <c r="S187" s="140">
        <f t="shared" si="9"/>
        <v>0</v>
      </c>
      <c r="T187" s="142">
        <f t="shared" si="10"/>
        <v>0</v>
      </c>
      <c r="U187" s="61"/>
    </row>
    <row r="188" spans="1:21" x14ac:dyDescent="0.35">
      <c r="A188" s="125" t="str">
        <f t="shared" si="8"/>
        <v>180Q2</v>
      </c>
      <c r="B188" s="135">
        <v>180</v>
      </c>
      <c r="C188" s="61" t="str">
        <f>INDEX('[1]INPUT_ASSUMPTIONS CALC'!D:D,MATCH(A188,'[1]INPUT_ASSUMPTIONS CALC'!A:A,0))</f>
        <v/>
      </c>
      <c r="D188" s="61" t="str">
        <f>INDEX('[1]INPUT_ASSUMPTIONS CALC'!I:I,MATCH(A188,'[1]INPUT_ASSUMPTIONS CALC'!A:A,0))</f>
        <v/>
      </c>
      <c r="E188" s="61" t="str">
        <f>INDEX('[1]INPUT_ASSUMPTIONS CALC'!E:E,MATCH(A188,'[1]INPUT_ASSUMPTIONS CALC'!A:A,0))</f>
        <v/>
      </c>
      <c r="F188" s="136">
        <f>IF($F$5="Q1",VLOOKUP($A188,'[1]INPUT_ASSUMPTIONS CALC'!$A$13:$CK$1019,F$7,FALSE),IF($F$5="Q2",VLOOKUP($A188,'[1]INPUT_ASSUMPTIONS CALC'!$A$13:$CK$1019,F$7,FALSE),IF($F$5="Q3",VLOOKUP($A188,'[1]INPUT_ASSUMPTIONS CALC'!$A$13:$CK$1019,F$7,FALSE),IF($F$5="Q4",VLOOKUP($A188,'[1]INPUT_ASSUMPTIONS CALC'!$A$13:$CK$1019,F$7,FALSE),IF($F$5="Year",VLOOKUP($A188,'[1]INPUT_ASSUMPTIONS CALC'!$A$13:$CK$1019,F$7,FALSE),0)))))</f>
        <v>0</v>
      </c>
      <c r="G188" s="137">
        <f>SUMIF('[1]INPUT_ASSUMPTIONS CALC'!A:A,'[1]Summary calculation'!A188,'[1]INPUT_ASSUMPTIONS CALC'!BU:BU)</f>
        <v>0</v>
      </c>
      <c r="H188" s="138">
        <f>IF($F$5="Year",F188*G188*'[1]INPUT_ASSUMPTIONS CALC'!$S$7,F188*G188)</f>
        <v>0</v>
      </c>
      <c r="I188" s="138">
        <f>H188*VLOOKUP($A188,'[1]INPUT_ASSUMPTIONS CALC'!$A$13:$CK$1019,H$6,FALSE)*SUMIF('[1]INPUT_ASSUMPTIONS CALC'!$CL$15:$CL$17,'[1]Summary calculation'!E188,'[1]INPUT_ASSUMPTIONS CALC'!$CM$15:$CM$17)</f>
        <v>0</v>
      </c>
      <c r="J188" s="139">
        <f>$I188*VLOOKUP($A188,'[1]INPUT_ASSUMPTIONS CALC'!$A$13:$CK$1019,I$6,FALSE)*VLOOKUP($A188,'[1]INPUT_ASSUMPTIONS CALC'!$A$13:$CK$1019,J$7,FALSE)</f>
        <v>0</v>
      </c>
      <c r="K188" s="139">
        <f>$I188*VLOOKUP($A188,'[1]INPUT_ASSUMPTIONS CALC'!$A$13:$CK$1019,I$6,FALSE)*VLOOKUP($A188,'[1]INPUT_ASSUMPTIONS CALC'!$A$13:$CK$1019,K$7,FALSE)</f>
        <v>0</v>
      </c>
      <c r="L188" s="139">
        <f>$I188*VLOOKUP($A188,'[1]INPUT_ASSUMPTIONS CALC'!$A$13:$CK$1019,I$6,FALSE)*VLOOKUP($A188,'[1]INPUT_ASSUMPTIONS CALC'!$A$13:$CK$1019,L$7,FALSE)</f>
        <v>0</v>
      </c>
      <c r="M188" s="139">
        <f>$I188*VLOOKUP($A188,'[1]INPUT_ASSUMPTIONS CALC'!$A$13:$CK$1019,I$6,FALSE)*VLOOKUP($A188,'[1]INPUT_ASSUMPTIONS CALC'!$A$13:$CK$1019,M$7,FALSE)</f>
        <v>0</v>
      </c>
      <c r="N188" s="140">
        <f t="shared" si="11"/>
        <v>0</v>
      </c>
      <c r="O188" s="141">
        <f>H188*VLOOKUP($A188,'[1]INPUT_ASSUMPTIONS CALC'!$A$13:$CK$1019,H$6,FALSE)*SUMIF('[1]INPUT_ASSUMPTIONS CALC'!$CQ$15:$CQ$17,'[1]Summary calculation'!E188,'[1]INPUT_ASSUMPTIONS CALC'!$CR$15:$CR$17)</f>
        <v>0</v>
      </c>
      <c r="P188" s="141">
        <f>H188*VLOOKUP($A188,'[1]INPUT_ASSUMPTIONS CALC'!$A$13:$CK$1019,H$6,FALSE)*SUMIF('[1]INPUT_ASSUMPTIONS CALC'!$CV$15:$CV$31,'[1]Summary calculation'!E188,'[1]INPUT_ASSUMPTIONS CALC'!$CW$15:$CW$31)</f>
        <v>0</v>
      </c>
      <c r="Q188" s="141">
        <f>O188*VLOOKUP($A188,'[1]INPUT_ASSUMPTIONS CALC'!$A$13:$CK$1019,Q$7,FALSE)</f>
        <v>0</v>
      </c>
      <c r="R188" s="141">
        <f>P188*VLOOKUP($A188,'[1]INPUT_ASSUMPTIONS CALC'!$A$13:$CK$1019,R$7,FALSE)</f>
        <v>0</v>
      </c>
      <c r="S188" s="140">
        <f t="shared" si="9"/>
        <v>0</v>
      </c>
      <c r="T188" s="142">
        <f t="shared" si="10"/>
        <v>0</v>
      </c>
      <c r="U188" s="61"/>
    </row>
    <row r="189" spans="1:21" x14ac:dyDescent="0.35">
      <c r="A189" s="125" t="str">
        <f t="shared" si="8"/>
        <v>181Q2</v>
      </c>
      <c r="B189" s="135">
        <v>181</v>
      </c>
      <c r="C189" s="61" t="str">
        <f>INDEX('[1]INPUT_ASSUMPTIONS CALC'!D:D,MATCH(A189,'[1]INPUT_ASSUMPTIONS CALC'!A:A,0))</f>
        <v/>
      </c>
      <c r="D189" s="61" t="str">
        <f>INDEX('[1]INPUT_ASSUMPTIONS CALC'!I:I,MATCH(A189,'[1]INPUT_ASSUMPTIONS CALC'!A:A,0))</f>
        <v/>
      </c>
      <c r="E189" s="61" t="str">
        <f>INDEX('[1]INPUT_ASSUMPTIONS CALC'!E:E,MATCH(A189,'[1]INPUT_ASSUMPTIONS CALC'!A:A,0))</f>
        <v/>
      </c>
      <c r="F189" s="136">
        <f>IF($F$5="Q1",VLOOKUP($A189,'[1]INPUT_ASSUMPTIONS CALC'!$A$13:$CK$1019,F$7,FALSE),IF($F$5="Q2",VLOOKUP($A189,'[1]INPUT_ASSUMPTIONS CALC'!$A$13:$CK$1019,F$7,FALSE),IF($F$5="Q3",VLOOKUP($A189,'[1]INPUT_ASSUMPTIONS CALC'!$A$13:$CK$1019,F$7,FALSE),IF($F$5="Q4",VLOOKUP($A189,'[1]INPUT_ASSUMPTIONS CALC'!$A$13:$CK$1019,F$7,FALSE),IF($F$5="Year",VLOOKUP($A189,'[1]INPUT_ASSUMPTIONS CALC'!$A$13:$CK$1019,F$7,FALSE),0)))))</f>
        <v>0</v>
      </c>
      <c r="G189" s="137">
        <f>SUMIF('[1]INPUT_ASSUMPTIONS CALC'!A:A,'[1]Summary calculation'!A189,'[1]INPUT_ASSUMPTIONS CALC'!BU:BU)</f>
        <v>0</v>
      </c>
      <c r="H189" s="138">
        <f>IF($F$5="Year",F189*G189*'[1]INPUT_ASSUMPTIONS CALC'!$S$7,F189*G189)</f>
        <v>0</v>
      </c>
      <c r="I189" s="138">
        <f>H189*VLOOKUP($A189,'[1]INPUT_ASSUMPTIONS CALC'!$A$13:$CK$1019,H$6,FALSE)*SUMIF('[1]INPUT_ASSUMPTIONS CALC'!$CL$15:$CL$17,'[1]Summary calculation'!E189,'[1]INPUT_ASSUMPTIONS CALC'!$CM$15:$CM$17)</f>
        <v>0</v>
      </c>
      <c r="J189" s="139">
        <f>$I189*VLOOKUP($A189,'[1]INPUT_ASSUMPTIONS CALC'!$A$13:$CK$1019,I$6,FALSE)*VLOOKUP($A189,'[1]INPUT_ASSUMPTIONS CALC'!$A$13:$CK$1019,J$7,FALSE)</f>
        <v>0</v>
      </c>
      <c r="K189" s="139">
        <f>$I189*VLOOKUP($A189,'[1]INPUT_ASSUMPTIONS CALC'!$A$13:$CK$1019,I$6,FALSE)*VLOOKUP($A189,'[1]INPUT_ASSUMPTIONS CALC'!$A$13:$CK$1019,K$7,FALSE)</f>
        <v>0</v>
      </c>
      <c r="L189" s="139">
        <f>$I189*VLOOKUP($A189,'[1]INPUT_ASSUMPTIONS CALC'!$A$13:$CK$1019,I$6,FALSE)*VLOOKUP($A189,'[1]INPUT_ASSUMPTIONS CALC'!$A$13:$CK$1019,L$7,FALSE)</f>
        <v>0</v>
      </c>
      <c r="M189" s="139">
        <f>$I189*VLOOKUP($A189,'[1]INPUT_ASSUMPTIONS CALC'!$A$13:$CK$1019,I$6,FALSE)*VLOOKUP($A189,'[1]INPUT_ASSUMPTIONS CALC'!$A$13:$CK$1019,M$7,FALSE)</f>
        <v>0</v>
      </c>
      <c r="N189" s="140">
        <f t="shared" si="11"/>
        <v>0</v>
      </c>
      <c r="O189" s="141">
        <f>H189*VLOOKUP($A189,'[1]INPUT_ASSUMPTIONS CALC'!$A$13:$CK$1019,H$6,FALSE)*SUMIF('[1]INPUT_ASSUMPTIONS CALC'!$CQ$15:$CQ$17,'[1]Summary calculation'!E189,'[1]INPUT_ASSUMPTIONS CALC'!$CR$15:$CR$17)</f>
        <v>0</v>
      </c>
      <c r="P189" s="141">
        <f>H189*VLOOKUP($A189,'[1]INPUT_ASSUMPTIONS CALC'!$A$13:$CK$1019,H$6,FALSE)*SUMIF('[1]INPUT_ASSUMPTIONS CALC'!$CV$15:$CV$31,'[1]Summary calculation'!E189,'[1]INPUT_ASSUMPTIONS CALC'!$CW$15:$CW$31)</f>
        <v>0</v>
      </c>
      <c r="Q189" s="141">
        <f>O189*VLOOKUP($A189,'[1]INPUT_ASSUMPTIONS CALC'!$A$13:$CK$1019,Q$7,FALSE)</f>
        <v>0</v>
      </c>
      <c r="R189" s="141">
        <f>P189*VLOOKUP($A189,'[1]INPUT_ASSUMPTIONS CALC'!$A$13:$CK$1019,R$7,FALSE)</f>
        <v>0</v>
      </c>
      <c r="S189" s="140">
        <f t="shared" si="9"/>
        <v>0</v>
      </c>
      <c r="T189" s="142">
        <f t="shared" si="10"/>
        <v>0</v>
      </c>
      <c r="U189" s="61"/>
    </row>
    <row r="190" spans="1:21" x14ac:dyDescent="0.35">
      <c r="A190" s="125" t="str">
        <f t="shared" si="8"/>
        <v>182Q2</v>
      </c>
      <c r="B190" s="135">
        <v>182</v>
      </c>
      <c r="C190" s="61" t="str">
        <f>INDEX('[1]INPUT_ASSUMPTIONS CALC'!D:D,MATCH(A190,'[1]INPUT_ASSUMPTIONS CALC'!A:A,0))</f>
        <v/>
      </c>
      <c r="D190" s="61" t="str">
        <f>INDEX('[1]INPUT_ASSUMPTIONS CALC'!I:I,MATCH(A190,'[1]INPUT_ASSUMPTIONS CALC'!A:A,0))</f>
        <v/>
      </c>
      <c r="E190" s="61" t="str">
        <f>INDEX('[1]INPUT_ASSUMPTIONS CALC'!E:E,MATCH(A190,'[1]INPUT_ASSUMPTIONS CALC'!A:A,0))</f>
        <v/>
      </c>
      <c r="F190" s="136">
        <f>IF($F$5="Q1",VLOOKUP($A190,'[1]INPUT_ASSUMPTIONS CALC'!$A$13:$CK$1019,F$7,FALSE),IF($F$5="Q2",VLOOKUP($A190,'[1]INPUT_ASSUMPTIONS CALC'!$A$13:$CK$1019,F$7,FALSE),IF($F$5="Q3",VLOOKUP($A190,'[1]INPUT_ASSUMPTIONS CALC'!$A$13:$CK$1019,F$7,FALSE),IF($F$5="Q4",VLOOKUP($A190,'[1]INPUT_ASSUMPTIONS CALC'!$A$13:$CK$1019,F$7,FALSE),IF($F$5="Year",VLOOKUP($A190,'[1]INPUT_ASSUMPTIONS CALC'!$A$13:$CK$1019,F$7,FALSE),0)))))</f>
        <v>0</v>
      </c>
      <c r="G190" s="137">
        <f>SUMIF('[1]INPUT_ASSUMPTIONS CALC'!A:A,'[1]Summary calculation'!A190,'[1]INPUT_ASSUMPTIONS CALC'!BU:BU)</f>
        <v>0</v>
      </c>
      <c r="H190" s="138">
        <f>IF($F$5="Year",F190*G190*'[1]INPUT_ASSUMPTIONS CALC'!$S$7,F190*G190)</f>
        <v>0</v>
      </c>
      <c r="I190" s="138">
        <f>H190*VLOOKUP($A190,'[1]INPUT_ASSUMPTIONS CALC'!$A$13:$CK$1019,H$6,FALSE)*SUMIF('[1]INPUT_ASSUMPTIONS CALC'!$CL$15:$CL$17,'[1]Summary calculation'!E190,'[1]INPUT_ASSUMPTIONS CALC'!$CM$15:$CM$17)</f>
        <v>0</v>
      </c>
      <c r="J190" s="139">
        <f>$I190*VLOOKUP($A190,'[1]INPUT_ASSUMPTIONS CALC'!$A$13:$CK$1019,I$6,FALSE)*VLOOKUP($A190,'[1]INPUT_ASSUMPTIONS CALC'!$A$13:$CK$1019,J$7,FALSE)</f>
        <v>0</v>
      </c>
      <c r="K190" s="139">
        <f>$I190*VLOOKUP($A190,'[1]INPUT_ASSUMPTIONS CALC'!$A$13:$CK$1019,I$6,FALSE)*VLOOKUP($A190,'[1]INPUT_ASSUMPTIONS CALC'!$A$13:$CK$1019,K$7,FALSE)</f>
        <v>0</v>
      </c>
      <c r="L190" s="139">
        <f>$I190*VLOOKUP($A190,'[1]INPUT_ASSUMPTIONS CALC'!$A$13:$CK$1019,I$6,FALSE)*VLOOKUP($A190,'[1]INPUT_ASSUMPTIONS CALC'!$A$13:$CK$1019,L$7,FALSE)</f>
        <v>0</v>
      </c>
      <c r="M190" s="139">
        <f>$I190*VLOOKUP($A190,'[1]INPUT_ASSUMPTIONS CALC'!$A$13:$CK$1019,I$6,FALSE)*VLOOKUP($A190,'[1]INPUT_ASSUMPTIONS CALC'!$A$13:$CK$1019,M$7,FALSE)</f>
        <v>0</v>
      </c>
      <c r="N190" s="140">
        <f t="shared" si="11"/>
        <v>0</v>
      </c>
      <c r="O190" s="141">
        <f>H190*VLOOKUP($A190,'[1]INPUT_ASSUMPTIONS CALC'!$A$13:$CK$1019,H$6,FALSE)*SUMIF('[1]INPUT_ASSUMPTIONS CALC'!$CQ$15:$CQ$17,'[1]Summary calculation'!E190,'[1]INPUT_ASSUMPTIONS CALC'!$CR$15:$CR$17)</f>
        <v>0</v>
      </c>
      <c r="P190" s="141">
        <f>H190*VLOOKUP($A190,'[1]INPUT_ASSUMPTIONS CALC'!$A$13:$CK$1019,H$6,FALSE)*SUMIF('[1]INPUT_ASSUMPTIONS CALC'!$CV$15:$CV$31,'[1]Summary calculation'!E190,'[1]INPUT_ASSUMPTIONS CALC'!$CW$15:$CW$31)</f>
        <v>0</v>
      </c>
      <c r="Q190" s="141">
        <f>O190*VLOOKUP($A190,'[1]INPUT_ASSUMPTIONS CALC'!$A$13:$CK$1019,Q$7,FALSE)</f>
        <v>0</v>
      </c>
      <c r="R190" s="141">
        <f>P190*VLOOKUP($A190,'[1]INPUT_ASSUMPTIONS CALC'!$A$13:$CK$1019,R$7,FALSE)</f>
        <v>0</v>
      </c>
      <c r="S190" s="140">
        <f t="shared" si="9"/>
        <v>0</v>
      </c>
      <c r="T190" s="142">
        <f t="shared" si="10"/>
        <v>0</v>
      </c>
      <c r="U190" s="61"/>
    </row>
    <row r="191" spans="1:21" x14ac:dyDescent="0.35">
      <c r="A191" s="125" t="str">
        <f t="shared" si="8"/>
        <v>183Q2</v>
      </c>
      <c r="B191" s="135">
        <v>183</v>
      </c>
      <c r="C191" s="61" t="str">
        <f>INDEX('[1]INPUT_ASSUMPTIONS CALC'!D:D,MATCH(A191,'[1]INPUT_ASSUMPTIONS CALC'!A:A,0))</f>
        <v/>
      </c>
      <c r="D191" s="61" t="str">
        <f>INDEX('[1]INPUT_ASSUMPTIONS CALC'!I:I,MATCH(A191,'[1]INPUT_ASSUMPTIONS CALC'!A:A,0))</f>
        <v/>
      </c>
      <c r="E191" s="61" t="str">
        <f>INDEX('[1]INPUT_ASSUMPTIONS CALC'!E:E,MATCH(A191,'[1]INPUT_ASSUMPTIONS CALC'!A:A,0))</f>
        <v/>
      </c>
      <c r="F191" s="136">
        <f>IF($F$5="Q1",VLOOKUP($A191,'[1]INPUT_ASSUMPTIONS CALC'!$A$13:$CK$1019,F$7,FALSE),IF($F$5="Q2",VLOOKUP($A191,'[1]INPUT_ASSUMPTIONS CALC'!$A$13:$CK$1019,F$7,FALSE),IF($F$5="Q3",VLOOKUP($A191,'[1]INPUT_ASSUMPTIONS CALC'!$A$13:$CK$1019,F$7,FALSE),IF($F$5="Q4",VLOOKUP($A191,'[1]INPUT_ASSUMPTIONS CALC'!$A$13:$CK$1019,F$7,FALSE),IF($F$5="Year",VLOOKUP($A191,'[1]INPUT_ASSUMPTIONS CALC'!$A$13:$CK$1019,F$7,FALSE),0)))))</f>
        <v>0</v>
      </c>
      <c r="G191" s="137">
        <f>SUMIF('[1]INPUT_ASSUMPTIONS CALC'!A:A,'[1]Summary calculation'!A191,'[1]INPUT_ASSUMPTIONS CALC'!BU:BU)</f>
        <v>0</v>
      </c>
      <c r="H191" s="138">
        <f>IF($F$5="Year",F191*G191*'[1]INPUT_ASSUMPTIONS CALC'!$S$7,F191*G191)</f>
        <v>0</v>
      </c>
      <c r="I191" s="138">
        <f>H191*VLOOKUP($A191,'[1]INPUT_ASSUMPTIONS CALC'!$A$13:$CK$1019,H$6,FALSE)*SUMIF('[1]INPUT_ASSUMPTIONS CALC'!$CL$15:$CL$17,'[1]Summary calculation'!E191,'[1]INPUT_ASSUMPTIONS CALC'!$CM$15:$CM$17)</f>
        <v>0</v>
      </c>
      <c r="J191" s="139">
        <f>$I191*VLOOKUP($A191,'[1]INPUT_ASSUMPTIONS CALC'!$A$13:$CK$1019,I$6,FALSE)*VLOOKUP($A191,'[1]INPUT_ASSUMPTIONS CALC'!$A$13:$CK$1019,J$7,FALSE)</f>
        <v>0</v>
      </c>
      <c r="K191" s="139">
        <f>$I191*VLOOKUP($A191,'[1]INPUT_ASSUMPTIONS CALC'!$A$13:$CK$1019,I$6,FALSE)*VLOOKUP($A191,'[1]INPUT_ASSUMPTIONS CALC'!$A$13:$CK$1019,K$7,FALSE)</f>
        <v>0</v>
      </c>
      <c r="L191" s="139">
        <f>$I191*VLOOKUP($A191,'[1]INPUT_ASSUMPTIONS CALC'!$A$13:$CK$1019,I$6,FALSE)*VLOOKUP($A191,'[1]INPUT_ASSUMPTIONS CALC'!$A$13:$CK$1019,L$7,FALSE)</f>
        <v>0</v>
      </c>
      <c r="M191" s="139">
        <f>$I191*VLOOKUP($A191,'[1]INPUT_ASSUMPTIONS CALC'!$A$13:$CK$1019,I$6,FALSE)*VLOOKUP($A191,'[1]INPUT_ASSUMPTIONS CALC'!$A$13:$CK$1019,M$7,FALSE)</f>
        <v>0</v>
      </c>
      <c r="N191" s="140">
        <f t="shared" si="11"/>
        <v>0</v>
      </c>
      <c r="O191" s="141">
        <f>H191*VLOOKUP($A191,'[1]INPUT_ASSUMPTIONS CALC'!$A$13:$CK$1019,H$6,FALSE)*SUMIF('[1]INPUT_ASSUMPTIONS CALC'!$CQ$15:$CQ$17,'[1]Summary calculation'!E191,'[1]INPUT_ASSUMPTIONS CALC'!$CR$15:$CR$17)</f>
        <v>0</v>
      </c>
      <c r="P191" s="141">
        <f>H191*VLOOKUP($A191,'[1]INPUT_ASSUMPTIONS CALC'!$A$13:$CK$1019,H$6,FALSE)*SUMIF('[1]INPUT_ASSUMPTIONS CALC'!$CV$15:$CV$31,'[1]Summary calculation'!E191,'[1]INPUT_ASSUMPTIONS CALC'!$CW$15:$CW$31)</f>
        <v>0</v>
      </c>
      <c r="Q191" s="141">
        <f>O191*VLOOKUP($A191,'[1]INPUT_ASSUMPTIONS CALC'!$A$13:$CK$1019,Q$7,FALSE)</f>
        <v>0</v>
      </c>
      <c r="R191" s="141">
        <f>P191*VLOOKUP($A191,'[1]INPUT_ASSUMPTIONS CALC'!$A$13:$CK$1019,R$7,FALSE)</f>
        <v>0</v>
      </c>
      <c r="S191" s="140">
        <f t="shared" si="9"/>
        <v>0</v>
      </c>
      <c r="T191" s="142">
        <f t="shared" si="10"/>
        <v>0</v>
      </c>
      <c r="U191" s="61"/>
    </row>
    <row r="192" spans="1:21" x14ac:dyDescent="0.35">
      <c r="A192" s="125" t="str">
        <f t="shared" si="8"/>
        <v>184Q2</v>
      </c>
      <c r="B192" s="135">
        <v>184</v>
      </c>
      <c r="C192" s="61" t="str">
        <f>INDEX('[1]INPUT_ASSUMPTIONS CALC'!D:D,MATCH(A192,'[1]INPUT_ASSUMPTIONS CALC'!A:A,0))</f>
        <v/>
      </c>
      <c r="D192" s="61" t="str">
        <f>INDEX('[1]INPUT_ASSUMPTIONS CALC'!I:I,MATCH(A192,'[1]INPUT_ASSUMPTIONS CALC'!A:A,0))</f>
        <v/>
      </c>
      <c r="E192" s="61" t="str">
        <f>INDEX('[1]INPUT_ASSUMPTIONS CALC'!E:E,MATCH(A192,'[1]INPUT_ASSUMPTIONS CALC'!A:A,0))</f>
        <v/>
      </c>
      <c r="F192" s="136">
        <f>IF($F$5="Q1",VLOOKUP($A192,'[1]INPUT_ASSUMPTIONS CALC'!$A$13:$CK$1019,F$7,FALSE),IF($F$5="Q2",VLOOKUP($A192,'[1]INPUT_ASSUMPTIONS CALC'!$A$13:$CK$1019,F$7,FALSE),IF($F$5="Q3",VLOOKUP($A192,'[1]INPUT_ASSUMPTIONS CALC'!$A$13:$CK$1019,F$7,FALSE),IF($F$5="Q4",VLOOKUP($A192,'[1]INPUT_ASSUMPTIONS CALC'!$A$13:$CK$1019,F$7,FALSE),IF($F$5="Year",VLOOKUP($A192,'[1]INPUT_ASSUMPTIONS CALC'!$A$13:$CK$1019,F$7,FALSE),0)))))</f>
        <v>0</v>
      </c>
      <c r="G192" s="137">
        <f>SUMIF('[1]INPUT_ASSUMPTIONS CALC'!A:A,'[1]Summary calculation'!A192,'[1]INPUT_ASSUMPTIONS CALC'!BU:BU)</f>
        <v>0</v>
      </c>
      <c r="H192" s="138">
        <f>IF($F$5="Year",F192*G192*'[1]INPUT_ASSUMPTIONS CALC'!$S$7,F192*G192)</f>
        <v>0</v>
      </c>
      <c r="I192" s="138">
        <f>H192*VLOOKUP($A192,'[1]INPUT_ASSUMPTIONS CALC'!$A$13:$CK$1019,H$6,FALSE)*SUMIF('[1]INPUT_ASSUMPTIONS CALC'!$CL$15:$CL$17,'[1]Summary calculation'!E192,'[1]INPUT_ASSUMPTIONS CALC'!$CM$15:$CM$17)</f>
        <v>0</v>
      </c>
      <c r="J192" s="139">
        <f>$I192*VLOOKUP($A192,'[1]INPUT_ASSUMPTIONS CALC'!$A$13:$CK$1019,I$6,FALSE)*VLOOKUP($A192,'[1]INPUT_ASSUMPTIONS CALC'!$A$13:$CK$1019,J$7,FALSE)</f>
        <v>0</v>
      </c>
      <c r="K192" s="139">
        <f>$I192*VLOOKUP($A192,'[1]INPUT_ASSUMPTIONS CALC'!$A$13:$CK$1019,I$6,FALSE)*VLOOKUP($A192,'[1]INPUT_ASSUMPTIONS CALC'!$A$13:$CK$1019,K$7,FALSE)</f>
        <v>0</v>
      </c>
      <c r="L192" s="139">
        <f>$I192*VLOOKUP($A192,'[1]INPUT_ASSUMPTIONS CALC'!$A$13:$CK$1019,I$6,FALSE)*VLOOKUP($A192,'[1]INPUT_ASSUMPTIONS CALC'!$A$13:$CK$1019,L$7,FALSE)</f>
        <v>0</v>
      </c>
      <c r="M192" s="139">
        <f>$I192*VLOOKUP($A192,'[1]INPUT_ASSUMPTIONS CALC'!$A$13:$CK$1019,I$6,FALSE)*VLOOKUP($A192,'[1]INPUT_ASSUMPTIONS CALC'!$A$13:$CK$1019,M$7,FALSE)</f>
        <v>0</v>
      </c>
      <c r="N192" s="140">
        <f t="shared" si="11"/>
        <v>0</v>
      </c>
      <c r="O192" s="141">
        <f>H192*VLOOKUP($A192,'[1]INPUT_ASSUMPTIONS CALC'!$A$13:$CK$1019,H$6,FALSE)*SUMIF('[1]INPUT_ASSUMPTIONS CALC'!$CQ$15:$CQ$17,'[1]Summary calculation'!E192,'[1]INPUT_ASSUMPTIONS CALC'!$CR$15:$CR$17)</f>
        <v>0</v>
      </c>
      <c r="P192" s="141">
        <f>H192*VLOOKUP($A192,'[1]INPUT_ASSUMPTIONS CALC'!$A$13:$CK$1019,H$6,FALSE)*SUMIF('[1]INPUT_ASSUMPTIONS CALC'!$CV$15:$CV$31,'[1]Summary calculation'!E192,'[1]INPUT_ASSUMPTIONS CALC'!$CW$15:$CW$31)</f>
        <v>0</v>
      </c>
      <c r="Q192" s="141">
        <f>O192*VLOOKUP($A192,'[1]INPUT_ASSUMPTIONS CALC'!$A$13:$CK$1019,Q$7,FALSE)</f>
        <v>0</v>
      </c>
      <c r="R192" s="141">
        <f>P192*VLOOKUP($A192,'[1]INPUT_ASSUMPTIONS CALC'!$A$13:$CK$1019,R$7,FALSE)</f>
        <v>0</v>
      </c>
      <c r="S192" s="140">
        <f t="shared" si="9"/>
        <v>0</v>
      </c>
      <c r="T192" s="142">
        <f t="shared" si="10"/>
        <v>0</v>
      </c>
      <c r="U192" s="61"/>
    </row>
    <row r="193" spans="1:21" x14ac:dyDescent="0.35">
      <c r="A193" s="125" t="str">
        <f t="shared" si="8"/>
        <v>185Q2</v>
      </c>
      <c r="B193" s="135">
        <v>185</v>
      </c>
      <c r="C193" s="61" t="str">
        <f>INDEX('[1]INPUT_ASSUMPTIONS CALC'!D:D,MATCH(A193,'[1]INPUT_ASSUMPTIONS CALC'!A:A,0))</f>
        <v/>
      </c>
      <c r="D193" s="61" t="str">
        <f>INDEX('[1]INPUT_ASSUMPTIONS CALC'!I:I,MATCH(A193,'[1]INPUT_ASSUMPTIONS CALC'!A:A,0))</f>
        <v/>
      </c>
      <c r="E193" s="61" t="str">
        <f>INDEX('[1]INPUT_ASSUMPTIONS CALC'!E:E,MATCH(A193,'[1]INPUT_ASSUMPTIONS CALC'!A:A,0))</f>
        <v/>
      </c>
      <c r="F193" s="136">
        <f>IF($F$5="Q1",VLOOKUP($A193,'[1]INPUT_ASSUMPTIONS CALC'!$A$13:$CK$1019,F$7,FALSE),IF($F$5="Q2",VLOOKUP($A193,'[1]INPUT_ASSUMPTIONS CALC'!$A$13:$CK$1019,F$7,FALSE),IF($F$5="Q3",VLOOKUP($A193,'[1]INPUT_ASSUMPTIONS CALC'!$A$13:$CK$1019,F$7,FALSE),IF($F$5="Q4",VLOOKUP($A193,'[1]INPUT_ASSUMPTIONS CALC'!$A$13:$CK$1019,F$7,FALSE),IF($F$5="Year",VLOOKUP($A193,'[1]INPUT_ASSUMPTIONS CALC'!$A$13:$CK$1019,F$7,FALSE),0)))))</f>
        <v>0</v>
      </c>
      <c r="G193" s="137">
        <f>SUMIF('[1]INPUT_ASSUMPTIONS CALC'!A:A,'[1]Summary calculation'!A193,'[1]INPUT_ASSUMPTIONS CALC'!BU:BU)</f>
        <v>0</v>
      </c>
      <c r="H193" s="138">
        <f>IF($F$5="Year",F193*G193*'[1]INPUT_ASSUMPTIONS CALC'!$S$7,F193*G193)</f>
        <v>0</v>
      </c>
      <c r="I193" s="138">
        <f>H193*VLOOKUP($A193,'[1]INPUT_ASSUMPTIONS CALC'!$A$13:$CK$1019,H$6,FALSE)*SUMIF('[1]INPUT_ASSUMPTIONS CALC'!$CL$15:$CL$17,'[1]Summary calculation'!E193,'[1]INPUT_ASSUMPTIONS CALC'!$CM$15:$CM$17)</f>
        <v>0</v>
      </c>
      <c r="J193" s="139">
        <f>$I193*VLOOKUP($A193,'[1]INPUT_ASSUMPTIONS CALC'!$A$13:$CK$1019,I$6,FALSE)*VLOOKUP($A193,'[1]INPUT_ASSUMPTIONS CALC'!$A$13:$CK$1019,J$7,FALSE)</f>
        <v>0</v>
      </c>
      <c r="K193" s="139">
        <f>$I193*VLOOKUP($A193,'[1]INPUT_ASSUMPTIONS CALC'!$A$13:$CK$1019,I$6,FALSE)*VLOOKUP($A193,'[1]INPUT_ASSUMPTIONS CALC'!$A$13:$CK$1019,K$7,FALSE)</f>
        <v>0</v>
      </c>
      <c r="L193" s="139">
        <f>$I193*VLOOKUP($A193,'[1]INPUT_ASSUMPTIONS CALC'!$A$13:$CK$1019,I$6,FALSE)*VLOOKUP($A193,'[1]INPUT_ASSUMPTIONS CALC'!$A$13:$CK$1019,L$7,FALSE)</f>
        <v>0</v>
      </c>
      <c r="M193" s="139">
        <f>$I193*VLOOKUP($A193,'[1]INPUT_ASSUMPTIONS CALC'!$A$13:$CK$1019,I$6,FALSE)*VLOOKUP($A193,'[1]INPUT_ASSUMPTIONS CALC'!$A$13:$CK$1019,M$7,FALSE)</f>
        <v>0</v>
      </c>
      <c r="N193" s="140">
        <f t="shared" si="11"/>
        <v>0</v>
      </c>
      <c r="O193" s="141">
        <f>H193*VLOOKUP($A193,'[1]INPUT_ASSUMPTIONS CALC'!$A$13:$CK$1019,H$6,FALSE)*SUMIF('[1]INPUT_ASSUMPTIONS CALC'!$CQ$15:$CQ$17,'[1]Summary calculation'!E193,'[1]INPUT_ASSUMPTIONS CALC'!$CR$15:$CR$17)</f>
        <v>0</v>
      </c>
      <c r="P193" s="141">
        <f>H193*VLOOKUP($A193,'[1]INPUT_ASSUMPTIONS CALC'!$A$13:$CK$1019,H$6,FALSE)*SUMIF('[1]INPUT_ASSUMPTIONS CALC'!$CV$15:$CV$31,'[1]Summary calculation'!E193,'[1]INPUT_ASSUMPTIONS CALC'!$CW$15:$CW$31)</f>
        <v>0</v>
      </c>
      <c r="Q193" s="141">
        <f>O193*VLOOKUP($A193,'[1]INPUT_ASSUMPTIONS CALC'!$A$13:$CK$1019,Q$7,FALSE)</f>
        <v>0</v>
      </c>
      <c r="R193" s="141">
        <f>P193*VLOOKUP($A193,'[1]INPUT_ASSUMPTIONS CALC'!$A$13:$CK$1019,R$7,FALSE)</f>
        <v>0</v>
      </c>
      <c r="S193" s="140">
        <f t="shared" si="9"/>
        <v>0</v>
      </c>
      <c r="T193" s="142">
        <f t="shared" si="10"/>
        <v>0</v>
      </c>
      <c r="U193" s="61"/>
    </row>
    <row r="194" spans="1:21" x14ac:dyDescent="0.35">
      <c r="A194" s="125" t="str">
        <f t="shared" si="8"/>
        <v>186Q2</v>
      </c>
      <c r="B194" s="135">
        <v>186</v>
      </c>
      <c r="C194" s="61" t="str">
        <f>INDEX('[1]INPUT_ASSUMPTIONS CALC'!D:D,MATCH(A194,'[1]INPUT_ASSUMPTIONS CALC'!A:A,0))</f>
        <v/>
      </c>
      <c r="D194" s="61" t="str">
        <f>INDEX('[1]INPUT_ASSUMPTIONS CALC'!I:I,MATCH(A194,'[1]INPUT_ASSUMPTIONS CALC'!A:A,0))</f>
        <v/>
      </c>
      <c r="E194" s="61" t="str">
        <f>INDEX('[1]INPUT_ASSUMPTIONS CALC'!E:E,MATCH(A194,'[1]INPUT_ASSUMPTIONS CALC'!A:A,0))</f>
        <v/>
      </c>
      <c r="F194" s="136">
        <f>IF($F$5="Q1",VLOOKUP($A194,'[1]INPUT_ASSUMPTIONS CALC'!$A$13:$CK$1019,F$7,FALSE),IF($F$5="Q2",VLOOKUP($A194,'[1]INPUT_ASSUMPTIONS CALC'!$A$13:$CK$1019,F$7,FALSE),IF($F$5="Q3",VLOOKUP($A194,'[1]INPUT_ASSUMPTIONS CALC'!$A$13:$CK$1019,F$7,FALSE),IF($F$5="Q4",VLOOKUP($A194,'[1]INPUT_ASSUMPTIONS CALC'!$A$13:$CK$1019,F$7,FALSE),IF($F$5="Year",VLOOKUP($A194,'[1]INPUT_ASSUMPTIONS CALC'!$A$13:$CK$1019,F$7,FALSE),0)))))</f>
        <v>0</v>
      </c>
      <c r="G194" s="137">
        <f>SUMIF('[1]INPUT_ASSUMPTIONS CALC'!A:A,'[1]Summary calculation'!A194,'[1]INPUT_ASSUMPTIONS CALC'!BU:BU)</f>
        <v>0</v>
      </c>
      <c r="H194" s="138">
        <f>IF($F$5="Year",F194*G194*'[1]INPUT_ASSUMPTIONS CALC'!$S$7,F194*G194)</f>
        <v>0</v>
      </c>
      <c r="I194" s="138">
        <f>H194*VLOOKUP($A194,'[1]INPUT_ASSUMPTIONS CALC'!$A$13:$CK$1019,H$6,FALSE)*SUMIF('[1]INPUT_ASSUMPTIONS CALC'!$CL$15:$CL$17,'[1]Summary calculation'!E194,'[1]INPUT_ASSUMPTIONS CALC'!$CM$15:$CM$17)</f>
        <v>0</v>
      </c>
      <c r="J194" s="139">
        <f>$I194*VLOOKUP($A194,'[1]INPUT_ASSUMPTIONS CALC'!$A$13:$CK$1019,I$6,FALSE)*VLOOKUP($A194,'[1]INPUT_ASSUMPTIONS CALC'!$A$13:$CK$1019,J$7,FALSE)</f>
        <v>0</v>
      </c>
      <c r="K194" s="139">
        <f>$I194*VLOOKUP($A194,'[1]INPUT_ASSUMPTIONS CALC'!$A$13:$CK$1019,I$6,FALSE)*VLOOKUP($A194,'[1]INPUT_ASSUMPTIONS CALC'!$A$13:$CK$1019,K$7,FALSE)</f>
        <v>0</v>
      </c>
      <c r="L194" s="139">
        <f>$I194*VLOOKUP($A194,'[1]INPUT_ASSUMPTIONS CALC'!$A$13:$CK$1019,I$6,FALSE)*VLOOKUP($A194,'[1]INPUT_ASSUMPTIONS CALC'!$A$13:$CK$1019,L$7,FALSE)</f>
        <v>0</v>
      </c>
      <c r="M194" s="139">
        <f>$I194*VLOOKUP($A194,'[1]INPUT_ASSUMPTIONS CALC'!$A$13:$CK$1019,I$6,FALSE)*VLOOKUP($A194,'[1]INPUT_ASSUMPTIONS CALC'!$A$13:$CK$1019,M$7,FALSE)</f>
        <v>0</v>
      </c>
      <c r="N194" s="140">
        <f t="shared" si="11"/>
        <v>0</v>
      </c>
      <c r="O194" s="141">
        <f>H194*VLOOKUP($A194,'[1]INPUT_ASSUMPTIONS CALC'!$A$13:$CK$1019,H$6,FALSE)*SUMIF('[1]INPUT_ASSUMPTIONS CALC'!$CQ$15:$CQ$17,'[1]Summary calculation'!E194,'[1]INPUT_ASSUMPTIONS CALC'!$CR$15:$CR$17)</f>
        <v>0</v>
      </c>
      <c r="P194" s="141">
        <f>H194*VLOOKUP($A194,'[1]INPUT_ASSUMPTIONS CALC'!$A$13:$CK$1019,H$6,FALSE)*SUMIF('[1]INPUT_ASSUMPTIONS CALC'!$CV$15:$CV$31,'[1]Summary calculation'!E194,'[1]INPUT_ASSUMPTIONS CALC'!$CW$15:$CW$31)</f>
        <v>0</v>
      </c>
      <c r="Q194" s="141">
        <f>O194*VLOOKUP($A194,'[1]INPUT_ASSUMPTIONS CALC'!$A$13:$CK$1019,Q$7,FALSE)</f>
        <v>0</v>
      </c>
      <c r="R194" s="141">
        <f>P194*VLOOKUP($A194,'[1]INPUT_ASSUMPTIONS CALC'!$A$13:$CK$1019,R$7,FALSE)</f>
        <v>0</v>
      </c>
      <c r="S194" s="140">
        <f t="shared" si="9"/>
        <v>0</v>
      </c>
      <c r="T194" s="142">
        <f t="shared" si="10"/>
        <v>0</v>
      </c>
      <c r="U194" s="61"/>
    </row>
    <row r="195" spans="1:21" x14ac:dyDescent="0.35">
      <c r="A195" s="125" t="str">
        <f t="shared" si="8"/>
        <v>187Q2</v>
      </c>
      <c r="B195" s="135">
        <v>187</v>
      </c>
      <c r="C195" s="61" t="str">
        <f>INDEX('[1]INPUT_ASSUMPTIONS CALC'!D:D,MATCH(A195,'[1]INPUT_ASSUMPTIONS CALC'!A:A,0))</f>
        <v/>
      </c>
      <c r="D195" s="61" t="str">
        <f>INDEX('[1]INPUT_ASSUMPTIONS CALC'!I:I,MATCH(A195,'[1]INPUT_ASSUMPTIONS CALC'!A:A,0))</f>
        <v/>
      </c>
      <c r="E195" s="61" t="str">
        <f>INDEX('[1]INPUT_ASSUMPTIONS CALC'!E:E,MATCH(A195,'[1]INPUT_ASSUMPTIONS CALC'!A:A,0))</f>
        <v/>
      </c>
      <c r="F195" s="136">
        <f>IF($F$5="Q1",VLOOKUP($A195,'[1]INPUT_ASSUMPTIONS CALC'!$A$13:$CK$1019,F$7,FALSE),IF($F$5="Q2",VLOOKUP($A195,'[1]INPUT_ASSUMPTIONS CALC'!$A$13:$CK$1019,F$7,FALSE),IF($F$5="Q3",VLOOKUP($A195,'[1]INPUT_ASSUMPTIONS CALC'!$A$13:$CK$1019,F$7,FALSE),IF($F$5="Q4",VLOOKUP($A195,'[1]INPUT_ASSUMPTIONS CALC'!$A$13:$CK$1019,F$7,FALSE),IF($F$5="Year",VLOOKUP($A195,'[1]INPUT_ASSUMPTIONS CALC'!$A$13:$CK$1019,F$7,FALSE),0)))))</f>
        <v>0</v>
      </c>
      <c r="G195" s="137">
        <f>SUMIF('[1]INPUT_ASSUMPTIONS CALC'!A:A,'[1]Summary calculation'!A195,'[1]INPUT_ASSUMPTIONS CALC'!BU:BU)</f>
        <v>0</v>
      </c>
      <c r="H195" s="138">
        <f>IF($F$5="Year",F195*G195*'[1]INPUT_ASSUMPTIONS CALC'!$S$7,F195*G195)</f>
        <v>0</v>
      </c>
      <c r="I195" s="138">
        <f>H195*VLOOKUP($A195,'[1]INPUT_ASSUMPTIONS CALC'!$A$13:$CK$1019,H$6,FALSE)*SUMIF('[1]INPUT_ASSUMPTIONS CALC'!$CL$15:$CL$17,'[1]Summary calculation'!E195,'[1]INPUT_ASSUMPTIONS CALC'!$CM$15:$CM$17)</f>
        <v>0</v>
      </c>
      <c r="J195" s="139">
        <f>$I195*VLOOKUP($A195,'[1]INPUT_ASSUMPTIONS CALC'!$A$13:$CK$1019,I$6,FALSE)*VLOOKUP($A195,'[1]INPUT_ASSUMPTIONS CALC'!$A$13:$CK$1019,J$7,FALSE)</f>
        <v>0</v>
      </c>
      <c r="K195" s="139">
        <f>$I195*VLOOKUP($A195,'[1]INPUT_ASSUMPTIONS CALC'!$A$13:$CK$1019,I$6,FALSE)*VLOOKUP($A195,'[1]INPUT_ASSUMPTIONS CALC'!$A$13:$CK$1019,K$7,FALSE)</f>
        <v>0</v>
      </c>
      <c r="L195" s="139">
        <f>$I195*VLOOKUP($A195,'[1]INPUT_ASSUMPTIONS CALC'!$A$13:$CK$1019,I$6,FALSE)*VLOOKUP($A195,'[1]INPUT_ASSUMPTIONS CALC'!$A$13:$CK$1019,L$7,FALSE)</f>
        <v>0</v>
      </c>
      <c r="M195" s="139">
        <f>$I195*VLOOKUP($A195,'[1]INPUT_ASSUMPTIONS CALC'!$A$13:$CK$1019,I$6,FALSE)*VLOOKUP($A195,'[1]INPUT_ASSUMPTIONS CALC'!$A$13:$CK$1019,M$7,FALSE)</f>
        <v>0</v>
      </c>
      <c r="N195" s="140">
        <f t="shared" si="11"/>
        <v>0</v>
      </c>
      <c r="O195" s="141">
        <f>H195*VLOOKUP($A195,'[1]INPUT_ASSUMPTIONS CALC'!$A$13:$CK$1019,H$6,FALSE)*SUMIF('[1]INPUT_ASSUMPTIONS CALC'!$CQ$15:$CQ$17,'[1]Summary calculation'!E195,'[1]INPUT_ASSUMPTIONS CALC'!$CR$15:$CR$17)</f>
        <v>0</v>
      </c>
      <c r="P195" s="141">
        <f>H195*VLOOKUP($A195,'[1]INPUT_ASSUMPTIONS CALC'!$A$13:$CK$1019,H$6,FALSE)*SUMIF('[1]INPUT_ASSUMPTIONS CALC'!$CV$15:$CV$31,'[1]Summary calculation'!E195,'[1]INPUT_ASSUMPTIONS CALC'!$CW$15:$CW$31)</f>
        <v>0</v>
      </c>
      <c r="Q195" s="141">
        <f>O195*VLOOKUP($A195,'[1]INPUT_ASSUMPTIONS CALC'!$A$13:$CK$1019,Q$7,FALSE)</f>
        <v>0</v>
      </c>
      <c r="R195" s="141">
        <f>P195*VLOOKUP($A195,'[1]INPUT_ASSUMPTIONS CALC'!$A$13:$CK$1019,R$7,FALSE)</f>
        <v>0</v>
      </c>
      <c r="S195" s="140">
        <f t="shared" si="9"/>
        <v>0</v>
      </c>
      <c r="T195" s="142">
        <f t="shared" si="10"/>
        <v>0</v>
      </c>
      <c r="U195" s="61"/>
    </row>
    <row r="196" spans="1:21" x14ac:dyDescent="0.35">
      <c r="A196" s="125" t="str">
        <f t="shared" si="8"/>
        <v>188Q2</v>
      </c>
      <c r="B196" s="135">
        <v>188</v>
      </c>
      <c r="C196" s="61" t="str">
        <f>INDEX('[1]INPUT_ASSUMPTIONS CALC'!D:D,MATCH(A196,'[1]INPUT_ASSUMPTIONS CALC'!A:A,0))</f>
        <v/>
      </c>
      <c r="D196" s="61" t="str">
        <f>INDEX('[1]INPUT_ASSUMPTIONS CALC'!I:I,MATCH(A196,'[1]INPUT_ASSUMPTIONS CALC'!A:A,0))</f>
        <v/>
      </c>
      <c r="E196" s="61" t="str">
        <f>INDEX('[1]INPUT_ASSUMPTIONS CALC'!E:E,MATCH(A196,'[1]INPUT_ASSUMPTIONS CALC'!A:A,0))</f>
        <v/>
      </c>
      <c r="F196" s="136">
        <f>IF($F$5="Q1",VLOOKUP($A196,'[1]INPUT_ASSUMPTIONS CALC'!$A$13:$CK$1019,F$7,FALSE),IF($F$5="Q2",VLOOKUP($A196,'[1]INPUT_ASSUMPTIONS CALC'!$A$13:$CK$1019,F$7,FALSE),IF($F$5="Q3",VLOOKUP($A196,'[1]INPUT_ASSUMPTIONS CALC'!$A$13:$CK$1019,F$7,FALSE),IF($F$5="Q4",VLOOKUP($A196,'[1]INPUT_ASSUMPTIONS CALC'!$A$13:$CK$1019,F$7,FALSE),IF($F$5="Year",VLOOKUP($A196,'[1]INPUT_ASSUMPTIONS CALC'!$A$13:$CK$1019,F$7,FALSE),0)))))</f>
        <v>0</v>
      </c>
      <c r="G196" s="137">
        <f>SUMIF('[1]INPUT_ASSUMPTIONS CALC'!A:A,'[1]Summary calculation'!A196,'[1]INPUT_ASSUMPTIONS CALC'!BU:BU)</f>
        <v>0</v>
      </c>
      <c r="H196" s="138">
        <f>IF($F$5="Year",F196*G196*'[1]INPUT_ASSUMPTIONS CALC'!$S$7,F196*G196)</f>
        <v>0</v>
      </c>
      <c r="I196" s="138">
        <f>H196*VLOOKUP($A196,'[1]INPUT_ASSUMPTIONS CALC'!$A$13:$CK$1019,H$6,FALSE)*SUMIF('[1]INPUT_ASSUMPTIONS CALC'!$CL$15:$CL$17,'[1]Summary calculation'!E196,'[1]INPUT_ASSUMPTIONS CALC'!$CM$15:$CM$17)</f>
        <v>0</v>
      </c>
      <c r="J196" s="139">
        <f>$I196*VLOOKUP($A196,'[1]INPUT_ASSUMPTIONS CALC'!$A$13:$CK$1019,I$6,FALSE)*VLOOKUP($A196,'[1]INPUT_ASSUMPTIONS CALC'!$A$13:$CK$1019,J$7,FALSE)</f>
        <v>0</v>
      </c>
      <c r="K196" s="139">
        <f>$I196*VLOOKUP($A196,'[1]INPUT_ASSUMPTIONS CALC'!$A$13:$CK$1019,I$6,FALSE)*VLOOKUP($A196,'[1]INPUT_ASSUMPTIONS CALC'!$A$13:$CK$1019,K$7,FALSE)</f>
        <v>0</v>
      </c>
      <c r="L196" s="139">
        <f>$I196*VLOOKUP($A196,'[1]INPUT_ASSUMPTIONS CALC'!$A$13:$CK$1019,I$6,FALSE)*VLOOKUP($A196,'[1]INPUT_ASSUMPTIONS CALC'!$A$13:$CK$1019,L$7,FALSE)</f>
        <v>0</v>
      </c>
      <c r="M196" s="139">
        <f>$I196*VLOOKUP($A196,'[1]INPUT_ASSUMPTIONS CALC'!$A$13:$CK$1019,I$6,FALSE)*VLOOKUP($A196,'[1]INPUT_ASSUMPTIONS CALC'!$A$13:$CK$1019,M$7,FALSE)</f>
        <v>0</v>
      </c>
      <c r="N196" s="140">
        <f t="shared" si="11"/>
        <v>0</v>
      </c>
      <c r="O196" s="141">
        <f>H196*VLOOKUP($A196,'[1]INPUT_ASSUMPTIONS CALC'!$A$13:$CK$1019,H$6,FALSE)*SUMIF('[1]INPUT_ASSUMPTIONS CALC'!$CQ$15:$CQ$17,'[1]Summary calculation'!E196,'[1]INPUT_ASSUMPTIONS CALC'!$CR$15:$CR$17)</f>
        <v>0</v>
      </c>
      <c r="P196" s="141">
        <f>H196*VLOOKUP($A196,'[1]INPUT_ASSUMPTIONS CALC'!$A$13:$CK$1019,H$6,FALSE)*SUMIF('[1]INPUT_ASSUMPTIONS CALC'!$CV$15:$CV$31,'[1]Summary calculation'!E196,'[1]INPUT_ASSUMPTIONS CALC'!$CW$15:$CW$31)</f>
        <v>0</v>
      </c>
      <c r="Q196" s="141">
        <f>O196*VLOOKUP($A196,'[1]INPUT_ASSUMPTIONS CALC'!$A$13:$CK$1019,Q$7,FALSE)</f>
        <v>0</v>
      </c>
      <c r="R196" s="141">
        <f>P196*VLOOKUP($A196,'[1]INPUT_ASSUMPTIONS CALC'!$A$13:$CK$1019,R$7,FALSE)</f>
        <v>0</v>
      </c>
      <c r="S196" s="140">
        <f t="shared" si="9"/>
        <v>0</v>
      </c>
      <c r="T196" s="142">
        <f t="shared" si="10"/>
        <v>0</v>
      </c>
      <c r="U196" s="61"/>
    </row>
    <row r="197" spans="1:21" x14ac:dyDescent="0.35">
      <c r="A197" s="125" t="str">
        <f t="shared" si="8"/>
        <v>189Q2</v>
      </c>
      <c r="B197" s="135">
        <v>189</v>
      </c>
      <c r="C197" s="61" t="str">
        <f>INDEX('[1]INPUT_ASSUMPTIONS CALC'!D:D,MATCH(A197,'[1]INPUT_ASSUMPTIONS CALC'!A:A,0))</f>
        <v/>
      </c>
      <c r="D197" s="61" t="str">
        <f>INDEX('[1]INPUT_ASSUMPTIONS CALC'!I:I,MATCH(A197,'[1]INPUT_ASSUMPTIONS CALC'!A:A,0))</f>
        <v/>
      </c>
      <c r="E197" s="61" t="str">
        <f>INDEX('[1]INPUT_ASSUMPTIONS CALC'!E:E,MATCH(A197,'[1]INPUT_ASSUMPTIONS CALC'!A:A,0))</f>
        <v/>
      </c>
      <c r="F197" s="136">
        <f>IF($F$5="Q1",VLOOKUP($A197,'[1]INPUT_ASSUMPTIONS CALC'!$A$13:$CK$1019,F$7,FALSE),IF($F$5="Q2",VLOOKUP($A197,'[1]INPUT_ASSUMPTIONS CALC'!$A$13:$CK$1019,F$7,FALSE),IF($F$5="Q3",VLOOKUP($A197,'[1]INPUT_ASSUMPTIONS CALC'!$A$13:$CK$1019,F$7,FALSE),IF($F$5="Q4",VLOOKUP($A197,'[1]INPUT_ASSUMPTIONS CALC'!$A$13:$CK$1019,F$7,FALSE),IF($F$5="Year",VLOOKUP($A197,'[1]INPUT_ASSUMPTIONS CALC'!$A$13:$CK$1019,F$7,FALSE),0)))))</f>
        <v>0</v>
      </c>
      <c r="G197" s="137">
        <f>SUMIF('[1]INPUT_ASSUMPTIONS CALC'!A:A,'[1]Summary calculation'!A197,'[1]INPUT_ASSUMPTIONS CALC'!BU:BU)</f>
        <v>0</v>
      </c>
      <c r="H197" s="138">
        <f>IF($F$5="Year",F197*G197*'[1]INPUT_ASSUMPTIONS CALC'!$S$7,F197*G197)</f>
        <v>0</v>
      </c>
      <c r="I197" s="138">
        <f>H197*VLOOKUP($A197,'[1]INPUT_ASSUMPTIONS CALC'!$A$13:$CK$1019,H$6,FALSE)*SUMIF('[1]INPUT_ASSUMPTIONS CALC'!$CL$15:$CL$17,'[1]Summary calculation'!E197,'[1]INPUT_ASSUMPTIONS CALC'!$CM$15:$CM$17)</f>
        <v>0</v>
      </c>
      <c r="J197" s="139">
        <f>$I197*VLOOKUP($A197,'[1]INPUT_ASSUMPTIONS CALC'!$A$13:$CK$1019,I$6,FALSE)*VLOOKUP($A197,'[1]INPUT_ASSUMPTIONS CALC'!$A$13:$CK$1019,J$7,FALSE)</f>
        <v>0</v>
      </c>
      <c r="K197" s="139">
        <f>$I197*VLOOKUP($A197,'[1]INPUT_ASSUMPTIONS CALC'!$A$13:$CK$1019,I$6,FALSE)*VLOOKUP($A197,'[1]INPUT_ASSUMPTIONS CALC'!$A$13:$CK$1019,K$7,FALSE)</f>
        <v>0</v>
      </c>
      <c r="L197" s="139">
        <f>$I197*VLOOKUP($A197,'[1]INPUT_ASSUMPTIONS CALC'!$A$13:$CK$1019,I$6,FALSE)*VLOOKUP($A197,'[1]INPUT_ASSUMPTIONS CALC'!$A$13:$CK$1019,L$7,FALSE)</f>
        <v>0</v>
      </c>
      <c r="M197" s="139">
        <f>$I197*VLOOKUP($A197,'[1]INPUT_ASSUMPTIONS CALC'!$A$13:$CK$1019,I$6,FALSE)*VLOOKUP($A197,'[1]INPUT_ASSUMPTIONS CALC'!$A$13:$CK$1019,M$7,FALSE)</f>
        <v>0</v>
      </c>
      <c r="N197" s="140">
        <f t="shared" si="11"/>
        <v>0</v>
      </c>
      <c r="O197" s="141">
        <f>H197*VLOOKUP($A197,'[1]INPUT_ASSUMPTIONS CALC'!$A$13:$CK$1019,H$6,FALSE)*SUMIF('[1]INPUT_ASSUMPTIONS CALC'!$CQ$15:$CQ$17,'[1]Summary calculation'!E197,'[1]INPUT_ASSUMPTIONS CALC'!$CR$15:$CR$17)</f>
        <v>0</v>
      </c>
      <c r="P197" s="141">
        <f>H197*VLOOKUP($A197,'[1]INPUT_ASSUMPTIONS CALC'!$A$13:$CK$1019,H$6,FALSE)*SUMIF('[1]INPUT_ASSUMPTIONS CALC'!$CV$15:$CV$31,'[1]Summary calculation'!E197,'[1]INPUT_ASSUMPTIONS CALC'!$CW$15:$CW$31)</f>
        <v>0</v>
      </c>
      <c r="Q197" s="141">
        <f>O197*VLOOKUP($A197,'[1]INPUT_ASSUMPTIONS CALC'!$A$13:$CK$1019,Q$7,FALSE)</f>
        <v>0</v>
      </c>
      <c r="R197" s="141">
        <f>P197*VLOOKUP($A197,'[1]INPUT_ASSUMPTIONS CALC'!$A$13:$CK$1019,R$7,FALSE)</f>
        <v>0</v>
      </c>
      <c r="S197" s="140">
        <f t="shared" si="9"/>
        <v>0</v>
      </c>
      <c r="T197" s="142">
        <f t="shared" si="10"/>
        <v>0</v>
      </c>
      <c r="U197" s="61"/>
    </row>
    <row r="198" spans="1:21" x14ac:dyDescent="0.35">
      <c r="A198" s="125" t="str">
        <f t="shared" si="8"/>
        <v>190Q2</v>
      </c>
      <c r="B198" s="135">
        <v>190</v>
      </c>
      <c r="C198" s="61" t="str">
        <f>INDEX('[1]INPUT_ASSUMPTIONS CALC'!D:D,MATCH(A198,'[1]INPUT_ASSUMPTIONS CALC'!A:A,0))</f>
        <v/>
      </c>
      <c r="D198" s="61" t="str">
        <f>INDEX('[1]INPUT_ASSUMPTIONS CALC'!I:I,MATCH(A198,'[1]INPUT_ASSUMPTIONS CALC'!A:A,0))</f>
        <v/>
      </c>
      <c r="E198" s="61" t="str">
        <f>INDEX('[1]INPUT_ASSUMPTIONS CALC'!E:E,MATCH(A198,'[1]INPUT_ASSUMPTIONS CALC'!A:A,0))</f>
        <v/>
      </c>
      <c r="F198" s="136">
        <f>IF($F$5="Q1",VLOOKUP($A198,'[1]INPUT_ASSUMPTIONS CALC'!$A$13:$CK$1019,F$7,FALSE),IF($F$5="Q2",VLOOKUP($A198,'[1]INPUT_ASSUMPTIONS CALC'!$A$13:$CK$1019,F$7,FALSE),IF($F$5="Q3",VLOOKUP($A198,'[1]INPUT_ASSUMPTIONS CALC'!$A$13:$CK$1019,F$7,FALSE),IF($F$5="Q4",VLOOKUP($A198,'[1]INPUT_ASSUMPTIONS CALC'!$A$13:$CK$1019,F$7,FALSE),IF($F$5="Year",VLOOKUP($A198,'[1]INPUT_ASSUMPTIONS CALC'!$A$13:$CK$1019,F$7,FALSE),0)))))</f>
        <v>0</v>
      </c>
      <c r="G198" s="137">
        <f>SUMIF('[1]INPUT_ASSUMPTIONS CALC'!A:A,'[1]Summary calculation'!A198,'[1]INPUT_ASSUMPTIONS CALC'!BU:BU)</f>
        <v>0</v>
      </c>
      <c r="H198" s="138">
        <f>IF($F$5="Year",F198*G198*'[1]INPUT_ASSUMPTIONS CALC'!$S$7,F198*G198)</f>
        <v>0</v>
      </c>
      <c r="I198" s="138">
        <f>H198*VLOOKUP($A198,'[1]INPUT_ASSUMPTIONS CALC'!$A$13:$CK$1019,H$6,FALSE)*SUMIF('[1]INPUT_ASSUMPTIONS CALC'!$CL$15:$CL$17,'[1]Summary calculation'!E198,'[1]INPUT_ASSUMPTIONS CALC'!$CM$15:$CM$17)</f>
        <v>0</v>
      </c>
      <c r="J198" s="139">
        <f>$I198*VLOOKUP($A198,'[1]INPUT_ASSUMPTIONS CALC'!$A$13:$CK$1019,I$6,FALSE)*VLOOKUP($A198,'[1]INPUT_ASSUMPTIONS CALC'!$A$13:$CK$1019,J$7,FALSE)</f>
        <v>0</v>
      </c>
      <c r="K198" s="139">
        <f>$I198*VLOOKUP($A198,'[1]INPUT_ASSUMPTIONS CALC'!$A$13:$CK$1019,I$6,FALSE)*VLOOKUP($A198,'[1]INPUT_ASSUMPTIONS CALC'!$A$13:$CK$1019,K$7,FALSE)</f>
        <v>0</v>
      </c>
      <c r="L198" s="139">
        <f>$I198*VLOOKUP($A198,'[1]INPUT_ASSUMPTIONS CALC'!$A$13:$CK$1019,I$6,FALSE)*VLOOKUP($A198,'[1]INPUT_ASSUMPTIONS CALC'!$A$13:$CK$1019,L$7,FALSE)</f>
        <v>0</v>
      </c>
      <c r="M198" s="139">
        <f>$I198*VLOOKUP($A198,'[1]INPUT_ASSUMPTIONS CALC'!$A$13:$CK$1019,I$6,FALSE)*VLOOKUP($A198,'[1]INPUT_ASSUMPTIONS CALC'!$A$13:$CK$1019,M$7,FALSE)</f>
        <v>0</v>
      </c>
      <c r="N198" s="140">
        <f t="shared" si="11"/>
        <v>0</v>
      </c>
      <c r="O198" s="141">
        <f>H198*VLOOKUP($A198,'[1]INPUT_ASSUMPTIONS CALC'!$A$13:$CK$1019,H$6,FALSE)*SUMIF('[1]INPUT_ASSUMPTIONS CALC'!$CQ$15:$CQ$17,'[1]Summary calculation'!E198,'[1]INPUT_ASSUMPTIONS CALC'!$CR$15:$CR$17)</f>
        <v>0</v>
      </c>
      <c r="P198" s="141">
        <f>H198*VLOOKUP($A198,'[1]INPUT_ASSUMPTIONS CALC'!$A$13:$CK$1019,H$6,FALSE)*SUMIF('[1]INPUT_ASSUMPTIONS CALC'!$CV$15:$CV$31,'[1]Summary calculation'!E198,'[1]INPUT_ASSUMPTIONS CALC'!$CW$15:$CW$31)</f>
        <v>0</v>
      </c>
      <c r="Q198" s="141">
        <f>O198*VLOOKUP($A198,'[1]INPUT_ASSUMPTIONS CALC'!$A$13:$CK$1019,Q$7,FALSE)</f>
        <v>0</v>
      </c>
      <c r="R198" s="141">
        <f>P198*VLOOKUP($A198,'[1]INPUT_ASSUMPTIONS CALC'!$A$13:$CK$1019,R$7,FALSE)</f>
        <v>0</v>
      </c>
      <c r="S198" s="140">
        <f t="shared" si="9"/>
        <v>0</v>
      </c>
      <c r="T198" s="142">
        <f t="shared" si="10"/>
        <v>0</v>
      </c>
      <c r="U198" s="61"/>
    </row>
    <row r="199" spans="1:21" x14ac:dyDescent="0.35">
      <c r="A199" s="125" t="str">
        <f t="shared" si="8"/>
        <v>191Q2</v>
      </c>
      <c r="B199" s="135">
        <v>191</v>
      </c>
      <c r="C199" s="61" t="str">
        <f>INDEX('[1]INPUT_ASSUMPTIONS CALC'!D:D,MATCH(A199,'[1]INPUT_ASSUMPTIONS CALC'!A:A,0))</f>
        <v/>
      </c>
      <c r="D199" s="61" t="str">
        <f>INDEX('[1]INPUT_ASSUMPTIONS CALC'!I:I,MATCH(A199,'[1]INPUT_ASSUMPTIONS CALC'!A:A,0))</f>
        <v/>
      </c>
      <c r="E199" s="61" t="str">
        <f>INDEX('[1]INPUT_ASSUMPTIONS CALC'!E:E,MATCH(A199,'[1]INPUT_ASSUMPTIONS CALC'!A:A,0))</f>
        <v/>
      </c>
      <c r="F199" s="136">
        <f>IF($F$5="Q1",VLOOKUP($A199,'[1]INPUT_ASSUMPTIONS CALC'!$A$13:$CK$1019,F$7,FALSE),IF($F$5="Q2",VLOOKUP($A199,'[1]INPUT_ASSUMPTIONS CALC'!$A$13:$CK$1019,F$7,FALSE),IF($F$5="Q3",VLOOKUP($A199,'[1]INPUT_ASSUMPTIONS CALC'!$A$13:$CK$1019,F$7,FALSE),IF($F$5="Q4",VLOOKUP($A199,'[1]INPUT_ASSUMPTIONS CALC'!$A$13:$CK$1019,F$7,FALSE),IF($F$5="Year",VLOOKUP($A199,'[1]INPUT_ASSUMPTIONS CALC'!$A$13:$CK$1019,F$7,FALSE),0)))))</f>
        <v>0</v>
      </c>
      <c r="G199" s="137">
        <f>SUMIF('[1]INPUT_ASSUMPTIONS CALC'!A:A,'[1]Summary calculation'!A199,'[1]INPUT_ASSUMPTIONS CALC'!BU:BU)</f>
        <v>0</v>
      </c>
      <c r="H199" s="138">
        <f>IF($F$5="Year",F199*G199*'[1]INPUT_ASSUMPTIONS CALC'!$S$7,F199*G199)</f>
        <v>0</v>
      </c>
      <c r="I199" s="138">
        <f>H199*VLOOKUP($A199,'[1]INPUT_ASSUMPTIONS CALC'!$A$13:$CK$1019,H$6,FALSE)*SUMIF('[1]INPUT_ASSUMPTIONS CALC'!$CL$15:$CL$17,'[1]Summary calculation'!E199,'[1]INPUT_ASSUMPTIONS CALC'!$CM$15:$CM$17)</f>
        <v>0</v>
      </c>
      <c r="J199" s="139">
        <f>$I199*VLOOKUP($A199,'[1]INPUT_ASSUMPTIONS CALC'!$A$13:$CK$1019,I$6,FALSE)*VLOOKUP($A199,'[1]INPUT_ASSUMPTIONS CALC'!$A$13:$CK$1019,J$7,FALSE)</f>
        <v>0</v>
      </c>
      <c r="K199" s="139">
        <f>$I199*VLOOKUP($A199,'[1]INPUT_ASSUMPTIONS CALC'!$A$13:$CK$1019,I$6,FALSE)*VLOOKUP($A199,'[1]INPUT_ASSUMPTIONS CALC'!$A$13:$CK$1019,K$7,FALSE)</f>
        <v>0</v>
      </c>
      <c r="L199" s="139">
        <f>$I199*VLOOKUP($A199,'[1]INPUT_ASSUMPTIONS CALC'!$A$13:$CK$1019,I$6,FALSE)*VLOOKUP($A199,'[1]INPUT_ASSUMPTIONS CALC'!$A$13:$CK$1019,L$7,FALSE)</f>
        <v>0</v>
      </c>
      <c r="M199" s="139">
        <f>$I199*VLOOKUP($A199,'[1]INPUT_ASSUMPTIONS CALC'!$A$13:$CK$1019,I$6,FALSE)*VLOOKUP($A199,'[1]INPUT_ASSUMPTIONS CALC'!$A$13:$CK$1019,M$7,FALSE)</f>
        <v>0</v>
      </c>
      <c r="N199" s="140">
        <f t="shared" si="11"/>
        <v>0</v>
      </c>
      <c r="O199" s="141">
        <f>H199*VLOOKUP($A199,'[1]INPUT_ASSUMPTIONS CALC'!$A$13:$CK$1019,H$6,FALSE)*SUMIF('[1]INPUT_ASSUMPTIONS CALC'!$CQ$15:$CQ$17,'[1]Summary calculation'!E199,'[1]INPUT_ASSUMPTIONS CALC'!$CR$15:$CR$17)</f>
        <v>0</v>
      </c>
      <c r="P199" s="141">
        <f>H199*VLOOKUP($A199,'[1]INPUT_ASSUMPTIONS CALC'!$A$13:$CK$1019,H$6,FALSE)*SUMIF('[1]INPUT_ASSUMPTIONS CALC'!$CV$15:$CV$31,'[1]Summary calculation'!E199,'[1]INPUT_ASSUMPTIONS CALC'!$CW$15:$CW$31)</f>
        <v>0</v>
      </c>
      <c r="Q199" s="141">
        <f>O199*VLOOKUP($A199,'[1]INPUT_ASSUMPTIONS CALC'!$A$13:$CK$1019,Q$7,FALSE)</f>
        <v>0</v>
      </c>
      <c r="R199" s="141">
        <f>P199*VLOOKUP($A199,'[1]INPUT_ASSUMPTIONS CALC'!$A$13:$CK$1019,R$7,FALSE)</f>
        <v>0</v>
      </c>
      <c r="S199" s="140">
        <f t="shared" si="9"/>
        <v>0</v>
      </c>
      <c r="T199" s="142">
        <f t="shared" si="10"/>
        <v>0</v>
      </c>
      <c r="U199" s="61"/>
    </row>
    <row r="200" spans="1:21" x14ac:dyDescent="0.35">
      <c r="A200" s="125" t="str">
        <f t="shared" si="8"/>
        <v>192Q2</v>
      </c>
      <c r="B200" s="135">
        <v>192</v>
      </c>
      <c r="C200" s="61" t="str">
        <f>INDEX('[1]INPUT_ASSUMPTIONS CALC'!D:D,MATCH(A200,'[1]INPUT_ASSUMPTIONS CALC'!A:A,0))</f>
        <v/>
      </c>
      <c r="D200" s="61" t="str">
        <f>INDEX('[1]INPUT_ASSUMPTIONS CALC'!I:I,MATCH(A200,'[1]INPUT_ASSUMPTIONS CALC'!A:A,0))</f>
        <v/>
      </c>
      <c r="E200" s="61" t="str">
        <f>INDEX('[1]INPUT_ASSUMPTIONS CALC'!E:E,MATCH(A200,'[1]INPUT_ASSUMPTIONS CALC'!A:A,0))</f>
        <v/>
      </c>
      <c r="F200" s="136">
        <f>IF($F$5="Q1",VLOOKUP($A200,'[1]INPUT_ASSUMPTIONS CALC'!$A$13:$CK$1019,F$7,FALSE),IF($F$5="Q2",VLOOKUP($A200,'[1]INPUT_ASSUMPTIONS CALC'!$A$13:$CK$1019,F$7,FALSE),IF($F$5="Q3",VLOOKUP($A200,'[1]INPUT_ASSUMPTIONS CALC'!$A$13:$CK$1019,F$7,FALSE),IF($F$5="Q4",VLOOKUP($A200,'[1]INPUT_ASSUMPTIONS CALC'!$A$13:$CK$1019,F$7,FALSE),IF($F$5="Year",VLOOKUP($A200,'[1]INPUT_ASSUMPTIONS CALC'!$A$13:$CK$1019,F$7,FALSE),0)))))</f>
        <v>0</v>
      </c>
      <c r="G200" s="137">
        <f>SUMIF('[1]INPUT_ASSUMPTIONS CALC'!A:A,'[1]Summary calculation'!A200,'[1]INPUT_ASSUMPTIONS CALC'!BU:BU)</f>
        <v>0</v>
      </c>
      <c r="H200" s="138">
        <f>IF($F$5="Year",F200*G200*'[1]INPUT_ASSUMPTIONS CALC'!$S$7,F200*G200)</f>
        <v>0</v>
      </c>
      <c r="I200" s="138">
        <f>H200*VLOOKUP($A200,'[1]INPUT_ASSUMPTIONS CALC'!$A$13:$CK$1019,H$6,FALSE)*SUMIF('[1]INPUT_ASSUMPTIONS CALC'!$CL$15:$CL$17,'[1]Summary calculation'!E200,'[1]INPUT_ASSUMPTIONS CALC'!$CM$15:$CM$17)</f>
        <v>0</v>
      </c>
      <c r="J200" s="139">
        <f>$I200*VLOOKUP($A200,'[1]INPUT_ASSUMPTIONS CALC'!$A$13:$CK$1019,I$6,FALSE)*VLOOKUP($A200,'[1]INPUT_ASSUMPTIONS CALC'!$A$13:$CK$1019,J$7,FALSE)</f>
        <v>0</v>
      </c>
      <c r="K200" s="139">
        <f>$I200*VLOOKUP($A200,'[1]INPUT_ASSUMPTIONS CALC'!$A$13:$CK$1019,I$6,FALSE)*VLOOKUP($A200,'[1]INPUT_ASSUMPTIONS CALC'!$A$13:$CK$1019,K$7,FALSE)</f>
        <v>0</v>
      </c>
      <c r="L200" s="139">
        <f>$I200*VLOOKUP($A200,'[1]INPUT_ASSUMPTIONS CALC'!$A$13:$CK$1019,I$6,FALSE)*VLOOKUP($A200,'[1]INPUT_ASSUMPTIONS CALC'!$A$13:$CK$1019,L$7,FALSE)</f>
        <v>0</v>
      </c>
      <c r="M200" s="139">
        <f>$I200*VLOOKUP($A200,'[1]INPUT_ASSUMPTIONS CALC'!$A$13:$CK$1019,I$6,FALSE)*VLOOKUP($A200,'[1]INPUT_ASSUMPTIONS CALC'!$A$13:$CK$1019,M$7,FALSE)</f>
        <v>0</v>
      </c>
      <c r="N200" s="140">
        <f t="shared" si="11"/>
        <v>0</v>
      </c>
      <c r="O200" s="141">
        <f>H200*VLOOKUP($A200,'[1]INPUT_ASSUMPTIONS CALC'!$A$13:$CK$1019,H$6,FALSE)*SUMIF('[1]INPUT_ASSUMPTIONS CALC'!$CQ$15:$CQ$17,'[1]Summary calculation'!E200,'[1]INPUT_ASSUMPTIONS CALC'!$CR$15:$CR$17)</f>
        <v>0</v>
      </c>
      <c r="P200" s="141">
        <f>H200*VLOOKUP($A200,'[1]INPUT_ASSUMPTIONS CALC'!$A$13:$CK$1019,H$6,FALSE)*SUMIF('[1]INPUT_ASSUMPTIONS CALC'!$CV$15:$CV$31,'[1]Summary calculation'!E200,'[1]INPUT_ASSUMPTIONS CALC'!$CW$15:$CW$31)</f>
        <v>0</v>
      </c>
      <c r="Q200" s="141">
        <f>O200*VLOOKUP($A200,'[1]INPUT_ASSUMPTIONS CALC'!$A$13:$CK$1019,Q$7,FALSE)</f>
        <v>0</v>
      </c>
      <c r="R200" s="141">
        <f>P200*VLOOKUP($A200,'[1]INPUT_ASSUMPTIONS CALC'!$A$13:$CK$1019,R$7,FALSE)</f>
        <v>0</v>
      </c>
      <c r="S200" s="140">
        <f t="shared" si="9"/>
        <v>0</v>
      </c>
      <c r="T200" s="142">
        <f t="shared" si="10"/>
        <v>0</v>
      </c>
      <c r="U200" s="61"/>
    </row>
    <row r="201" spans="1:21" x14ac:dyDescent="0.35">
      <c r="A201" s="125" t="str">
        <f t="shared" ref="A201:A208" si="12">CONCATENATE(B201,$F$5)</f>
        <v>193Q2</v>
      </c>
      <c r="B201" s="135">
        <v>193</v>
      </c>
      <c r="C201" s="61" t="str">
        <f>INDEX('[1]INPUT_ASSUMPTIONS CALC'!D:D,MATCH(A201,'[1]INPUT_ASSUMPTIONS CALC'!A:A,0))</f>
        <v/>
      </c>
      <c r="D201" s="61" t="str">
        <f>INDEX('[1]INPUT_ASSUMPTIONS CALC'!I:I,MATCH(A201,'[1]INPUT_ASSUMPTIONS CALC'!A:A,0))</f>
        <v/>
      </c>
      <c r="E201" s="61" t="str">
        <f>INDEX('[1]INPUT_ASSUMPTIONS CALC'!E:E,MATCH(A201,'[1]INPUT_ASSUMPTIONS CALC'!A:A,0))</f>
        <v/>
      </c>
      <c r="F201" s="136">
        <f>IF($F$5="Q1",VLOOKUP($A201,'[1]INPUT_ASSUMPTIONS CALC'!$A$13:$CK$1019,F$7,FALSE),IF($F$5="Q2",VLOOKUP($A201,'[1]INPUT_ASSUMPTIONS CALC'!$A$13:$CK$1019,F$7,FALSE),IF($F$5="Q3",VLOOKUP($A201,'[1]INPUT_ASSUMPTIONS CALC'!$A$13:$CK$1019,F$7,FALSE),IF($F$5="Q4",VLOOKUP($A201,'[1]INPUT_ASSUMPTIONS CALC'!$A$13:$CK$1019,F$7,FALSE),IF($F$5="Year",VLOOKUP($A201,'[1]INPUT_ASSUMPTIONS CALC'!$A$13:$CK$1019,F$7,FALSE),0)))))</f>
        <v>0</v>
      </c>
      <c r="G201" s="137">
        <f>SUMIF('[1]INPUT_ASSUMPTIONS CALC'!A:A,'[1]Summary calculation'!A201,'[1]INPUT_ASSUMPTIONS CALC'!BU:BU)</f>
        <v>0</v>
      </c>
      <c r="H201" s="138">
        <f>IF($F$5="Year",F201*G201*'[1]INPUT_ASSUMPTIONS CALC'!$S$7,F201*G201)</f>
        <v>0</v>
      </c>
      <c r="I201" s="138">
        <f>H201*VLOOKUP($A201,'[1]INPUT_ASSUMPTIONS CALC'!$A$13:$CK$1019,H$6,FALSE)*SUMIF('[1]INPUT_ASSUMPTIONS CALC'!$CL$15:$CL$17,'[1]Summary calculation'!E201,'[1]INPUT_ASSUMPTIONS CALC'!$CM$15:$CM$17)</f>
        <v>0</v>
      </c>
      <c r="J201" s="139">
        <f>$I201*VLOOKUP($A201,'[1]INPUT_ASSUMPTIONS CALC'!$A$13:$CK$1019,I$6,FALSE)*VLOOKUP($A201,'[1]INPUT_ASSUMPTIONS CALC'!$A$13:$CK$1019,J$7,FALSE)</f>
        <v>0</v>
      </c>
      <c r="K201" s="139">
        <f>$I201*VLOOKUP($A201,'[1]INPUT_ASSUMPTIONS CALC'!$A$13:$CK$1019,I$6,FALSE)*VLOOKUP($A201,'[1]INPUT_ASSUMPTIONS CALC'!$A$13:$CK$1019,K$7,FALSE)</f>
        <v>0</v>
      </c>
      <c r="L201" s="139">
        <f>$I201*VLOOKUP($A201,'[1]INPUT_ASSUMPTIONS CALC'!$A$13:$CK$1019,I$6,FALSE)*VLOOKUP($A201,'[1]INPUT_ASSUMPTIONS CALC'!$A$13:$CK$1019,L$7,FALSE)</f>
        <v>0</v>
      </c>
      <c r="M201" s="139">
        <f>$I201*VLOOKUP($A201,'[1]INPUT_ASSUMPTIONS CALC'!$A$13:$CK$1019,I$6,FALSE)*VLOOKUP($A201,'[1]INPUT_ASSUMPTIONS CALC'!$A$13:$CK$1019,M$7,FALSE)</f>
        <v>0</v>
      </c>
      <c r="N201" s="140">
        <f t="shared" si="11"/>
        <v>0</v>
      </c>
      <c r="O201" s="141">
        <f>H201*VLOOKUP($A201,'[1]INPUT_ASSUMPTIONS CALC'!$A$13:$CK$1019,H$6,FALSE)*SUMIF('[1]INPUT_ASSUMPTIONS CALC'!$CQ$15:$CQ$17,'[1]Summary calculation'!E201,'[1]INPUT_ASSUMPTIONS CALC'!$CR$15:$CR$17)</f>
        <v>0</v>
      </c>
      <c r="P201" s="141">
        <f>H201*VLOOKUP($A201,'[1]INPUT_ASSUMPTIONS CALC'!$A$13:$CK$1019,H$6,FALSE)*SUMIF('[1]INPUT_ASSUMPTIONS CALC'!$CV$15:$CV$31,'[1]Summary calculation'!E201,'[1]INPUT_ASSUMPTIONS CALC'!$CW$15:$CW$31)</f>
        <v>0</v>
      </c>
      <c r="Q201" s="141">
        <f>O201*VLOOKUP($A201,'[1]INPUT_ASSUMPTIONS CALC'!$A$13:$CK$1019,Q$7,FALSE)</f>
        <v>0</v>
      </c>
      <c r="R201" s="141">
        <f>P201*VLOOKUP($A201,'[1]INPUT_ASSUMPTIONS CALC'!$A$13:$CK$1019,R$7,FALSE)</f>
        <v>0</v>
      </c>
      <c r="S201" s="140">
        <f t="shared" ref="S201:S208" si="13">SUM(Q201:R201)</f>
        <v>0</v>
      </c>
      <c r="T201" s="142">
        <f t="shared" ref="T201:T208" si="14">ROUND(N201+S201,0)</f>
        <v>0</v>
      </c>
      <c r="U201" s="61"/>
    </row>
    <row r="202" spans="1:21" x14ac:dyDescent="0.35">
      <c r="A202" s="125" t="str">
        <f t="shared" si="12"/>
        <v>194Q2</v>
      </c>
      <c r="B202" s="135">
        <v>194</v>
      </c>
      <c r="C202" s="61" t="str">
        <f>INDEX('[1]INPUT_ASSUMPTIONS CALC'!D:D,MATCH(A202,'[1]INPUT_ASSUMPTIONS CALC'!A:A,0))</f>
        <v/>
      </c>
      <c r="D202" s="61" t="str">
        <f>INDEX('[1]INPUT_ASSUMPTIONS CALC'!I:I,MATCH(A202,'[1]INPUT_ASSUMPTIONS CALC'!A:A,0))</f>
        <v/>
      </c>
      <c r="E202" s="61" t="str">
        <f>INDEX('[1]INPUT_ASSUMPTIONS CALC'!E:E,MATCH(A202,'[1]INPUT_ASSUMPTIONS CALC'!A:A,0))</f>
        <v/>
      </c>
      <c r="F202" s="136">
        <f>IF($F$5="Q1",VLOOKUP($A202,'[1]INPUT_ASSUMPTIONS CALC'!$A$13:$CK$1019,F$7,FALSE),IF($F$5="Q2",VLOOKUP($A202,'[1]INPUT_ASSUMPTIONS CALC'!$A$13:$CK$1019,F$7,FALSE),IF($F$5="Q3",VLOOKUP($A202,'[1]INPUT_ASSUMPTIONS CALC'!$A$13:$CK$1019,F$7,FALSE),IF($F$5="Q4",VLOOKUP($A202,'[1]INPUT_ASSUMPTIONS CALC'!$A$13:$CK$1019,F$7,FALSE),IF($F$5="Year",VLOOKUP($A202,'[1]INPUT_ASSUMPTIONS CALC'!$A$13:$CK$1019,F$7,FALSE),0)))))</f>
        <v>0</v>
      </c>
      <c r="G202" s="137">
        <f>SUMIF('[1]INPUT_ASSUMPTIONS CALC'!A:A,'[1]Summary calculation'!A202,'[1]INPUT_ASSUMPTIONS CALC'!BU:BU)</f>
        <v>0</v>
      </c>
      <c r="H202" s="138">
        <f>IF($F$5="Year",F202*G202*'[1]INPUT_ASSUMPTIONS CALC'!$S$7,F202*G202)</f>
        <v>0</v>
      </c>
      <c r="I202" s="138">
        <f>H202*VLOOKUP($A202,'[1]INPUT_ASSUMPTIONS CALC'!$A$13:$CK$1019,H$6,FALSE)*SUMIF('[1]INPUT_ASSUMPTIONS CALC'!$CL$15:$CL$17,'[1]Summary calculation'!E202,'[1]INPUT_ASSUMPTIONS CALC'!$CM$15:$CM$17)</f>
        <v>0</v>
      </c>
      <c r="J202" s="139">
        <f>$I202*VLOOKUP($A202,'[1]INPUT_ASSUMPTIONS CALC'!$A$13:$CK$1019,I$6,FALSE)*VLOOKUP($A202,'[1]INPUT_ASSUMPTIONS CALC'!$A$13:$CK$1019,J$7,FALSE)</f>
        <v>0</v>
      </c>
      <c r="K202" s="139">
        <f>$I202*VLOOKUP($A202,'[1]INPUT_ASSUMPTIONS CALC'!$A$13:$CK$1019,I$6,FALSE)*VLOOKUP($A202,'[1]INPUT_ASSUMPTIONS CALC'!$A$13:$CK$1019,K$7,FALSE)</f>
        <v>0</v>
      </c>
      <c r="L202" s="139">
        <f>$I202*VLOOKUP($A202,'[1]INPUT_ASSUMPTIONS CALC'!$A$13:$CK$1019,I$6,FALSE)*VLOOKUP($A202,'[1]INPUT_ASSUMPTIONS CALC'!$A$13:$CK$1019,L$7,FALSE)</f>
        <v>0</v>
      </c>
      <c r="M202" s="139">
        <f>$I202*VLOOKUP($A202,'[1]INPUT_ASSUMPTIONS CALC'!$A$13:$CK$1019,I$6,FALSE)*VLOOKUP($A202,'[1]INPUT_ASSUMPTIONS CALC'!$A$13:$CK$1019,M$7,FALSE)</f>
        <v>0</v>
      </c>
      <c r="N202" s="140">
        <f t="shared" ref="N202:N208" si="15">SUM(J202:M202)</f>
        <v>0</v>
      </c>
      <c r="O202" s="141">
        <f>H202*VLOOKUP($A202,'[1]INPUT_ASSUMPTIONS CALC'!$A$13:$CK$1019,H$6,FALSE)*SUMIF('[1]INPUT_ASSUMPTIONS CALC'!$CQ$15:$CQ$17,'[1]Summary calculation'!E202,'[1]INPUT_ASSUMPTIONS CALC'!$CR$15:$CR$17)</f>
        <v>0</v>
      </c>
      <c r="P202" s="141">
        <f>H202*VLOOKUP($A202,'[1]INPUT_ASSUMPTIONS CALC'!$A$13:$CK$1019,H$6,FALSE)*SUMIF('[1]INPUT_ASSUMPTIONS CALC'!$CV$15:$CV$31,'[1]Summary calculation'!E202,'[1]INPUT_ASSUMPTIONS CALC'!$CW$15:$CW$31)</f>
        <v>0</v>
      </c>
      <c r="Q202" s="141">
        <f>O202*VLOOKUP($A202,'[1]INPUT_ASSUMPTIONS CALC'!$A$13:$CK$1019,Q$7,FALSE)</f>
        <v>0</v>
      </c>
      <c r="R202" s="141">
        <f>P202*VLOOKUP($A202,'[1]INPUT_ASSUMPTIONS CALC'!$A$13:$CK$1019,R$7,FALSE)</f>
        <v>0</v>
      </c>
      <c r="S202" s="140">
        <f t="shared" si="13"/>
        <v>0</v>
      </c>
      <c r="T202" s="142">
        <f t="shared" si="14"/>
        <v>0</v>
      </c>
      <c r="U202" s="61"/>
    </row>
    <row r="203" spans="1:21" x14ac:dyDescent="0.35">
      <c r="A203" s="125" t="str">
        <f t="shared" si="12"/>
        <v>195Q2</v>
      </c>
      <c r="B203" s="135">
        <v>195</v>
      </c>
      <c r="C203" s="61" t="str">
        <f>INDEX('[1]INPUT_ASSUMPTIONS CALC'!D:D,MATCH(A203,'[1]INPUT_ASSUMPTIONS CALC'!A:A,0))</f>
        <v/>
      </c>
      <c r="D203" s="61" t="str">
        <f>INDEX('[1]INPUT_ASSUMPTIONS CALC'!I:I,MATCH(A203,'[1]INPUT_ASSUMPTIONS CALC'!A:A,0))</f>
        <v/>
      </c>
      <c r="E203" s="61" t="str">
        <f>INDEX('[1]INPUT_ASSUMPTIONS CALC'!E:E,MATCH(A203,'[1]INPUT_ASSUMPTIONS CALC'!A:A,0))</f>
        <v/>
      </c>
      <c r="F203" s="136">
        <f>IF($F$5="Q1",VLOOKUP($A203,'[1]INPUT_ASSUMPTIONS CALC'!$A$13:$CK$1019,F$7,FALSE),IF($F$5="Q2",VLOOKUP($A203,'[1]INPUT_ASSUMPTIONS CALC'!$A$13:$CK$1019,F$7,FALSE),IF($F$5="Q3",VLOOKUP($A203,'[1]INPUT_ASSUMPTIONS CALC'!$A$13:$CK$1019,F$7,FALSE),IF($F$5="Q4",VLOOKUP($A203,'[1]INPUT_ASSUMPTIONS CALC'!$A$13:$CK$1019,F$7,FALSE),IF($F$5="Year",VLOOKUP($A203,'[1]INPUT_ASSUMPTIONS CALC'!$A$13:$CK$1019,F$7,FALSE),0)))))</f>
        <v>0</v>
      </c>
      <c r="G203" s="137">
        <f>SUMIF('[1]INPUT_ASSUMPTIONS CALC'!A:A,'[1]Summary calculation'!A203,'[1]INPUT_ASSUMPTIONS CALC'!BU:BU)</f>
        <v>0</v>
      </c>
      <c r="H203" s="138">
        <f>IF($F$5="Year",F203*G203*'[1]INPUT_ASSUMPTIONS CALC'!$S$7,F203*G203)</f>
        <v>0</v>
      </c>
      <c r="I203" s="138">
        <f>H203*VLOOKUP($A203,'[1]INPUT_ASSUMPTIONS CALC'!$A$13:$CK$1019,H$6,FALSE)*SUMIF('[1]INPUT_ASSUMPTIONS CALC'!$CL$15:$CL$17,'[1]Summary calculation'!E203,'[1]INPUT_ASSUMPTIONS CALC'!$CM$15:$CM$17)</f>
        <v>0</v>
      </c>
      <c r="J203" s="139">
        <f>$I203*VLOOKUP($A203,'[1]INPUT_ASSUMPTIONS CALC'!$A$13:$CK$1019,I$6,FALSE)*VLOOKUP($A203,'[1]INPUT_ASSUMPTIONS CALC'!$A$13:$CK$1019,J$7,FALSE)</f>
        <v>0</v>
      </c>
      <c r="K203" s="139">
        <f>$I203*VLOOKUP($A203,'[1]INPUT_ASSUMPTIONS CALC'!$A$13:$CK$1019,I$6,FALSE)*VLOOKUP($A203,'[1]INPUT_ASSUMPTIONS CALC'!$A$13:$CK$1019,K$7,FALSE)</f>
        <v>0</v>
      </c>
      <c r="L203" s="139">
        <f>$I203*VLOOKUP($A203,'[1]INPUT_ASSUMPTIONS CALC'!$A$13:$CK$1019,I$6,FALSE)*VLOOKUP($A203,'[1]INPUT_ASSUMPTIONS CALC'!$A$13:$CK$1019,L$7,FALSE)</f>
        <v>0</v>
      </c>
      <c r="M203" s="139">
        <f>$I203*VLOOKUP($A203,'[1]INPUT_ASSUMPTIONS CALC'!$A$13:$CK$1019,I$6,FALSE)*VLOOKUP($A203,'[1]INPUT_ASSUMPTIONS CALC'!$A$13:$CK$1019,M$7,FALSE)</f>
        <v>0</v>
      </c>
      <c r="N203" s="140">
        <f t="shared" si="15"/>
        <v>0</v>
      </c>
      <c r="O203" s="141">
        <f>H203*VLOOKUP($A203,'[1]INPUT_ASSUMPTIONS CALC'!$A$13:$CK$1019,H$6,FALSE)*SUMIF('[1]INPUT_ASSUMPTIONS CALC'!$CQ$15:$CQ$17,'[1]Summary calculation'!E203,'[1]INPUT_ASSUMPTIONS CALC'!$CR$15:$CR$17)</f>
        <v>0</v>
      </c>
      <c r="P203" s="141">
        <f>H203*VLOOKUP($A203,'[1]INPUT_ASSUMPTIONS CALC'!$A$13:$CK$1019,H$6,FALSE)*SUMIF('[1]INPUT_ASSUMPTIONS CALC'!$CV$15:$CV$31,'[1]Summary calculation'!E203,'[1]INPUT_ASSUMPTIONS CALC'!$CW$15:$CW$31)</f>
        <v>0</v>
      </c>
      <c r="Q203" s="141">
        <f>O203*VLOOKUP($A203,'[1]INPUT_ASSUMPTIONS CALC'!$A$13:$CK$1019,Q$7,FALSE)</f>
        <v>0</v>
      </c>
      <c r="R203" s="141">
        <f>P203*VLOOKUP($A203,'[1]INPUT_ASSUMPTIONS CALC'!$A$13:$CK$1019,R$7,FALSE)</f>
        <v>0</v>
      </c>
      <c r="S203" s="140">
        <f t="shared" si="13"/>
        <v>0</v>
      </c>
      <c r="T203" s="142">
        <f t="shared" si="14"/>
        <v>0</v>
      </c>
      <c r="U203" s="61"/>
    </row>
    <row r="204" spans="1:21" x14ac:dyDescent="0.35">
      <c r="A204" s="125" t="str">
        <f t="shared" si="12"/>
        <v>196Q2</v>
      </c>
      <c r="B204" s="135">
        <v>196</v>
      </c>
      <c r="C204" s="61" t="str">
        <f>INDEX('[1]INPUT_ASSUMPTIONS CALC'!D:D,MATCH(A204,'[1]INPUT_ASSUMPTIONS CALC'!A:A,0))</f>
        <v/>
      </c>
      <c r="D204" s="61" t="str">
        <f>INDEX('[1]INPUT_ASSUMPTIONS CALC'!I:I,MATCH(A204,'[1]INPUT_ASSUMPTIONS CALC'!A:A,0))</f>
        <v/>
      </c>
      <c r="E204" s="61" t="str">
        <f>INDEX('[1]INPUT_ASSUMPTIONS CALC'!E:E,MATCH(A204,'[1]INPUT_ASSUMPTIONS CALC'!A:A,0))</f>
        <v/>
      </c>
      <c r="F204" s="136">
        <f>IF($F$5="Q1",VLOOKUP($A204,'[1]INPUT_ASSUMPTIONS CALC'!$A$13:$CK$1019,F$7,FALSE),IF($F$5="Q2",VLOOKUP($A204,'[1]INPUT_ASSUMPTIONS CALC'!$A$13:$CK$1019,F$7,FALSE),IF($F$5="Q3",VLOOKUP($A204,'[1]INPUT_ASSUMPTIONS CALC'!$A$13:$CK$1019,F$7,FALSE),IF($F$5="Q4",VLOOKUP($A204,'[1]INPUT_ASSUMPTIONS CALC'!$A$13:$CK$1019,F$7,FALSE),IF($F$5="Year",VLOOKUP($A204,'[1]INPUT_ASSUMPTIONS CALC'!$A$13:$CK$1019,F$7,FALSE),0)))))</f>
        <v>0</v>
      </c>
      <c r="G204" s="137">
        <f>SUMIF('[1]INPUT_ASSUMPTIONS CALC'!A:A,'[1]Summary calculation'!A204,'[1]INPUT_ASSUMPTIONS CALC'!BU:BU)</f>
        <v>0</v>
      </c>
      <c r="H204" s="138">
        <f>IF($F$5="Year",F204*G204*'[1]INPUT_ASSUMPTIONS CALC'!$S$7,F204*G204)</f>
        <v>0</v>
      </c>
      <c r="I204" s="138">
        <f>H204*VLOOKUP($A204,'[1]INPUT_ASSUMPTIONS CALC'!$A$13:$CK$1019,H$6,FALSE)*SUMIF('[1]INPUT_ASSUMPTIONS CALC'!$CL$15:$CL$17,'[1]Summary calculation'!E204,'[1]INPUT_ASSUMPTIONS CALC'!$CM$15:$CM$17)</f>
        <v>0</v>
      </c>
      <c r="J204" s="139">
        <f>$I204*VLOOKUP($A204,'[1]INPUT_ASSUMPTIONS CALC'!$A$13:$CK$1019,I$6,FALSE)*VLOOKUP($A204,'[1]INPUT_ASSUMPTIONS CALC'!$A$13:$CK$1019,J$7,FALSE)</f>
        <v>0</v>
      </c>
      <c r="K204" s="139">
        <f>$I204*VLOOKUP($A204,'[1]INPUT_ASSUMPTIONS CALC'!$A$13:$CK$1019,I$6,FALSE)*VLOOKUP($A204,'[1]INPUT_ASSUMPTIONS CALC'!$A$13:$CK$1019,K$7,FALSE)</f>
        <v>0</v>
      </c>
      <c r="L204" s="139">
        <f>$I204*VLOOKUP($A204,'[1]INPUT_ASSUMPTIONS CALC'!$A$13:$CK$1019,I$6,FALSE)*VLOOKUP($A204,'[1]INPUT_ASSUMPTIONS CALC'!$A$13:$CK$1019,L$7,FALSE)</f>
        <v>0</v>
      </c>
      <c r="M204" s="139">
        <f>$I204*VLOOKUP($A204,'[1]INPUT_ASSUMPTIONS CALC'!$A$13:$CK$1019,I$6,FALSE)*VLOOKUP($A204,'[1]INPUT_ASSUMPTIONS CALC'!$A$13:$CK$1019,M$7,FALSE)</f>
        <v>0</v>
      </c>
      <c r="N204" s="140">
        <f t="shared" si="15"/>
        <v>0</v>
      </c>
      <c r="O204" s="141">
        <f>H204*VLOOKUP($A204,'[1]INPUT_ASSUMPTIONS CALC'!$A$13:$CK$1019,H$6,FALSE)*SUMIF('[1]INPUT_ASSUMPTIONS CALC'!$CQ$15:$CQ$17,'[1]Summary calculation'!E204,'[1]INPUT_ASSUMPTIONS CALC'!$CR$15:$CR$17)</f>
        <v>0</v>
      </c>
      <c r="P204" s="141">
        <f>H204*VLOOKUP($A204,'[1]INPUT_ASSUMPTIONS CALC'!$A$13:$CK$1019,H$6,FALSE)*SUMIF('[1]INPUT_ASSUMPTIONS CALC'!$CV$15:$CV$31,'[1]Summary calculation'!E204,'[1]INPUT_ASSUMPTIONS CALC'!$CW$15:$CW$31)</f>
        <v>0</v>
      </c>
      <c r="Q204" s="141">
        <f>O204*VLOOKUP($A204,'[1]INPUT_ASSUMPTIONS CALC'!$A$13:$CK$1019,Q$7,FALSE)</f>
        <v>0</v>
      </c>
      <c r="R204" s="141">
        <f>P204*VLOOKUP($A204,'[1]INPUT_ASSUMPTIONS CALC'!$A$13:$CK$1019,R$7,FALSE)</f>
        <v>0</v>
      </c>
      <c r="S204" s="140">
        <f t="shared" si="13"/>
        <v>0</v>
      </c>
      <c r="T204" s="142">
        <f t="shared" si="14"/>
        <v>0</v>
      </c>
      <c r="U204" s="61"/>
    </row>
    <row r="205" spans="1:21" x14ac:dyDescent="0.35">
      <c r="A205" s="125" t="str">
        <f t="shared" si="12"/>
        <v>197Q2</v>
      </c>
      <c r="B205" s="135">
        <v>197</v>
      </c>
      <c r="C205" s="61" t="str">
        <f>INDEX('[1]INPUT_ASSUMPTIONS CALC'!D:D,MATCH(A205,'[1]INPUT_ASSUMPTIONS CALC'!A:A,0))</f>
        <v/>
      </c>
      <c r="D205" s="61" t="str">
        <f>INDEX('[1]INPUT_ASSUMPTIONS CALC'!I:I,MATCH(A205,'[1]INPUT_ASSUMPTIONS CALC'!A:A,0))</f>
        <v/>
      </c>
      <c r="E205" s="61" t="str">
        <f>INDEX('[1]INPUT_ASSUMPTIONS CALC'!E:E,MATCH(A205,'[1]INPUT_ASSUMPTIONS CALC'!A:A,0))</f>
        <v/>
      </c>
      <c r="F205" s="136">
        <f>IF($F$5="Q1",VLOOKUP($A205,'[1]INPUT_ASSUMPTIONS CALC'!$A$13:$CK$1019,F$7,FALSE),IF($F$5="Q2",VLOOKUP($A205,'[1]INPUT_ASSUMPTIONS CALC'!$A$13:$CK$1019,F$7,FALSE),IF($F$5="Q3",VLOOKUP($A205,'[1]INPUT_ASSUMPTIONS CALC'!$A$13:$CK$1019,F$7,FALSE),IF($F$5="Q4",VLOOKUP($A205,'[1]INPUT_ASSUMPTIONS CALC'!$A$13:$CK$1019,F$7,FALSE),IF($F$5="Year",VLOOKUP($A205,'[1]INPUT_ASSUMPTIONS CALC'!$A$13:$CK$1019,F$7,FALSE),0)))))</f>
        <v>0</v>
      </c>
      <c r="G205" s="137">
        <f>SUMIF('[1]INPUT_ASSUMPTIONS CALC'!A:A,'[1]Summary calculation'!A205,'[1]INPUT_ASSUMPTIONS CALC'!BU:BU)</f>
        <v>0</v>
      </c>
      <c r="H205" s="138">
        <f>IF($F$5="Year",F205*G205*'[1]INPUT_ASSUMPTIONS CALC'!$S$7,F205*G205)</f>
        <v>0</v>
      </c>
      <c r="I205" s="138">
        <f>H205*VLOOKUP($A205,'[1]INPUT_ASSUMPTIONS CALC'!$A$13:$CK$1019,H$6,FALSE)*SUMIF('[1]INPUT_ASSUMPTIONS CALC'!$CL$15:$CL$17,'[1]Summary calculation'!E205,'[1]INPUT_ASSUMPTIONS CALC'!$CM$15:$CM$17)</f>
        <v>0</v>
      </c>
      <c r="J205" s="139">
        <f>$I205*VLOOKUP($A205,'[1]INPUT_ASSUMPTIONS CALC'!$A$13:$CK$1019,I$6,FALSE)*VLOOKUP($A205,'[1]INPUT_ASSUMPTIONS CALC'!$A$13:$CK$1019,J$7,FALSE)</f>
        <v>0</v>
      </c>
      <c r="K205" s="139">
        <f>$I205*VLOOKUP($A205,'[1]INPUT_ASSUMPTIONS CALC'!$A$13:$CK$1019,I$6,FALSE)*VLOOKUP($A205,'[1]INPUT_ASSUMPTIONS CALC'!$A$13:$CK$1019,K$7,FALSE)</f>
        <v>0</v>
      </c>
      <c r="L205" s="139">
        <f>$I205*VLOOKUP($A205,'[1]INPUT_ASSUMPTIONS CALC'!$A$13:$CK$1019,I$6,FALSE)*VLOOKUP($A205,'[1]INPUT_ASSUMPTIONS CALC'!$A$13:$CK$1019,L$7,FALSE)</f>
        <v>0</v>
      </c>
      <c r="M205" s="139">
        <f>$I205*VLOOKUP($A205,'[1]INPUT_ASSUMPTIONS CALC'!$A$13:$CK$1019,I$6,FALSE)*VLOOKUP($A205,'[1]INPUT_ASSUMPTIONS CALC'!$A$13:$CK$1019,M$7,FALSE)</f>
        <v>0</v>
      </c>
      <c r="N205" s="140">
        <f t="shared" si="15"/>
        <v>0</v>
      </c>
      <c r="O205" s="141">
        <f>H205*VLOOKUP($A205,'[1]INPUT_ASSUMPTIONS CALC'!$A$13:$CK$1019,H$6,FALSE)*SUMIF('[1]INPUT_ASSUMPTIONS CALC'!$CQ$15:$CQ$17,'[1]Summary calculation'!E205,'[1]INPUT_ASSUMPTIONS CALC'!$CR$15:$CR$17)</f>
        <v>0</v>
      </c>
      <c r="P205" s="141">
        <f>H205*VLOOKUP($A205,'[1]INPUT_ASSUMPTIONS CALC'!$A$13:$CK$1019,H$6,FALSE)*SUMIF('[1]INPUT_ASSUMPTIONS CALC'!$CV$15:$CV$31,'[1]Summary calculation'!E205,'[1]INPUT_ASSUMPTIONS CALC'!$CW$15:$CW$31)</f>
        <v>0</v>
      </c>
      <c r="Q205" s="141">
        <f>O205*VLOOKUP($A205,'[1]INPUT_ASSUMPTIONS CALC'!$A$13:$CK$1019,Q$7,FALSE)</f>
        <v>0</v>
      </c>
      <c r="R205" s="141">
        <f>P205*VLOOKUP($A205,'[1]INPUT_ASSUMPTIONS CALC'!$A$13:$CK$1019,R$7,FALSE)</f>
        <v>0</v>
      </c>
      <c r="S205" s="140">
        <f t="shared" si="13"/>
        <v>0</v>
      </c>
      <c r="T205" s="142">
        <f t="shared" si="14"/>
        <v>0</v>
      </c>
      <c r="U205" s="61"/>
    </row>
    <row r="206" spans="1:21" x14ac:dyDescent="0.35">
      <c r="A206" s="125" t="str">
        <f t="shared" si="12"/>
        <v>198Q2</v>
      </c>
      <c r="B206" s="135">
        <v>198</v>
      </c>
      <c r="C206" s="61" t="str">
        <f>INDEX('[1]INPUT_ASSUMPTIONS CALC'!D:D,MATCH(A206,'[1]INPUT_ASSUMPTIONS CALC'!A:A,0))</f>
        <v/>
      </c>
      <c r="D206" s="61" t="str">
        <f>INDEX('[1]INPUT_ASSUMPTIONS CALC'!I:I,MATCH(A206,'[1]INPUT_ASSUMPTIONS CALC'!A:A,0))</f>
        <v/>
      </c>
      <c r="E206" s="61" t="str">
        <f>INDEX('[1]INPUT_ASSUMPTIONS CALC'!E:E,MATCH(A206,'[1]INPUT_ASSUMPTIONS CALC'!A:A,0))</f>
        <v/>
      </c>
      <c r="F206" s="136">
        <f>IF($F$5="Q1",VLOOKUP($A206,'[1]INPUT_ASSUMPTIONS CALC'!$A$13:$CK$1019,F$7,FALSE),IF($F$5="Q2",VLOOKUP($A206,'[1]INPUT_ASSUMPTIONS CALC'!$A$13:$CK$1019,F$7,FALSE),IF($F$5="Q3",VLOOKUP($A206,'[1]INPUT_ASSUMPTIONS CALC'!$A$13:$CK$1019,F$7,FALSE),IF($F$5="Q4",VLOOKUP($A206,'[1]INPUT_ASSUMPTIONS CALC'!$A$13:$CK$1019,F$7,FALSE),IF($F$5="Year",VLOOKUP($A206,'[1]INPUT_ASSUMPTIONS CALC'!$A$13:$CK$1019,F$7,FALSE),0)))))</f>
        <v>0</v>
      </c>
      <c r="G206" s="137">
        <f>SUMIF('[1]INPUT_ASSUMPTIONS CALC'!A:A,'[1]Summary calculation'!A206,'[1]INPUT_ASSUMPTIONS CALC'!BU:BU)</f>
        <v>0</v>
      </c>
      <c r="H206" s="138">
        <f>IF($F$5="Year",F206*G206*'[1]INPUT_ASSUMPTIONS CALC'!$S$7,F206*G206)</f>
        <v>0</v>
      </c>
      <c r="I206" s="138">
        <f>H206*VLOOKUP($A206,'[1]INPUT_ASSUMPTIONS CALC'!$A$13:$CK$1019,H$6,FALSE)*SUMIF('[1]INPUT_ASSUMPTIONS CALC'!$CL$15:$CL$17,'[1]Summary calculation'!E206,'[1]INPUT_ASSUMPTIONS CALC'!$CM$15:$CM$17)</f>
        <v>0</v>
      </c>
      <c r="J206" s="139">
        <f>$I206*VLOOKUP($A206,'[1]INPUT_ASSUMPTIONS CALC'!$A$13:$CK$1019,I$6,FALSE)*VLOOKUP($A206,'[1]INPUT_ASSUMPTIONS CALC'!$A$13:$CK$1019,J$7,FALSE)</f>
        <v>0</v>
      </c>
      <c r="K206" s="139">
        <f>$I206*VLOOKUP($A206,'[1]INPUT_ASSUMPTIONS CALC'!$A$13:$CK$1019,I$6,FALSE)*VLOOKUP($A206,'[1]INPUT_ASSUMPTIONS CALC'!$A$13:$CK$1019,K$7,FALSE)</f>
        <v>0</v>
      </c>
      <c r="L206" s="139">
        <f>$I206*VLOOKUP($A206,'[1]INPUT_ASSUMPTIONS CALC'!$A$13:$CK$1019,I$6,FALSE)*VLOOKUP($A206,'[1]INPUT_ASSUMPTIONS CALC'!$A$13:$CK$1019,L$7,FALSE)</f>
        <v>0</v>
      </c>
      <c r="M206" s="139">
        <f>$I206*VLOOKUP($A206,'[1]INPUT_ASSUMPTIONS CALC'!$A$13:$CK$1019,I$6,FALSE)*VLOOKUP($A206,'[1]INPUT_ASSUMPTIONS CALC'!$A$13:$CK$1019,M$7,FALSE)</f>
        <v>0</v>
      </c>
      <c r="N206" s="140">
        <f t="shared" si="15"/>
        <v>0</v>
      </c>
      <c r="O206" s="141">
        <f>H206*VLOOKUP($A206,'[1]INPUT_ASSUMPTIONS CALC'!$A$13:$CK$1019,H$6,FALSE)*SUMIF('[1]INPUT_ASSUMPTIONS CALC'!$CQ$15:$CQ$17,'[1]Summary calculation'!E206,'[1]INPUT_ASSUMPTIONS CALC'!$CR$15:$CR$17)</f>
        <v>0</v>
      </c>
      <c r="P206" s="141">
        <f>H206*VLOOKUP($A206,'[1]INPUT_ASSUMPTIONS CALC'!$A$13:$CK$1019,H$6,FALSE)*SUMIF('[1]INPUT_ASSUMPTIONS CALC'!$CV$15:$CV$31,'[1]Summary calculation'!E206,'[1]INPUT_ASSUMPTIONS CALC'!$CW$15:$CW$31)</f>
        <v>0</v>
      </c>
      <c r="Q206" s="141">
        <f>O206*VLOOKUP($A206,'[1]INPUT_ASSUMPTIONS CALC'!$A$13:$CK$1019,Q$7,FALSE)</f>
        <v>0</v>
      </c>
      <c r="R206" s="141">
        <f>P206*VLOOKUP($A206,'[1]INPUT_ASSUMPTIONS CALC'!$A$13:$CK$1019,R$7,FALSE)</f>
        <v>0</v>
      </c>
      <c r="S206" s="140">
        <f t="shared" si="13"/>
        <v>0</v>
      </c>
      <c r="T206" s="142">
        <f t="shared" si="14"/>
        <v>0</v>
      </c>
      <c r="U206" s="61"/>
    </row>
    <row r="207" spans="1:21" x14ac:dyDescent="0.35">
      <c r="A207" s="125" t="str">
        <f t="shared" si="12"/>
        <v>199Q2</v>
      </c>
      <c r="B207" s="135">
        <v>199</v>
      </c>
      <c r="C207" s="61" t="str">
        <f>INDEX('[1]INPUT_ASSUMPTIONS CALC'!D:D,MATCH(A207,'[1]INPUT_ASSUMPTIONS CALC'!A:A,0))</f>
        <v/>
      </c>
      <c r="D207" s="61" t="str">
        <f>INDEX('[1]INPUT_ASSUMPTIONS CALC'!I:I,MATCH(A207,'[1]INPUT_ASSUMPTIONS CALC'!A:A,0))</f>
        <v/>
      </c>
      <c r="E207" s="61" t="str">
        <f>INDEX('[1]INPUT_ASSUMPTIONS CALC'!E:E,MATCH(A207,'[1]INPUT_ASSUMPTIONS CALC'!A:A,0))</f>
        <v/>
      </c>
      <c r="F207" s="136">
        <f>IF($F$5="Q1",VLOOKUP($A207,'[1]INPUT_ASSUMPTIONS CALC'!$A$13:$CK$1019,F$7,FALSE),IF($F$5="Q2",VLOOKUP($A207,'[1]INPUT_ASSUMPTIONS CALC'!$A$13:$CK$1019,F$7,FALSE),IF($F$5="Q3",VLOOKUP($A207,'[1]INPUT_ASSUMPTIONS CALC'!$A$13:$CK$1019,F$7,FALSE),IF($F$5="Q4",VLOOKUP($A207,'[1]INPUT_ASSUMPTIONS CALC'!$A$13:$CK$1019,F$7,FALSE),IF($F$5="Year",VLOOKUP($A207,'[1]INPUT_ASSUMPTIONS CALC'!$A$13:$CK$1019,F$7,FALSE),0)))))</f>
        <v>0</v>
      </c>
      <c r="G207" s="137">
        <f>SUMIF('[1]INPUT_ASSUMPTIONS CALC'!A:A,'[1]Summary calculation'!A207,'[1]INPUT_ASSUMPTIONS CALC'!BU:BU)</f>
        <v>0</v>
      </c>
      <c r="H207" s="138">
        <f>IF($F$5="Year",F207*G207*'[1]INPUT_ASSUMPTIONS CALC'!$S$7,F207*G207)</f>
        <v>0</v>
      </c>
      <c r="I207" s="138">
        <f>H207*VLOOKUP($A207,'[1]INPUT_ASSUMPTIONS CALC'!$A$13:$CK$1019,H$6,FALSE)*SUMIF('[1]INPUT_ASSUMPTIONS CALC'!$CL$15:$CL$17,'[1]Summary calculation'!E207,'[1]INPUT_ASSUMPTIONS CALC'!$CM$15:$CM$17)</f>
        <v>0</v>
      </c>
      <c r="J207" s="139">
        <f>$I207*VLOOKUP($A207,'[1]INPUT_ASSUMPTIONS CALC'!$A$13:$CK$1019,I$6,FALSE)*VLOOKUP($A207,'[1]INPUT_ASSUMPTIONS CALC'!$A$13:$CK$1019,J$7,FALSE)</f>
        <v>0</v>
      </c>
      <c r="K207" s="139">
        <f>$I207*VLOOKUP($A207,'[1]INPUT_ASSUMPTIONS CALC'!$A$13:$CK$1019,I$6,FALSE)*VLOOKUP($A207,'[1]INPUT_ASSUMPTIONS CALC'!$A$13:$CK$1019,K$7,FALSE)</f>
        <v>0</v>
      </c>
      <c r="L207" s="139">
        <f>$I207*VLOOKUP($A207,'[1]INPUT_ASSUMPTIONS CALC'!$A$13:$CK$1019,I$6,FALSE)*VLOOKUP($A207,'[1]INPUT_ASSUMPTIONS CALC'!$A$13:$CK$1019,L$7,FALSE)</f>
        <v>0</v>
      </c>
      <c r="M207" s="139">
        <f>$I207*VLOOKUP($A207,'[1]INPUT_ASSUMPTIONS CALC'!$A$13:$CK$1019,I$6,FALSE)*VLOOKUP($A207,'[1]INPUT_ASSUMPTIONS CALC'!$A$13:$CK$1019,M$7,FALSE)</f>
        <v>0</v>
      </c>
      <c r="N207" s="140">
        <f t="shared" si="15"/>
        <v>0</v>
      </c>
      <c r="O207" s="141">
        <f>H207*VLOOKUP($A207,'[1]INPUT_ASSUMPTIONS CALC'!$A$13:$CK$1019,H$6,FALSE)*SUMIF('[1]INPUT_ASSUMPTIONS CALC'!$CQ$15:$CQ$17,'[1]Summary calculation'!E207,'[1]INPUT_ASSUMPTIONS CALC'!$CR$15:$CR$17)</f>
        <v>0</v>
      </c>
      <c r="P207" s="141">
        <f>H207*VLOOKUP($A207,'[1]INPUT_ASSUMPTIONS CALC'!$A$13:$CK$1019,H$6,FALSE)*SUMIF('[1]INPUT_ASSUMPTIONS CALC'!$CV$15:$CV$31,'[1]Summary calculation'!E207,'[1]INPUT_ASSUMPTIONS CALC'!$CW$15:$CW$31)</f>
        <v>0</v>
      </c>
      <c r="Q207" s="141">
        <f>O207*VLOOKUP($A207,'[1]INPUT_ASSUMPTIONS CALC'!$A$13:$CK$1019,Q$7,FALSE)</f>
        <v>0</v>
      </c>
      <c r="R207" s="141">
        <f>P207*VLOOKUP($A207,'[1]INPUT_ASSUMPTIONS CALC'!$A$13:$CK$1019,R$7,FALSE)</f>
        <v>0</v>
      </c>
      <c r="S207" s="140">
        <f t="shared" si="13"/>
        <v>0</v>
      </c>
      <c r="T207" s="142">
        <f t="shared" si="14"/>
        <v>0</v>
      </c>
      <c r="U207" s="61"/>
    </row>
    <row r="208" spans="1:21" x14ac:dyDescent="0.35">
      <c r="A208" s="125" t="str">
        <f t="shared" si="12"/>
        <v>200Q2</v>
      </c>
      <c r="B208" s="135">
        <v>200</v>
      </c>
      <c r="C208" s="61" t="str">
        <f>INDEX('[1]INPUT_ASSUMPTIONS CALC'!D:D,MATCH(A208,'[1]INPUT_ASSUMPTIONS CALC'!A:A,0))</f>
        <v/>
      </c>
      <c r="D208" s="61" t="str">
        <f>INDEX('[1]INPUT_ASSUMPTIONS CALC'!I:I,MATCH(A208,'[1]INPUT_ASSUMPTIONS CALC'!A:A,0))</f>
        <v/>
      </c>
      <c r="E208" s="61" t="str">
        <f>INDEX('[1]INPUT_ASSUMPTIONS CALC'!E:E,MATCH(A208,'[1]INPUT_ASSUMPTIONS CALC'!A:A,0))</f>
        <v/>
      </c>
      <c r="F208" s="136">
        <f>IF($F$5="Q1",VLOOKUP($A208,'[1]INPUT_ASSUMPTIONS CALC'!$A$13:$CK$1019,F$7,FALSE),IF($F$5="Q2",VLOOKUP($A208,'[1]INPUT_ASSUMPTIONS CALC'!$A$13:$CK$1019,F$7,FALSE),IF($F$5="Q3",VLOOKUP($A208,'[1]INPUT_ASSUMPTIONS CALC'!$A$13:$CK$1019,F$7,FALSE),IF($F$5="Q4",VLOOKUP($A208,'[1]INPUT_ASSUMPTIONS CALC'!$A$13:$CK$1019,F$7,FALSE),IF($F$5="Year",VLOOKUP($A208,'[1]INPUT_ASSUMPTIONS CALC'!$A$13:$CK$1019,F$7,FALSE),0)))))</f>
        <v>0</v>
      </c>
      <c r="G208" s="137">
        <f>SUMIF('[1]INPUT_ASSUMPTIONS CALC'!A:A,'[1]Summary calculation'!A208,'[1]INPUT_ASSUMPTIONS CALC'!BU:BU)</f>
        <v>0</v>
      </c>
      <c r="H208" s="138">
        <f>IF($F$5="Year",F208*G208*'[1]INPUT_ASSUMPTIONS CALC'!$S$7,F208*G208)</f>
        <v>0</v>
      </c>
      <c r="I208" s="138">
        <f>H208*VLOOKUP($A208,'[1]INPUT_ASSUMPTIONS CALC'!$A$13:$CK$1019,H$6,FALSE)*SUMIF('[1]INPUT_ASSUMPTIONS CALC'!$CL$15:$CL$17,'[1]Summary calculation'!E208,'[1]INPUT_ASSUMPTIONS CALC'!$CM$15:$CM$17)</f>
        <v>0</v>
      </c>
      <c r="J208" s="139">
        <f>$I208*VLOOKUP($A208,'[1]INPUT_ASSUMPTIONS CALC'!$A$13:$CK$1019,I$6,FALSE)*VLOOKUP($A208,'[1]INPUT_ASSUMPTIONS CALC'!$A$13:$CK$1019,J$7,FALSE)</f>
        <v>0</v>
      </c>
      <c r="K208" s="139">
        <f>$I208*VLOOKUP($A208,'[1]INPUT_ASSUMPTIONS CALC'!$A$13:$CK$1019,I$6,FALSE)*VLOOKUP($A208,'[1]INPUT_ASSUMPTIONS CALC'!$A$13:$CK$1019,K$7,FALSE)</f>
        <v>0</v>
      </c>
      <c r="L208" s="139">
        <f>$I208*VLOOKUP($A208,'[1]INPUT_ASSUMPTIONS CALC'!$A$13:$CK$1019,I$6,FALSE)*VLOOKUP($A208,'[1]INPUT_ASSUMPTIONS CALC'!$A$13:$CK$1019,L$7,FALSE)</f>
        <v>0</v>
      </c>
      <c r="M208" s="139">
        <f>$I208*VLOOKUP($A208,'[1]INPUT_ASSUMPTIONS CALC'!$A$13:$CK$1019,I$6,FALSE)*VLOOKUP($A208,'[1]INPUT_ASSUMPTIONS CALC'!$A$13:$CK$1019,M$7,FALSE)</f>
        <v>0</v>
      </c>
      <c r="N208" s="140">
        <f t="shared" si="15"/>
        <v>0</v>
      </c>
      <c r="O208" s="141">
        <f>H208*VLOOKUP($A208,'[1]INPUT_ASSUMPTIONS CALC'!$A$13:$CK$1019,H$6,FALSE)*SUMIF('[1]INPUT_ASSUMPTIONS CALC'!$CQ$15:$CQ$17,'[1]Summary calculation'!E208,'[1]INPUT_ASSUMPTIONS CALC'!$CR$15:$CR$17)</f>
        <v>0</v>
      </c>
      <c r="P208" s="141">
        <f>H208*VLOOKUP($A208,'[1]INPUT_ASSUMPTIONS CALC'!$A$13:$CK$1019,H$6,FALSE)*SUMIF('[1]INPUT_ASSUMPTIONS CALC'!$CV$15:$CV$31,'[1]Summary calculation'!E208,'[1]INPUT_ASSUMPTIONS CALC'!$CW$15:$CW$31)</f>
        <v>0</v>
      </c>
      <c r="Q208" s="141">
        <f>O208*VLOOKUP($A208,'[1]INPUT_ASSUMPTIONS CALC'!$A$13:$CK$1019,Q$7,FALSE)</f>
        <v>0</v>
      </c>
      <c r="R208" s="141">
        <f>P208*VLOOKUP($A208,'[1]INPUT_ASSUMPTIONS CALC'!$A$13:$CK$1019,R$7,FALSE)</f>
        <v>0</v>
      </c>
      <c r="S208" s="140">
        <f t="shared" si="13"/>
        <v>0</v>
      </c>
      <c r="T208" s="142">
        <f t="shared" si="14"/>
        <v>0</v>
      </c>
      <c r="U208" s="61"/>
    </row>
    <row r="209" spans="1:21" ht="15" thickBot="1" x14ac:dyDescent="0.4">
      <c r="A209" s="125"/>
      <c r="B209" s="143"/>
      <c r="C209" s="144"/>
      <c r="D209" s="144" t="e">
        <f>INDEX('[1]INPUT_ASSUMPTIONS CALC'!I:I,MATCH(A209,'[1]INPUT_ASSUMPTIONS CALC'!A:A,0))</f>
        <v>#N/A</v>
      </c>
      <c r="E209" s="144"/>
      <c r="F209" s="144"/>
      <c r="G209" s="145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6"/>
      <c r="U209" s="61"/>
    </row>
    <row r="210" spans="1:21" ht="15" thickBot="1" x14ac:dyDescent="0.4">
      <c r="A210" s="125"/>
      <c r="B210" s="61"/>
      <c r="C210" s="61"/>
      <c r="D210" s="61" t="e">
        <f>INDEX('[1]INPUT_ASSUMPTIONS CALC'!I:I,MATCH(A210,'[1]INPUT_ASSUMPTIONS CALC'!A:A,0))</f>
        <v>#N/A</v>
      </c>
      <c r="E210" s="61"/>
      <c r="F210" s="61"/>
      <c r="G210" s="136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</row>
    <row r="211" spans="1:21" ht="15" thickBot="1" x14ac:dyDescent="0.4">
      <c r="A211" s="125"/>
      <c r="B211" s="147" t="s">
        <v>253</v>
      </c>
      <c r="C211" s="148"/>
      <c r="D211" s="149" t="e">
        <f>INDEX('[1]INPUT_ASSUMPTIONS CALC'!I:I,MATCH(A211,'[1]INPUT_ASSUMPTIONS CALC'!A:A,0))</f>
        <v>#N/A</v>
      </c>
      <c r="E211" s="149"/>
      <c r="F211" s="150">
        <f t="shared" ref="F211:S211" si="16">SUBTOTAL(9,F9:F208)</f>
        <v>39362575</v>
      </c>
      <c r="G211" s="150">
        <f t="shared" si="16"/>
        <v>80.833333333333329</v>
      </c>
      <c r="H211" s="150">
        <f t="shared" si="16"/>
        <v>34615404.166666664</v>
      </c>
      <c r="I211" s="150">
        <f t="shared" si="16"/>
        <v>25477383.333333332</v>
      </c>
      <c r="J211" s="150">
        <f t="shared" si="16"/>
        <v>15515246.123333331</v>
      </c>
      <c r="K211" s="150">
        <f t="shared" si="16"/>
        <v>11107007.866666665</v>
      </c>
      <c r="L211" s="150">
        <f t="shared" si="16"/>
        <v>7241382.5</v>
      </c>
      <c r="M211" s="150">
        <f t="shared" si="16"/>
        <v>4379438.71</v>
      </c>
      <c r="N211" s="150">
        <f t="shared" si="16"/>
        <v>38243075.199999981</v>
      </c>
      <c r="O211" s="150">
        <f t="shared" si="16"/>
        <v>5788545.833333334</v>
      </c>
      <c r="P211" s="150">
        <f t="shared" si="16"/>
        <v>580800</v>
      </c>
      <c r="Q211" s="150">
        <f>SUBTOTAL(9,Q9:Q208)</f>
        <v>4921643.333333333</v>
      </c>
      <c r="R211" s="150">
        <f t="shared" si="16"/>
        <v>508200</v>
      </c>
      <c r="S211" s="150">
        <f t="shared" si="16"/>
        <v>5429843.333333333</v>
      </c>
      <c r="T211" s="151">
        <f>SUBTOTAL(9,T9:T208)</f>
        <v>43672924</v>
      </c>
      <c r="U211" s="61"/>
    </row>
    <row r="212" spans="1:21" x14ac:dyDescent="0.35">
      <c r="A212" s="125"/>
      <c r="B212" s="61"/>
      <c r="C212" s="61"/>
      <c r="D212" s="61" t="e">
        <f>INDEX('[1]INPUT_ASSUMPTIONS CALC'!I:I,MATCH(A212,'[1]INPUT_ASSUMPTIONS CALC'!A:A,0))</f>
        <v>#N/A</v>
      </c>
      <c r="E212" s="61"/>
      <c r="F212" s="61"/>
      <c r="G212" s="136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</row>
    <row r="213" spans="1:21" x14ac:dyDescent="0.35">
      <c r="A213" s="125"/>
      <c r="B213" s="61"/>
      <c r="C213" s="61"/>
      <c r="D213" s="61" t="e">
        <f>INDEX('[1]INPUT_ASSUMPTIONS CALC'!I:I,MATCH(A213,'[1]INPUT_ASSUMPTIONS CALC'!A:A,0))</f>
        <v>#N/A</v>
      </c>
      <c r="E213" s="61"/>
      <c r="F213" s="61"/>
      <c r="G213" s="136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</row>
    <row r="214" spans="1:21" x14ac:dyDescent="0.35">
      <c r="A214" s="125"/>
      <c r="B214" s="61"/>
      <c r="C214" s="61"/>
      <c r="D214" s="61" t="e">
        <f>INDEX('[1]INPUT_ASSUMPTIONS CALC'!I:I,MATCH(A214,'[1]INPUT_ASSUMPTIONS CALC'!A:A,0))</f>
        <v>#N/A</v>
      </c>
      <c r="E214" s="61"/>
      <c r="F214" s="61"/>
      <c r="G214" s="136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</row>
    <row r="215" spans="1:21" x14ac:dyDescent="0.35">
      <c r="A215" s="125"/>
      <c r="B215" s="61"/>
      <c r="C215" s="61"/>
      <c r="D215" s="61" t="e">
        <f>INDEX('[1]INPUT_ASSUMPTIONS CALC'!I:I,MATCH(A215,'[1]INPUT_ASSUMPTIONS CALC'!A:A,0))</f>
        <v>#N/A</v>
      </c>
      <c r="E215" s="61"/>
      <c r="F215" s="61"/>
      <c r="G215" s="136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</row>
    <row r="216" spans="1:21" x14ac:dyDescent="0.35">
      <c r="A216" s="125"/>
      <c r="B216" s="61"/>
      <c r="C216" s="61"/>
      <c r="D216" s="61" t="e">
        <f>INDEX('[1]INPUT_ASSUMPTIONS CALC'!I:I,MATCH(A216,'[1]INPUT_ASSUMPTIONS CALC'!A:A,0))</f>
        <v>#N/A</v>
      </c>
      <c r="E216" s="61"/>
      <c r="F216" s="61"/>
      <c r="G216" s="136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</row>
    <row r="217" spans="1:21" x14ac:dyDescent="0.35">
      <c r="A217" s="125"/>
      <c r="B217" s="61"/>
      <c r="C217" s="61"/>
      <c r="D217" s="61" t="e">
        <f>INDEX('[1]INPUT_ASSUMPTIONS CALC'!I:I,MATCH(A217,'[1]INPUT_ASSUMPTIONS CALC'!A:A,0))</f>
        <v>#N/A</v>
      </c>
      <c r="E217" s="61"/>
      <c r="F217" s="61"/>
      <c r="G217" s="136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</row>
    <row r="218" spans="1:21" x14ac:dyDescent="0.35">
      <c r="A218" s="125"/>
      <c r="B218" s="61"/>
      <c r="C218" s="61"/>
      <c r="D218" s="61" t="e">
        <f>INDEX('[1]INPUT_ASSUMPTIONS CALC'!I:I,MATCH(A218,'[1]INPUT_ASSUMPTIONS CALC'!A:A,0))</f>
        <v>#N/A</v>
      </c>
      <c r="E218" s="61"/>
      <c r="F218" s="61"/>
      <c r="G218" s="136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</row>
    <row r="219" spans="1:21" x14ac:dyDescent="0.35">
      <c r="A219" s="125"/>
      <c r="B219" s="61"/>
      <c r="C219" s="61"/>
      <c r="D219" s="61" t="e">
        <f>INDEX('[1]INPUT_ASSUMPTIONS CALC'!I:I,MATCH(A219,'[1]INPUT_ASSUMPTIONS CALC'!A:A,0))</f>
        <v>#N/A</v>
      </c>
      <c r="E219" s="61"/>
      <c r="F219" s="61"/>
      <c r="G219" s="136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</row>
    <row r="220" spans="1:21" x14ac:dyDescent="0.35">
      <c r="A220" s="125"/>
      <c r="B220" s="61"/>
      <c r="C220" s="61"/>
      <c r="D220" s="61" t="e">
        <f>INDEX('[1]INPUT_ASSUMPTIONS CALC'!I:I,MATCH(A220,'[1]INPUT_ASSUMPTIONS CALC'!A:A,0))</f>
        <v>#N/A</v>
      </c>
      <c r="E220" s="61"/>
      <c r="F220" s="61"/>
      <c r="G220" s="136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</row>
    <row r="221" spans="1:21" x14ac:dyDescent="0.35">
      <c r="A221" s="125"/>
      <c r="B221" s="61"/>
      <c r="C221" s="61"/>
      <c r="D221" s="61" t="e">
        <f>INDEX('[1]INPUT_ASSUMPTIONS CALC'!I:I,MATCH(A221,'[1]INPUT_ASSUMPTIONS CALC'!A:A,0))</f>
        <v>#N/A</v>
      </c>
      <c r="E221" s="61"/>
      <c r="F221" s="61"/>
      <c r="G221" s="136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</row>
  </sheetData>
  <mergeCells count="1">
    <mergeCell ref="B211:C211"/>
  </mergeCells>
  <dataValidations count="2">
    <dataValidation type="list" allowBlank="1" showInputMessage="1" showErrorMessage="1" sqref="F3" xr:uid="{A4DF8057-8EEA-48A5-8795-3C9D5AE7DEC1}">
      <formula1>$AF$1:$AF$12</formula1>
    </dataValidation>
    <dataValidation type="list" allowBlank="1" showInputMessage="1" showErrorMessage="1" sqref="F5" xr:uid="{23DC2F0F-ABA7-4D2F-8140-D2D5C8DF3043}">
      <formula1>CycleList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42CD-8E7E-4E81-805B-4FBC2211FD4E}">
  <dimension ref="B1:K234"/>
  <sheetViews>
    <sheetView zoomScale="55" zoomScaleNormal="55" workbookViewId="0">
      <selection activeCell="P14" sqref="P14"/>
    </sheetView>
  </sheetViews>
  <sheetFormatPr defaultColWidth="9.1796875" defaultRowHeight="17.5" x14ac:dyDescent="0.35"/>
  <cols>
    <col min="1" max="1" width="3.1796875" style="152" customWidth="1"/>
    <col min="2" max="2" width="6.1796875" style="152" customWidth="1"/>
    <col min="3" max="3" width="33" style="152" customWidth="1"/>
    <col min="4" max="4" width="31.26953125" style="152" customWidth="1"/>
    <col min="5" max="5" width="18.81640625" style="152" customWidth="1"/>
    <col min="6" max="6" width="18.54296875" style="152" customWidth="1"/>
    <col min="7" max="7" width="21.54296875" style="152" customWidth="1"/>
    <col min="8" max="8" width="19.81640625" style="152" customWidth="1"/>
    <col min="9" max="9" width="22.26953125" style="152" customWidth="1"/>
    <col min="10" max="10" width="16.1796875" style="152" customWidth="1"/>
    <col min="11" max="11" width="15.1796875" style="152" customWidth="1"/>
    <col min="12" max="16384" width="9.1796875" style="152"/>
  </cols>
  <sheetData>
    <row r="1" spans="2:11" ht="18" x14ac:dyDescent="0.35">
      <c r="C1" s="165" t="s">
        <v>254</v>
      </c>
      <c r="D1" s="165"/>
    </row>
    <row r="2" spans="2:11" ht="18" x14ac:dyDescent="0.35">
      <c r="C2" s="165"/>
      <c r="D2" s="165"/>
    </row>
    <row r="4" spans="2:11" ht="18" x14ac:dyDescent="0.4">
      <c r="B4" s="121" t="s">
        <v>230</v>
      </c>
    </row>
    <row r="5" spans="2:11" ht="10.5" customHeight="1" x14ac:dyDescent="0.35"/>
    <row r="6" spans="2:11" ht="2.25" customHeight="1" x14ac:dyDescent="0.35"/>
    <row r="7" spans="2:11" ht="7.5" customHeight="1" x14ac:dyDescent="0.35"/>
    <row r="8" spans="2:11" ht="18" x14ac:dyDescent="0.4">
      <c r="B8" s="153" t="s">
        <v>255</v>
      </c>
      <c r="C8" s="153"/>
      <c r="D8" s="153"/>
      <c r="E8" s="153"/>
      <c r="F8" s="153"/>
      <c r="G8" s="153"/>
      <c r="H8" s="153"/>
      <c r="I8" s="153"/>
      <c r="J8" s="153"/>
    </row>
    <row r="9" spans="2:11" ht="18" x14ac:dyDescent="0.4">
      <c r="D9" s="121"/>
      <c r="E9" s="153" t="str">
        <f>'[1]Summary calculation'!F3</f>
        <v>87 Georgia</v>
      </c>
      <c r="F9" s="153"/>
      <c r="G9" s="153"/>
      <c r="H9" s="154"/>
      <c r="I9" s="154"/>
    </row>
    <row r="10" spans="2:11" ht="18" x14ac:dyDescent="0.4">
      <c r="D10" s="121"/>
      <c r="E10" s="153" t="str">
        <f>'[1]Summary calculation'!F5&amp;" "&amp;'[1]INPUT_ASSUMPTIONS CALC'!$D$2</f>
        <v>Q2 2017</v>
      </c>
      <c r="F10" s="153"/>
      <c r="G10" s="153"/>
      <c r="H10" s="154"/>
      <c r="I10" s="154"/>
    </row>
    <row r="12" spans="2:11" ht="73.5" customHeight="1" x14ac:dyDescent="0.4">
      <c r="B12" s="155" t="s">
        <v>178</v>
      </c>
      <c r="C12" s="156" t="s">
        <v>1</v>
      </c>
      <c r="D12" s="156" t="s">
        <v>2</v>
      </c>
      <c r="E12" s="157" t="s">
        <v>256</v>
      </c>
      <c r="F12" s="157" t="s">
        <v>257</v>
      </c>
      <c r="G12" s="157" t="s">
        <v>246</v>
      </c>
      <c r="H12" s="157" t="s">
        <v>258</v>
      </c>
      <c r="I12" s="157" t="s">
        <v>252</v>
      </c>
      <c r="J12" s="157" t="s">
        <v>259</v>
      </c>
      <c r="K12" s="157" t="s">
        <v>260</v>
      </c>
    </row>
    <row r="13" spans="2:11" x14ac:dyDescent="0.35">
      <c r="B13" s="158">
        <f>'[1]Summary calculation'!B9</f>
        <v>1</v>
      </c>
      <c r="C13" s="158" t="str">
        <f>'[1]Summary calculation'!C9</f>
        <v>Abasheva Anna</v>
      </c>
      <c r="D13" s="158" t="str">
        <f>'[1]Summary calculation'!E9</f>
        <v>Medical Representative</v>
      </c>
      <c r="E13" s="159">
        <f>'[1]Summary calculation'!H9</f>
        <v>395525</v>
      </c>
      <c r="F13" s="159">
        <f>E13/'[1]Summary calculation'!$G$5</f>
        <v>1188.8337841899611</v>
      </c>
      <c r="G13" s="159">
        <f>'[1]Summary calculation'!N9</f>
        <v>664482</v>
      </c>
      <c r="H13" s="159">
        <f>'[1]Summary calculation'!S9</f>
        <v>39552.5</v>
      </c>
      <c r="I13" s="159">
        <f>ROUND('[1]Summary calculation'!T9,0)</f>
        <v>704035</v>
      </c>
      <c r="J13" s="159">
        <f>ROUND(I13/'[1]Summary calculation'!$G$5,0)</f>
        <v>2116</v>
      </c>
      <c r="K13" s="166">
        <f>IF(F13=0,0,J13/F13)</f>
        <v>1.7798955818216293</v>
      </c>
    </row>
    <row r="14" spans="2:11" x14ac:dyDescent="0.35">
      <c r="B14" s="158">
        <f>'[1]Summary calculation'!B10</f>
        <v>2</v>
      </c>
      <c r="C14" s="158" t="str">
        <f>'[1]Summary calculation'!C10</f>
        <v>Aitbenbetova Dinara</v>
      </c>
      <c r="D14" s="158" t="str">
        <f>'[1]Summary calculation'!E10</f>
        <v>Medical Representative</v>
      </c>
      <c r="E14" s="159">
        <f>'[1]Summary calculation'!H10</f>
        <v>395525</v>
      </c>
      <c r="F14" s="159">
        <f>E14/'[1]Summary calculation'!$G$5</f>
        <v>1188.8337841899611</v>
      </c>
      <c r="G14" s="159">
        <f>'[1]Summary calculation'!N10</f>
        <v>316420</v>
      </c>
      <c r="H14" s="159">
        <f>'[1]Summary calculation'!S10</f>
        <v>79105</v>
      </c>
      <c r="I14" s="159">
        <f>ROUND('[1]Summary calculation'!T10,0)</f>
        <v>395525</v>
      </c>
      <c r="J14" s="159">
        <f>ROUND(I14/'[1]Summary calculation'!$G$5,0)</f>
        <v>1189</v>
      </c>
      <c r="K14" s="166">
        <f t="shared" ref="K14:K77" si="0">IF(F14=0,0,J14/F14)</f>
        <v>1.0001398141710383</v>
      </c>
    </row>
    <row r="15" spans="2:11" x14ac:dyDescent="0.35">
      <c r="B15" s="158">
        <f>'[1]Summary calculation'!B11</f>
        <v>3</v>
      </c>
      <c r="C15" s="158" t="str">
        <f>'[1]Summary calculation'!C11</f>
        <v>Akhmadiyeva Gulzhan</v>
      </c>
      <c r="D15" s="158" t="str">
        <f>'[1]Summary calculation'!E11</f>
        <v>Medical Representative</v>
      </c>
      <c r="E15" s="159">
        <f>'[1]Summary calculation'!H11</f>
        <v>395525</v>
      </c>
      <c r="F15" s="159">
        <f>E15/'[1]Summary calculation'!$G$5</f>
        <v>1188.8337841899611</v>
      </c>
      <c r="G15" s="159">
        <f>'[1]Summary calculation'!N11</f>
        <v>284778</v>
      </c>
      <c r="H15" s="159">
        <f>'[1]Summary calculation'!S11</f>
        <v>79105</v>
      </c>
      <c r="I15" s="159">
        <f>ROUND('[1]Summary calculation'!T11,0)</f>
        <v>363883</v>
      </c>
      <c r="J15" s="159">
        <f>ROUND(I15/'[1]Summary calculation'!$G$5,0)</f>
        <v>1094</v>
      </c>
      <c r="K15" s="166">
        <f t="shared" si="0"/>
        <v>0.92022956829530356</v>
      </c>
    </row>
    <row r="16" spans="2:11" x14ac:dyDescent="0.35">
      <c r="B16" s="158">
        <f>'[1]Summary calculation'!B12</f>
        <v>4</v>
      </c>
      <c r="C16" s="158" t="str">
        <f>'[1]Summary calculation'!C12</f>
        <v>Akhmetova (Imanzhanova) Sholpan</v>
      </c>
      <c r="D16" s="158" t="str">
        <f>'[1]Summary calculation'!E12</f>
        <v>Medical Representative</v>
      </c>
      <c r="E16" s="159">
        <f>'[1]Summary calculation'!H12</f>
        <v>395525</v>
      </c>
      <c r="F16" s="159">
        <f>E16/'[1]Summary calculation'!$G$5</f>
        <v>1188.8337841899611</v>
      </c>
      <c r="G16" s="159">
        <f>'[1]Summary calculation'!N12</f>
        <v>259464.4</v>
      </c>
      <c r="H16" s="159">
        <f>'[1]Summary calculation'!S12</f>
        <v>79105</v>
      </c>
      <c r="I16" s="159">
        <f>ROUND('[1]Summary calculation'!T12,0)</f>
        <v>338569</v>
      </c>
      <c r="J16" s="159">
        <f>ROUND(I16/'[1]Summary calculation'!$G$5,0)</f>
        <v>1018</v>
      </c>
      <c r="K16" s="166">
        <f t="shared" si="0"/>
        <v>0.85630137159471575</v>
      </c>
    </row>
    <row r="17" spans="2:11" x14ac:dyDescent="0.35">
      <c r="B17" s="158">
        <f>'[1]Summary calculation'!B13</f>
        <v>5</v>
      </c>
      <c r="C17" s="158" t="str">
        <f>'[1]Summary calculation'!C13</f>
        <v>Aliyev Askar</v>
      </c>
      <c r="D17" s="158" t="str">
        <f>'[1]Summary calculation'!E13</f>
        <v>Medical Representative</v>
      </c>
      <c r="E17" s="159">
        <f>'[1]Summary calculation'!H13</f>
        <v>395525</v>
      </c>
      <c r="F17" s="159">
        <f>E17/'[1]Summary calculation'!$G$5</f>
        <v>1188.8337841899611</v>
      </c>
      <c r="G17" s="159">
        <f>'[1]Summary calculation'!N13</f>
        <v>791050</v>
      </c>
      <c r="H17" s="159">
        <f>'[1]Summary calculation'!S13</f>
        <v>79105</v>
      </c>
      <c r="I17" s="159">
        <f>ROUND('[1]Summary calculation'!T13,0)</f>
        <v>870155</v>
      </c>
      <c r="J17" s="159">
        <f>ROUND(I17/'[1]Summary calculation'!$G$5,0)</f>
        <v>2615</v>
      </c>
      <c r="K17" s="166">
        <f t="shared" si="0"/>
        <v>2.1996346627899626</v>
      </c>
    </row>
    <row r="18" spans="2:11" x14ac:dyDescent="0.35">
      <c r="B18" s="158">
        <f>'[1]Summary calculation'!B14</f>
        <v>6</v>
      </c>
      <c r="C18" s="158" t="str">
        <f>'[1]Summary calculation'!C14</f>
        <v>Altynbassova Shynar</v>
      </c>
      <c r="D18" s="158" t="str">
        <f>'[1]Summary calculation'!E14</f>
        <v>Medical Representative</v>
      </c>
      <c r="E18" s="159">
        <f>'[1]Summary calculation'!H14</f>
        <v>395525</v>
      </c>
      <c r="F18" s="159">
        <f>E18/'[1]Summary calculation'!$G$5</f>
        <v>1188.8337841899611</v>
      </c>
      <c r="G18" s="159">
        <f>'[1]Summary calculation'!N14</f>
        <v>791050</v>
      </c>
      <c r="H18" s="159">
        <f>'[1]Summary calculation'!S14</f>
        <v>79105</v>
      </c>
      <c r="I18" s="159">
        <f>ROUND('[1]Summary calculation'!T14,0)</f>
        <v>870155</v>
      </c>
      <c r="J18" s="159">
        <f>ROUND(I18/'[1]Summary calculation'!$G$5,0)</f>
        <v>2615</v>
      </c>
      <c r="K18" s="166">
        <f t="shared" si="0"/>
        <v>2.1996346627899626</v>
      </c>
    </row>
    <row r="19" spans="2:11" x14ac:dyDescent="0.35">
      <c r="B19" s="158">
        <f>'[1]Summary calculation'!B15</f>
        <v>7</v>
      </c>
      <c r="C19" s="158" t="str">
        <f>'[1]Summary calculation'!C15</f>
        <v>Alzhanova Zhuldyz</v>
      </c>
      <c r="D19" s="158" t="str">
        <f>'[1]Summary calculation'!E15</f>
        <v>Pharm Representative</v>
      </c>
      <c r="E19" s="159">
        <f>'[1]Summary calculation'!H15</f>
        <v>395525</v>
      </c>
      <c r="F19" s="159">
        <f>E19/'[1]Summary calculation'!$G$5</f>
        <v>1188.8337841899611</v>
      </c>
      <c r="G19" s="159">
        <f>'[1]Summary calculation'!N15</f>
        <v>506272</v>
      </c>
      <c r="H19" s="159">
        <f>'[1]Summary calculation'!S15</f>
        <v>79105</v>
      </c>
      <c r="I19" s="159">
        <f>ROUND('[1]Summary calculation'!T15,0)</f>
        <v>585377</v>
      </c>
      <c r="J19" s="159">
        <f>ROUND(I19/'[1]Summary calculation'!$G$5,0)</f>
        <v>1759</v>
      </c>
      <c r="K19" s="166">
        <f t="shared" si="0"/>
        <v>1.4796012894254471</v>
      </c>
    </row>
    <row r="20" spans="2:11" x14ac:dyDescent="0.35">
      <c r="B20" s="158">
        <f>'[1]Summary calculation'!B16</f>
        <v>8</v>
      </c>
      <c r="C20" s="158" t="str">
        <f>'[1]Summary calculation'!C16</f>
        <v>Arestova Yelena</v>
      </c>
      <c r="D20" s="158" t="str">
        <f>'[1]Summary calculation'!E16</f>
        <v>Medical Representative</v>
      </c>
      <c r="E20" s="159">
        <f>'[1]Summary calculation'!H16</f>
        <v>395525</v>
      </c>
      <c r="F20" s="159">
        <f>E20/'[1]Summary calculation'!$G$5</f>
        <v>1188.8337841899611</v>
      </c>
      <c r="G20" s="159">
        <f>'[1]Summary calculation'!N16</f>
        <v>316420</v>
      </c>
      <c r="H20" s="159">
        <f>'[1]Summary calculation'!S16</f>
        <v>79105</v>
      </c>
      <c r="I20" s="159">
        <f>ROUND('[1]Summary calculation'!T16,0)</f>
        <v>395525</v>
      </c>
      <c r="J20" s="159">
        <f>ROUND(I20/'[1]Summary calculation'!$G$5,0)</f>
        <v>1189</v>
      </c>
      <c r="K20" s="166">
        <f t="shared" si="0"/>
        <v>1.0001398141710383</v>
      </c>
    </row>
    <row r="21" spans="2:11" x14ac:dyDescent="0.35">
      <c r="B21" s="158">
        <f>'[1]Summary calculation'!B17</f>
        <v>9</v>
      </c>
      <c r="C21" s="158" t="str">
        <f>'[1]Summary calculation'!C17</f>
        <v>Auyelbekova Syndykul</v>
      </c>
      <c r="D21" s="158" t="str">
        <f>'[1]Summary calculation'!E17</f>
        <v>Medical Representative</v>
      </c>
      <c r="E21" s="159">
        <f>'[1]Summary calculation'!H17</f>
        <v>395525</v>
      </c>
      <c r="F21" s="159">
        <f>E21/'[1]Summary calculation'!$G$5</f>
        <v>1188.8337841899611</v>
      </c>
      <c r="G21" s="159">
        <f>'[1]Summary calculation'!N17</f>
        <v>791050</v>
      </c>
      <c r="H21" s="159">
        <f>'[1]Summary calculation'!S17</f>
        <v>39552.5</v>
      </c>
      <c r="I21" s="159">
        <f>ROUND('[1]Summary calculation'!T17,0)</f>
        <v>830603</v>
      </c>
      <c r="J21" s="159">
        <f>ROUND(I21/'[1]Summary calculation'!$G$5,0)</f>
        <v>2497</v>
      </c>
      <c r="K21" s="166">
        <f>IF(F21=0,0,J21/F21)</f>
        <v>2.100377725807471</v>
      </c>
    </row>
    <row r="22" spans="2:11" x14ac:dyDescent="0.35">
      <c r="B22" s="158">
        <f>'[1]Summary calculation'!B18</f>
        <v>10</v>
      </c>
      <c r="C22" s="158" t="str">
        <f>'[1]Summary calculation'!C18</f>
        <v>Aybolova Zhazira</v>
      </c>
      <c r="D22" s="158" t="str">
        <f>'[1]Summary calculation'!E18</f>
        <v>Medical Representative</v>
      </c>
      <c r="E22" s="159">
        <f>'[1]Summary calculation'!H18</f>
        <v>395525</v>
      </c>
      <c r="F22" s="159">
        <f>E22/'[1]Summary calculation'!$G$5</f>
        <v>1188.8337841899611</v>
      </c>
      <c r="G22" s="159">
        <f>'[1]Summary calculation'!N18</f>
        <v>379704</v>
      </c>
      <c r="H22" s="159">
        <f>'[1]Summary calculation'!S18</f>
        <v>79105</v>
      </c>
      <c r="I22" s="159">
        <f>ROUND('[1]Summary calculation'!T18,0)</f>
        <v>458809</v>
      </c>
      <c r="J22" s="159">
        <f>ROUND(I22/'[1]Summary calculation'!$G$5,0)</f>
        <v>1379</v>
      </c>
      <c r="K22" s="166">
        <f t="shared" si="0"/>
        <v>1.1599603059225079</v>
      </c>
    </row>
    <row r="23" spans="2:11" x14ac:dyDescent="0.35">
      <c r="B23" s="158">
        <f>'[1]Summary calculation'!B19</f>
        <v>11</v>
      </c>
      <c r="C23" s="158" t="str">
        <f>'[1]Summary calculation'!C19</f>
        <v>Baimysheva Mariya</v>
      </c>
      <c r="D23" s="158" t="str">
        <f>'[1]Summary calculation'!E19</f>
        <v>Medical Representative</v>
      </c>
      <c r="E23" s="159">
        <f>'[1]Summary calculation'!H19</f>
        <v>395525</v>
      </c>
      <c r="F23" s="159">
        <f>E23/'[1]Summary calculation'!$G$5</f>
        <v>1188.8337841899611</v>
      </c>
      <c r="G23" s="159">
        <f>'[1]Summary calculation'!N19</f>
        <v>791050</v>
      </c>
      <c r="H23" s="159">
        <f>'[1]Summary calculation'!S19</f>
        <v>79105</v>
      </c>
      <c r="I23" s="159">
        <f>ROUND('[1]Summary calculation'!T19,0)</f>
        <v>870155</v>
      </c>
      <c r="J23" s="159">
        <f>ROUND(I23/'[1]Summary calculation'!$G$5,0)</f>
        <v>2615</v>
      </c>
      <c r="K23" s="166">
        <f t="shared" si="0"/>
        <v>2.1996346627899626</v>
      </c>
    </row>
    <row r="24" spans="2:11" x14ac:dyDescent="0.35">
      <c r="B24" s="158">
        <f>'[1]Summary calculation'!B20</f>
        <v>12</v>
      </c>
      <c r="C24" s="158" t="str">
        <f>'[1]Summary calculation'!C20</f>
        <v>Bakisheva Aliya</v>
      </c>
      <c r="D24" s="158" t="str">
        <f>'[1]Summary calculation'!E20</f>
        <v>Medical Representative</v>
      </c>
      <c r="E24" s="159">
        <f>'[1]Summary calculation'!H20</f>
        <v>395525</v>
      </c>
      <c r="F24" s="159">
        <f>E24/'[1]Summary calculation'!$G$5</f>
        <v>1188.8337841899611</v>
      </c>
      <c r="G24" s="159">
        <f>'[1]Summary calculation'!N20</f>
        <v>648661</v>
      </c>
      <c r="H24" s="159">
        <f>'[1]Summary calculation'!S20</f>
        <v>79105</v>
      </c>
      <c r="I24" s="159">
        <f>ROUND('[1]Summary calculation'!T20,0)</f>
        <v>727766</v>
      </c>
      <c r="J24" s="159">
        <f>ROUND(I24/'[1]Summary calculation'!$G$5,0)</f>
        <v>2187</v>
      </c>
      <c r="K24" s="166">
        <f t="shared" si="0"/>
        <v>1.8396179761077047</v>
      </c>
    </row>
    <row r="25" spans="2:11" x14ac:dyDescent="0.35">
      <c r="B25" s="158">
        <f>'[1]Summary calculation'!B21</f>
        <v>13</v>
      </c>
      <c r="C25" s="158" t="str">
        <f>'[1]Summary calculation'!C21</f>
        <v>Balanesku Irina</v>
      </c>
      <c r="D25" s="158" t="str">
        <f>'[1]Summary calculation'!E21</f>
        <v>Medical Representative</v>
      </c>
      <c r="E25" s="159">
        <f>'[1]Summary calculation'!H21</f>
        <v>395525</v>
      </c>
      <c r="F25" s="159">
        <f>E25/'[1]Summary calculation'!$G$5</f>
        <v>1188.8337841899611</v>
      </c>
      <c r="G25" s="159">
        <f>'[1]Summary calculation'!N21</f>
        <v>303763.20000000007</v>
      </c>
      <c r="H25" s="159">
        <f>'[1]Summary calculation'!S21</f>
        <v>79105</v>
      </c>
      <c r="I25" s="159">
        <f>ROUND('[1]Summary calculation'!T21,0)</f>
        <v>382868</v>
      </c>
      <c r="J25" s="159">
        <f>ROUND(I25/'[1]Summary calculation'!$G$5,0)</f>
        <v>1151</v>
      </c>
      <c r="K25" s="166">
        <f t="shared" si="0"/>
        <v>0.96817571582074446</v>
      </c>
    </row>
    <row r="26" spans="2:11" x14ac:dyDescent="0.35">
      <c r="B26" s="158">
        <f>'[1]Summary calculation'!B22</f>
        <v>14</v>
      </c>
      <c r="C26" s="158" t="str">
        <f>'[1]Summary calculation'!C22</f>
        <v>Balmagambetova Zamza</v>
      </c>
      <c r="D26" s="158" t="str">
        <f>'[1]Summary calculation'!E22</f>
        <v>Medical Representative</v>
      </c>
      <c r="E26" s="159">
        <f>'[1]Summary calculation'!H22</f>
        <v>395525</v>
      </c>
      <c r="F26" s="159">
        <f>E26/'[1]Summary calculation'!$G$5</f>
        <v>1188.8337841899611</v>
      </c>
      <c r="G26" s="159">
        <f>'[1]Summary calculation'!N22</f>
        <v>259464.4</v>
      </c>
      <c r="H26" s="159">
        <f>'[1]Summary calculation'!S22</f>
        <v>79105</v>
      </c>
      <c r="I26" s="159">
        <f>ROUND('[1]Summary calculation'!T22,0)</f>
        <v>338569</v>
      </c>
      <c r="J26" s="159">
        <f>ROUND(I26/'[1]Summary calculation'!$G$5,0)</f>
        <v>1018</v>
      </c>
      <c r="K26" s="166">
        <f t="shared" si="0"/>
        <v>0.85630137159471575</v>
      </c>
    </row>
    <row r="27" spans="2:11" x14ac:dyDescent="0.35">
      <c r="B27" s="158">
        <f>'[1]Summary calculation'!B23</f>
        <v>15</v>
      </c>
      <c r="C27" s="158" t="str">
        <f>'[1]Summary calculation'!C23</f>
        <v>Bayzakova Gulzhan</v>
      </c>
      <c r="D27" s="158" t="str">
        <f>'[1]Summary calculation'!E23</f>
        <v>Medical Representative</v>
      </c>
      <c r="E27" s="159">
        <f>'[1]Summary calculation'!H23</f>
        <v>395525</v>
      </c>
      <c r="F27" s="159">
        <f>E27/'[1]Summary calculation'!$G$5</f>
        <v>1188.8337841899611</v>
      </c>
      <c r="G27" s="159">
        <f>'[1]Summary calculation'!N23</f>
        <v>474630</v>
      </c>
      <c r="H27" s="159">
        <f>'[1]Summary calculation'!S23</f>
        <v>39552.5</v>
      </c>
      <c r="I27" s="159">
        <f>ROUND('[1]Summary calculation'!T23,0)</f>
        <v>514183</v>
      </c>
      <c r="J27" s="159">
        <f>ROUND(I27/'[1]Summary calculation'!$G$5,0)</f>
        <v>1545</v>
      </c>
      <c r="K27" s="166">
        <f t="shared" si="0"/>
        <v>1.2995929460843181</v>
      </c>
    </row>
    <row r="28" spans="2:11" x14ac:dyDescent="0.35">
      <c r="B28" s="158">
        <f>'[1]Summary calculation'!B24</f>
        <v>16</v>
      </c>
      <c r="C28" s="158" t="str">
        <f>'[1]Summary calculation'!C24</f>
        <v>Bekbauova Saltanat</v>
      </c>
      <c r="D28" s="158" t="str">
        <f>'[1]Summary calculation'!E24</f>
        <v>Medical Representative</v>
      </c>
      <c r="E28" s="159">
        <f>'[1]Summary calculation'!H24</f>
        <v>395525</v>
      </c>
      <c r="F28" s="159">
        <f>E28/'[1]Summary calculation'!$G$5</f>
        <v>1188.8337841899611</v>
      </c>
      <c r="G28" s="159">
        <f>'[1]Summary calculation'!N24</f>
        <v>537914</v>
      </c>
      <c r="H28" s="159">
        <f>'[1]Summary calculation'!S24</f>
        <v>79105</v>
      </c>
      <c r="I28" s="159">
        <f>ROUND('[1]Summary calculation'!T24,0)</f>
        <v>617019</v>
      </c>
      <c r="J28" s="159">
        <f>ROUND(I28/'[1]Summary calculation'!$G$5,0)</f>
        <v>1855</v>
      </c>
      <c r="K28" s="166">
        <f t="shared" si="0"/>
        <v>1.5603526957840843</v>
      </c>
    </row>
    <row r="29" spans="2:11" x14ac:dyDescent="0.35">
      <c r="B29" s="158">
        <f>'[1]Summary calculation'!B25</f>
        <v>17</v>
      </c>
      <c r="C29" s="158" t="str">
        <f>'[1]Summary calculation'!C25</f>
        <v>Boyarova Alfiya</v>
      </c>
      <c r="D29" s="158" t="str">
        <f>'[1]Summary calculation'!E25</f>
        <v>Medical Representative</v>
      </c>
      <c r="E29" s="159">
        <f>'[1]Summary calculation'!H25</f>
        <v>395525</v>
      </c>
      <c r="F29" s="159">
        <f>E29/'[1]Summary calculation'!$G$5</f>
        <v>1188.8337841899611</v>
      </c>
      <c r="G29" s="159">
        <f>'[1]Summary calculation'!N25</f>
        <v>0</v>
      </c>
      <c r="H29" s="159">
        <f>'[1]Summary calculation'!S25</f>
        <v>0</v>
      </c>
      <c r="I29" s="159">
        <f>ROUND('[1]Summary calculation'!T25,0)</f>
        <v>0</v>
      </c>
      <c r="J29" s="159">
        <f>ROUND(I29/'[1]Summary calculation'!$G$5,0)</f>
        <v>0</v>
      </c>
      <c r="K29" s="166">
        <f t="shared" si="0"/>
        <v>0</v>
      </c>
    </row>
    <row r="30" spans="2:11" x14ac:dyDescent="0.35">
      <c r="B30" s="158">
        <f>'[1]Summary calculation'!B26</f>
        <v>18</v>
      </c>
      <c r="C30" s="158" t="str">
        <f>'[1]Summary calculation'!C26</f>
        <v>Brialinova Inkar</v>
      </c>
      <c r="D30" s="158" t="str">
        <f>'[1]Summary calculation'!E26</f>
        <v>Medical Representative</v>
      </c>
      <c r="E30" s="159">
        <f>'[1]Summary calculation'!H26</f>
        <v>395525</v>
      </c>
      <c r="F30" s="159">
        <f>E30/'[1]Summary calculation'!$G$5</f>
        <v>1188.8337841899611</v>
      </c>
      <c r="G30" s="159">
        <f>'[1]Summary calculation'!N26</f>
        <v>0</v>
      </c>
      <c r="H30" s="159">
        <f>'[1]Summary calculation'!S26</f>
        <v>0</v>
      </c>
      <c r="I30" s="159">
        <f>ROUND('[1]Summary calculation'!T26,0)</f>
        <v>0</v>
      </c>
      <c r="J30" s="159">
        <f>ROUND(I30/'[1]Summary calculation'!$G$5,0)</f>
        <v>0</v>
      </c>
      <c r="K30" s="166">
        <f t="shared" si="0"/>
        <v>0</v>
      </c>
    </row>
    <row r="31" spans="2:11" ht="18.75" customHeight="1" x14ac:dyDescent="0.35">
      <c r="B31" s="158">
        <f>'[1]Summary calculation'!B27</f>
        <v>19</v>
      </c>
      <c r="C31" s="158" t="str">
        <f>'[1]Summary calculation'!C27</f>
        <v>Donayeva Nazira</v>
      </c>
      <c r="D31" s="158" t="str">
        <f>'[1]Summary calculation'!E27</f>
        <v>Medical Representative</v>
      </c>
      <c r="E31" s="159">
        <f>'[1]Summary calculation'!H27</f>
        <v>395525</v>
      </c>
      <c r="F31" s="159">
        <f>E31/'[1]Summary calculation'!$G$5</f>
        <v>1188.8337841899611</v>
      </c>
      <c r="G31" s="159">
        <f>'[1]Summary calculation'!N27</f>
        <v>316420</v>
      </c>
      <c r="H31" s="159">
        <f>'[1]Summary calculation'!S27</f>
        <v>79105</v>
      </c>
      <c r="I31" s="159">
        <f>ROUND('[1]Summary calculation'!T27,0)</f>
        <v>395525</v>
      </c>
      <c r="J31" s="159">
        <f>ROUND(I31/'[1]Summary calculation'!$G$5,0)</f>
        <v>1189</v>
      </c>
      <c r="K31" s="166">
        <f t="shared" si="0"/>
        <v>1.0001398141710383</v>
      </c>
    </row>
    <row r="32" spans="2:11" x14ac:dyDescent="0.35">
      <c r="B32" s="158">
        <f>'[1]Summary calculation'!B28</f>
        <v>20</v>
      </c>
      <c r="C32" s="158" t="str">
        <f>'[1]Summary calculation'!C28</f>
        <v>Dratkov Grigoriy</v>
      </c>
      <c r="D32" s="158" t="str">
        <f>'[1]Summary calculation'!E28</f>
        <v>Pharm Representative</v>
      </c>
      <c r="E32" s="159">
        <f>'[1]Summary calculation'!H28</f>
        <v>395525</v>
      </c>
      <c r="F32" s="159">
        <f>E32/'[1]Summary calculation'!$G$5</f>
        <v>1188.8337841899611</v>
      </c>
      <c r="G32" s="159">
        <f>'[1]Summary calculation'!N28</f>
        <v>506272</v>
      </c>
      <c r="H32" s="159">
        <f>'[1]Summary calculation'!S28</f>
        <v>79105</v>
      </c>
      <c r="I32" s="159">
        <f>ROUND('[1]Summary calculation'!T28,0)</f>
        <v>585377</v>
      </c>
      <c r="J32" s="159">
        <f>ROUND(I32/'[1]Summary calculation'!$G$5,0)</f>
        <v>1759</v>
      </c>
      <c r="K32" s="166">
        <f t="shared" si="0"/>
        <v>1.4796012894254471</v>
      </c>
    </row>
    <row r="33" spans="2:11" x14ac:dyDescent="0.35">
      <c r="B33" s="158">
        <f>'[1]Summary calculation'!B29</f>
        <v>21</v>
      </c>
      <c r="C33" s="158" t="str">
        <f>'[1]Summary calculation'!C29</f>
        <v>Feist Yekaterina</v>
      </c>
      <c r="D33" s="158" t="str">
        <f>'[1]Summary calculation'!E29</f>
        <v>Medical Representative</v>
      </c>
      <c r="E33" s="159">
        <f>'[1]Summary calculation'!H29</f>
        <v>395525</v>
      </c>
      <c r="F33" s="159">
        <f>E33/'[1]Summary calculation'!$G$5</f>
        <v>1188.8337841899611</v>
      </c>
      <c r="G33" s="159">
        <f>'[1]Summary calculation'!N29</f>
        <v>474630</v>
      </c>
      <c r="H33" s="159">
        <f>'[1]Summary calculation'!S29</f>
        <v>79105</v>
      </c>
      <c r="I33" s="159">
        <f>ROUND('[1]Summary calculation'!T29,0)</f>
        <v>553735</v>
      </c>
      <c r="J33" s="159">
        <f>ROUND(I33/'[1]Summary calculation'!$G$5,0)</f>
        <v>1664</v>
      </c>
      <c r="K33" s="166">
        <f t="shared" si="0"/>
        <v>1.3996910435497123</v>
      </c>
    </row>
    <row r="34" spans="2:11" x14ac:dyDescent="0.35">
      <c r="B34" s="158">
        <f>'[1]Summary calculation'!B30</f>
        <v>22</v>
      </c>
      <c r="C34" s="158" t="str">
        <f>'[1]Summary calculation'!C30</f>
        <v>Galiyeva Saule</v>
      </c>
      <c r="D34" s="158" t="str">
        <f>'[1]Summary calculation'!E30</f>
        <v>Regional Manager</v>
      </c>
      <c r="E34" s="159">
        <f>'[1]Summary calculation'!H30</f>
        <v>726000</v>
      </c>
      <c r="F34" s="159">
        <f>E34/'[1]Summary calculation'!$G$5</f>
        <v>2182.1460775473402</v>
      </c>
      <c r="G34" s="159">
        <f>'[1]Summary calculation'!N30</f>
        <v>871200</v>
      </c>
      <c r="H34" s="159">
        <f>'[1]Summary calculation'!S30</f>
        <v>145200</v>
      </c>
      <c r="I34" s="159">
        <f>ROUND('[1]Summary calculation'!T30,0)</f>
        <v>1016400</v>
      </c>
      <c r="J34" s="159">
        <f>ROUND(I34/'[1]Summary calculation'!$G$5,0)</f>
        <v>3055</v>
      </c>
      <c r="K34" s="166">
        <f t="shared" si="0"/>
        <v>1.3999979338842974</v>
      </c>
    </row>
    <row r="35" spans="2:11" x14ac:dyDescent="0.35">
      <c r="B35" s="158">
        <f>'[1]Summary calculation'!B31</f>
        <v>23</v>
      </c>
      <c r="C35" s="158" t="str">
        <f>'[1]Summary calculation'!C31</f>
        <v>Gulyakova Olga</v>
      </c>
      <c r="D35" s="158" t="str">
        <f>'[1]Summary calculation'!E31</f>
        <v>Medical Representative</v>
      </c>
      <c r="E35" s="159">
        <f>'[1]Summary calculation'!H31</f>
        <v>395525</v>
      </c>
      <c r="F35" s="159">
        <f>E35/'[1]Summary calculation'!$G$5</f>
        <v>1188.8337841899611</v>
      </c>
      <c r="G35" s="159">
        <f>'[1]Summary calculation'!N31</f>
        <v>348062</v>
      </c>
      <c r="H35" s="159">
        <f>'[1]Summary calculation'!S31</f>
        <v>39552.5</v>
      </c>
      <c r="I35" s="159">
        <f>ROUND('[1]Summary calculation'!T31,0)</f>
        <v>387615</v>
      </c>
      <c r="J35" s="159">
        <f>ROUND(I35/'[1]Summary calculation'!$G$5,0)</f>
        <v>1165</v>
      </c>
      <c r="K35" s="166">
        <f t="shared" si="0"/>
        <v>0.97995196258137907</v>
      </c>
    </row>
    <row r="36" spans="2:11" x14ac:dyDescent="0.35">
      <c r="B36" s="158">
        <f>'[1]Summary calculation'!B32</f>
        <v>24</v>
      </c>
      <c r="C36" s="158" t="str">
        <f>'[1]Summary calculation'!C32</f>
        <v>Inkarbekova Nurbibi</v>
      </c>
      <c r="D36" s="158" t="str">
        <f>'[1]Summary calculation'!E32</f>
        <v>Medical Representative</v>
      </c>
      <c r="E36" s="159">
        <f>'[1]Summary calculation'!H32</f>
        <v>395525</v>
      </c>
      <c r="F36" s="159">
        <f>E36/'[1]Summary calculation'!$G$5</f>
        <v>1188.8337841899611</v>
      </c>
      <c r="G36" s="159">
        <f>'[1]Summary calculation'!N32</f>
        <v>316420</v>
      </c>
      <c r="H36" s="159">
        <f>'[1]Summary calculation'!S32</f>
        <v>79105</v>
      </c>
      <c r="I36" s="159">
        <f>ROUND('[1]Summary calculation'!T32,0)</f>
        <v>395525</v>
      </c>
      <c r="J36" s="159">
        <f>ROUND(I36/'[1]Summary calculation'!$G$5,0)</f>
        <v>1189</v>
      </c>
      <c r="K36" s="166">
        <f t="shared" si="0"/>
        <v>1.0001398141710383</v>
      </c>
    </row>
    <row r="37" spans="2:11" x14ac:dyDescent="0.35">
      <c r="B37" s="158">
        <f>'[1]Summary calculation'!B33</f>
        <v>25</v>
      </c>
      <c r="C37" s="158" t="str">
        <f>'[1]Summary calculation'!C33</f>
        <v>Issakhanova Assem</v>
      </c>
      <c r="D37" s="158" t="str">
        <f>'[1]Summary calculation'!E33</f>
        <v>Medical Representative</v>
      </c>
      <c r="E37" s="159">
        <f>'[1]Summary calculation'!H33</f>
        <v>395525</v>
      </c>
      <c r="F37" s="159">
        <f>E37/'[1]Summary calculation'!$G$5</f>
        <v>1188.8337841899611</v>
      </c>
      <c r="G37" s="159">
        <f>'[1]Summary calculation'!N33</f>
        <v>348061.99999999994</v>
      </c>
      <c r="H37" s="159">
        <f>'[1]Summary calculation'!S33</f>
        <v>39552.5</v>
      </c>
      <c r="I37" s="159">
        <f>ROUND('[1]Summary calculation'!T33,0)</f>
        <v>387615</v>
      </c>
      <c r="J37" s="159">
        <f>ROUND(I37/'[1]Summary calculation'!$G$5,0)</f>
        <v>1165</v>
      </c>
      <c r="K37" s="166">
        <f t="shared" si="0"/>
        <v>0.97995196258137907</v>
      </c>
    </row>
    <row r="38" spans="2:11" x14ac:dyDescent="0.35">
      <c r="B38" s="158">
        <f>'[1]Summary calculation'!B34</f>
        <v>26</v>
      </c>
      <c r="C38" s="158" t="str">
        <f>'[1]Summary calculation'!C34</f>
        <v>Issakova Dina</v>
      </c>
      <c r="D38" s="158" t="str">
        <f>'[1]Summary calculation'!E34</f>
        <v>Medical Representative</v>
      </c>
      <c r="E38" s="159">
        <f>'[1]Summary calculation'!H34</f>
        <v>395525</v>
      </c>
      <c r="F38" s="159">
        <f>E38/'[1]Summary calculation'!$G$5</f>
        <v>1188.8337841899611</v>
      </c>
      <c r="G38" s="159">
        <f>'[1]Summary calculation'!N34</f>
        <v>316420</v>
      </c>
      <c r="H38" s="159">
        <f>'[1]Summary calculation'!S34</f>
        <v>79105</v>
      </c>
      <c r="I38" s="159">
        <f>ROUND('[1]Summary calculation'!T34,0)</f>
        <v>395525</v>
      </c>
      <c r="J38" s="159">
        <f>ROUND(I38/'[1]Summary calculation'!$G$5,0)</f>
        <v>1189</v>
      </c>
      <c r="K38" s="166">
        <f t="shared" si="0"/>
        <v>1.0001398141710383</v>
      </c>
    </row>
    <row r="39" spans="2:11" x14ac:dyDescent="0.35">
      <c r="B39" s="158">
        <f>'[1]Summary calculation'!B35</f>
        <v>27</v>
      </c>
      <c r="C39" s="158" t="str">
        <f>'[1]Summary calculation'!C35</f>
        <v>Itakhunov Rassul</v>
      </c>
      <c r="D39" s="158" t="str">
        <f>'[1]Summary calculation'!E35</f>
        <v>Pharm Representative</v>
      </c>
      <c r="E39" s="159">
        <f>'[1]Summary calculation'!H35</f>
        <v>395525</v>
      </c>
      <c r="F39" s="159">
        <f>E39/'[1]Summary calculation'!$G$5</f>
        <v>1188.8337841899611</v>
      </c>
      <c r="G39" s="159">
        <f>'[1]Summary calculation'!N35</f>
        <v>506272</v>
      </c>
      <c r="H39" s="159">
        <f>'[1]Summary calculation'!S35</f>
        <v>79105</v>
      </c>
      <c r="I39" s="159">
        <f>ROUND('[1]Summary calculation'!T35,0)</f>
        <v>585377</v>
      </c>
      <c r="J39" s="159">
        <f>ROUND(I39/'[1]Summary calculation'!$G$5,0)</f>
        <v>1759</v>
      </c>
      <c r="K39" s="166">
        <f t="shared" si="0"/>
        <v>1.4796012894254471</v>
      </c>
    </row>
    <row r="40" spans="2:11" x14ac:dyDescent="0.35">
      <c r="B40" s="158">
        <f>'[1]Summary calculation'!B36</f>
        <v>28</v>
      </c>
      <c r="C40" s="158" t="str">
        <f>'[1]Summary calculation'!C36</f>
        <v>Kadyrova Azaliya</v>
      </c>
      <c r="D40" s="158" t="str">
        <f>'[1]Summary calculation'!E36</f>
        <v>Medical Representative</v>
      </c>
      <c r="E40" s="159">
        <f>'[1]Summary calculation'!H36</f>
        <v>395525</v>
      </c>
      <c r="F40" s="159">
        <f>E40/'[1]Summary calculation'!$G$5</f>
        <v>1188.8337841899611</v>
      </c>
      <c r="G40" s="159">
        <f>'[1]Summary calculation'!N36</f>
        <v>379704</v>
      </c>
      <c r="H40" s="159">
        <f>'[1]Summary calculation'!S36</f>
        <v>39552.5</v>
      </c>
      <c r="I40" s="159">
        <f>ROUND('[1]Summary calculation'!T36,0)</f>
        <v>419257</v>
      </c>
      <c r="J40" s="159">
        <f>ROUND(I40/'[1]Summary calculation'!$G$5,0)</f>
        <v>1260</v>
      </c>
      <c r="K40" s="166">
        <f t="shared" si="0"/>
        <v>1.0598622084571139</v>
      </c>
    </row>
    <row r="41" spans="2:11" x14ac:dyDescent="0.35">
      <c r="B41" s="158">
        <f>'[1]Summary calculation'!B37</f>
        <v>29</v>
      </c>
      <c r="C41" s="158" t="str">
        <f>'[1]Summary calculation'!C37</f>
        <v>Kalistratova Alexandra</v>
      </c>
      <c r="D41" s="158" t="str">
        <f>'[1]Summary calculation'!E37</f>
        <v>Medical Representative</v>
      </c>
      <c r="E41" s="159">
        <f>'[1]Summary calculation'!H37</f>
        <v>395525</v>
      </c>
      <c r="F41" s="159">
        <f>E41/'[1]Summary calculation'!$G$5</f>
        <v>1188.8337841899611</v>
      </c>
      <c r="G41" s="159">
        <f>'[1]Summary calculation'!N37</f>
        <v>348061.99999999994</v>
      </c>
      <c r="H41" s="159">
        <f>'[1]Summary calculation'!S37</f>
        <v>79105</v>
      </c>
      <c r="I41" s="159">
        <f>ROUND('[1]Summary calculation'!T37,0)</f>
        <v>427167</v>
      </c>
      <c r="J41" s="159">
        <f>ROUND(I41/'[1]Summary calculation'!$G$5,0)</f>
        <v>1284</v>
      </c>
      <c r="K41" s="166">
        <f t="shared" si="0"/>
        <v>1.0800500600467731</v>
      </c>
    </row>
    <row r="42" spans="2:11" x14ac:dyDescent="0.35">
      <c r="B42" s="158">
        <f>'[1]Summary calculation'!B38</f>
        <v>30</v>
      </c>
      <c r="C42" s="158" t="str">
        <f>'[1]Summary calculation'!C38</f>
        <v>Kassenova Gulshat</v>
      </c>
      <c r="D42" s="158" t="str">
        <f>'[1]Summary calculation'!E38</f>
        <v>Medical Representative</v>
      </c>
      <c r="E42" s="159">
        <f>'[1]Summary calculation'!H38</f>
        <v>395525</v>
      </c>
      <c r="F42" s="159">
        <f>E42/'[1]Summary calculation'!$G$5</f>
        <v>1188.8337841899611</v>
      </c>
      <c r="G42" s="159">
        <f>'[1]Summary calculation'!N38</f>
        <v>537914</v>
      </c>
      <c r="H42" s="159">
        <f>'[1]Summary calculation'!S38</f>
        <v>39552.5</v>
      </c>
      <c r="I42" s="159">
        <f>ROUND('[1]Summary calculation'!T38,0)</f>
        <v>577467</v>
      </c>
      <c r="J42" s="159">
        <f>ROUND(I42/'[1]Summary calculation'!$G$5,0)</f>
        <v>1736</v>
      </c>
      <c r="K42" s="166">
        <f t="shared" si="0"/>
        <v>1.4602545983186901</v>
      </c>
    </row>
    <row r="43" spans="2:11" x14ac:dyDescent="0.35">
      <c r="B43" s="158">
        <f>'[1]Summary calculation'!B39</f>
        <v>31</v>
      </c>
      <c r="C43" s="158" t="str">
        <f>'[1]Summary calculation'!C39</f>
        <v>Khalikova Nuriya</v>
      </c>
      <c r="D43" s="158" t="str">
        <f>'[1]Summary calculation'!E39</f>
        <v>Medical Representative</v>
      </c>
      <c r="E43" s="159">
        <f>'[1]Summary calculation'!H39</f>
        <v>395525</v>
      </c>
      <c r="F43" s="159">
        <f>E43/'[1]Summary calculation'!$G$5</f>
        <v>1188.8337841899611</v>
      </c>
      <c r="G43" s="159">
        <f>'[1]Summary calculation'!N39</f>
        <v>791050</v>
      </c>
      <c r="H43" s="159">
        <f>'[1]Summary calculation'!S39</f>
        <v>79105</v>
      </c>
      <c r="I43" s="159">
        <f>ROUND('[1]Summary calculation'!T39,0)</f>
        <v>870155</v>
      </c>
      <c r="J43" s="159">
        <f>ROUND(I43/'[1]Summary calculation'!$G$5,0)</f>
        <v>2615</v>
      </c>
      <c r="K43" s="166">
        <f t="shared" si="0"/>
        <v>2.1996346627899626</v>
      </c>
    </row>
    <row r="44" spans="2:11" x14ac:dyDescent="0.35">
      <c r="B44" s="158">
        <f>'[1]Summary calculation'!B40</f>
        <v>32</v>
      </c>
      <c r="C44" s="158" t="str">
        <f>'[1]Summary calculation'!C40</f>
        <v>Kuchshanova Akmaral</v>
      </c>
      <c r="D44" s="158" t="str">
        <f>'[1]Summary calculation'!E40</f>
        <v>Medical Representative</v>
      </c>
      <c r="E44" s="159">
        <f>'[1]Summary calculation'!H40</f>
        <v>395525</v>
      </c>
      <c r="F44" s="159">
        <f>E44/'[1]Summary calculation'!$G$5</f>
        <v>1188.8337841899611</v>
      </c>
      <c r="G44" s="159">
        <f>'[1]Summary calculation'!N40</f>
        <v>316420</v>
      </c>
      <c r="H44" s="159">
        <f>'[1]Summary calculation'!S40</f>
        <v>79105</v>
      </c>
      <c r="I44" s="159">
        <f>ROUND('[1]Summary calculation'!T40,0)</f>
        <v>395525</v>
      </c>
      <c r="J44" s="159">
        <f>ROUND(I44/'[1]Summary calculation'!$G$5,0)</f>
        <v>1189</v>
      </c>
      <c r="K44" s="166">
        <f t="shared" si="0"/>
        <v>1.0001398141710383</v>
      </c>
    </row>
    <row r="45" spans="2:11" x14ac:dyDescent="0.35">
      <c r="B45" s="158">
        <f>'[1]Summary calculation'!B41</f>
        <v>33</v>
      </c>
      <c r="C45" s="158" t="str">
        <f>'[1]Summary calculation'!C41</f>
        <v>Kussainova Dilara</v>
      </c>
      <c r="D45" s="158" t="str">
        <f>'[1]Summary calculation'!E41</f>
        <v>Medical Representative</v>
      </c>
      <c r="E45" s="159">
        <f>'[1]Summary calculation'!H41</f>
        <v>395525</v>
      </c>
      <c r="F45" s="159">
        <f>E45/'[1]Summary calculation'!$G$5</f>
        <v>1188.8337841899611</v>
      </c>
      <c r="G45" s="159">
        <f>'[1]Summary calculation'!N41</f>
        <v>442988</v>
      </c>
      <c r="H45" s="159">
        <f>'[1]Summary calculation'!S41</f>
        <v>79105</v>
      </c>
      <c r="I45" s="159">
        <f>ROUND('[1]Summary calculation'!T41,0)</f>
        <v>522093</v>
      </c>
      <c r="J45" s="159">
        <f>ROUND(I45/'[1]Summary calculation'!$G$5,0)</f>
        <v>1569</v>
      </c>
      <c r="K45" s="166">
        <f t="shared" si="0"/>
        <v>1.3197807976739775</v>
      </c>
    </row>
    <row r="46" spans="2:11" x14ac:dyDescent="0.35">
      <c r="B46" s="158">
        <f>'[1]Summary calculation'!B42</f>
        <v>34</v>
      </c>
      <c r="C46" s="158" t="str">
        <f>'[1]Summary calculation'!C42</f>
        <v>Kutdussova Liliya</v>
      </c>
      <c r="D46" s="158" t="str">
        <f>'[1]Summary calculation'!E42</f>
        <v>Medical Representative</v>
      </c>
      <c r="E46" s="159">
        <f>'[1]Summary calculation'!H42</f>
        <v>395525</v>
      </c>
      <c r="F46" s="159">
        <f>E46/'[1]Summary calculation'!$G$5</f>
        <v>1188.8337841899611</v>
      </c>
      <c r="G46" s="159">
        <f>'[1]Summary calculation'!N42</f>
        <v>0</v>
      </c>
      <c r="H46" s="159">
        <f>'[1]Summary calculation'!S42</f>
        <v>0</v>
      </c>
      <c r="I46" s="159">
        <f>ROUND('[1]Summary calculation'!T42,0)</f>
        <v>0</v>
      </c>
      <c r="J46" s="159">
        <f>ROUND(I46/'[1]Summary calculation'!$G$5,0)</f>
        <v>0</v>
      </c>
      <c r="K46" s="166">
        <f t="shared" si="0"/>
        <v>0</v>
      </c>
    </row>
    <row r="47" spans="2:11" x14ac:dyDescent="0.35">
      <c r="B47" s="158">
        <f>'[1]Summary calculation'!B43</f>
        <v>35</v>
      </c>
      <c r="C47" s="158" t="str">
        <f>'[1]Summary calculation'!C43</f>
        <v>Kutlymuratov Assylatdin</v>
      </c>
      <c r="D47" s="158" t="str">
        <f>'[1]Summary calculation'!E43</f>
        <v>Medical Representative</v>
      </c>
      <c r="E47" s="159">
        <f>'[1]Summary calculation'!H43</f>
        <v>395525</v>
      </c>
      <c r="F47" s="159">
        <f>E47/'[1]Summary calculation'!$G$5</f>
        <v>1188.8337841899611</v>
      </c>
      <c r="G47" s="159">
        <f>'[1]Summary calculation'!N43</f>
        <v>316420</v>
      </c>
      <c r="H47" s="159">
        <f>'[1]Summary calculation'!S43</f>
        <v>39552.5</v>
      </c>
      <c r="I47" s="159">
        <f>ROUND('[1]Summary calculation'!T43,0)</f>
        <v>355973</v>
      </c>
      <c r="J47" s="159">
        <f>ROUND(I47/'[1]Summary calculation'!$G$5,0)</f>
        <v>1070</v>
      </c>
      <c r="K47" s="166">
        <f t="shared" si="0"/>
        <v>0.90004171670564426</v>
      </c>
    </row>
    <row r="48" spans="2:11" x14ac:dyDescent="0.35">
      <c r="B48" s="158">
        <f>'[1]Summary calculation'!B44</f>
        <v>36</v>
      </c>
      <c r="C48" s="158" t="str">
        <f>'[1]Summary calculation'!C44</f>
        <v>Kuxa Anna</v>
      </c>
      <c r="D48" s="158" t="str">
        <f>'[1]Summary calculation'!E44</f>
        <v>Regional Manager</v>
      </c>
      <c r="E48" s="159">
        <f>'[1]Summary calculation'!H44</f>
        <v>726000</v>
      </c>
      <c r="F48" s="159">
        <f>E48/'[1]Summary calculation'!$G$5</f>
        <v>2182.1460775473402</v>
      </c>
      <c r="G48" s="159">
        <f>'[1]Summary calculation'!N44</f>
        <v>638880</v>
      </c>
      <c r="H48" s="159">
        <f>'[1]Summary calculation'!S44</f>
        <v>108900</v>
      </c>
      <c r="I48" s="159">
        <f>ROUND('[1]Summary calculation'!T44,0)</f>
        <v>747780</v>
      </c>
      <c r="J48" s="159">
        <f>ROUND(I48/'[1]Summary calculation'!$G$5,0)</f>
        <v>2248</v>
      </c>
      <c r="K48" s="166">
        <f t="shared" si="0"/>
        <v>1.0301785123966942</v>
      </c>
    </row>
    <row r="49" spans="2:11" x14ac:dyDescent="0.35">
      <c r="B49" s="158">
        <f>'[1]Summary calculation'!B45</f>
        <v>37</v>
      </c>
      <c r="C49" s="158" t="str">
        <f>'[1]Summary calculation'!C45</f>
        <v>Kuzikeyeva Dinara</v>
      </c>
      <c r="D49" s="158" t="str">
        <f>'[1]Summary calculation'!E45</f>
        <v>Regional Manager</v>
      </c>
      <c r="E49" s="159">
        <f>'[1]Summary calculation'!H45</f>
        <v>726000</v>
      </c>
      <c r="F49" s="159">
        <f>E49/'[1]Summary calculation'!$G$5</f>
        <v>2182.1460775473402</v>
      </c>
      <c r="G49" s="159">
        <f>'[1]Summary calculation'!N45</f>
        <v>1452000</v>
      </c>
      <c r="H49" s="159">
        <f>'[1]Summary calculation'!S45</f>
        <v>145200</v>
      </c>
      <c r="I49" s="159">
        <f>ROUND('[1]Summary calculation'!T45,0)</f>
        <v>1597200</v>
      </c>
      <c r="J49" s="159">
        <f>ROUND(I49/'[1]Summary calculation'!$G$5,0)</f>
        <v>4801</v>
      </c>
      <c r="K49" s="166">
        <f t="shared" si="0"/>
        <v>2.2001276859504131</v>
      </c>
    </row>
    <row r="50" spans="2:11" x14ac:dyDescent="0.35">
      <c r="B50" s="158">
        <f>'[1]Summary calculation'!B46</f>
        <v>38</v>
      </c>
      <c r="C50" s="158" t="str">
        <f>'[1]Summary calculation'!C46</f>
        <v>Kuznetsova Natalya</v>
      </c>
      <c r="D50" s="158" t="str">
        <f>'[1]Summary calculation'!E46</f>
        <v>Medical Representative</v>
      </c>
      <c r="E50" s="159">
        <f>'[1]Summary calculation'!H46</f>
        <v>395525</v>
      </c>
      <c r="F50" s="159">
        <f>E50/'[1]Summary calculation'!$G$5</f>
        <v>1188.8337841899611</v>
      </c>
      <c r="G50" s="159">
        <f>'[1]Summary calculation'!N46</f>
        <v>303763.20000000007</v>
      </c>
      <c r="H50" s="159">
        <f>'[1]Summary calculation'!S46</f>
        <v>79105</v>
      </c>
      <c r="I50" s="159">
        <f>ROUND('[1]Summary calculation'!T46,0)</f>
        <v>382868</v>
      </c>
      <c r="J50" s="159">
        <f>ROUND(I50/'[1]Summary calculation'!$G$5,0)</f>
        <v>1151</v>
      </c>
      <c r="K50" s="166">
        <f t="shared" si="0"/>
        <v>0.96817571582074446</v>
      </c>
    </row>
    <row r="51" spans="2:11" x14ac:dyDescent="0.35">
      <c r="B51" s="158">
        <f>'[1]Summary calculation'!B47</f>
        <v>39</v>
      </c>
      <c r="C51" s="158" t="str">
        <f>'[1]Summary calculation'!C47</f>
        <v>Litvinenko Tatyana</v>
      </c>
      <c r="D51" s="158" t="str">
        <f>'[1]Summary calculation'!E47</f>
        <v>Pharm Representative</v>
      </c>
      <c r="E51" s="159">
        <f>'[1]Summary calculation'!H47</f>
        <v>395525</v>
      </c>
      <c r="F51" s="159">
        <f>E51/'[1]Summary calculation'!$G$5</f>
        <v>1188.8337841899611</v>
      </c>
      <c r="G51" s="159">
        <f>'[1]Summary calculation'!N47</f>
        <v>537914</v>
      </c>
      <c r="H51" s="159">
        <f>'[1]Summary calculation'!S47</f>
        <v>79105</v>
      </c>
      <c r="I51" s="159">
        <f>ROUND('[1]Summary calculation'!T47,0)</f>
        <v>617019</v>
      </c>
      <c r="J51" s="159">
        <f>ROUND(I51/'[1]Summary calculation'!$G$5,0)</f>
        <v>1855</v>
      </c>
      <c r="K51" s="166">
        <f t="shared" si="0"/>
        <v>1.5603526957840843</v>
      </c>
    </row>
    <row r="52" spans="2:11" x14ac:dyDescent="0.35">
      <c r="B52" s="158">
        <f>'[1]Summary calculation'!B48</f>
        <v>40</v>
      </c>
      <c r="C52" s="158" t="str">
        <f>'[1]Summary calculation'!C48</f>
        <v>Maisutova Almagul</v>
      </c>
      <c r="D52" s="158" t="str">
        <f>'[1]Summary calculation'!E48</f>
        <v>Regional Manager</v>
      </c>
      <c r="E52" s="159">
        <f>'[1]Summary calculation'!H48</f>
        <v>726000</v>
      </c>
      <c r="F52" s="159">
        <f>E52/'[1]Summary calculation'!$G$5</f>
        <v>2182.1460775473402</v>
      </c>
      <c r="G52" s="159">
        <f>'[1]Summary calculation'!N48</f>
        <v>580800</v>
      </c>
      <c r="H52" s="159">
        <f>'[1]Summary calculation'!S48</f>
        <v>145200</v>
      </c>
      <c r="I52" s="159">
        <f>ROUND('[1]Summary calculation'!T48,0)</f>
        <v>726000</v>
      </c>
      <c r="J52" s="159">
        <f>ROUND(I52/'[1]Summary calculation'!$G$5,0)</f>
        <v>2182</v>
      </c>
      <c r="K52" s="166">
        <f t="shared" si="0"/>
        <v>0.99993305785123954</v>
      </c>
    </row>
    <row r="53" spans="2:11" x14ac:dyDescent="0.35">
      <c r="B53" s="158">
        <f>'[1]Summary calculation'!B49</f>
        <v>41</v>
      </c>
      <c r="C53" s="158" t="str">
        <f>'[1]Summary calculation'!C49</f>
        <v>Mamedova Zarina</v>
      </c>
      <c r="D53" s="158" t="str">
        <f>'[1]Summary calculation'!E49</f>
        <v>Medical Representative</v>
      </c>
      <c r="E53" s="159">
        <f>'[1]Summary calculation'!H49</f>
        <v>395525</v>
      </c>
      <c r="F53" s="159">
        <f>E53/'[1]Summary calculation'!$G$5</f>
        <v>1188.8337841899611</v>
      </c>
      <c r="G53" s="159">
        <f>'[1]Summary calculation'!N49</f>
        <v>0</v>
      </c>
      <c r="H53" s="159">
        <f>'[1]Summary calculation'!S49</f>
        <v>0</v>
      </c>
      <c r="I53" s="159">
        <f>ROUND('[1]Summary calculation'!T49,0)</f>
        <v>0</v>
      </c>
      <c r="J53" s="159">
        <f>ROUND(I53/'[1]Summary calculation'!$G$5,0)</f>
        <v>0</v>
      </c>
      <c r="K53" s="166">
        <f t="shared" si="0"/>
        <v>0</v>
      </c>
    </row>
    <row r="54" spans="2:11" x14ac:dyDescent="0.35">
      <c r="B54" s="158">
        <f>'[1]Summary calculation'!B50</f>
        <v>42</v>
      </c>
      <c r="C54" s="158" t="str">
        <f>'[1]Summary calculation'!C50</f>
        <v>Mamutova Aliya</v>
      </c>
      <c r="D54" s="158" t="str">
        <f>'[1]Summary calculation'!E50</f>
        <v>Medical Representative</v>
      </c>
      <c r="E54" s="159">
        <f>'[1]Summary calculation'!H50</f>
        <v>395525</v>
      </c>
      <c r="F54" s="159">
        <f>E54/'[1]Summary calculation'!$G$5</f>
        <v>1188.8337841899611</v>
      </c>
      <c r="G54" s="159">
        <f>'[1]Summary calculation'!N50</f>
        <v>759408.00000000012</v>
      </c>
      <c r="H54" s="159">
        <f>'[1]Summary calculation'!S50</f>
        <v>79105</v>
      </c>
      <c r="I54" s="159">
        <f>ROUND('[1]Summary calculation'!T50,0)</f>
        <v>838513</v>
      </c>
      <c r="J54" s="159">
        <f>ROUND(I54/'[1]Summary calculation'!$G$5,0)</f>
        <v>2520</v>
      </c>
      <c r="K54" s="166">
        <f t="shared" si="0"/>
        <v>2.1197244169142277</v>
      </c>
    </row>
    <row r="55" spans="2:11" x14ac:dyDescent="0.35">
      <c r="B55" s="158">
        <f>'[1]Summary calculation'!B51</f>
        <v>43</v>
      </c>
      <c r="C55" s="158" t="str">
        <f>'[1]Summary calculation'!C51</f>
        <v>Manapbayeva Assel</v>
      </c>
      <c r="D55" s="158" t="str">
        <f>'[1]Summary calculation'!E51</f>
        <v>Medical Representative</v>
      </c>
      <c r="E55" s="159">
        <f>'[1]Summary calculation'!H51</f>
        <v>395525</v>
      </c>
      <c r="F55" s="159">
        <f>E55/'[1]Summary calculation'!$G$5</f>
        <v>1188.8337841899611</v>
      </c>
      <c r="G55" s="159">
        <f>'[1]Summary calculation'!N51</f>
        <v>316420</v>
      </c>
      <c r="H55" s="159">
        <f>'[1]Summary calculation'!S51</f>
        <v>79105</v>
      </c>
      <c r="I55" s="159">
        <f>ROUND('[1]Summary calculation'!T51,0)</f>
        <v>395525</v>
      </c>
      <c r="J55" s="159">
        <f>ROUND(I55/'[1]Summary calculation'!$G$5,0)</f>
        <v>1189</v>
      </c>
      <c r="K55" s="166">
        <f t="shared" si="0"/>
        <v>1.0001398141710383</v>
      </c>
    </row>
    <row r="56" spans="2:11" x14ac:dyDescent="0.35">
      <c r="B56" s="158">
        <f>'[1]Summary calculation'!B52</f>
        <v>44</v>
      </c>
      <c r="C56" s="158" t="str">
        <f>'[1]Summary calculation'!C52</f>
        <v>Maximenko Alexandr</v>
      </c>
      <c r="D56" s="158" t="str">
        <f>'[1]Summary calculation'!E52</f>
        <v>Pharm Representative</v>
      </c>
      <c r="E56" s="159">
        <f>'[1]Summary calculation'!H52</f>
        <v>395525</v>
      </c>
      <c r="F56" s="159">
        <f>E56/'[1]Summary calculation'!$G$5</f>
        <v>1188.8337841899611</v>
      </c>
      <c r="G56" s="159">
        <f>'[1]Summary calculation'!N52</f>
        <v>442988.00000000006</v>
      </c>
      <c r="H56" s="159">
        <f>'[1]Summary calculation'!S52</f>
        <v>79105</v>
      </c>
      <c r="I56" s="159">
        <f>ROUND('[1]Summary calculation'!T52,0)</f>
        <v>522093</v>
      </c>
      <c r="J56" s="159">
        <f>ROUND(I56/'[1]Summary calculation'!$G$5,0)</f>
        <v>1569</v>
      </c>
      <c r="K56" s="166">
        <f t="shared" si="0"/>
        <v>1.3197807976739775</v>
      </c>
    </row>
    <row r="57" spans="2:11" x14ac:dyDescent="0.35">
      <c r="B57" s="158">
        <f>'[1]Summary calculation'!B53</f>
        <v>45</v>
      </c>
      <c r="C57" s="158" t="str">
        <f>'[1]Summary calculation'!C53</f>
        <v>Meirbek Ainur</v>
      </c>
      <c r="D57" s="158" t="str">
        <f>'[1]Summary calculation'!E53</f>
        <v>Medical Representative</v>
      </c>
      <c r="E57" s="159">
        <f>'[1]Summary calculation'!H53</f>
        <v>395525</v>
      </c>
      <c r="F57" s="159">
        <f>E57/'[1]Summary calculation'!$G$5</f>
        <v>1188.8337841899611</v>
      </c>
      <c r="G57" s="159">
        <f>'[1]Summary calculation'!N53</f>
        <v>259464.4</v>
      </c>
      <c r="H57" s="159">
        <f>'[1]Summary calculation'!S53</f>
        <v>79105</v>
      </c>
      <c r="I57" s="159">
        <f>ROUND('[1]Summary calculation'!T53,0)</f>
        <v>338569</v>
      </c>
      <c r="J57" s="159">
        <f>ROUND(I57/'[1]Summary calculation'!$G$5,0)</f>
        <v>1018</v>
      </c>
      <c r="K57" s="166">
        <f t="shared" si="0"/>
        <v>0.85630137159471575</v>
      </c>
    </row>
    <row r="58" spans="2:11" x14ac:dyDescent="0.35">
      <c r="B58" s="158">
        <f>'[1]Summary calculation'!B54</f>
        <v>46</v>
      </c>
      <c r="C58" s="158" t="str">
        <f>'[1]Summary calculation'!C54</f>
        <v>Nakipbekova Gulzhan</v>
      </c>
      <c r="D58" s="158" t="str">
        <f>'[1]Summary calculation'!E54</f>
        <v>Medical Representative</v>
      </c>
      <c r="E58" s="159">
        <f>'[1]Summary calculation'!H54</f>
        <v>395525</v>
      </c>
      <c r="F58" s="159">
        <f>E58/'[1]Summary calculation'!$G$5</f>
        <v>1188.8337841899611</v>
      </c>
      <c r="G58" s="159">
        <f>'[1]Summary calculation'!N54</f>
        <v>259464.4</v>
      </c>
      <c r="H58" s="159">
        <f>'[1]Summary calculation'!S54</f>
        <v>39552.5</v>
      </c>
      <c r="I58" s="159">
        <f>ROUND('[1]Summary calculation'!T54,0)</f>
        <v>299017</v>
      </c>
      <c r="J58" s="159">
        <f>ROUND(I58/'[1]Summary calculation'!$G$5,0)</f>
        <v>899</v>
      </c>
      <c r="K58" s="166">
        <f t="shared" si="0"/>
        <v>0.75620327412932165</v>
      </c>
    </row>
    <row r="59" spans="2:11" x14ac:dyDescent="0.35">
      <c r="B59" s="158">
        <f>'[1]Summary calculation'!B55</f>
        <v>47</v>
      </c>
      <c r="C59" s="158" t="str">
        <f>'[1]Summary calculation'!C55</f>
        <v>Novokhatnyaya Anastasiya</v>
      </c>
      <c r="D59" s="158" t="str">
        <f>'[1]Summary calculation'!E55</f>
        <v>Medical Representative</v>
      </c>
      <c r="E59" s="159">
        <f>'[1]Summary calculation'!H55</f>
        <v>395525</v>
      </c>
      <c r="F59" s="159">
        <f>E59/'[1]Summary calculation'!$G$5</f>
        <v>1188.8337841899611</v>
      </c>
      <c r="G59" s="159">
        <f>'[1]Summary calculation'!N55</f>
        <v>648661</v>
      </c>
      <c r="H59" s="159">
        <f>'[1]Summary calculation'!S55</f>
        <v>39552.5</v>
      </c>
      <c r="I59" s="159">
        <f>ROUND('[1]Summary calculation'!T55,0)</f>
        <v>688214</v>
      </c>
      <c r="J59" s="159">
        <f>ROUND(I59/'[1]Summary calculation'!$G$5,0)</f>
        <v>2069</v>
      </c>
      <c r="K59" s="166">
        <f t="shared" si="0"/>
        <v>1.7403610391252131</v>
      </c>
    </row>
    <row r="60" spans="2:11" x14ac:dyDescent="0.35">
      <c r="B60" s="158">
        <f>'[1]Summary calculation'!B56</f>
        <v>48</v>
      </c>
      <c r="C60" s="158" t="str">
        <f>'[1]Summary calculation'!C56</f>
        <v>Omarova Aizhan</v>
      </c>
      <c r="D60" s="158" t="str">
        <f>'[1]Summary calculation'!E56</f>
        <v>Medical Representative</v>
      </c>
      <c r="E60" s="159">
        <f>'[1]Summary calculation'!H56</f>
        <v>395525</v>
      </c>
      <c r="F60" s="159">
        <f>E60/'[1]Summary calculation'!$G$5</f>
        <v>1188.8337841899611</v>
      </c>
      <c r="G60" s="159">
        <f>'[1]Summary calculation'!N56</f>
        <v>791050</v>
      </c>
      <c r="H60" s="159">
        <f>'[1]Summary calculation'!S56</f>
        <v>39552.5</v>
      </c>
      <c r="I60" s="159">
        <f>ROUND('[1]Summary calculation'!T56,0)</f>
        <v>830603</v>
      </c>
      <c r="J60" s="159">
        <f>ROUND(I60/'[1]Summary calculation'!$G$5,0)</f>
        <v>2497</v>
      </c>
      <c r="K60" s="166">
        <f t="shared" si="0"/>
        <v>2.100377725807471</v>
      </c>
    </row>
    <row r="61" spans="2:11" x14ac:dyDescent="0.35">
      <c r="B61" s="158">
        <f>'[1]Summary calculation'!B57</f>
        <v>49</v>
      </c>
      <c r="C61" s="158" t="str">
        <f>'[1]Summary calculation'!C57</f>
        <v>Ospanova Anar</v>
      </c>
      <c r="D61" s="158" t="str">
        <f>'[1]Summary calculation'!E57</f>
        <v>Medical Representative</v>
      </c>
      <c r="E61" s="159">
        <f>'[1]Summary calculation'!H57</f>
        <v>395525</v>
      </c>
      <c r="F61" s="159">
        <f>E61/'[1]Summary calculation'!$G$5</f>
        <v>1188.8337841899611</v>
      </c>
      <c r="G61" s="159">
        <f>'[1]Summary calculation'!N57</f>
        <v>664482</v>
      </c>
      <c r="H61" s="159">
        <f>'[1]Summary calculation'!S57</f>
        <v>79105</v>
      </c>
      <c r="I61" s="159">
        <f>ROUND('[1]Summary calculation'!T57,0)</f>
        <v>743587</v>
      </c>
      <c r="J61" s="159">
        <f>ROUND(I61/'[1]Summary calculation'!$G$5,0)</f>
        <v>2235</v>
      </c>
      <c r="K61" s="166">
        <f t="shared" si="0"/>
        <v>1.8799936792870233</v>
      </c>
    </row>
    <row r="62" spans="2:11" x14ac:dyDescent="0.35">
      <c r="B62" s="158">
        <f>'[1]Summary calculation'!B58</f>
        <v>50</v>
      </c>
      <c r="C62" s="158" t="str">
        <f>'[1]Summary calculation'!C58</f>
        <v>Ossipova Anna</v>
      </c>
      <c r="D62" s="158" t="str">
        <f>'[1]Summary calculation'!E58</f>
        <v>Pharm Representative</v>
      </c>
      <c r="E62" s="159">
        <f>'[1]Summary calculation'!H58</f>
        <v>395525</v>
      </c>
      <c r="F62" s="159">
        <f>E62/'[1]Summary calculation'!$G$5</f>
        <v>1188.8337841899611</v>
      </c>
      <c r="G62" s="159">
        <f>'[1]Summary calculation'!N58</f>
        <v>743587.00000000012</v>
      </c>
      <c r="H62" s="159">
        <f>'[1]Summary calculation'!S58</f>
        <v>39552.5</v>
      </c>
      <c r="I62" s="159">
        <f>ROUND('[1]Summary calculation'!T58,0)</f>
        <v>783140</v>
      </c>
      <c r="J62" s="159">
        <f>ROUND(I62/'[1]Summary calculation'!$G$5,0)</f>
        <v>2354</v>
      </c>
      <c r="K62" s="166">
        <f t="shared" si="0"/>
        <v>1.9800917767524173</v>
      </c>
    </row>
    <row r="63" spans="2:11" x14ac:dyDescent="0.35">
      <c r="B63" s="158">
        <f>'[1]Summary calculation'!B59</f>
        <v>51</v>
      </c>
      <c r="C63" s="158" t="str">
        <f>'[1]Summary calculation'!C59</f>
        <v>Pavlutskikh Yelena</v>
      </c>
      <c r="D63" s="158" t="str">
        <f>'[1]Summary calculation'!E59</f>
        <v>Medical Representative</v>
      </c>
      <c r="E63" s="159">
        <f>'[1]Summary calculation'!H59</f>
        <v>395525</v>
      </c>
      <c r="F63" s="159">
        <f>E63/'[1]Summary calculation'!$G$5</f>
        <v>1188.8337841899611</v>
      </c>
      <c r="G63" s="159">
        <f>'[1]Summary calculation'!N59</f>
        <v>506272</v>
      </c>
      <c r="H63" s="159">
        <f>'[1]Summary calculation'!S59</f>
        <v>39552.5</v>
      </c>
      <c r="I63" s="159">
        <f>ROUND('[1]Summary calculation'!T59,0)</f>
        <v>545825</v>
      </c>
      <c r="J63" s="159">
        <f>ROUND(I63/'[1]Summary calculation'!$G$5,0)</f>
        <v>1641</v>
      </c>
      <c r="K63" s="166">
        <f t="shared" si="0"/>
        <v>1.3803443524429553</v>
      </c>
    </row>
    <row r="64" spans="2:11" x14ac:dyDescent="0.35">
      <c r="B64" s="158">
        <f>'[1]Summary calculation'!B60</f>
        <v>52</v>
      </c>
      <c r="C64" s="158" t="str">
        <f>'[1]Summary calculation'!C60</f>
        <v>Rakhimzhanova Gulnar</v>
      </c>
      <c r="D64" s="158" t="str">
        <f>'[1]Summary calculation'!E60</f>
        <v>Medical Representative</v>
      </c>
      <c r="E64" s="159">
        <f>'[1]Summary calculation'!H60</f>
        <v>395525</v>
      </c>
      <c r="F64" s="159">
        <f>E64/'[1]Summary calculation'!$G$5</f>
        <v>1188.8337841899611</v>
      </c>
      <c r="G64" s="159">
        <f>'[1]Summary calculation'!N60</f>
        <v>474630</v>
      </c>
      <c r="H64" s="159">
        <f>'[1]Summary calculation'!S60</f>
        <v>79105</v>
      </c>
      <c r="I64" s="159">
        <f>ROUND('[1]Summary calculation'!T60,0)</f>
        <v>553735</v>
      </c>
      <c r="J64" s="159">
        <f>ROUND(I64/'[1]Summary calculation'!$G$5,0)</f>
        <v>1664</v>
      </c>
      <c r="K64" s="166">
        <f t="shared" si="0"/>
        <v>1.3996910435497123</v>
      </c>
    </row>
    <row r="65" spans="2:11" x14ac:dyDescent="0.35">
      <c r="B65" s="158">
        <f>'[1]Summary calculation'!B61</f>
        <v>53</v>
      </c>
      <c r="C65" s="158" t="str">
        <f>'[1]Summary calculation'!C61</f>
        <v>Sadvakassova Zhanat</v>
      </c>
      <c r="D65" s="158" t="str">
        <f>'[1]Summary calculation'!E61</f>
        <v>Pharm Representative</v>
      </c>
      <c r="E65" s="159">
        <f>'[1]Summary calculation'!H61</f>
        <v>395525</v>
      </c>
      <c r="F65" s="159">
        <f>E65/'[1]Summary calculation'!$G$5</f>
        <v>1188.8337841899611</v>
      </c>
      <c r="G65" s="159">
        <f>'[1]Summary calculation'!N61</f>
        <v>506272</v>
      </c>
      <c r="H65" s="159">
        <f>'[1]Summary calculation'!S61</f>
        <v>79105</v>
      </c>
      <c r="I65" s="159">
        <f>ROUND('[1]Summary calculation'!T61,0)</f>
        <v>585377</v>
      </c>
      <c r="J65" s="159">
        <f>ROUND(I65/'[1]Summary calculation'!$G$5,0)</f>
        <v>1759</v>
      </c>
      <c r="K65" s="166">
        <f t="shared" si="0"/>
        <v>1.4796012894254471</v>
      </c>
    </row>
    <row r="66" spans="2:11" x14ac:dyDescent="0.35">
      <c r="B66" s="158">
        <f>'[1]Summary calculation'!B62</f>
        <v>54</v>
      </c>
      <c r="C66" s="158" t="str">
        <f>'[1]Summary calculation'!C62</f>
        <v>Sagimbayeva Lyazat</v>
      </c>
      <c r="D66" s="158" t="str">
        <f>'[1]Summary calculation'!E62</f>
        <v>Pharm Representative</v>
      </c>
      <c r="E66" s="159">
        <f>'[1]Summary calculation'!H62</f>
        <v>395525</v>
      </c>
      <c r="F66" s="159">
        <f>E66/'[1]Summary calculation'!$G$5</f>
        <v>1188.8337841899611</v>
      </c>
      <c r="G66" s="159">
        <f>'[1]Summary calculation'!N62</f>
        <v>0</v>
      </c>
      <c r="H66" s="159">
        <f>'[1]Summary calculation'!S62</f>
        <v>0</v>
      </c>
      <c r="I66" s="159">
        <f>ROUND('[1]Summary calculation'!T62,0)</f>
        <v>0</v>
      </c>
      <c r="J66" s="159">
        <f>ROUND(I66/'[1]Summary calculation'!$G$5,0)</f>
        <v>0</v>
      </c>
      <c r="K66" s="166">
        <f t="shared" si="0"/>
        <v>0</v>
      </c>
    </row>
    <row r="67" spans="2:11" x14ac:dyDescent="0.35">
      <c r="B67" s="158">
        <f>'[1]Summary calculation'!B63</f>
        <v>55</v>
      </c>
      <c r="C67" s="158" t="str">
        <f>'[1]Summary calculation'!C63</f>
        <v>Sakalbayeva Aliya</v>
      </c>
      <c r="D67" s="158" t="str">
        <f>'[1]Summary calculation'!E63</f>
        <v>Medical Representative</v>
      </c>
      <c r="E67" s="159">
        <f>'[1]Summary calculation'!H63</f>
        <v>395525</v>
      </c>
      <c r="F67" s="159">
        <f>E67/'[1]Summary calculation'!$G$5</f>
        <v>1188.8337841899611</v>
      </c>
      <c r="G67" s="159">
        <f>'[1]Summary calculation'!N63</f>
        <v>221494</v>
      </c>
      <c r="H67" s="159">
        <f>'[1]Summary calculation'!S63</f>
        <v>39552.5</v>
      </c>
      <c r="I67" s="159">
        <f>ROUND('[1]Summary calculation'!T63,0)</f>
        <v>261047</v>
      </c>
      <c r="J67" s="159">
        <f>ROUND(I67/'[1]Summary calculation'!$G$5,0)</f>
        <v>785</v>
      </c>
      <c r="K67" s="166">
        <f t="shared" si="0"/>
        <v>0.66031097907843994</v>
      </c>
    </row>
    <row r="68" spans="2:11" x14ac:dyDescent="0.35">
      <c r="B68" s="158">
        <f>'[1]Summary calculation'!B64</f>
        <v>56</v>
      </c>
      <c r="C68" s="158" t="str">
        <f>'[1]Summary calculation'!C64</f>
        <v>Sarbassova Dina (Shymkent)</v>
      </c>
      <c r="D68" s="158" t="str">
        <f>'[1]Summary calculation'!E64</f>
        <v>Pharm Representative</v>
      </c>
      <c r="E68" s="159">
        <f>'[1]Summary calculation'!H64</f>
        <v>263683.33333333331</v>
      </c>
      <c r="F68" s="159">
        <f>E68/'[1]Summary calculation'!$G$5</f>
        <v>792.55585612664061</v>
      </c>
      <c r="G68" s="159">
        <f>'[1]Summary calculation'!N64</f>
        <v>0</v>
      </c>
      <c r="H68" s="159">
        <f>'[1]Summary calculation'!S64</f>
        <v>0</v>
      </c>
      <c r="I68" s="159">
        <f>ROUND('[1]Summary calculation'!T64,0)</f>
        <v>0</v>
      </c>
      <c r="J68" s="159">
        <f>ROUND(I68/'[1]Summary calculation'!$G$5,0)</f>
        <v>0</v>
      </c>
      <c r="K68" s="166">
        <f t="shared" si="0"/>
        <v>0</v>
      </c>
    </row>
    <row r="69" spans="2:11" x14ac:dyDescent="0.35">
      <c r="B69" s="158">
        <f>'[1]Summary calculation'!B65</f>
        <v>57</v>
      </c>
      <c r="C69" s="158" t="str">
        <f>'[1]Summary calculation'!C65</f>
        <v>Sariyeva Ainur</v>
      </c>
      <c r="D69" s="158" t="str">
        <f>'[1]Summary calculation'!E65</f>
        <v>Pharm Representative</v>
      </c>
      <c r="E69" s="159">
        <f>'[1]Summary calculation'!H65</f>
        <v>395525</v>
      </c>
      <c r="F69" s="159">
        <f>E69/'[1]Summary calculation'!$G$5</f>
        <v>1188.8337841899611</v>
      </c>
      <c r="G69" s="159">
        <f>'[1]Summary calculation'!N65</f>
        <v>221494.00000000003</v>
      </c>
      <c r="H69" s="159">
        <f>'[1]Summary calculation'!S65</f>
        <v>79105</v>
      </c>
      <c r="I69" s="159">
        <f>ROUND('[1]Summary calculation'!T65,0)</f>
        <v>300599</v>
      </c>
      <c r="J69" s="159">
        <f>ROUND(I69/'[1]Summary calculation'!$G$5,0)</f>
        <v>904</v>
      </c>
      <c r="K69" s="166">
        <f t="shared" si="0"/>
        <v>0.76040907654383405</v>
      </c>
    </row>
    <row r="70" spans="2:11" x14ac:dyDescent="0.35">
      <c r="B70" s="158">
        <f>'[1]Summary calculation'!B66</f>
        <v>58</v>
      </c>
      <c r="C70" s="158" t="str">
        <f>'[1]Summary calculation'!C66</f>
        <v>Sarsenbayeva Saniya</v>
      </c>
      <c r="D70" s="158" t="str">
        <f>'[1]Summary calculation'!E66</f>
        <v>Medical Representative</v>
      </c>
      <c r="E70" s="159">
        <f>'[1]Summary calculation'!H66</f>
        <v>395525</v>
      </c>
      <c r="F70" s="159">
        <f>E70/'[1]Summary calculation'!$G$5</f>
        <v>1188.8337841899611</v>
      </c>
      <c r="G70" s="159">
        <f>'[1]Summary calculation'!N66</f>
        <v>474630</v>
      </c>
      <c r="H70" s="159">
        <f>'[1]Summary calculation'!S66</f>
        <v>79105</v>
      </c>
      <c r="I70" s="159">
        <f>ROUND('[1]Summary calculation'!T66,0)</f>
        <v>553735</v>
      </c>
      <c r="J70" s="159">
        <f>ROUND(I70/'[1]Summary calculation'!$G$5,0)</f>
        <v>1664</v>
      </c>
      <c r="K70" s="166">
        <f t="shared" si="0"/>
        <v>1.3996910435497123</v>
      </c>
    </row>
    <row r="71" spans="2:11" x14ac:dyDescent="0.35">
      <c r="B71" s="158">
        <f>'[1]Summary calculation'!B67</f>
        <v>59</v>
      </c>
      <c r="C71" s="158" t="str">
        <f>'[1]Summary calculation'!C67</f>
        <v>Simachkova Yelena</v>
      </c>
      <c r="D71" s="158" t="str">
        <f>'[1]Summary calculation'!E67</f>
        <v>Pharm Representative</v>
      </c>
      <c r="E71" s="159">
        <f>'[1]Summary calculation'!H67</f>
        <v>131841.66666666666</v>
      </c>
      <c r="F71" s="159">
        <f>E71/'[1]Summary calculation'!$G$5</f>
        <v>396.2779280633203</v>
      </c>
      <c r="G71" s="159">
        <f>'[1]Summary calculation'!N67</f>
        <v>168757.33333333334</v>
      </c>
      <c r="H71" s="159">
        <f>'[1]Summary calculation'!S67</f>
        <v>0</v>
      </c>
      <c r="I71" s="159">
        <f>ROUND('[1]Summary calculation'!T67,0)</f>
        <v>168757</v>
      </c>
      <c r="J71" s="159">
        <f>ROUND(I71/'[1]Summary calculation'!$G$5,0)</f>
        <v>507</v>
      </c>
      <c r="K71" s="166">
        <f t="shared" si="0"/>
        <v>1.2794050944946591</v>
      </c>
    </row>
    <row r="72" spans="2:11" x14ac:dyDescent="0.35">
      <c r="B72" s="158">
        <f>'[1]Summary calculation'!B68</f>
        <v>60</v>
      </c>
      <c r="C72" s="158" t="str">
        <f>'[1]Summary calculation'!C68</f>
        <v>Soni Laura</v>
      </c>
      <c r="D72" s="158" t="str">
        <f>'[1]Summary calculation'!E68</f>
        <v>Medical Representative</v>
      </c>
      <c r="E72" s="159">
        <f>'[1]Summary calculation'!H68</f>
        <v>395525</v>
      </c>
      <c r="F72" s="159">
        <f>E72/'[1]Summary calculation'!$G$5</f>
        <v>1188.8337841899611</v>
      </c>
      <c r="G72" s="159">
        <f>'[1]Summary calculation'!N68</f>
        <v>316420</v>
      </c>
      <c r="H72" s="159">
        <f>'[1]Summary calculation'!S68</f>
        <v>79105</v>
      </c>
      <c r="I72" s="159">
        <f>ROUND('[1]Summary calculation'!T68,0)</f>
        <v>395525</v>
      </c>
      <c r="J72" s="159">
        <f>ROUND(I72/'[1]Summary calculation'!$G$5,0)</f>
        <v>1189</v>
      </c>
      <c r="K72" s="166">
        <f t="shared" si="0"/>
        <v>1.0001398141710383</v>
      </c>
    </row>
    <row r="73" spans="2:11" x14ac:dyDescent="0.35">
      <c r="B73" s="158">
        <f>'[1]Summary calculation'!B69</f>
        <v>61</v>
      </c>
      <c r="C73" s="158" t="str">
        <f>'[1]Summary calculation'!C69</f>
        <v>Suttubayeva Gulnar</v>
      </c>
      <c r="D73" s="158" t="str">
        <f>'[1]Summary calculation'!E69</f>
        <v>Regional Manager</v>
      </c>
      <c r="E73" s="159">
        <f>'[1]Summary calculation'!H69</f>
        <v>726000</v>
      </c>
      <c r="F73" s="159">
        <f>E73/'[1]Summary calculation'!$G$5</f>
        <v>2182.1460775473402</v>
      </c>
      <c r="G73" s="159">
        <f>'[1]Summary calculation'!N69</f>
        <v>1422960</v>
      </c>
      <c r="H73" s="159">
        <f>'[1]Summary calculation'!S69</f>
        <v>145200</v>
      </c>
      <c r="I73" s="159">
        <f>ROUND('[1]Summary calculation'!T69,0)</f>
        <v>1568160</v>
      </c>
      <c r="J73" s="159">
        <f>ROUND(I73/'[1]Summary calculation'!$G$5,0)</f>
        <v>4713</v>
      </c>
      <c r="K73" s="166">
        <f t="shared" si="0"/>
        <v>2.1598004132231403</v>
      </c>
    </row>
    <row r="74" spans="2:11" x14ac:dyDescent="0.35">
      <c r="B74" s="158">
        <f>'[1]Summary calculation'!B70</f>
        <v>62</v>
      </c>
      <c r="C74" s="158" t="str">
        <f>'[1]Summary calculation'!C70</f>
        <v>Tasbulatova Saule</v>
      </c>
      <c r="D74" s="158" t="str">
        <f>'[1]Summary calculation'!E70</f>
        <v>Medical Representative</v>
      </c>
      <c r="E74" s="159">
        <f>'[1]Summary calculation'!H70</f>
        <v>395525</v>
      </c>
      <c r="F74" s="159">
        <f>E74/'[1]Summary calculation'!$G$5</f>
        <v>1188.8337841899611</v>
      </c>
      <c r="G74" s="159">
        <f>'[1]Summary calculation'!N70</f>
        <v>791050</v>
      </c>
      <c r="H74" s="159">
        <f>'[1]Summary calculation'!S70</f>
        <v>79105</v>
      </c>
      <c r="I74" s="159">
        <f>ROUND('[1]Summary calculation'!T70,0)</f>
        <v>870155</v>
      </c>
      <c r="J74" s="159">
        <f>ROUND(I74/'[1]Summary calculation'!$G$5,0)</f>
        <v>2615</v>
      </c>
      <c r="K74" s="166">
        <f t="shared" si="0"/>
        <v>2.1996346627899626</v>
      </c>
    </row>
    <row r="75" spans="2:11" x14ac:dyDescent="0.35">
      <c r="B75" s="158">
        <f>'[1]Summary calculation'!B71</f>
        <v>63</v>
      </c>
      <c r="C75" s="158" t="str">
        <f>'[1]Summary calculation'!C71</f>
        <v>Temirbayeva Akzhunis</v>
      </c>
      <c r="D75" s="158" t="str">
        <f>'[1]Summary calculation'!E71</f>
        <v>Medical Representative</v>
      </c>
      <c r="E75" s="159">
        <f>'[1]Summary calculation'!H71</f>
        <v>395525</v>
      </c>
      <c r="F75" s="159">
        <f>E75/'[1]Summary calculation'!$G$5</f>
        <v>1188.8337841899611</v>
      </c>
      <c r="G75" s="159">
        <f>'[1]Summary calculation'!N71</f>
        <v>259464.4</v>
      </c>
      <c r="H75" s="159">
        <f>'[1]Summary calculation'!S71</f>
        <v>39552.5</v>
      </c>
      <c r="I75" s="159">
        <f>ROUND('[1]Summary calculation'!T71,0)</f>
        <v>299017</v>
      </c>
      <c r="J75" s="159">
        <f>ROUND(I75/'[1]Summary calculation'!$G$5,0)</f>
        <v>899</v>
      </c>
      <c r="K75" s="166">
        <f t="shared" si="0"/>
        <v>0.75620327412932165</v>
      </c>
    </row>
    <row r="76" spans="2:11" x14ac:dyDescent="0.35">
      <c r="B76" s="158">
        <f>'[1]Summary calculation'!B72</f>
        <v>64</v>
      </c>
      <c r="C76" s="158" t="str">
        <f>'[1]Summary calculation'!C72</f>
        <v>Tilessova Altynay</v>
      </c>
      <c r="D76" s="158" t="str">
        <f>'[1]Summary calculation'!E72</f>
        <v>Medical Representative</v>
      </c>
      <c r="E76" s="159">
        <f>'[1]Summary calculation'!H72</f>
        <v>395525</v>
      </c>
      <c r="F76" s="159">
        <f>E76/'[1]Summary calculation'!$G$5</f>
        <v>1188.8337841899611</v>
      </c>
      <c r="G76" s="159">
        <f>'[1]Summary calculation'!N72</f>
        <v>259464.4</v>
      </c>
      <c r="H76" s="159">
        <f>'[1]Summary calculation'!S72</f>
        <v>79105</v>
      </c>
      <c r="I76" s="159">
        <f>ROUND('[1]Summary calculation'!T72,0)</f>
        <v>338569</v>
      </c>
      <c r="J76" s="159">
        <f>ROUND(I76/'[1]Summary calculation'!$G$5,0)</f>
        <v>1018</v>
      </c>
      <c r="K76" s="166">
        <f t="shared" si="0"/>
        <v>0.85630137159471575</v>
      </c>
    </row>
    <row r="77" spans="2:11" x14ac:dyDescent="0.35">
      <c r="B77" s="158">
        <f>'[1]Summary calculation'!B73</f>
        <v>65</v>
      </c>
      <c r="C77" s="158" t="str">
        <f>'[1]Summary calculation'!C73</f>
        <v>Tipalov Sergey</v>
      </c>
      <c r="D77" s="158" t="str">
        <f>'[1]Summary calculation'!E73</f>
        <v>Medical Representative</v>
      </c>
      <c r="E77" s="159">
        <f>'[1]Summary calculation'!H73</f>
        <v>395525</v>
      </c>
      <c r="F77" s="159">
        <f>E77/'[1]Summary calculation'!$G$5</f>
        <v>1188.8337841899611</v>
      </c>
      <c r="G77" s="159">
        <f>'[1]Summary calculation'!N73</f>
        <v>664482</v>
      </c>
      <c r="H77" s="159">
        <f>'[1]Summary calculation'!S73</f>
        <v>39552.5</v>
      </c>
      <c r="I77" s="159">
        <f>ROUND('[1]Summary calculation'!T73,0)</f>
        <v>704035</v>
      </c>
      <c r="J77" s="159">
        <f>ROUND(I77/'[1]Summary calculation'!$G$5,0)</f>
        <v>2116</v>
      </c>
      <c r="K77" s="166">
        <f t="shared" si="0"/>
        <v>1.7798955818216293</v>
      </c>
    </row>
    <row r="78" spans="2:11" x14ac:dyDescent="0.35">
      <c r="B78" s="158">
        <f>'[1]Summary calculation'!B74</f>
        <v>66</v>
      </c>
      <c r="C78" s="158" t="str">
        <f>'[1]Summary calculation'!C74</f>
        <v>Ungarbayeva Zhanna</v>
      </c>
      <c r="D78" s="158" t="str">
        <f>'[1]Summary calculation'!E74</f>
        <v>Medical Representative</v>
      </c>
      <c r="E78" s="159">
        <f>'[1]Summary calculation'!H74</f>
        <v>395525</v>
      </c>
      <c r="F78" s="159">
        <f>E78/'[1]Summary calculation'!$G$5</f>
        <v>1188.8337841899611</v>
      </c>
      <c r="G78" s="159">
        <f>'[1]Summary calculation'!N74</f>
        <v>221494</v>
      </c>
      <c r="H78" s="159">
        <f>'[1]Summary calculation'!S74</f>
        <v>79105</v>
      </c>
      <c r="I78" s="159">
        <f>ROUND('[1]Summary calculation'!T74,0)</f>
        <v>300599</v>
      </c>
      <c r="J78" s="159">
        <f>ROUND(I78/'[1]Summary calculation'!$G$5,0)</f>
        <v>904</v>
      </c>
      <c r="K78" s="166">
        <f t="shared" ref="K78:K141" si="1">IF(F78=0,0,J78/F78)</f>
        <v>0.76040907654383405</v>
      </c>
    </row>
    <row r="79" spans="2:11" x14ac:dyDescent="0.35">
      <c r="B79" s="158">
        <f>'[1]Summary calculation'!B75</f>
        <v>67</v>
      </c>
      <c r="C79" s="158" t="str">
        <f>'[1]Summary calculation'!C75</f>
        <v>Yerkin Nadiyam</v>
      </c>
      <c r="D79" s="158" t="str">
        <f>'[1]Summary calculation'!E75</f>
        <v>Medical Representative</v>
      </c>
      <c r="E79" s="159">
        <f>'[1]Summary calculation'!H75</f>
        <v>395525</v>
      </c>
      <c r="F79" s="159">
        <f>E79/'[1]Summary calculation'!$G$5</f>
        <v>1188.8337841899611</v>
      </c>
      <c r="G79" s="159">
        <f>'[1]Summary calculation'!N75</f>
        <v>316420</v>
      </c>
      <c r="H79" s="159">
        <f>'[1]Summary calculation'!S75</f>
        <v>79105</v>
      </c>
      <c r="I79" s="159">
        <f>ROUND('[1]Summary calculation'!T75,0)</f>
        <v>395525</v>
      </c>
      <c r="J79" s="159">
        <f>ROUND(I79/'[1]Summary calculation'!$G$5,0)</f>
        <v>1189</v>
      </c>
      <c r="K79" s="166">
        <f t="shared" si="1"/>
        <v>1.0001398141710383</v>
      </c>
    </row>
    <row r="80" spans="2:11" x14ac:dyDescent="0.35">
      <c r="B80" s="158">
        <f>'[1]Summary calculation'!B76</f>
        <v>68</v>
      </c>
      <c r="C80" s="158" t="str">
        <f>'[1]Summary calculation'!C76</f>
        <v>Yesbolova Gulnur</v>
      </c>
      <c r="D80" s="158" t="str">
        <f>'[1]Summary calculation'!E76</f>
        <v>Medical Representative</v>
      </c>
      <c r="E80" s="159">
        <f>'[1]Summary calculation'!H76</f>
        <v>395525</v>
      </c>
      <c r="F80" s="159">
        <f>E80/'[1]Summary calculation'!$G$5</f>
        <v>1188.8337841899611</v>
      </c>
      <c r="G80" s="159">
        <f>'[1]Summary calculation'!N76</f>
        <v>316420</v>
      </c>
      <c r="H80" s="159">
        <f>'[1]Summary calculation'!S76</f>
        <v>79105</v>
      </c>
      <c r="I80" s="159">
        <f>ROUND('[1]Summary calculation'!T76,0)</f>
        <v>395525</v>
      </c>
      <c r="J80" s="159">
        <f>ROUND(I80/'[1]Summary calculation'!$G$5,0)</f>
        <v>1189</v>
      </c>
      <c r="K80" s="166">
        <f t="shared" si="1"/>
        <v>1.0001398141710383</v>
      </c>
    </row>
    <row r="81" spans="2:11" x14ac:dyDescent="0.35">
      <c r="B81" s="158">
        <f>'[1]Summary calculation'!B77</f>
        <v>69</v>
      </c>
      <c r="C81" s="158" t="str">
        <f>'[1]Summary calculation'!C77</f>
        <v>Yevseyenko Larissa</v>
      </c>
      <c r="D81" s="158" t="str">
        <f>'[1]Summary calculation'!E77</f>
        <v>Regional Manager</v>
      </c>
      <c r="E81" s="159">
        <f>'[1]Summary calculation'!H77</f>
        <v>726000</v>
      </c>
      <c r="F81" s="159">
        <f>E81/'[1]Summary calculation'!$G$5</f>
        <v>2182.1460775473402</v>
      </c>
      <c r="G81" s="159">
        <f>'[1]Summary calculation'!N77</f>
        <v>1103520</v>
      </c>
      <c r="H81" s="159">
        <f>'[1]Summary calculation'!S77</f>
        <v>145200</v>
      </c>
      <c r="I81" s="159">
        <f>ROUND('[1]Summary calculation'!T77,0)</f>
        <v>1248720</v>
      </c>
      <c r="J81" s="159">
        <f>ROUND(I81/'[1]Summary calculation'!$G$5,0)</f>
        <v>3753</v>
      </c>
      <c r="K81" s="166">
        <f t="shared" si="1"/>
        <v>1.7198665289256196</v>
      </c>
    </row>
    <row r="82" spans="2:11" x14ac:dyDescent="0.35">
      <c r="B82" s="158">
        <f>'[1]Summary calculation'!B78</f>
        <v>70</v>
      </c>
      <c r="C82" s="158" t="str">
        <f>'[1]Summary calculation'!C78</f>
        <v>Yu Vitaliya</v>
      </c>
      <c r="D82" s="158" t="str">
        <f>'[1]Summary calculation'!E78</f>
        <v>Medical Representative</v>
      </c>
      <c r="E82" s="159">
        <f>'[1]Summary calculation'!H78</f>
        <v>395525</v>
      </c>
      <c r="F82" s="159">
        <f>E82/'[1]Summary calculation'!$G$5</f>
        <v>1188.8337841899611</v>
      </c>
      <c r="G82" s="159">
        <f>'[1]Summary calculation'!N78</f>
        <v>316420</v>
      </c>
      <c r="H82" s="159">
        <f>'[1]Summary calculation'!S78</f>
        <v>79105</v>
      </c>
      <c r="I82" s="159">
        <f>ROUND('[1]Summary calculation'!T78,0)</f>
        <v>395525</v>
      </c>
      <c r="J82" s="159">
        <f>ROUND(I82/'[1]Summary calculation'!$G$5,0)</f>
        <v>1189</v>
      </c>
      <c r="K82" s="166">
        <f t="shared" si="1"/>
        <v>1.0001398141710383</v>
      </c>
    </row>
    <row r="83" spans="2:11" x14ac:dyDescent="0.35">
      <c r="B83" s="158">
        <f>'[1]Summary calculation'!B79</f>
        <v>71</v>
      </c>
      <c r="C83" s="158" t="str">
        <f>'[1]Summary calculation'!C79</f>
        <v>Zhanabekova Kamshat</v>
      </c>
      <c r="D83" s="158" t="str">
        <f>'[1]Summary calculation'!E79</f>
        <v>Medical Representative</v>
      </c>
      <c r="E83" s="159">
        <f>'[1]Summary calculation'!H79</f>
        <v>395525</v>
      </c>
      <c r="F83" s="159">
        <f>E83/'[1]Summary calculation'!$G$5</f>
        <v>1188.8337841899611</v>
      </c>
      <c r="G83" s="159">
        <f>'[1]Summary calculation'!N79</f>
        <v>442988</v>
      </c>
      <c r="H83" s="159">
        <f>'[1]Summary calculation'!S79</f>
        <v>79105</v>
      </c>
      <c r="I83" s="159">
        <f>ROUND('[1]Summary calculation'!T79,0)</f>
        <v>522093</v>
      </c>
      <c r="J83" s="159">
        <f>ROUND(I83/'[1]Summary calculation'!$G$5,0)</f>
        <v>1569</v>
      </c>
      <c r="K83" s="166">
        <f t="shared" si="1"/>
        <v>1.3197807976739775</v>
      </c>
    </row>
    <row r="84" spans="2:11" x14ac:dyDescent="0.35">
      <c r="B84" s="158">
        <f>'[1]Summary calculation'!B80</f>
        <v>72</v>
      </c>
      <c r="C84" s="158" t="str">
        <f>'[1]Summary calculation'!C80</f>
        <v>Zhazylbekova Aitolkyn</v>
      </c>
      <c r="D84" s="158" t="str">
        <f>'[1]Summary calculation'!E80</f>
        <v>Medical Representative</v>
      </c>
      <c r="E84" s="159">
        <f>'[1]Summary calculation'!H80</f>
        <v>395525</v>
      </c>
      <c r="F84" s="159">
        <f>E84/'[1]Summary calculation'!$G$5</f>
        <v>1188.8337841899611</v>
      </c>
      <c r="G84" s="159">
        <f>'[1]Summary calculation'!N80</f>
        <v>648661</v>
      </c>
      <c r="H84" s="159">
        <f>'[1]Summary calculation'!S80</f>
        <v>79105</v>
      </c>
      <c r="I84" s="159">
        <f>ROUND('[1]Summary calculation'!T80,0)</f>
        <v>727766</v>
      </c>
      <c r="J84" s="159">
        <f>ROUND(I84/'[1]Summary calculation'!$G$5,0)</f>
        <v>2187</v>
      </c>
      <c r="K84" s="166">
        <f t="shared" si="1"/>
        <v>1.8396179761077047</v>
      </c>
    </row>
    <row r="85" spans="2:11" x14ac:dyDescent="0.35">
      <c r="B85" s="158">
        <f>'[1]Summary calculation'!B81</f>
        <v>73</v>
      </c>
      <c r="C85" s="158" t="str">
        <f>'[1]Summary calculation'!C81</f>
        <v>Zhmailova Yelena</v>
      </c>
      <c r="D85" s="158" t="str">
        <f>'[1]Summary calculation'!E81</f>
        <v>Regional Manager</v>
      </c>
      <c r="E85" s="159">
        <f>'[1]Summary calculation'!H81</f>
        <v>726000</v>
      </c>
      <c r="F85" s="159">
        <f>E85/'[1]Summary calculation'!$G$5</f>
        <v>2182.1460775473402</v>
      </c>
      <c r="G85" s="159">
        <f>'[1]Summary calculation'!N81</f>
        <v>493680</v>
      </c>
      <c r="H85" s="159">
        <f>'[1]Summary calculation'!S81</f>
        <v>145200</v>
      </c>
      <c r="I85" s="159">
        <f>ROUND('[1]Summary calculation'!T81,0)</f>
        <v>638880</v>
      </c>
      <c r="J85" s="159">
        <f>ROUND(I85/'[1]Summary calculation'!$G$5,0)</f>
        <v>1920</v>
      </c>
      <c r="K85" s="166">
        <f t="shared" si="1"/>
        <v>0.87986776859504123</v>
      </c>
    </row>
    <row r="86" spans="2:11" x14ac:dyDescent="0.35">
      <c r="B86" s="158">
        <f>'[1]Summary calculation'!B82</f>
        <v>74</v>
      </c>
      <c r="C86" s="158" t="str">
        <f>'[1]Summary calculation'!C82</f>
        <v>Kaderov Nursultan</v>
      </c>
      <c r="D86" s="158" t="str">
        <f>'[1]Summary calculation'!E82</f>
        <v>Medical Representative</v>
      </c>
      <c r="E86" s="159">
        <f>'[1]Summary calculation'!H82</f>
        <v>395525</v>
      </c>
      <c r="F86" s="159">
        <f>E86/'[1]Summary calculation'!$G$5</f>
        <v>1188.8337841899611</v>
      </c>
      <c r="G86" s="159">
        <f>'[1]Summary calculation'!N82</f>
        <v>791050</v>
      </c>
      <c r="H86" s="159">
        <f>'[1]Summary calculation'!S82</f>
        <v>79105</v>
      </c>
      <c r="I86" s="159">
        <f>ROUND('[1]Summary calculation'!T82,0)</f>
        <v>870155</v>
      </c>
      <c r="J86" s="159">
        <f>ROUND(I86/'[1]Summary calculation'!$G$5,0)</f>
        <v>2615</v>
      </c>
      <c r="K86" s="166">
        <f t="shared" si="1"/>
        <v>2.1996346627899626</v>
      </c>
    </row>
    <row r="87" spans="2:11" x14ac:dyDescent="0.35">
      <c r="B87" s="158">
        <f>'[1]Summary calculation'!B83</f>
        <v>75</v>
      </c>
      <c r="C87" s="158" t="str">
        <f>'[1]Summary calculation'!C83</f>
        <v>Ospanova Zhumagul</v>
      </c>
      <c r="D87" s="158" t="str">
        <f>'[1]Summary calculation'!E83</f>
        <v>Medical Representative</v>
      </c>
      <c r="E87" s="159">
        <f>'[1]Summary calculation'!H83</f>
        <v>395525</v>
      </c>
      <c r="F87" s="159">
        <f>E87/'[1]Summary calculation'!$G$5</f>
        <v>1188.8337841899611</v>
      </c>
      <c r="G87" s="159">
        <f>'[1]Summary calculation'!N83</f>
        <v>664482</v>
      </c>
      <c r="H87" s="159">
        <f>'[1]Summary calculation'!S83</f>
        <v>79105</v>
      </c>
      <c r="I87" s="159">
        <f>ROUND('[1]Summary calculation'!T83,0)</f>
        <v>743587</v>
      </c>
      <c r="J87" s="159">
        <f>ROUND(I87/'[1]Summary calculation'!$G$5,0)</f>
        <v>2235</v>
      </c>
      <c r="K87" s="166">
        <f t="shared" si="1"/>
        <v>1.8799936792870233</v>
      </c>
    </row>
    <row r="88" spans="2:11" x14ac:dyDescent="0.35">
      <c r="B88" s="158">
        <f>'[1]Summary calculation'!B84</f>
        <v>76</v>
      </c>
      <c r="C88" s="158" t="str">
        <f>'[1]Summary calculation'!C84</f>
        <v>Zhanuzakova Gulbakyt</v>
      </c>
      <c r="D88" s="158" t="str">
        <f>'[1]Summary calculation'!E84</f>
        <v>Medical Representative</v>
      </c>
      <c r="E88" s="159">
        <f>'[1]Summary calculation'!H84</f>
        <v>395525</v>
      </c>
      <c r="F88" s="159">
        <f>E88/'[1]Summary calculation'!$G$5</f>
        <v>1188.8337841899611</v>
      </c>
      <c r="G88" s="159">
        <f>'[1]Summary calculation'!N84</f>
        <v>0</v>
      </c>
      <c r="H88" s="159">
        <f>'[1]Summary calculation'!S84</f>
        <v>0</v>
      </c>
      <c r="I88" s="159">
        <f>ROUND('[1]Summary calculation'!T84,0)</f>
        <v>0</v>
      </c>
      <c r="J88" s="159">
        <f>ROUND(I88/'[1]Summary calculation'!$G$5,0)</f>
        <v>0</v>
      </c>
      <c r="K88" s="166">
        <f t="shared" si="1"/>
        <v>0</v>
      </c>
    </row>
    <row r="89" spans="2:11" x14ac:dyDescent="0.35">
      <c r="B89" s="158">
        <f>'[1]Summary calculation'!B85</f>
        <v>77</v>
      </c>
      <c r="C89" s="158" t="str">
        <f>'[1]Summary calculation'!C85</f>
        <v>Nurikhanova Alissa</v>
      </c>
      <c r="D89" s="158" t="str">
        <f>'[1]Summary calculation'!E85</f>
        <v>Regional Manager</v>
      </c>
      <c r="E89" s="159">
        <f>'[1]Summary calculation'!H85</f>
        <v>726000</v>
      </c>
      <c r="F89" s="159">
        <f>E89/'[1]Summary calculation'!$G$5</f>
        <v>2182.1460775473402</v>
      </c>
      <c r="G89" s="159">
        <f>'[1]Summary calculation'!N85</f>
        <v>493680</v>
      </c>
      <c r="H89" s="159">
        <f>'[1]Summary calculation'!S85</f>
        <v>72600</v>
      </c>
      <c r="I89" s="159">
        <f>ROUND('[1]Summary calculation'!T85,0)</f>
        <v>566280</v>
      </c>
      <c r="J89" s="159">
        <f>ROUND(I89/'[1]Summary calculation'!$G$5,0)</f>
        <v>1702</v>
      </c>
      <c r="K89" s="166">
        <f t="shared" si="1"/>
        <v>0.77996611570247931</v>
      </c>
    </row>
    <row r="90" spans="2:11" x14ac:dyDescent="0.35">
      <c r="B90" s="158">
        <f>'[1]Summary calculation'!B86</f>
        <v>78</v>
      </c>
      <c r="C90" s="158" t="str">
        <f>'[1]Summary calculation'!C86</f>
        <v>Konurub Roza</v>
      </c>
      <c r="D90" s="158" t="str">
        <f>'[1]Summary calculation'!E86</f>
        <v>Medical Representative</v>
      </c>
      <c r="E90" s="159">
        <f>'[1]Summary calculation'!H86</f>
        <v>395525</v>
      </c>
      <c r="F90" s="159">
        <f>E90/'[1]Summary calculation'!$G$5</f>
        <v>1188.8337841899611</v>
      </c>
      <c r="G90" s="159">
        <f>'[1]Summary calculation'!N86</f>
        <v>537914</v>
      </c>
      <c r="H90" s="159">
        <f>'[1]Summary calculation'!S86</f>
        <v>79105</v>
      </c>
      <c r="I90" s="159">
        <f>ROUND('[1]Summary calculation'!T86,0)</f>
        <v>617019</v>
      </c>
      <c r="J90" s="159">
        <f>ROUND(I90/'[1]Summary calculation'!$G$5,0)</f>
        <v>1855</v>
      </c>
      <c r="K90" s="166">
        <f t="shared" si="1"/>
        <v>1.5603526957840843</v>
      </c>
    </row>
    <row r="91" spans="2:11" x14ac:dyDescent="0.35">
      <c r="B91" s="158">
        <f>'[1]Summary calculation'!B87</f>
        <v>79</v>
      </c>
      <c r="C91" s="158" t="str">
        <f>'[1]Summary calculation'!C87</f>
        <v>Tulemyrzayeva Madina</v>
      </c>
      <c r="D91" s="158" t="str">
        <f>'[1]Summary calculation'!E87</f>
        <v>Regional Manager</v>
      </c>
      <c r="E91" s="159">
        <f>'[1]Summary calculation'!H87</f>
        <v>0</v>
      </c>
      <c r="F91" s="159">
        <f>E91/'[1]Summary calculation'!$G$5</f>
        <v>0</v>
      </c>
      <c r="G91" s="159">
        <f>'[1]Summary calculation'!N87</f>
        <v>0</v>
      </c>
      <c r="H91" s="159">
        <f>'[1]Summary calculation'!S87</f>
        <v>0</v>
      </c>
      <c r="I91" s="159">
        <f>ROUND('[1]Summary calculation'!T87,0)</f>
        <v>0</v>
      </c>
      <c r="J91" s="159">
        <f>ROUND(I91/'[1]Summary calculation'!$G$5,0)</f>
        <v>0</v>
      </c>
      <c r="K91" s="166">
        <f t="shared" si="1"/>
        <v>0</v>
      </c>
    </row>
    <row r="92" spans="2:11" x14ac:dyDescent="0.35">
      <c r="B92" s="158">
        <f>'[1]Summary calculation'!B88</f>
        <v>80</v>
      </c>
      <c r="C92" s="158" t="str">
        <f>'[1]Summary calculation'!C88</f>
        <v>Kusmanova Shynar</v>
      </c>
      <c r="D92" s="158" t="str">
        <f>'[1]Summary calculation'!E88</f>
        <v>Pharm Representative</v>
      </c>
      <c r="E92" s="159">
        <f>'[1]Summary calculation'!H88</f>
        <v>131841.66666666666</v>
      </c>
      <c r="F92" s="159">
        <f>E92/'[1]Summary calculation'!$G$5</f>
        <v>396.2779280633203</v>
      </c>
      <c r="G92" s="159">
        <f>'[1]Summary calculation'!N88</f>
        <v>258409.66666666669</v>
      </c>
      <c r="H92" s="159">
        <f>'[1]Summary calculation'!S88</f>
        <v>0</v>
      </c>
      <c r="I92" s="159">
        <f>ROUND('[1]Summary calculation'!T88,0)</f>
        <v>258410</v>
      </c>
      <c r="J92" s="159">
        <f>ROUND(I92/'[1]Summary calculation'!$G$5,0)</f>
        <v>777</v>
      </c>
      <c r="K92" s="166">
        <f t="shared" si="1"/>
        <v>1.960745085645661</v>
      </c>
    </row>
    <row r="93" spans="2:11" x14ac:dyDescent="0.35">
      <c r="B93" s="158">
        <f>'[1]Summary calculation'!B89</f>
        <v>81</v>
      </c>
      <c r="C93" s="158" t="str">
        <f>'[1]Summary calculation'!C89</f>
        <v>Salikhova Akbota</v>
      </c>
      <c r="D93" s="158" t="str">
        <f>'[1]Summary calculation'!E89</f>
        <v>Medical Representative</v>
      </c>
      <c r="E93" s="159">
        <f>'[1]Summary calculation'!H89</f>
        <v>263683.33333333331</v>
      </c>
      <c r="F93" s="159">
        <f>E93/'[1]Summary calculation'!$G$5</f>
        <v>792.55585612664061</v>
      </c>
      <c r="G93" s="159">
        <f>'[1]Summary calculation'!N89</f>
        <v>527366.66666666651</v>
      </c>
      <c r="H93" s="159">
        <f>'[1]Summary calculation'!S89</f>
        <v>0</v>
      </c>
      <c r="I93" s="159">
        <f>ROUND('[1]Summary calculation'!T89,0)</f>
        <v>527367</v>
      </c>
      <c r="J93" s="159">
        <f>ROUND(I93/'[1]Summary calculation'!$G$5,0)</f>
        <v>1585</v>
      </c>
      <c r="K93" s="166">
        <f t="shared" si="1"/>
        <v>1.9998590481006258</v>
      </c>
    </row>
    <row r="94" spans="2:11" x14ac:dyDescent="0.35">
      <c r="B94" s="158">
        <f>'[1]Summary calculation'!B90</f>
        <v>82</v>
      </c>
      <c r="C94" s="158" t="str">
        <f>'[1]Summary calculation'!C90</f>
        <v>Turganbayeva Zhazira</v>
      </c>
      <c r="D94" s="158" t="str">
        <f>'[1]Summary calculation'!E90</f>
        <v>Medical Representative</v>
      </c>
      <c r="E94" s="159">
        <f>'[1]Summary calculation'!H90</f>
        <v>131841.66666666666</v>
      </c>
      <c r="F94" s="159">
        <f>E94/'[1]Summary calculation'!$G$5</f>
        <v>396.2779280633203</v>
      </c>
      <c r="G94" s="159">
        <f>'[1]Summary calculation'!N90</f>
        <v>0</v>
      </c>
      <c r="H94" s="159">
        <f>'[1]Summary calculation'!S90</f>
        <v>0</v>
      </c>
      <c r="I94" s="159">
        <f>ROUND('[1]Summary calculation'!T90,0)</f>
        <v>0</v>
      </c>
      <c r="J94" s="159">
        <f>ROUND(I94/'[1]Summary calculation'!$G$5,0)</f>
        <v>0</v>
      </c>
      <c r="K94" s="166">
        <f t="shared" si="1"/>
        <v>0</v>
      </c>
    </row>
    <row r="95" spans="2:11" x14ac:dyDescent="0.35">
      <c r="B95" s="158">
        <f>'[1]Summary calculation'!B91</f>
        <v>83</v>
      </c>
      <c r="C95" s="158" t="str">
        <f>'[1]Summary calculation'!C91</f>
        <v>Makenova Yuliya</v>
      </c>
      <c r="D95" s="158" t="str">
        <f>'[1]Summary calculation'!E91</f>
        <v>Medical Representative</v>
      </c>
      <c r="E95" s="159">
        <f>'[1]Summary calculation'!H91</f>
        <v>131841.66666666666</v>
      </c>
      <c r="F95" s="159">
        <f>E95/'[1]Summary calculation'!$G$5</f>
        <v>396.2779280633203</v>
      </c>
      <c r="G95" s="159">
        <f>'[1]Summary calculation'!N91</f>
        <v>210946.66666666666</v>
      </c>
      <c r="H95" s="159">
        <f>'[1]Summary calculation'!S91</f>
        <v>13184.166666666666</v>
      </c>
      <c r="I95" s="159">
        <f>ROUND('[1]Summary calculation'!T91,0)</f>
        <v>224131</v>
      </c>
      <c r="J95" s="159">
        <f>ROUND(I95/'[1]Summary calculation'!$G$5,0)</f>
        <v>674</v>
      </c>
      <c r="K95" s="166">
        <f t="shared" si="1"/>
        <v>1.7008264964287971</v>
      </c>
    </row>
    <row r="96" spans="2:11" x14ac:dyDescent="0.35">
      <c r="B96" s="158">
        <f>'[1]Summary calculation'!B92</f>
        <v>84</v>
      </c>
      <c r="C96" s="158" t="str">
        <f>'[1]Summary calculation'!C92</f>
        <v>Sarbassova Dina (Astana)</v>
      </c>
      <c r="D96" s="158" t="str">
        <f>'[1]Summary calculation'!E92</f>
        <v>Medical Representative</v>
      </c>
      <c r="E96" s="159">
        <f>'[1]Summary calculation'!H92</f>
        <v>131841.66666666666</v>
      </c>
      <c r="F96" s="159">
        <f>E96/'[1]Summary calculation'!$G$5</f>
        <v>396.2779280633203</v>
      </c>
      <c r="G96" s="159">
        <f>'[1]Summary calculation'!N92</f>
        <v>101254.39999999999</v>
      </c>
      <c r="H96" s="159">
        <f>'[1]Summary calculation'!S92</f>
        <v>0</v>
      </c>
      <c r="I96" s="159">
        <f>ROUND('[1]Summary calculation'!T92,0)</f>
        <v>101254</v>
      </c>
      <c r="J96" s="159">
        <f>ROUND(I96/'[1]Summary calculation'!$G$5,0)</f>
        <v>304</v>
      </c>
      <c r="K96" s="166">
        <f t="shared" si="1"/>
        <v>0.76713836040705397</v>
      </c>
    </row>
    <row r="97" spans="2:11" x14ac:dyDescent="0.35">
      <c r="B97" s="158">
        <f>'[1]Summary calculation'!B93</f>
        <v>85</v>
      </c>
      <c r="C97" s="158" t="str">
        <f>'[1]Summary calculation'!C93</f>
        <v>Zhakenova Botagoz (замещение Калдыбаевой Н.)</v>
      </c>
      <c r="D97" s="158" t="str">
        <f>'[1]Summary calculation'!E93</f>
        <v>Medical Representative</v>
      </c>
      <c r="E97" s="159">
        <f>'[1]Summary calculation'!H93</f>
        <v>263683.33333333331</v>
      </c>
      <c r="F97" s="159">
        <f>E97/'[1]Summary calculation'!$G$5</f>
        <v>792.55585612664061</v>
      </c>
      <c r="G97" s="159">
        <f>'[1]Summary calculation'!N93</f>
        <v>147662.66666666666</v>
      </c>
      <c r="H97" s="159">
        <f>'[1]Summary calculation'!S93</f>
        <v>26368.333333333332</v>
      </c>
      <c r="I97" s="159">
        <f>ROUND('[1]Summary calculation'!T93,0)</f>
        <v>174031</v>
      </c>
      <c r="J97" s="159">
        <f>ROUND(I97/'[1]Summary calculation'!$G$5,0)</f>
        <v>523</v>
      </c>
      <c r="K97" s="166">
        <f t="shared" si="1"/>
        <v>0.65989039883698886</v>
      </c>
    </row>
    <row r="98" spans="2:11" x14ac:dyDescent="0.35">
      <c r="B98" s="158">
        <f>'[1]Summary calculation'!B94</f>
        <v>86</v>
      </c>
      <c r="C98" s="158" t="str">
        <f>'[1]Summary calculation'!C94</f>
        <v>Dikambayev Zhiger</v>
      </c>
      <c r="D98" s="158" t="str">
        <f>'[1]Summary calculation'!E94</f>
        <v>Medical Representative</v>
      </c>
      <c r="E98" s="159">
        <f>'[1]Summary calculation'!H94</f>
        <v>0</v>
      </c>
      <c r="F98" s="159">
        <f>E98/'[1]Summary calculation'!$G$5</f>
        <v>0</v>
      </c>
      <c r="G98" s="159">
        <f>'[1]Summary calculation'!N94</f>
        <v>0</v>
      </c>
      <c r="H98" s="159">
        <f>'[1]Summary calculation'!S94</f>
        <v>0</v>
      </c>
      <c r="I98" s="159">
        <f>ROUND('[1]Summary calculation'!T94,0)</f>
        <v>0</v>
      </c>
      <c r="J98" s="159">
        <f>ROUND(I98/'[1]Summary calculation'!$G$5,0)</f>
        <v>0</v>
      </c>
      <c r="K98" s="166">
        <f t="shared" si="1"/>
        <v>0</v>
      </c>
    </row>
    <row r="99" spans="2:11" x14ac:dyDescent="0.35">
      <c r="B99" s="158">
        <f>'[1]Summary calculation'!B95</f>
        <v>87</v>
      </c>
      <c r="C99" s="158" t="str">
        <f>'[1]Summary calculation'!C95</f>
        <v>Dubova Yevgeniya</v>
      </c>
      <c r="D99" s="158" t="str">
        <f>'[1]Summary calculation'!E95</f>
        <v>Medical Representative</v>
      </c>
      <c r="E99" s="159">
        <f>'[1]Summary calculation'!H95</f>
        <v>197762.5</v>
      </c>
      <c r="F99" s="159">
        <f>E99/'[1]Summary calculation'!$G$5</f>
        <v>594.41689209498054</v>
      </c>
      <c r="G99" s="159">
        <f>'[1]Summary calculation'!N95</f>
        <v>395525</v>
      </c>
      <c r="H99" s="159">
        <f>'[1]Summary calculation'!S95</f>
        <v>39552.5</v>
      </c>
      <c r="I99" s="159">
        <f>ROUND('[1]Summary calculation'!T95,0)</f>
        <v>435078</v>
      </c>
      <c r="J99" s="159">
        <f>ROUND(I99/'[1]Summary calculation'!$G$5,0)</f>
        <v>1308</v>
      </c>
      <c r="K99" s="166">
        <f t="shared" si="1"/>
        <v>2.200475823272865</v>
      </c>
    </row>
    <row r="100" spans="2:11" x14ac:dyDescent="0.35">
      <c r="B100" s="158">
        <f>'[1]Summary calculation'!B96</f>
        <v>88</v>
      </c>
      <c r="C100" s="158" t="str">
        <f>'[1]Summary calculation'!C96</f>
        <v>Kalacheva Larissa</v>
      </c>
      <c r="D100" s="158" t="str">
        <f>'[1]Summary calculation'!E96</f>
        <v>Medical Representative</v>
      </c>
      <c r="E100" s="159">
        <f>'[1]Summary calculation'!H96</f>
        <v>0</v>
      </c>
      <c r="F100" s="159">
        <f>E100/'[1]Summary calculation'!$G$5</f>
        <v>0</v>
      </c>
      <c r="G100" s="159">
        <f>'[1]Summary calculation'!N96</f>
        <v>0</v>
      </c>
      <c r="H100" s="159">
        <f>'[1]Summary calculation'!S96</f>
        <v>0</v>
      </c>
      <c r="I100" s="159">
        <f>ROUND('[1]Summary calculation'!T96,0)</f>
        <v>0</v>
      </c>
      <c r="J100" s="159">
        <f>ROUND(I100/'[1]Summary calculation'!$G$5,0)</f>
        <v>0</v>
      </c>
      <c r="K100" s="166">
        <f t="shared" si="1"/>
        <v>0</v>
      </c>
    </row>
    <row r="101" spans="2:11" x14ac:dyDescent="0.35">
      <c r="B101" s="158">
        <f>'[1]Summary calculation'!B97</f>
        <v>89</v>
      </c>
      <c r="C101" s="158" t="str">
        <f>'[1]Summary calculation'!C97</f>
        <v>Kalen Temirlan</v>
      </c>
      <c r="D101" s="158" t="str">
        <f>'[1]Summary calculation'!E97</f>
        <v>Medical Representative</v>
      </c>
      <c r="E101" s="159">
        <f>'[1]Summary calculation'!H97</f>
        <v>0</v>
      </c>
      <c r="F101" s="159">
        <f>E101/'[1]Summary calculation'!$G$5</f>
        <v>0</v>
      </c>
      <c r="G101" s="159">
        <f>'[1]Summary calculation'!N97</f>
        <v>0</v>
      </c>
      <c r="H101" s="159">
        <f>'[1]Summary calculation'!S97</f>
        <v>0</v>
      </c>
      <c r="I101" s="159">
        <f>ROUND('[1]Summary calculation'!T97,0)</f>
        <v>0</v>
      </c>
      <c r="J101" s="159">
        <f>ROUND(I101/'[1]Summary calculation'!$G$5,0)</f>
        <v>0</v>
      </c>
      <c r="K101" s="166">
        <f t="shared" si="1"/>
        <v>0</v>
      </c>
    </row>
    <row r="102" spans="2:11" x14ac:dyDescent="0.35">
      <c r="B102" s="158">
        <f>'[1]Summary calculation'!B98</f>
        <v>90</v>
      </c>
      <c r="C102" s="158" t="str">
        <f>'[1]Summary calculation'!C98</f>
        <v>Kassanova Elmira</v>
      </c>
      <c r="D102" s="158" t="str">
        <f>'[1]Summary calculation'!E98</f>
        <v>Medical Representative</v>
      </c>
      <c r="E102" s="159">
        <f>'[1]Summary calculation'!H98</f>
        <v>263683.33333333331</v>
      </c>
      <c r="F102" s="159">
        <f>E102/'[1]Summary calculation'!$G$5</f>
        <v>792.55585612664061</v>
      </c>
      <c r="G102" s="159">
        <f>'[1]Summary calculation'!N98</f>
        <v>316420</v>
      </c>
      <c r="H102" s="159">
        <f>'[1]Summary calculation'!S98</f>
        <v>26368.333333333332</v>
      </c>
      <c r="I102" s="159">
        <f>ROUND('[1]Summary calculation'!T98,0)</f>
        <v>342788</v>
      </c>
      <c r="J102" s="159">
        <f>ROUND(I102/'[1]Summary calculation'!$G$5,0)</f>
        <v>1030</v>
      </c>
      <c r="K102" s="166">
        <f t="shared" si="1"/>
        <v>1.2995929460843183</v>
      </c>
    </row>
    <row r="103" spans="2:11" x14ac:dyDescent="0.35">
      <c r="B103" s="158">
        <f>'[1]Summary calculation'!B99</f>
        <v>91</v>
      </c>
      <c r="C103" s="158" t="str">
        <f>'[1]Summary calculation'!C99</f>
        <v>Nassyrov Farukh</v>
      </c>
      <c r="D103" s="158" t="str">
        <f>'[1]Summary calculation'!E99</f>
        <v>Pharm Representative</v>
      </c>
      <c r="E103" s="159">
        <f>'[1]Summary calculation'!H99</f>
        <v>0</v>
      </c>
      <c r="F103" s="159">
        <f>E103/'[1]Summary calculation'!$G$5</f>
        <v>0</v>
      </c>
      <c r="G103" s="159">
        <f>'[1]Summary calculation'!N99</f>
        <v>0</v>
      </c>
      <c r="H103" s="159">
        <f>'[1]Summary calculation'!S99</f>
        <v>0</v>
      </c>
      <c r="I103" s="159">
        <f>ROUND('[1]Summary calculation'!T99,0)</f>
        <v>0</v>
      </c>
      <c r="J103" s="159">
        <f>ROUND(I103/'[1]Summary calculation'!$G$5,0)</f>
        <v>0</v>
      </c>
      <c r="K103" s="166">
        <f t="shared" si="1"/>
        <v>0</v>
      </c>
    </row>
    <row r="104" spans="2:11" x14ac:dyDescent="0.35">
      <c r="B104" s="158">
        <f>'[1]Summary calculation'!B100</f>
        <v>92</v>
      </c>
      <c r="C104" s="158" t="str">
        <f>'[1]Summary calculation'!C100</f>
        <v>Volkova Svetlana</v>
      </c>
      <c r="D104" s="158" t="str">
        <f>'[1]Summary calculation'!E100</f>
        <v>Medical Representative</v>
      </c>
      <c r="E104" s="159">
        <f>'[1]Summary calculation'!H100</f>
        <v>0</v>
      </c>
      <c r="F104" s="159">
        <f>E104/'[1]Summary calculation'!$G$5</f>
        <v>0</v>
      </c>
      <c r="G104" s="159">
        <f>'[1]Summary calculation'!N100</f>
        <v>0</v>
      </c>
      <c r="H104" s="159">
        <f>'[1]Summary calculation'!S100</f>
        <v>0</v>
      </c>
      <c r="I104" s="159">
        <f>ROUND('[1]Summary calculation'!T100,0)</f>
        <v>0</v>
      </c>
      <c r="J104" s="159">
        <f>ROUND(I104/'[1]Summary calculation'!$G$5,0)</f>
        <v>0</v>
      </c>
      <c r="K104" s="166">
        <f t="shared" si="1"/>
        <v>0</v>
      </c>
    </row>
    <row r="105" spans="2:11" x14ac:dyDescent="0.35">
      <c r="B105" s="158">
        <f>'[1]Summary calculation'!B101</f>
        <v>93</v>
      </c>
      <c r="C105" s="158" t="str">
        <f>'[1]Summary calculation'!C101</f>
        <v/>
      </c>
      <c r="D105" s="158" t="str">
        <f>'[1]Summary calculation'!E101</f>
        <v/>
      </c>
      <c r="E105" s="159">
        <f>'[1]Summary calculation'!H101</f>
        <v>0</v>
      </c>
      <c r="F105" s="159">
        <f>E105/'[1]Summary calculation'!$G$5</f>
        <v>0</v>
      </c>
      <c r="G105" s="159">
        <f>'[1]Summary calculation'!N101</f>
        <v>0</v>
      </c>
      <c r="H105" s="159">
        <f>'[1]Summary calculation'!S101</f>
        <v>0</v>
      </c>
      <c r="I105" s="159">
        <f>ROUND('[1]Summary calculation'!T101,0)</f>
        <v>0</v>
      </c>
      <c r="J105" s="159">
        <f>ROUND(I105/'[1]Summary calculation'!$G$5,0)</f>
        <v>0</v>
      </c>
      <c r="K105" s="166">
        <f t="shared" si="1"/>
        <v>0</v>
      </c>
    </row>
    <row r="106" spans="2:11" x14ac:dyDescent="0.35">
      <c r="B106" s="158">
        <f>'[1]Summary calculation'!B102</f>
        <v>94</v>
      </c>
      <c r="C106" s="158" t="str">
        <f>'[1]Summary calculation'!C102</f>
        <v/>
      </c>
      <c r="D106" s="158" t="str">
        <f>'[1]Summary calculation'!E102</f>
        <v/>
      </c>
      <c r="E106" s="159">
        <f>'[1]Summary calculation'!H102</f>
        <v>0</v>
      </c>
      <c r="F106" s="159">
        <f>E106/'[1]Summary calculation'!$G$5</f>
        <v>0</v>
      </c>
      <c r="G106" s="159">
        <f>'[1]Summary calculation'!N102</f>
        <v>0</v>
      </c>
      <c r="H106" s="159">
        <f>'[1]Summary calculation'!S102</f>
        <v>0</v>
      </c>
      <c r="I106" s="159">
        <f>ROUND('[1]Summary calculation'!T102,0)</f>
        <v>0</v>
      </c>
      <c r="J106" s="159">
        <f>ROUND(I106/'[1]Summary calculation'!$G$5,0)</f>
        <v>0</v>
      </c>
      <c r="K106" s="166">
        <f t="shared" si="1"/>
        <v>0</v>
      </c>
    </row>
    <row r="107" spans="2:11" x14ac:dyDescent="0.35">
      <c r="B107" s="158">
        <f>'[1]Summary calculation'!B103</f>
        <v>95</v>
      </c>
      <c r="C107" s="158" t="str">
        <f>'[1]Summary calculation'!C103</f>
        <v/>
      </c>
      <c r="D107" s="158" t="str">
        <f>'[1]Summary calculation'!E103</f>
        <v/>
      </c>
      <c r="E107" s="159">
        <f>'[1]Summary calculation'!H103</f>
        <v>0</v>
      </c>
      <c r="F107" s="159">
        <f>E107/'[1]Summary calculation'!$G$5</f>
        <v>0</v>
      </c>
      <c r="G107" s="159">
        <f>'[1]Summary calculation'!N103</f>
        <v>0</v>
      </c>
      <c r="H107" s="159">
        <f>'[1]Summary calculation'!S103</f>
        <v>0</v>
      </c>
      <c r="I107" s="159">
        <f>ROUND('[1]Summary calculation'!T103,0)</f>
        <v>0</v>
      </c>
      <c r="J107" s="159">
        <f>ROUND(I107/'[1]Summary calculation'!$G$5,0)</f>
        <v>0</v>
      </c>
      <c r="K107" s="166">
        <f t="shared" si="1"/>
        <v>0</v>
      </c>
    </row>
    <row r="108" spans="2:11" x14ac:dyDescent="0.35">
      <c r="B108" s="158">
        <f>'[1]Summary calculation'!B104</f>
        <v>96</v>
      </c>
      <c r="C108" s="158" t="str">
        <f>'[1]Summary calculation'!C104</f>
        <v/>
      </c>
      <c r="D108" s="158" t="str">
        <f>'[1]Summary calculation'!E104</f>
        <v/>
      </c>
      <c r="E108" s="159">
        <f>'[1]Summary calculation'!H104</f>
        <v>0</v>
      </c>
      <c r="F108" s="159">
        <f>E108/'[1]Summary calculation'!$G$5</f>
        <v>0</v>
      </c>
      <c r="G108" s="159">
        <f>'[1]Summary calculation'!N104</f>
        <v>0</v>
      </c>
      <c r="H108" s="159">
        <f>'[1]Summary calculation'!S104</f>
        <v>0</v>
      </c>
      <c r="I108" s="159">
        <f>ROUND('[1]Summary calculation'!T104,0)</f>
        <v>0</v>
      </c>
      <c r="J108" s="159">
        <f>ROUND(I108/'[1]Summary calculation'!$G$5,0)</f>
        <v>0</v>
      </c>
      <c r="K108" s="166">
        <f t="shared" si="1"/>
        <v>0</v>
      </c>
    </row>
    <row r="109" spans="2:11" x14ac:dyDescent="0.35">
      <c r="B109" s="158">
        <f>'[1]Summary calculation'!B105</f>
        <v>97</v>
      </c>
      <c r="C109" s="158" t="str">
        <f>'[1]Summary calculation'!C105</f>
        <v/>
      </c>
      <c r="D109" s="158" t="str">
        <f>'[1]Summary calculation'!E105</f>
        <v/>
      </c>
      <c r="E109" s="159">
        <f>'[1]Summary calculation'!H105</f>
        <v>0</v>
      </c>
      <c r="F109" s="159">
        <f>E109/'[1]Summary calculation'!$G$5</f>
        <v>0</v>
      </c>
      <c r="G109" s="159">
        <f>'[1]Summary calculation'!N105</f>
        <v>0</v>
      </c>
      <c r="H109" s="159">
        <f>'[1]Summary calculation'!S105</f>
        <v>0</v>
      </c>
      <c r="I109" s="159">
        <f>ROUND('[1]Summary calculation'!T105,0)</f>
        <v>0</v>
      </c>
      <c r="J109" s="159">
        <f>ROUND(I109/'[1]Summary calculation'!$G$5,0)</f>
        <v>0</v>
      </c>
      <c r="K109" s="166">
        <f t="shared" si="1"/>
        <v>0</v>
      </c>
    </row>
    <row r="110" spans="2:11" x14ac:dyDescent="0.35">
      <c r="B110" s="158">
        <f>'[1]Summary calculation'!B106</f>
        <v>98</v>
      </c>
      <c r="C110" s="158" t="str">
        <f>'[1]Summary calculation'!C106</f>
        <v/>
      </c>
      <c r="D110" s="158" t="str">
        <f>'[1]Summary calculation'!E106</f>
        <v/>
      </c>
      <c r="E110" s="159">
        <f>'[1]Summary calculation'!H106</f>
        <v>0</v>
      </c>
      <c r="F110" s="159">
        <f>E110/'[1]Summary calculation'!$G$5</f>
        <v>0</v>
      </c>
      <c r="G110" s="159">
        <f>'[1]Summary calculation'!N106</f>
        <v>0</v>
      </c>
      <c r="H110" s="159">
        <f>'[1]Summary calculation'!S106</f>
        <v>0</v>
      </c>
      <c r="I110" s="159">
        <f>ROUND('[1]Summary calculation'!T106,0)</f>
        <v>0</v>
      </c>
      <c r="J110" s="159">
        <f>ROUND(I110/'[1]Summary calculation'!$G$5,0)</f>
        <v>0</v>
      </c>
      <c r="K110" s="166">
        <f t="shared" si="1"/>
        <v>0</v>
      </c>
    </row>
    <row r="111" spans="2:11" x14ac:dyDescent="0.35">
      <c r="B111" s="158">
        <f>'[1]Summary calculation'!B107</f>
        <v>99</v>
      </c>
      <c r="C111" s="158" t="str">
        <f>'[1]Summary calculation'!C107</f>
        <v/>
      </c>
      <c r="D111" s="158" t="str">
        <f>'[1]Summary calculation'!E107</f>
        <v/>
      </c>
      <c r="E111" s="159">
        <f>'[1]Summary calculation'!H107</f>
        <v>0</v>
      </c>
      <c r="F111" s="159">
        <f>E111/'[1]Summary calculation'!$G$5</f>
        <v>0</v>
      </c>
      <c r="G111" s="159">
        <f>'[1]Summary calculation'!N107</f>
        <v>0</v>
      </c>
      <c r="H111" s="159">
        <f>'[1]Summary calculation'!S107</f>
        <v>0</v>
      </c>
      <c r="I111" s="159">
        <f>ROUND('[1]Summary calculation'!T107,0)</f>
        <v>0</v>
      </c>
      <c r="J111" s="159">
        <f>ROUND(I111/'[1]Summary calculation'!$G$5,0)</f>
        <v>0</v>
      </c>
      <c r="K111" s="166">
        <f t="shared" si="1"/>
        <v>0</v>
      </c>
    </row>
    <row r="112" spans="2:11" x14ac:dyDescent="0.35">
      <c r="B112" s="158">
        <f>'[1]Summary calculation'!B108</f>
        <v>100</v>
      </c>
      <c r="C112" s="158" t="str">
        <f>'[1]Summary calculation'!C108</f>
        <v/>
      </c>
      <c r="D112" s="158" t="str">
        <f>'[1]Summary calculation'!E108</f>
        <v/>
      </c>
      <c r="E112" s="159">
        <f>'[1]Summary calculation'!H108</f>
        <v>0</v>
      </c>
      <c r="F112" s="159">
        <f>E112/'[1]Summary calculation'!$G$5</f>
        <v>0</v>
      </c>
      <c r="G112" s="159">
        <f>'[1]Summary calculation'!N108</f>
        <v>0</v>
      </c>
      <c r="H112" s="159">
        <f>'[1]Summary calculation'!S108</f>
        <v>0</v>
      </c>
      <c r="I112" s="159">
        <f>ROUND('[1]Summary calculation'!T108,0)</f>
        <v>0</v>
      </c>
      <c r="J112" s="159">
        <f>ROUND(I112/'[1]Summary calculation'!$G$5,0)</f>
        <v>0</v>
      </c>
      <c r="K112" s="166">
        <f t="shared" si="1"/>
        <v>0</v>
      </c>
    </row>
    <row r="113" spans="2:11" x14ac:dyDescent="0.35">
      <c r="B113" s="158">
        <f>'[1]Summary calculation'!B109</f>
        <v>101</v>
      </c>
      <c r="C113" s="158" t="str">
        <f>'[1]Summary calculation'!C109</f>
        <v/>
      </c>
      <c r="D113" s="158" t="str">
        <f>'[1]Summary calculation'!E109</f>
        <v/>
      </c>
      <c r="E113" s="159">
        <f>'[1]Summary calculation'!H109</f>
        <v>0</v>
      </c>
      <c r="F113" s="159">
        <f>E113/'[1]Summary calculation'!$G$5</f>
        <v>0</v>
      </c>
      <c r="G113" s="159">
        <f>'[1]Summary calculation'!N109</f>
        <v>0</v>
      </c>
      <c r="H113" s="159">
        <f>'[1]Summary calculation'!S109</f>
        <v>0</v>
      </c>
      <c r="I113" s="159">
        <f>ROUND('[1]Summary calculation'!T109,0)</f>
        <v>0</v>
      </c>
      <c r="J113" s="159">
        <f>ROUND(I113/'[1]Summary calculation'!$G$5,0)</f>
        <v>0</v>
      </c>
      <c r="K113" s="166">
        <f t="shared" si="1"/>
        <v>0</v>
      </c>
    </row>
    <row r="114" spans="2:11" x14ac:dyDescent="0.35">
      <c r="B114" s="158">
        <f>'[1]Summary calculation'!B110</f>
        <v>102</v>
      </c>
      <c r="C114" s="158" t="str">
        <f>'[1]Summary calculation'!C110</f>
        <v/>
      </c>
      <c r="D114" s="158" t="str">
        <f>'[1]Summary calculation'!E110</f>
        <v/>
      </c>
      <c r="E114" s="159">
        <f>'[1]Summary calculation'!H110</f>
        <v>0</v>
      </c>
      <c r="F114" s="159">
        <f>E114/'[1]Summary calculation'!$G$5</f>
        <v>0</v>
      </c>
      <c r="G114" s="159">
        <f>'[1]Summary calculation'!N110</f>
        <v>0</v>
      </c>
      <c r="H114" s="159">
        <f>'[1]Summary calculation'!S110</f>
        <v>0</v>
      </c>
      <c r="I114" s="159">
        <f>ROUND('[1]Summary calculation'!T110,0)</f>
        <v>0</v>
      </c>
      <c r="J114" s="159">
        <f>ROUND(I114/'[1]Summary calculation'!$G$5,0)</f>
        <v>0</v>
      </c>
      <c r="K114" s="166">
        <f t="shared" si="1"/>
        <v>0</v>
      </c>
    </row>
    <row r="115" spans="2:11" x14ac:dyDescent="0.35">
      <c r="B115" s="158">
        <f>'[1]Summary calculation'!B111</f>
        <v>103</v>
      </c>
      <c r="C115" s="158" t="str">
        <f>'[1]Summary calculation'!C111</f>
        <v/>
      </c>
      <c r="D115" s="158" t="str">
        <f>'[1]Summary calculation'!E111</f>
        <v/>
      </c>
      <c r="E115" s="159">
        <f>'[1]Summary calculation'!H111</f>
        <v>0</v>
      </c>
      <c r="F115" s="159">
        <f>E115/'[1]Summary calculation'!$G$5</f>
        <v>0</v>
      </c>
      <c r="G115" s="159">
        <f>'[1]Summary calculation'!N111</f>
        <v>0</v>
      </c>
      <c r="H115" s="159">
        <f>'[1]Summary calculation'!S111</f>
        <v>0</v>
      </c>
      <c r="I115" s="159">
        <f>ROUND('[1]Summary calculation'!T111,0)</f>
        <v>0</v>
      </c>
      <c r="J115" s="159">
        <f>ROUND(I115/'[1]Summary calculation'!$G$5,0)</f>
        <v>0</v>
      </c>
      <c r="K115" s="166">
        <f t="shared" si="1"/>
        <v>0</v>
      </c>
    </row>
    <row r="116" spans="2:11" x14ac:dyDescent="0.35">
      <c r="B116" s="158">
        <f>'[1]Summary calculation'!B112</f>
        <v>104</v>
      </c>
      <c r="C116" s="158" t="str">
        <f>'[1]Summary calculation'!C112</f>
        <v/>
      </c>
      <c r="D116" s="158" t="str">
        <f>'[1]Summary calculation'!E112</f>
        <v/>
      </c>
      <c r="E116" s="159">
        <f>'[1]Summary calculation'!H112</f>
        <v>0</v>
      </c>
      <c r="F116" s="159">
        <f>E116/'[1]Summary calculation'!$G$5</f>
        <v>0</v>
      </c>
      <c r="G116" s="159">
        <f>'[1]Summary calculation'!N112</f>
        <v>0</v>
      </c>
      <c r="H116" s="159">
        <f>'[1]Summary calculation'!S112</f>
        <v>0</v>
      </c>
      <c r="I116" s="159">
        <f>ROUND('[1]Summary calculation'!T112,0)</f>
        <v>0</v>
      </c>
      <c r="J116" s="159">
        <f>ROUND(I116/'[1]Summary calculation'!$G$5,0)</f>
        <v>0</v>
      </c>
      <c r="K116" s="166">
        <f t="shared" si="1"/>
        <v>0</v>
      </c>
    </row>
    <row r="117" spans="2:11" x14ac:dyDescent="0.35">
      <c r="B117" s="158">
        <f>'[1]Summary calculation'!B113</f>
        <v>105</v>
      </c>
      <c r="C117" s="158" t="str">
        <f>'[1]Summary calculation'!C113</f>
        <v/>
      </c>
      <c r="D117" s="158" t="str">
        <f>'[1]Summary calculation'!E113</f>
        <v/>
      </c>
      <c r="E117" s="159">
        <f>'[1]Summary calculation'!H113</f>
        <v>0</v>
      </c>
      <c r="F117" s="159">
        <f>E117/'[1]Summary calculation'!$G$5</f>
        <v>0</v>
      </c>
      <c r="G117" s="159">
        <f>'[1]Summary calculation'!N113</f>
        <v>0</v>
      </c>
      <c r="H117" s="159">
        <f>'[1]Summary calculation'!S113</f>
        <v>0</v>
      </c>
      <c r="I117" s="159">
        <f>ROUND('[1]Summary calculation'!T113,0)</f>
        <v>0</v>
      </c>
      <c r="J117" s="159">
        <f>ROUND(I117/'[1]Summary calculation'!$G$5,0)</f>
        <v>0</v>
      </c>
      <c r="K117" s="166">
        <f t="shared" si="1"/>
        <v>0</v>
      </c>
    </row>
    <row r="118" spans="2:11" x14ac:dyDescent="0.35">
      <c r="B118" s="158">
        <f>'[1]Summary calculation'!B114</f>
        <v>106</v>
      </c>
      <c r="C118" s="158" t="str">
        <f>'[1]Summary calculation'!C114</f>
        <v/>
      </c>
      <c r="D118" s="158" t="str">
        <f>'[1]Summary calculation'!E114</f>
        <v/>
      </c>
      <c r="E118" s="159">
        <f>'[1]Summary calculation'!H114</f>
        <v>0</v>
      </c>
      <c r="F118" s="159">
        <f>E118/'[1]Summary calculation'!$G$5</f>
        <v>0</v>
      </c>
      <c r="G118" s="159">
        <f>'[1]Summary calculation'!N114</f>
        <v>0</v>
      </c>
      <c r="H118" s="159">
        <f>'[1]Summary calculation'!S114</f>
        <v>0</v>
      </c>
      <c r="I118" s="159">
        <f>ROUND('[1]Summary calculation'!T114,0)</f>
        <v>0</v>
      </c>
      <c r="J118" s="159">
        <f>ROUND(I118/'[1]Summary calculation'!$G$5,0)</f>
        <v>0</v>
      </c>
      <c r="K118" s="166">
        <f t="shared" si="1"/>
        <v>0</v>
      </c>
    </row>
    <row r="119" spans="2:11" x14ac:dyDescent="0.35">
      <c r="B119" s="158">
        <f>'[1]Summary calculation'!B115</f>
        <v>107</v>
      </c>
      <c r="C119" s="158" t="str">
        <f>'[1]Summary calculation'!C115</f>
        <v/>
      </c>
      <c r="D119" s="158" t="str">
        <f>'[1]Summary calculation'!E115</f>
        <v/>
      </c>
      <c r="E119" s="159">
        <f>'[1]Summary calculation'!H115</f>
        <v>0</v>
      </c>
      <c r="F119" s="159">
        <f>E119/'[1]Summary calculation'!$G$5</f>
        <v>0</v>
      </c>
      <c r="G119" s="159">
        <f>'[1]Summary calculation'!N115</f>
        <v>0</v>
      </c>
      <c r="H119" s="159">
        <f>'[1]Summary calculation'!S115</f>
        <v>0</v>
      </c>
      <c r="I119" s="159">
        <f>ROUND('[1]Summary calculation'!T115,0)</f>
        <v>0</v>
      </c>
      <c r="J119" s="159">
        <f>ROUND(I119/'[1]Summary calculation'!$G$5,0)</f>
        <v>0</v>
      </c>
      <c r="K119" s="166">
        <f t="shared" si="1"/>
        <v>0</v>
      </c>
    </row>
    <row r="120" spans="2:11" x14ac:dyDescent="0.35">
      <c r="B120" s="158">
        <f>'[1]Summary calculation'!B116</f>
        <v>108</v>
      </c>
      <c r="C120" s="158" t="str">
        <f>'[1]Summary calculation'!C116</f>
        <v/>
      </c>
      <c r="D120" s="158" t="str">
        <f>'[1]Summary calculation'!E116</f>
        <v/>
      </c>
      <c r="E120" s="159">
        <f>'[1]Summary calculation'!H116</f>
        <v>0</v>
      </c>
      <c r="F120" s="159">
        <f>E120/'[1]Summary calculation'!$G$5</f>
        <v>0</v>
      </c>
      <c r="G120" s="159">
        <f>'[1]Summary calculation'!N116</f>
        <v>0</v>
      </c>
      <c r="H120" s="159">
        <f>'[1]Summary calculation'!S116</f>
        <v>0</v>
      </c>
      <c r="I120" s="159">
        <f>ROUND('[1]Summary calculation'!T116,0)</f>
        <v>0</v>
      </c>
      <c r="J120" s="159">
        <f>ROUND(I120/'[1]Summary calculation'!$G$5,0)</f>
        <v>0</v>
      </c>
      <c r="K120" s="166">
        <f t="shared" si="1"/>
        <v>0</v>
      </c>
    </row>
    <row r="121" spans="2:11" x14ac:dyDescent="0.35">
      <c r="B121" s="158">
        <f>'[1]Summary calculation'!B117</f>
        <v>109</v>
      </c>
      <c r="C121" s="158" t="str">
        <f>'[1]Summary calculation'!C117</f>
        <v/>
      </c>
      <c r="D121" s="158" t="str">
        <f>'[1]Summary calculation'!E117</f>
        <v/>
      </c>
      <c r="E121" s="159">
        <f>'[1]Summary calculation'!H117</f>
        <v>0</v>
      </c>
      <c r="F121" s="159">
        <f>E121/'[1]Summary calculation'!$G$5</f>
        <v>0</v>
      </c>
      <c r="G121" s="159">
        <f>'[1]Summary calculation'!N117</f>
        <v>0</v>
      </c>
      <c r="H121" s="159">
        <f>'[1]Summary calculation'!S117</f>
        <v>0</v>
      </c>
      <c r="I121" s="159">
        <f>ROUND('[1]Summary calculation'!T117,0)</f>
        <v>0</v>
      </c>
      <c r="J121" s="159">
        <f>ROUND(I121/'[1]Summary calculation'!$G$5,0)</f>
        <v>0</v>
      </c>
      <c r="K121" s="166">
        <f t="shared" si="1"/>
        <v>0</v>
      </c>
    </row>
    <row r="122" spans="2:11" x14ac:dyDescent="0.35">
      <c r="B122" s="158">
        <f>'[1]Summary calculation'!B118</f>
        <v>110</v>
      </c>
      <c r="C122" s="158" t="str">
        <f>'[1]Summary calculation'!C118</f>
        <v/>
      </c>
      <c r="D122" s="158" t="str">
        <f>'[1]Summary calculation'!E118</f>
        <v/>
      </c>
      <c r="E122" s="159">
        <f>'[1]Summary calculation'!H118</f>
        <v>0</v>
      </c>
      <c r="F122" s="159">
        <f>E122/'[1]Summary calculation'!$G$5</f>
        <v>0</v>
      </c>
      <c r="G122" s="159">
        <f>'[1]Summary calculation'!N118</f>
        <v>0</v>
      </c>
      <c r="H122" s="159">
        <f>'[1]Summary calculation'!S118</f>
        <v>0</v>
      </c>
      <c r="I122" s="159">
        <f>ROUND('[1]Summary calculation'!T118,0)</f>
        <v>0</v>
      </c>
      <c r="J122" s="159">
        <f>ROUND(I122/'[1]Summary calculation'!$G$5,0)</f>
        <v>0</v>
      </c>
      <c r="K122" s="166">
        <f t="shared" si="1"/>
        <v>0</v>
      </c>
    </row>
    <row r="123" spans="2:11" x14ac:dyDescent="0.35">
      <c r="B123" s="158">
        <f>'[1]Summary calculation'!B119</f>
        <v>111</v>
      </c>
      <c r="C123" s="158" t="str">
        <f>'[1]Summary calculation'!C119</f>
        <v/>
      </c>
      <c r="D123" s="158" t="str">
        <f>'[1]Summary calculation'!E119</f>
        <v/>
      </c>
      <c r="E123" s="159">
        <f>'[1]Summary calculation'!H119</f>
        <v>0</v>
      </c>
      <c r="F123" s="159">
        <f>E123/'[1]Summary calculation'!$G$5</f>
        <v>0</v>
      </c>
      <c r="G123" s="159">
        <f>'[1]Summary calculation'!N119</f>
        <v>0</v>
      </c>
      <c r="H123" s="159">
        <f>'[1]Summary calculation'!S119</f>
        <v>0</v>
      </c>
      <c r="I123" s="159">
        <f>ROUND('[1]Summary calculation'!T119,0)</f>
        <v>0</v>
      </c>
      <c r="J123" s="159">
        <f>ROUND(I123/'[1]Summary calculation'!$G$5,0)</f>
        <v>0</v>
      </c>
      <c r="K123" s="166">
        <f t="shared" si="1"/>
        <v>0</v>
      </c>
    </row>
    <row r="124" spans="2:11" x14ac:dyDescent="0.35">
      <c r="B124" s="158">
        <f>'[1]Summary calculation'!B120</f>
        <v>112</v>
      </c>
      <c r="C124" s="158" t="str">
        <f>'[1]Summary calculation'!C120</f>
        <v/>
      </c>
      <c r="D124" s="158" t="str">
        <f>'[1]Summary calculation'!E120</f>
        <v/>
      </c>
      <c r="E124" s="159">
        <f>'[1]Summary calculation'!H120</f>
        <v>0</v>
      </c>
      <c r="F124" s="159">
        <f>E124/'[1]Summary calculation'!$G$5</f>
        <v>0</v>
      </c>
      <c r="G124" s="159">
        <f>'[1]Summary calculation'!N120</f>
        <v>0</v>
      </c>
      <c r="H124" s="159">
        <f>'[1]Summary calculation'!S120</f>
        <v>0</v>
      </c>
      <c r="I124" s="159">
        <f>ROUND('[1]Summary calculation'!T120,0)</f>
        <v>0</v>
      </c>
      <c r="J124" s="159">
        <f>ROUND(I124/'[1]Summary calculation'!$G$5,0)</f>
        <v>0</v>
      </c>
      <c r="K124" s="166">
        <f t="shared" si="1"/>
        <v>0</v>
      </c>
    </row>
    <row r="125" spans="2:11" x14ac:dyDescent="0.35">
      <c r="B125" s="158">
        <f>'[1]Summary calculation'!B121</f>
        <v>113</v>
      </c>
      <c r="C125" s="158" t="str">
        <f>'[1]Summary calculation'!C121</f>
        <v/>
      </c>
      <c r="D125" s="158" t="str">
        <f>'[1]Summary calculation'!E121</f>
        <v/>
      </c>
      <c r="E125" s="159">
        <f>'[1]Summary calculation'!H121</f>
        <v>0</v>
      </c>
      <c r="F125" s="159">
        <f>E125/'[1]Summary calculation'!$G$5</f>
        <v>0</v>
      </c>
      <c r="G125" s="159">
        <f>'[1]Summary calculation'!N121</f>
        <v>0</v>
      </c>
      <c r="H125" s="159">
        <f>'[1]Summary calculation'!S121</f>
        <v>0</v>
      </c>
      <c r="I125" s="159">
        <f>ROUND('[1]Summary calculation'!T121,0)</f>
        <v>0</v>
      </c>
      <c r="J125" s="159">
        <f>ROUND(I125/'[1]Summary calculation'!$G$5,0)</f>
        <v>0</v>
      </c>
      <c r="K125" s="166">
        <f t="shared" si="1"/>
        <v>0</v>
      </c>
    </row>
    <row r="126" spans="2:11" x14ac:dyDescent="0.35">
      <c r="B126" s="158">
        <f>'[1]Summary calculation'!B122</f>
        <v>114</v>
      </c>
      <c r="C126" s="158" t="str">
        <f>'[1]Summary calculation'!C122</f>
        <v/>
      </c>
      <c r="D126" s="158" t="str">
        <f>'[1]Summary calculation'!E122</f>
        <v/>
      </c>
      <c r="E126" s="159">
        <f>'[1]Summary calculation'!H122</f>
        <v>0</v>
      </c>
      <c r="F126" s="159">
        <f>E126/'[1]Summary calculation'!$G$5</f>
        <v>0</v>
      </c>
      <c r="G126" s="159">
        <f>'[1]Summary calculation'!N122</f>
        <v>0</v>
      </c>
      <c r="H126" s="159">
        <f>'[1]Summary calculation'!S122</f>
        <v>0</v>
      </c>
      <c r="I126" s="159">
        <f>ROUND('[1]Summary calculation'!T122,0)</f>
        <v>0</v>
      </c>
      <c r="J126" s="159">
        <f>ROUND(I126/'[1]Summary calculation'!$G$5,0)</f>
        <v>0</v>
      </c>
      <c r="K126" s="166">
        <f t="shared" si="1"/>
        <v>0</v>
      </c>
    </row>
    <row r="127" spans="2:11" x14ac:dyDescent="0.35">
      <c r="B127" s="158">
        <f>'[1]Summary calculation'!B123</f>
        <v>115</v>
      </c>
      <c r="C127" s="158" t="str">
        <f>'[1]Summary calculation'!C123</f>
        <v/>
      </c>
      <c r="D127" s="158" t="str">
        <f>'[1]Summary calculation'!E123</f>
        <v/>
      </c>
      <c r="E127" s="159">
        <f>'[1]Summary calculation'!H123</f>
        <v>0</v>
      </c>
      <c r="F127" s="159">
        <f>E127/'[1]Summary calculation'!$G$5</f>
        <v>0</v>
      </c>
      <c r="G127" s="159">
        <f>'[1]Summary calculation'!N123</f>
        <v>0</v>
      </c>
      <c r="H127" s="159">
        <f>'[1]Summary calculation'!S123</f>
        <v>0</v>
      </c>
      <c r="I127" s="159">
        <f>ROUND('[1]Summary calculation'!T123,0)</f>
        <v>0</v>
      </c>
      <c r="J127" s="159">
        <f>ROUND(I127/'[1]Summary calculation'!$G$5,0)</f>
        <v>0</v>
      </c>
      <c r="K127" s="166">
        <f t="shared" si="1"/>
        <v>0</v>
      </c>
    </row>
    <row r="128" spans="2:11" x14ac:dyDescent="0.35">
      <c r="B128" s="158">
        <f>'[1]Summary calculation'!B124</f>
        <v>116</v>
      </c>
      <c r="C128" s="158" t="str">
        <f>'[1]Summary calculation'!C124</f>
        <v/>
      </c>
      <c r="D128" s="158" t="str">
        <f>'[1]Summary calculation'!E124</f>
        <v/>
      </c>
      <c r="E128" s="159">
        <f>'[1]Summary calculation'!H124</f>
        <v>0</v>
      </c>
      <c r="F128" s="159">
        <f>E128/'[1]Summary calculation'!$G$5</f>
        <v>0</v>
      </c>
      <c r="G128" s="159">
        <f>'[1]Summary calculation'!N124</f>
        <v>0</v>
      </c>
      <c r="H128" s="159">
        <f>'[1]Summary calculation'!S124</f>
        <v>0</v>
      </c>
      <c r="I128" s="159">
        <f>ROUND('[1]Summary calculation'!T124,0)</f>
        <v>0</v>
      </c>
      <c r="J128" s="159">
        <f>ROUND(I128/'[1]Summary calculation'!$G$5,0)</f>
        <v>0</v>
      </c>
      <c r="K128" s="166">
        <f t="shared" si="1"/>
        <v>0</v>
      </c>
    </row>
    <row r="129" spans="2:11" x14ac:dyDescent="0.35">
      <c r="B129" s="158">
        <f>'[1]Summary calculation'!B125</f>
        <v>117</v>
      </c>
      <c r="C129" s="158" t="str">
        <f>'[1]Summary calculation'!C125</f>
        <v/>
      </c>
      <c r="D129" s="158" t="str">
        <f>'[1]Summary calculation'!E125</f>
        <v/>
      </c>
      <c r="E129" s="159">
        <f>'[1]Summary calculation'!H125</f>
        <v>0</v>
      </c>
      <c r="F129" s="159">
        <f>E129/'[1]Summary calculation'!$G$5</f>
        <v>0</v>
      </c>
      <c r="G129" s="159">
        <f>'[1]Summary calculation'!N125</f>
        <v>0</v>
      </c>
      <c r="H129" s="159">
        <f>'[1]Summary calculation'!S125</f>
        <v>0</v>
      </c>
      <c r="I129" s="159">
        <f>ROUND('[1]Summary calculation'!T125,0)</f>
        <v>0</v>
      </c>
      <c r="J129" s="159">
        <f>ROUND(I129/'[1]Summary calculation'!$G$5,0)</f>
        <v>0</v>
      </c>
      <c r="K129" s="166">
        <f t="shared" si="1"/>
        <v>0</v>
      </c>
    </row>
    <row r="130" spans="2:11" x14ac:dyDescent="0.35">
      <c r="B130" s="158">
        <f>'[1]Summary calculation'!B126</f>
        <v>118</v>
      </c>
      <c r="C130" s="158" t="str">
        <f>'[1]Summary calculation'!C126</f>
        <v/>
      </c>
      <c r="D130" s="158" t="str">
        <f>'[1]Summary calculation'!E126</f>
        <v/>
      </c>
      <c r="E130" s="159">
        <f>'[1]Summary calculation'!H126</f>
        <v>0</v>
      </c>
      <c r="F130" s="159">
        <f>E130/'[1]Summary calculation'!$G$5</f>
        <v>0</v>
      </c>
      <c r="G130" s="159">
        <f>'[1]Summary calculation'!N126</f>
        <v>0</v>
      </c>
      <c r="H130" s="159">
        <f>'[1]Summary calculation'!S126</f>
        <v>0</v>
      </c>
      <c r="I130" s="159">
        <f>ROUND('[1]Summary calculation'!T126,0)</f>
        <v>0</v>
      </c>
      <c r="J130" s="159">
        <f>ROUND(I130/'[1]Summary calculation'!$G$5,0)</f>
        <v>0</v>
      </c>
      <c r="K130" s="166">
        <f t="shared" si="1"/>
        <v>0</v>
      </c>
    </row>
    <row r="131" spans="2:11" x14ac:dyDescent="0.35">
      <c r="B131" s="158">
        <f>'[1]Summary calculation'!B127</f>
        <v>119</v>
      </c>
      <c r="C131" s="158" t="str">
        <f>'[1]Summary calculation'!C127</f>
        <v/>
      </c>
      <c r="D131" s="158" t="str">
        <f>'[1]Summary calculation'!E127</f>
        <v/>
      </c>
      <c r="E131" s="159">
        <f>'[1]Summary calculation'!H127</f>
        <v>0</v>
      </c>
      <c r="F131" s="159">
        <f>E131/'[1]Summary calculation'!$G$5</f>
        <v>0</v>
      </c>
      <c r="G131" s="159">
        <f>'[1]Summary calculation'!N127</f>
        <v>0</v>
      </c>
      <c r="H131" s="159">
        <f>'[1]Summary calculation'!S127</f>
        <v>0</v>
      </c>
      <c r="I131" s="159">
        <f>ROUND('[1]Summary calculation'!T127,0)</f>
        <v>0</v>
      </c>
      <c r="J131" s="159">
        <f>ROUND(I131/'[1]Summary calculation'!$G$5,0)</f>
        <v>0</v>
      </c>
      <c r="K131" s="166">
        <f t="shared" si="1"/>
        <v>0</v>
      </c>
    </row>
    <row r="132" spans="2:11" x14ac:dyDescent="0.35">
      <c r="B132" s="158">
        <f>'[1]Summary calculation'!B128</f>
        <v>120</v>
      </c>
      <c r="C132" s="158" t="str">
        <f>'[1]Summary calculation'!C128</f>
        <v/>
      </c>
      <c r="D132" s="158" t="str">
        <f>'[1]Summary calculation'!E128</f>
        <v/>
      </c>
      <c r="E132" s="159">
        <f>'[1]Summary calculation'!H128</f>
        <v>0</v>
      </c>
      <c r="F132" s="159">
        <f>E132/'[1]Summary calculation'!$G$5</f>
        <v>0</v>
      </c>
      <c r="G132" s="159">
        <f>'[1]Summary calculation'!N128</f>
        <v>0</v>
      </c>
      <c r="H132" s="159">
        <f>'[1]Summary calculation'!S128</f>
        <v>0</v>
      </c>
      <c r="I132" s="159">
        <f>ROUND('[1]Summary calculation'!T128,0)</f>
        <v>0</v>
      </c>
      <c r="J132" s="159">
        <f>ROUND(I132/'[1]Summary calculation'!$G$5,0)</f>
        <v>0</v>
      </c>
      <c r="K132" s="166">
        <f t="shared" si="1"/>
        <v>0</v>
      </c>
    </row>
    <row r="133" spans="2:11" x14ac:dyDescent="0.35">
      <c r="B133" s="158">
        <f>'[1]Summary calculation'!B129</f>
        <v>121</v>
      </c>
      <c r="C133" s="158" t="str">
        <f>'[1]Summary calculation'!C129</f>
        <v/>
      </c>
      <c r="D133" s="158" t="str">
        <f>'[1]Summary calculation'!E129</f>
        <v/>
      </c>
      <c r="E133" s="159">
        <f>'[1]Summary calculation'!H129</f>
        <v>0</v>
      </c>
      <c r="F133" s="159">
        <f>E133/'[1]Summary calculation'!$G$5</f>
        <v>0</v>
      </c>
      <c r="G133" s="159">
        <f>'[1]Summary calculation'!N129</f>
        <v>0</v>
      </c>
      <c r="H133" s="159">
        <f>'[1]Summary calculation'!S129</f>
        <v>0</v>
      </c>
      <c r="I133" s="159">
        <f>ROUND('[1]Summary calculation'!T129,0)</f>
        <v>0</v>
      </c>
      <c r="J133" s="159">
        <f>ROUND(I133/'[1]Summary calculation'!$G$5,0)</f>
        <v>0</v>
      </c>
      <c r="K133" s="166">
        <f t="shared" si="1"/>
        <v>0</v>
      </c>
    </row>
    <row r="134" spans="2:11" x14ac:dyDescent="0.35">
      <c r="B134" s="158">
        <f>'[1]Summary calculation'!B130</f>
        <v>122</v>
      </c>
      <c r="C134" s="158" t="str">
        <f>'[1]Summary calculation'!C130</f>
        <v/>
      </c>
      <c r="D134" s="158" t="str">
        <f>'[1]Summary calculation'!E130</f>
        <v/>
      </c>
      <c r="E134" s="159">
        <f>'[1]Summary calculation'!H130</f>
        <v>0</v>
      </c>
      <c r="F134" s="159">
        <f>E134/'[1]Summary calculation'!$G$5</f>
        <v>0</v>
      </c>
      <c r="G134" s="159">
        <f>'[1]Summary calculation'!N130</f>
        <v>0</v>
      </c>
      <c r="H134" s="159">
        <f>'[1]Summary calculation'!S130</f>
        <v>0</v>
      </c>
      <c r="I134" s="159">
        <f>ROUND('[1]Summary calculation'!T130,0)</f>
        <v>0</v>
      </c>
      <c r="J134" s="159">
        <f>ROUND(I134/'[1]Summary calculation'!$G$5,0)</f>
        <v>0</v>
      </c>
      <c r="K134" s="166">
        <f t="shared" si="1"/>
        <v>0</v>
      </c>
    </row>
    <row r="135" spans="2:11" x14ac:dyDescent="0.35">
      <c r="B135" s="158">
        <f>'[1]Summary calculation'!B131</f>
        <v>123</v>
      </c>
      <c r="C135" s="158" t="str">
        <f>'[1]Summary calculation'!C131</f>
        <v/>
      </c>
      <c r="D135" s="158" t="str">
        <f>'[1]Summary calculation'!E131</f>
        <v/>
      </c>
      <c r="E135" s="159">
        <f>'[1]Summary calculation'!H131</f>
        <v>0</v>
      </c>
      <c r="F135" s="159">
        <f>E135/'[1]Summary calculation'!$G$5</f>
        <v>0</v>
      </c>
      <c r="G135" s="159">
        <f>'[1]Summary calculation'!N131</f>
        <v>0</v>
      </c>
      <c r="H135" s="159">
        <f>'[1]Summary calculation'!S131</f>
        <v>0</v>
      </c>
      <c r="I135" s="159">
        <f>ROUND('[1]Summary calculation'!T131,0)</f>
        <v>0</v>
      </c>
      <c r="J135" s="159">
        <f>ROUND(I135/'[1]Summary calculation'!$G$5,0)</f>
        <v>0</v>
      </c>
      <c r="K135" s="166">
        <f t="shared" si="1"/>
        <v>0</v>
      </c>
    </row>
    <row r="136" spans="2:11" x14ac:dyDescent="0.35">
      <c r="B136" s="158">
        <f>'[1]Summary calculation'!B132</f>
        <v>124</v>
      </c>
      <c r="C136" s="158" t="str">
        <f>'[1]Summary calculation'!C132</f>
        <v/>
      </c>
      <c r="D136" s="158" t="str">
        <f>'[1]Summary calculation'!E132</f>
        <v/>
      </c>
      <c r="E136" s="159">
        <f>'[1]Summary calculation'!H132</f>
        <v>0</v>
      </c>
      <c r="F136" s="159">
        <f>E136/'[1]Summary calculation'!$G$5</f>
        <v>0</v>
      </c>
      <c r="G136" s="159">
        <f>'[1]Summary calculation'!N132</f>
        <v>0</v>
      </c>
      <c r="H136" s="159">
        <f>'[1]Summary calculation'!S132</f>
        <v>0</v>
      </c>
      <c r="I136" s="159">
        <f>ROUND('[1]Summary calculation'!T132,0)</f>
        <v>0</v>
      </c>
      <c r="J136" s="159">
        <f>ROUND(I136/'[1]Summary calculation'!$G$5,0)</f>
        <v>0</v>
      </c>
      <c r="K136" s="166">
        <f t="shared" si="1"/>
        <v>0</v>
      </c>
    </row>
    <row r="137" spans="2:11" x14ac:dyDescent="0.35">
      <c r="B137" s="158">
        <f>'[1]Summary calculation'!B133</f>
        <v>125</v>
      </c>
      <c r="C137" s="158" t="str">
        <f>'[1]Summary calculation'!C133</f>
        <v/>
      </c>
      <c r="D137" s="158" t="str">
        <f>'[1]Summary calculation'!E133</f>
        <v/>
      </c>
      <c r="E137" s="159">
        <f>'[1]Summary calculation'!H133</f>
        <v>0</v>
      </c>
      <c r="F137" s="159">
        <f>E137/'[1]Summary calculation'!$G$5</f>
        <v>0</v>
      </c>
      <c r="G137" s="159">
        <f>'[1]Summary calculation'!N133</f>
        <v>0</v>
      </c>
      <c r="H137" s="159">
        <f>'[1]Summary calculation'!S133</f>
        <v>0</v>
      </c>
      <c r="I137" s="159">
        <f>ROUND('[1]Summary calculation'!T133,0)</f>
        <v>0</v>
      </c>
      <c r="J137" s="159">
        <f>ROUND(I137/'[1]Summary calculation'!$G$5,0)</f>
        <v>0</v>
      </c>
      <c r="K137" s="166">
        <f t="shared" si="1"/>
        <v>0</v>
      </c>
    </row>
    <row r="138" spans="2:11" x14ac:dyDescent="0.35">
      <c r="B138" s="158">
        <f>'[1]Summary calculation'!B134</f>
        <v>126</v>
      </c>
      <c r="C138" s="158" t="str">
        <f>'[1]Summary calculation'!C134</f>
        <v/>
      </c>
      <c r="D138" s="158" t="str">
        <f>'[1]Summary calculation'!E134</f>
        <v/>
      </c>
      <c r="E138" s="159">
        <f>'[1]Summary calculation'!H134</f>
        <v>0</v>
      </c>
      <c r="F138" s="159">
        <f>E138/'[1]Summary calculation'!$G$5</f>
        <v>0</v>
      </c>
      <c r="G138" s="159">
        <f>'[1]Summary calculation'!N134</f>
        <v>0</v>
      </c>
      <c r="H138" s="159">
        <f>'[1]Summary calculation'!S134</f>
        <v>0</v>
      </c>
      <c r="I138" s="159">
        <f>ROUND('[1]Summary calculation'!T134,0)</f>
        <v>0</v>
      </c>
      <c r="J138" s="159">
        <f>ROUND(I138/'[1]Summary calculation'!$G$5,0)</f>
        <v>0</v>
      </c>
      <c r="K138" s="166">
        <f t="shared" si="1"/>
        <v>0</v>
      </c>
    </row>
    <row r="139" spans="2:11" x14ac:dyDescent="0.35">
      <c r="B139" s="158">
        <f>'[1]Summary calculation'!B135</f>
        <v>127</v>
      </c>
      <c r="C139" s="158" t="str">
        <f>'[1]Summary calculation'!C135</f>
        <v/>
      </c>
      <c r="D139" s="158" t="str">
        <f>'[1]Summary calculation'!E135</f>
        <v/>
      </c>
      <c r="E139" s="159">
        <f>'[1]Summary calculation'!H135</f>
        <v>0</v>
      </c>
      <c r="F139" s="159">
        <f>E139/'[1]Summary calculation'!$G$5</f>
        <v>0</v>
      </c>
      <c r="G139" s="159">
        <f>'[1]Summary calculation'!N135</f>
        <v>0</v>
      </c>
      <c r="H139" s="159">
        <f>'[1]Summary calculation'!S135</f>
        <v>0</v>
      </c>
      <c r="I139" s="159">
        <f>ROUND('[1]Summary calculation'!T135,0)</f>
        <v>0</v>
      </c>
      <c r="J139" s="159">
        <f>ROUND(I139/'[1]Summary calculation'!$G$5,0)</f>
        <v>0</v>
      </c>
      <c r="K139" s="166">
        <f t="shared" si="1"/>
        <v>0</v>
      </c>
    </row>
    <row r="140" spans="2:11" x14ac:dyDescent="0.35">
      <c r="B140" s="158">
        <f>'[1]Summary calculation'!B136</f>
        <v>128</v>
      </c>
      <c r="C140" s="158" t="str">
        <f>'[1]Summary calculation'!C136</f>
        <v/>
      </c>
      <c r="D140" s="158" t="str">
        <f>'[1]Summary calculation'!E136</f>
        <v/>
      </c>
      <c r="E140" s="159">
        <f>'[1]Summary calculation'!H136</f>
        <v>0</v>
      </c>
      <c r="F140" s="159">
        <f>E140/'[1]Summary calculation'!$G$5</f>
        <v>0</v>
      </c>
      <c r="G140" s="159">
        <f>'[1]Summary calculation'!N136</f>
        <v>0</v>
      </c>
      <c r="H140" s="159">
        <f>'[1]Summary calculation'!S136</f>
        <v>0</v>
      </c>
      <c r="I140" s="159">
        <f>ROUND('[1]Summary calculation'!T136,0)</f>
        <v>0</v>
      </c>
      <c r="J140" s="159">
        <f>ROUND(I140/'[1]Summary calculation'!$G$5,0)</f>
        <v>0</v>
      </c>
      <c r="K140" s="166">
        <f t="shared" si="1"/>
        <v>0</v>
      </c>
    </row>
    <row r="141" spans="2:11" x14ac:dyDescent="0.35">
      <c r="B141" s="158">
        <f>'[1]Summary calculation'!B137</f>
        <v>129</v>
      </c>
      <c r="C141" s="158" t="str">
        <f>'[1]Summary calculation'!C137</f>
        <v/>
      </c>
      <c r="D141" s="158" t="str">
        <f>'[1]Summary calculation'!E137</f>
        <v/>
      </c>
      <c r="E141" s="159">
        <f>'[1]Summary calculation'!H137</f>
        <v>0</v>
      </c>
      <c r="F141" s="159">
        <f>E141/'[1]Summary calculation'!$G$5</f>
        <v>0</v>
      </c>
      <c r="G141" s="159">
        <f>'[1]Summary calculation'!N137</f>
        <v>0</v>
      </c>
      <c r="H141" s="159">
        <f>'[1]Summary calculation'!S137</f>
        <v>0</v>
      </c>
      <c r="I141" s="159">
        <f>ROUND('[1]Summary calculation'!T137,0)</f>
        <v>0</v>
      </c>
      <c r="J141" s="159">
        <f>ROUND(I141/'[1]Summary calculation'!$G$5,0)</f>
        <v>0</v>
      </c>
      <c r="K141" s="166">
        <f t="shared" si="1"/>
        <v>0</v>
      </c>
    </row>
    <row r="142" spans="2:11" x14ac:dyDescent="0.35">
      <c r="B142" s="158">
        <f>'[1]Summary calculation'!B138</f>
        <v>130</v>
      </c>
      <c r="C142" s="158" t="str">
        <f>'[1]Summary calculation'!C138</f>
        <v/>
      </c>
      <c r="D142" s="158" t="str">
        <f>'[1]Summary calculation'!E138</f>
        <v/>
      </c>
      <c r="E142" s="159">
        <f>'[1]Summary calculation'!H138</f>
        <v>0</v>
      </c>
      <c r="F142" s="159">
        <f>E142/'[1]Summary calculation'!$G$5</f>
        <v>0</v>
      </c>
      <c r="G142" s="159">
        <f>'[1]Summary calculation'!N138</f>
        <v>0</v>
      </c>
      <c r="H142" s="159">
        <f>'[1]Summary calculation'!S138</f>
        <v>0</v>
      </c>
      <c r="I142" s="159">
        <f>ROUND('[1]Summary calculation'!T138,0)</f>
        <v>0</v>
      </c>
      <c r="J142" s="159">
        <f>ROUND(I142/'[1]Summary calculation'!$G$5,0)</f>
        <v>0</v>
      </c>
      <c r="K142" s="166">
        <f t="shared" ref="K142:K205" si="2">IF(F142=0,0,J142/F142)</f>
        <v>0</v>
      </c>
    </row>
    <row r="143" spans="2:11" x14ac:dyDescent="0.35">
      <c r="B143" s="158">
        <f>'[1]Summary calculation'!B139</f>
        <v>131</v>
      </c>
      <c r="C143" s="158" t="str">
        <f>'[1]Summary calculation'!C139</f>
        <v/>
      </c>
      <c r="D143" s="158" t="str">
        <f>'[1]Summary calculation'!E139</f>
        <v/>
      </c>
      <c r="E143" s="159">
        <f>'[1]Summary calculation'!H139</f>
        <v>0</v>
      </c>
      <c r="F143" s="159">
        <f>E143/'[1]Summary calculation'!$G$5</f>
        <v>0</v>
      </c>
      <c r="G143" s="159">
        <f>'[1]Summary calculation'!N139</f>
        <v>0</v>
      </c>
      <c r="H143" s="159">
        <f>'[1]Summary calculation'!S139</f>
        <v>0</v>
      </c>
      <c r="I143" s="159">
        <f>ROUND('[1]Summary calculation'!T139,0)</f>
        <v>0</v>
      </c>
      <c r="J143" s="159">
        <f>ROUND(I143/'[1]Summary calculation'!$G$5,0)</f>
        <v>0</v>
      </c>
      <c r="K143" s="166">
        <f t="shared" si="2"/>
        <v>0</v>
      </c>
    </row>
    <row r="144" spans="2:11" x14ac:dyDescent="0.35">
      <c r="B144" s="158">
        <f>'[1]Summary calculation'!B140</f>
        <v>132</v>
      </c>
      <c r="C144" s="158" t="str">
        <f>'[1]Summary calculation'!C140</f>
        <v/>
      </c>
      <c r="D144" s="158" t="str">
        <f>'[1]Summary calculation'!E140</f>
        <v/>
      </c>
      <c r="E144" s="159">
        <f>'[1]Summary calculation'!H140</f>
        <v>0</v>
      </c>
      <c r="F144" s="159">
        <f>E144/'[1]Summary calculation'!$G$5</f>
        <v>0</v>
      </c>
      <c r="G144" s="159">
        <f>'[1]Summary calculation'!N140</f>
        <v>0</v>
      </c>
      <c r="H144" s="159">
        <f>'[1]Summary calculation'!S140</f>
        <v>0</v>
      </c>
      <c r="I144" s="159">
        <f>ROUND('[1]Summary calculation'!T140,0)</f>
        <v>0</v>
      </c>
      <c r="J144" s="159">
        <f>ROUND(I144/'[1]Summary calculation'!$G$5,0)</f>
        <v>0</v>
      </c>
      <c r="K144" s="166">
        <f t="shared" si="2"/>
        <v>0</v>
      </c>
    </row>
    <row r="145" spans="2:11" x14ac:dyDescent="0.35">
      <c r="B145" s="158">
        <f>'[1]Summary calculation'!B141</f>
        <v>133</v>
      </c>
      <c r="C145" s="158" t="str">
        <f>'[1]Summary calculation'!C141</f>
        <v/>
      </c>
      <c r="D145" s="158" t="str">
        <f>'[1]Summary calculation'!E141</f>
        <v/>
      </c>
      <c r="E145" s="159">
        <f>'[1]Summary calculation'!H141</f>
        <v>0</v>
      </c>
      <c r="F145" s="159">
        <f>E145/'[1]Summary calculation'!$G$5</f>
        <v>0</v>
      </c>
      <c r="G145" s="159">
        <f>'[1]Summary calculation'!N141</f>
        <v>0</v>
      </c>
      <c r="H145" s="159">
        <f>'[1]Summary calculation'!S141</f>
        <v>0</v>
      </c>
      <c r="I145" s="159">
        <f>ROUND('[1]Summary calculation'!T141,0)</f>
        <v>0</v>
      </c>
      <c r="J145" s="159">
        <f>ROUND(I145/'[1]Summary calculation'!$G$5,0)</f>
        <v>0</v>
      </c>
      <c r="K145" s="166">
        <f t="shared" si="2"/>
        <v>0</v>
      </c>
    </row>
    <row r="146" spans="2:11" x14ac:dyDescent="0.35">
      <c r="B146" s="158">
        <f>'[1]Summary calculation'!B142</f>
        <v>134</v>
      </c>
      <c r="C146" s="158" t="str">
        <f>'[1]Summary calculation'!C142</f>
        <v/>
      </c>
      <c r="D146" s="158" t="str">
        <f>'[1]Summary calculation'!E142</f>
        <v/>
      </c>
      <c r="E146" s="159">
        <f>'[1]Summary calculation'!H142</f>
        <v>0</v>
      </c>
      <c r="F146" s="159">
        <f>E146/'[1]Summary calculation'!$G$5</f>
        <v>0</v>
      </c>
      <c r="G146" s="159">
        <f>'[1]Summary calculation'!N142</f>
        <v>0</v>
      </c>
      <c r="H146" s="159">
        <f>'[1]Summary calculation'!S142</f>
        <v>0</v>
      </c>
      <c r="I146" s="159">
        <f>ROUND('[1]Summary calculation'!T142,0)</f>
        <v>0</v>
      </c>
      <c r="J146" s="159">
        <f>ROUND(I146/'[1]Summary calculation'!$G$5,0)</f>
        <v>0</v>
      </c>
      <c r="K146" s="166">
        <f t="shared" si="2"/>
        <v>0</v>
      </c>
    </row>
    <row r="147" spans="2:11" x14ac:dyDescent="0.35">
      <c r="B147" s="158">
        <f>'[1]Summary calculation'!B143</f>
        <v>135</v>
      </c>
      <c r="C147" s="158" t="str">
        <f>'[1]Summary calculation'!C143</f>
        <v/>
      </c>
      <c r="D147" s="158" t="str">
        <f>'[1]Summary calculation'!E143</f>
        <v/>
      </c>
      <c r="E147" s="159">
        <f>'[1]Summary calculation'!H143</f>
        <v>0</v>
      </c>
      <c r="F147" s="159">
        <f>E147/'[1]Summary calculation'!$G$5</f>
        <v>0</v>
      </c>
      <c r="G147" s="159">
        <f>'[1]Summary calculation'!N143</f>
        <v>0</v>
      </c>
      <c r="H147" s="159">
        <f>'[1]Summary calculation'!S143</f>
        <v>0</v>
      </c>
      <c r="I147" s="159">
        <f>ROUND('[1]Summary calculation'!T143,0)</f>
        <v>0</v>
      </c>
      <c r="J147" s="159">
        <f>ROUND(I147/'[1]Summary calculation'!$G$5,0)</f>
        <v>0</v>
      </c>
      <c r="K147" s="166">
        <f t="shared" si="2"/>
        <v>0</v>
      </c>
    </row>
    <row r="148" spans="2:11" x14ac:dyDescent="0.35">
      <c r="B148" s="158">
        <f>'[1]Summary calculation'!B144</f>
        <v>136</v>
      </c>
      <c r="C148" s="158" t="str">
        <f>'[1]Summary calculation'!C144</f>
        <v/>
      </c>
      <c r="D148" s="158" t="str">
        <f>'[1]Summary calculation'!E144</f>
        <v/>
      </c>
      <c r="E148" s="159">
        <f>'[1]Summary calculation'!H144</f>
        <v>0</v>
      </c>
      <c r="F148" s="159">
        <f>E148/'[1]Summary calculation'!$G$5</f>
        <v>0</v>
      </c>
      <c r="G148" s="159">
        <f>'[1]Summary calculation'!N144</f>
        <v>0</v>
      </c>
      <c r="H148" s="159">
        <f>'[1]Summary calculation'!S144</f>
        <v>0</v>
      </c>
      <c r="I148" s="159">
        <f>ROUND('[1]Summary calculation'!T144,0)</f>
        <v>0</v>
      </c>
      <c r="J148" s="159">
        <f>ROUND(I148/'[1]Summary calculation'!$G$5,0)</f>
        <v>0</v>
      </c>
      <c r="K148" s="166">
        <f t="shared" si="2"/>
        <v>0</v>
      </c>
    </row>
    <row r="149" spans="2:11" x14ac:dyDescent="0.35">
      <c r="B149" s="158">
        <f>'[1]Summary calculation'!B145</f>
        <v>137</v>
      </c>
      <c r="C149" s="158" t="str">
        <f>'[1]Summary calculation'!C145</f>
        <v/>
      </c>
      <c r="D149" s="158" t="str">
        <f>'[1]Summary calculation'!E145</f>
        <v/>
      </c>
      <c r="E149" s="159">
        <f>'[1]Summary calculation'!H145</f>
        <v>0</v>
      </c>
      <c r="F149" s="159">
        <f>E149/'[1]Summary calculation'!$G$5</f>
        <v>0</v>
      </c>
      <c r="G149" s="159">
        <f>'[1]Summary calculation'!N145</f>
        <v>0</v>
      </c>
      <c r="H149" s="159">
        <f>'[1]Summary calculation'!S145</f>
        <v>0</v>
      </c>
      <c r="I149" s="159">
        <f>ROUND('[1]Summary calculation'!T145,0)</f>
        <v>0</v>
      </c>
      <c r="J149" s="159">
        <f>ROUND(I149/'[1]Summary calculation'!$G$5,0)</f>
        <v>0</v>
      </c>
      <c r="K149" s="166">
        <f t="shared" si="2"/>
        <v>0</v>
      </c>
    </row>
    <row r="150" spans="2:11" x14ac:dyDescent="0.35">
      <c r="B150" s="158">
        <f>'[1]Summary calculation'!B146</f>
        <v>138</v>
      </c>
      <c r="C150" s="158" t="str">
        <f>'[1]Summary calculation'!C146</f>
        <v/>
      </c>
      <c r="D150" s="158" t="str">
        <f>'[1]Summary calculation'!E146</f>
        <v/>
      </c>
      <c r="E150" s="159">
        <f>'[1]Summary calculation'!H146</f>
        <v>0</v>
      </c>
      <c r="F150" s="159">
        <f>E150/'[1]Summary calculation'!$G$5</f>
        <v>0</v>
      </c>
      <c r="G150" s="159">
        <f>'[1]Summary calculation'!N146</f>
        <v>0</v>
      </c>
      <c r="H150" s="159">
        <f>'[1]Summary calculation'!S146</f>
        <v>0</v>
      </c>
      <c r="I150" s="159">
        <f>ROUND('[1]Summary calculation'!T146,0)</f>
        <v>0</v>
      </c>
      <c r="J150" s="159">
        <f>ROUND(I150/'[1]Summary calculation'!$G$5,0)</f>
        <v>0</v>
      </c>
      <c r="K150" s="166">
        <f t="shared" si="2"/>
        <v>0</v>
      </c>
    </row>
    <row r="151" spans="2:11" x14ac:dyDescent="0.35">
      <c r="B151" s="158">
        <f>'[1]Summary calculation'!B147</f>
        <v>139</v>
      </c>
      <c r="C151" s="158" t="str">
        <f>'[1]Summary calculation'!C147</f>
        <v/>
      </c>
      <c r="D151" s="158" t="str">
        <f>'[1]Summary calculation'!E147</f>
        <v/>
      </c>
      <c r="E151" s="159">
        <f>'[1]Summary calculation'!H147</f>
        <v>0</v>
      </c>
      <c r="F151" s="159">
        <f>E151/'[1]Summary calculation'!$G$5</f>
        <v>0</v>
      </c>
      <c r="G151" s="159">
        <f>'[1]Summary calculation'!N147</f>
        <v>0</v>
      </c>
      <c r="H151" s="159">
        <f>'[1]Summary calculation'!S147</f>
        <v>0</v>
      </c>
      <c r="I151" s="159">
        <f>ROUND('[1]Summary calculation'!T147,0)</f>
        <v>0</v>
      </c>
      <c r="J151" s="159">
        <f>ROUND(I151/'[1]Summary calculation'!$G$5,0)</f>
        <v>0</v>
      </c>
      <c r="K151" s="166">
        <f t="shared" si="2"/>
        <v>0</v>
      </c>
    </row>
    <row r="152" spans="2:11" x14ac:dyDescent="0.35">
      <c r="B152" s="158">
        <f>'[1]Summary calculation'!B148</f>
        <v>140</v>
      </c>
      <c r="C152" s="158" t="str">
        <f>'[1]Summary calculation'!C148</f>
        <v/>
      </c>
      <c r="D152" s="158" t="str">
        <f>'[1]Summary calculation'!E148</f>
        <v/>
      </c>
      <c r="E152" s="159">
        <f>'[1]Summary calculation'!H148</f>
        <v>0</v>
      </c>
      <c r="F152" s="159">
        <f>E152/'[1]Summary calculation'!$G$5</f>
        <v>0</v>
      </c>
      <c r="G152" s="159">
        <f>'[1]Summary calculation'!N148</f>
        <v>0</v>
      </c>
      <c r="H152" s="159">
        <f>'[1]Summary calculation'!S148</f>
        <v>0</v>
      </c>
      <c r="I152" s="159">
        <f>ROUND('[1]Summary calculation'!T148,0)</f>
        <v>0</v>
      </c>
      <c r="J152" s="159">
        <f>ROUND(I152/'[1]Summary calculation'!$G$5,0)</f>
        <v>0</v>
      </c>
      <c r="K152" s="166">
        <f t="shared" si="2"/>
        <v>0</v>
      </c>
    </row>
    <row r="153" spans="2:11" x14ac:dyDescent="0.35">
      <c r="B153" s="158">
        <f>'[1]Summary calculation'!B149</f>
        <v>141</v>
      </c>
      <c r="C153" s="158" t="str">
        <f>'[1]Summary calculation'!C149</f>
        <v/>
      </c>
      <c r="D153" s="158" t="str">
        <f>'[1]Summary calculation'!E149</f>
        <v/>
      </c>
      <c r="E153" s="159">
        <f>'[1]Summary calculation'!H149</f>
        <v>0</v>
      </c>
      <c r="F153" s="159">
        <f>E153/'[1]Summary calculation'!$G$5</f>
        <v>0</v>
      </c>
      <c r="G153" s="159">
        <f>'[1]Summary calculation'!N149</f>
        <v>0</v>
      </c>
      <c r="H153" s="159">
        <f>'[1]Summary calculation'!S149</f>
        <v>0</v>
      </c>
      <c r="I153" s="159">
        <f>ROUND('[1]Summary calculation'!T149,0)</f>
        <v>0</v>
      </c>
      <c r="J153" s="159">
        <f>ROUND(I153/'[1]Summary calculation'!$G$5,0)</f>
        <v>0</v>
      </c>
      <c r="K153" s="166">
        <f t="shared" si="2"/>
        <v>0</v>
      </c>
    </row>
    <row r="154" spans="2:11" x14ac:dyDescent="0.35">
      <c r="B154" s="158">
        <f>'[1]Summary calculation'!B150</f>
        <v>142</v>
      </c>
      <c r="C154" s="158" t="str">
        <f>'[1]Summary calculation'!C150</f>
        <v/>
      </c>
      <c r="D154" s="158" t="str">
        <f>'[1]Summary calculation'!E150</f>
        <v/>
      </c>
      <c r="E154" s="159">
        <f>'[1]Summary calculation'!H150</f>
        <v>0</v>
      </c>
      <c r="F154" s="159">
        <f>E154/'[1]Summary calculation'!$G$5</f>
        <v>0</v>
      </c>
      <c r="G154" s="159">
        <f>'[1]Summary calculation'!N150</f>
        <v>0</v>
      </c>
      <c r="H154" s="159">
        <f>'[1]Summary calculation'!S150</f>
        <v>0</v>
      </c>
      <c r="I154" s="159">
        <f>ROUND('[1]Summary calculation'!T150,0)</f>
        <v>0</v>
      </c>
      <c r="J154" s="159">
        <f>ROUND(I154/'[1]Summary calculation'!$G$5,0)</f>
        <v>0</v>
      </c>
      <c r="K154" s="166">
        <f t="shared" si="2"/>
        <v>0</v>
      </c>
    </row>
    <row r="155" spans="2:11" x14ac:dyDescent="0.35">
      <c r="B155" s="158">
        <f>'[1]Summary calculation'!B151</f>
        <v>143</v>
      </c>
      <c r="C155" s="158" t="str">
        <f>'[1]Summary calculation'!C151</f>
        <v/>
      </c>
      <c r="D155" s="158" t="str">
        <f>'[1]Summary calculation'!E151</f>
        <v/>
      </c>
      <c r="E155" s="159">
        <f>'[1]Summary calculation'!H151</f>
        <v>0</v>
      </c>
      <c r="F155" s="159">
        <f>E155/'[1]Summary calculation'!$G$5</f>
        <v>0</v>
      </c>
      <c r="G155" s="159">
        <f>'[1]Summary calculation'!N151</f>
        <v>0</v>
      </c>
      <c r="H155" s="159">
        <f>'[1]Summary calculation'!S151</f>
        <v>0</v>
      </c>
      <c r="I155" s="159">
        <f>ROUND('[1]Summary calculation'!T151,0)</f>
        <v>0</v>
      </c>
      <c r="J155" s="159">
        <f>ROUND(I155/'[1]Summary calculation'!$G$5,0)</f>
        <v>0</v>
      </c>
      <c r="K155" s="166">
        <f t="shared" si="2"/>
        <v>0</v>
      </c>
    </row>
    <row r="156" spans="2:11" x14ac:dyDescent="0.35">
      <c r="B156" s="158">
        <f>'[1]Summary calculation'!B152</f>
        <v>144</v>
      </c>
      <c r="C156" s="158" t="str">
        <f>'[1]Summary calculation'!C152</f>
        <v/>
      </c>
      <c r="D156" s="158" t="str">
        <f>'[1]Summary calculation'!E152</f>
        <v/>
      </c>
      <c r="E156" s="159">
        <f>'[1]Summary calculation'!H152</f>
        <v>0</v>
      </c>
      <c r="F156" s="159">
        <f>E156/'[1]Summary calculation'!$G$5</f>
        <v>0</v>
      </c>
      <c r="G156" s="159">
        <f>'[1]Summary calculation'!N152</f>
        <v>0</v>
      </c>
      <c r="H156" s="159">
        <f>'[1]Summary calculation'!S152</f>
        <v>0</v>
      </c>
      <c r="I156" s="159">
        <f>ROUND('[1]Summary calculation'!T152,0)</f>
        <v>0</v>
      </c>
      <c r="J156" s="159">
        <f>ROUND(I156/'[1]Summary calculation'!$G$5,0)</f>
        <v>0</v>
      </c>
      <c r="K156" s="166">
        <f t="shared" si="2"/>
        <v>0</v>
      </c>
    </row>
    <row r="157" spans="2:11" x14ac:dyDescent="0.35">
      <c r="B157" s="158">
        <f>'[1]Summary calculation'!B153</f>
        <v>145</v>
      </c>
      <c r="C157" s="158" t="str">
        <f>'[1]Summary calculation'!C153</f>
        <v/>
      </c>
      <c r="D157" s="158" t="str">
        <f>'[1]Summary calculation'!E153</f>
        <v/>
      </c>
      <c r="E157" s="159">
        <f>'[1]Summary calculation'!H153</f>
        <v>0</v>
      </c>
      <c r="F157" s="159">
        <f>E157/'[1]Summary calculation'!$G$5</f>
        <v>0</v>
      </c>
      <c r="G157" s="159">
        <f>'[1]Summary calculation'!N153</f>
        <v>0</v>
      </c>
      <c r="H157" s="159">
        <f>'[1]Summary calculation'!S153</f>
        <v>0</v>
      </c>
      <c r="I157" s="159">
        <f>ROUND('[1]Summary calculation'!T153,0)</f>
        <v>0</v>
      </c>
      <c r="J157" s="159">
        <f>ROUND(I157/'[1]Summary calculation'!$G$5,0)</f>
        <v>0</v>
      </c>
      <c r="K157" s="166">
        <f t="shared" si="2"/>
        <v>0</v>
      </c>
    </row>
    <row r="158" spans="2:11" x14ac:dyDescent="0.35">
      <c r="B158" s="158">
        <f>'[1]Summary calculation'!B154</f>
        <v>146</v>
      </c>
      <c r="C158" s="158" t="str">
        <f>'[1]Summary calculation'!C154</f>
        <v/>
      </c>
      <c r="D158" s="158" t="str">
        <f>'[1]Summary calculation'!E154</f>
        <v/>
      </c>
      <c r="E158" s="159">
        <f>'[1]Summary calculation'!H154</f>
        <v>0</v>
      </c>
      <c r="F158" s="159">
        <f>E158/'[1]Summary calculation'!$G$5</f>
        <v>0</v>
      </c>
      <c r="G158" s="159">
        <f>'[1]Summary calculation'!N154</f>
        <v>0</v>
      </c>
      <c r="H158" s="159">
        <f>'[1]Summary calculation'!S154</f>
        <v>0</v>
      </c>
      <c r="I158" s="159">
        <f>ROUND('[1]Summary calculation'!T154,0)</f>
        <v>0</v>
      </c>
      <c r="J158" s="159">
        <f>ROUND(I158/'[1]Summary calculation'!$G$5,0)</f>
        <v>0</v>
      </c>
      <c r="K158" s="166">
        <f t="shared" si="2"/>
        <v>0</v>
      </c>
    </row>
    <row r="159" spans="2:11" x14ac:dyDescent="0.35">
      <c r="B159" s="158">
        <f>'[1]Summary calculation'!B155</f>
        <v>147</v>
      </c>
      <c r="C159" s="158" t="str">
        <f>'[1]Summary calculation'!C155</f>
        <v/>
      </c>
      <c r="D159" s="158" t="str">
        <f>'[1]Summary calculation'!E155</f>
        <v/>
      </c>
      <c r="E159" s="159">
        <f>'[1]Summary calculation'!H155</f>
        <v>0</v>
      </c>
      <c r="F159" s="159">
        <f>E159/'[1]Summary calculation'!$G$5</f>
        <v>0</v>
      </c>
      <c r="G159" s="159">
        <f>'[1]Summary calculation'!N155</f>
        <v>0</v>
      </c>
      <c r="H159" s="159">
        <f>'[1]Summary calculation'!S155</f>
        <v>0</v>
      </c>
      <c r="I159" s="159">
        <f>ROUND('[1]Summary calculation'!T155,0)</f>
        <v>0</v>
      </c>
      <c r="J159" s="159">
        <f>ROUND(I159/'[1]Summary calculation'!$G$5,0)</f>
        <v>0</v>
      </c>
      <c r="K159" s="166">
        <f t="shared" si="2"/>
        <v>0</v>
      </c>
    </row>
    <row r="160" spans="2:11" x14ac:dyDescent="0.35">
      <c r="B160" s="158">
        <f>'[1]Summary calculation'!B156</f>
        <v>148</v>
      </c>
      <c r="C160" s="158" t="str">
        <f>'[1]Summary calculation'!C156</f>
        <v/>
      </c>
      <c r="D160" s="158" t="str">
        <f>'[1]Summary calculation'!E156</f>
        <v/>
      </c>
      <c r="E160" s="159">
        <f>'[1]Summary calculation'!H156</f>
        <v>0</v>
      </c>
      <c r="F160" s="159">
        <f>E160/'[1]Summary calculation'!$G$5</f>
        <v>0</v>
      </c>
      <c r="G160" s="159">
        <f>'[1]Summary calculation'!N156</f>
        <v>0</v>
      </c>
      <c r="H160" s="159">
        <f>'[1]Summary calculation'!S156</f>
        <v>0</v>
      </c>
      <c r="I160" s="159">
        <f>ROUND('[1]Summary calculation'!T156,0)</f>
        <v>0</v>
      </c>
      <c r="J160" s="159">
        <f>ROUND(I160/'[1]Summary calculation'!$G$5,0)</f>
        <v>0</v>
      </c>
      <c r="K160" s="166">
        <f t="shared" si="2"/>
        <v>0</v>
      </c>
    </row>
    <row r="161" spans="2:11" x14ac:dyDescent="0.35">
      <c r="B161" s="158">
        <f>'[1]Summary calculation'!B157</f>
        <v>149</v>
      </c>
      <c r="C161" s="158" t="str">
        <f>'[1]Summary calculation'!C157</f>
        <v/>
      </c>
      <c r="D161" s="158" t="str">
        <f>'[1]Summary calculation'!E157</f>
        <v/>
      </c>
      <c r="E161" s="159">
        <f>'[1]Summary calculation'!H157</f>
        <v>0</v>
      </c>
      <c r="F161" s="159">
        <f>E161/'[1]Summary calculation'!$G$5</f>
        <v>0</v>
      </c>
      <c r="G161" s="159">
        <f>'[1]Summary calculation'!N157</f>
        <v>0</v>
      </c>
      <c r="H161" s="159">
        <f>'[1]Summary calculation'!S157</f>
        <v>0</v>
      </c>
      <c r="I161" s="159">
        <f>ROUND('[1]Summary calculation'!T157,0)</f>
        <v>0</v>
      </c>
      <c r="J161" s="159">
        <f>ROUND(I161/'[1]Summary calculation'!$G$5,0)</f>
        <v>0</v>
      </c>
      <c r="K161" s="166">
        <f t="shared" si="2"/>
        <v>0</v>
      </c>
    </row>
    <row r="162" spans="2:11" x14ac:dyDescent="0.35">
      <c r="B162" s="158">
        <f>'[1]Summary calculation'!B158</f>
        <v>150</v>
      </c>
      <c r="C162" s="158" t="str">
        <f>'[1]Summary calculation'!C158</f>
        <v/>
      </c>
      <c r="D162" s="158" t="str">
        <f>'[1]Summary calculation'!E158</f>
        <v/>
      </c>
      <c r="E162" s="159">
        <f>'[1]Summary calculation'!H158</f>
        <v>0</v>
      </c>
      <c r="F162" s="159">
        <f>E162/'[1]Summary calculation'!$G$5</f>
        <v>0</v>
      </c>
      <c r="G162" s="159">
        <f>'[1]Summary calculation'!N158</f>
        <v>0</v>
      </c>
      <c r="H162" s="159">
        <f>'[1]Summary calculation'!S158</f>
        <v>0</v>
      </c>
      <c r="I162" s="159">
        <f>ROUND('[1]Summary calculation'!T158,0)</f>
        <v>0</v>
      </c>
      <c r="J162" s="159">
        <f>ROUND(I162/'[1]Summary calculation'!$G$5,0)</f>
        <v>0</v>
      </c>
      <c r="K162" s="166">
        <f t="shared" si="2"/>
        <v>0</v>
      </c>
    </row>
    <row r="163" spans="2:11" x14ac:dyDescent="0.35">
      <c r="B163" s="158">
        <f>'[1]Summary calculation'!B159</f>
        <v>151</v>
      </c>
      <c r="C163" s="158" t="str">
        <f>'[1]Summary calculation'!C159</f>
        <v/>
      </c>
      <c r="D163" s="158" t="str">
        <f>'[1]Summary calculation'!E159</f>
        <v/>
      </c>
      <c r="E163" s="159">
        <f>'[1]Summary calculation'!H159</f>
        <v>0</v>
      </c>
      <c r="F163" s="159">
        <f>E163/'[1]Summary calculation'!$G$5</f>
        <v>0</v>
      </c>
      <c r="G163" s="159">
        <f>'[1]Summary calculation'!N159</f>
        <v>0</v>
      </c>
      <c r="H163" s="159">
        <f>'[1]Summary calculation'!S159</f>
        <v>0</v>
      </c>
      <c r="I163" s="159">
        <f>ROUND('[1]Summary calculation'!T159,0)</f>
        <v>0</v>
      </c>
      <c r="J163" s="159">
        <f>ROUND(I163/'[1]Summary calculation'!$G$5,0)</f>
        <v>0</v>
      </c>
      <c r="K163" s="166">
        <f t="shared" si="2"/>
        <v>0</v>
      </c>
    </row>
    <row r="164" spans="2:11" x14ac:dyDescent="0.35">
      <c r="B164" s="158">
        <f>'[1]Summary calculation'!B160</f>
        <v>152</v>
      </c>
      <c r="C164" s="158" t="str">
        <f>'[1]Summary calculation'!C160</f>
        <v/>
      </c>
      <c r="D164" s="158" t="str">
        <f>'[1]Summary calculation'!E160</f>
        <v/>
      </c>
      <c r="E164" s="159">
        <f>'[1]Summary calculation'!H160</f>
        <v>0</v>
      </c>
      <c r="F164" s="159">
        <f>E164/'[1]Summary calculation'!$G$5</f>
        <v>0</v>
      </c>
      <c r="G164" s="159">
        <f>'[1]Summary calculation'!N160</f>
        <v>0</v>
      </c>
      <c r="H164" s="159">
        <f>'[1]Summary calculation'!S160</f>
        <v>0</v>
      </c>
      <c r="I164" s="159">
        <f>ROUND('[1]Summary calculation'!T160,0)</f>
        <v>0</v>
      </c>
      <c r="J164" s="159">
        <f>ROUND(I164/'[1]Summary calculation'!$G$5,0)</f>
        <v>0</v>
      </c>
      <c r="K164" s="166">
        <f t="shared" si="2"/>
        <v>0</v>
      </c>
    </row>
    <row r="165" spans="2:11" x14ac:dyDescent="0.35">
      <c r="B165" s="158">
        <f>'[1]Summary calculation'!B161</f>
        <v>153</v>
      </c>
      <c r="C165" s="158" t="str">
        <f>'[1]Summary calculation'!C161</f>
        <v/>
      </c>
      <c r="D165" s="158" t="str">
        <f>'[1]Summary calculation'!E161</f>
        <v/>
      </c>
      <c r="E165" s="159">
        <f>'[1]Summary calculation'!H161</f>
        <v>0</v>
      </c>
      <c r="F165" s="159">
        <f>E165/'[1]Summary calculation'!$G$5</f>
        <v>0</v>
      </c>
      <c r="G165" s="159">
        <f>'[1]Summary calculation'!N161</f>
        <v>0</v>
      </c>
      <c r="H165" s="159">
        <f>'[1]Summary calculation'!S161</f>
        <v>0</v>
      </c>
      <c r="I165" s="159">
        <f>ROUND('[1]Summary calculation'!T161,0)</f>
        <v>0</v>
      </c>
      <c r="J165" s="159">
        <f>ROUND(I165/'[1]Summary calculation'!$G$5,0)</f>
        <v>0</v>
      </c>
      <c r="K165" s="166">
        <f t="shared" si="2"/>
        <v>0</v>
      </c>
    </row>
    <row r="166" spans="2:11" x14ac:dyDescent="0.35">
      <c r="B166" s="158">
        <f>'[1]Summary calculation'!B162</f>
        <v>154</v>
      </c>
      <c r="C166" s="158" t="str">
        <f>'[1]Summary calculation'!C162</f>
        <v/>
      </c>
      <c r="D166" s="158" t="str">
        <f>'[1]Summary calculation'!E162</f>
        <v/>
      </c>
      <c r="E166" s="159">
        <f>'[1]Summary calculation'!H162</f>
        <v>0</v>
      </c>
      <c r="F166" s="159">
        <f>E166/'[1]Summary calculation'!$G$5</f>
        <v>0</v>
      </c>
      <c r="G166" s="159">
        <f>'[1]Summary calculation'!N162</f>
        <v>0</v>
      </c>
      <c r="H166" s="159">
        <f>'[1]Summary calculation'!S162</f>
        <v>0</v>
      </c>
      <c r="I166" s="159">
        <f>ROUND('[1]Summary calculation'!T162,0)</f>
        <v>0</v>
      </c>
      <c r="J166" s="159">
        <f>ROUND(I166/'[1]Summary calculation'!$G$5,0)</f>
        <v>0</v>
      </c>
      <c r="K166" s="166">
        <f t="shared" si="2"/>
        <v>0</v>
      </c>
    </row>
    <row r="167" spans="2:11" x14ac:dyDescent="0.35">
      <c r="B167" s="158">
        <f>'[1]Summary calculation'!B163</f>
        <v>155</v>
      </c>
      <c r="C167" s="158" t="str">
        <f>'[1]Summary calculation'!C163</f>
        <v/>
      </c>
      <c r="D167" s="158" t="str">
        <f>'[1]Summary calculation'!E163</f>
        <v/>
      </c>
      <c r="E167" s="159">
        <f>'[1]Summary calculation'!H163</f>
        <v>0</v>
      </c>
      <c r="F167" s="159">
        <f>E167/'[1]Summary calculation'!$G$5</f>
        <v>0</v>
      </c>
      <c r="G167" s="159">
        <f>'[1]Summary calculation'!N163</f>
        <v>0</v>
      </c>
      <c r="H167" s="159">
        <f>'[1]Summary calculation'!S163</f>
        <v>0</v>
      </c>
      <c r="I167" s="159">
        <f>ROUND('[1]Summary calculation'!T163,0)</f>
        <v>0</v>
      </c>
      <c r="J167" s="159">
        <f>ROUND(I167/'[1]Summary calculation'!$G$5,0)</f>
        <v>0</v>
      </c>
      <c r="K167" s="166">
        <f t="shared" si="2"/>
        <v>0</v>
      </c>
    </row>
    <row r="168" spans="2:11" x14ac:dyDescent="0.35">
      <c r="B168" s="158">
        <f>'[1]Summary calculation'!B164</f>
        <v>156</v>
      </c>
      <c r="C168" s="158" t="str">
        <f>'[1]Summary calculation'!C164</f>
        <v/>
      </c>
      <c r="D168" s="158" t="str">
        <f>'[1]Summary calculation'!E164</f>
        <v/>
      </c>
      <c r="E168" s="159">
        <f>'[1]Summary calculation'!H164</f>
        <v>0</v>
      </c>
      <c r="F168" s="159">
        <f>E168/'[1]Summary calculation'!$G$5</f>
        <v>0</v>
      </c>
      <c r="G168" s="159">
        <f>'[1]Summary calculation'!N164</f>
        <v>0</v>
      </c>
      <c r="H168" s="159">
        <f>'[1]Summary calculation'!S164</f>
        <v>0</v>
      </c>
      <c r="I168" s="159">
        <f>ROUND('[1]Summary calculation'!T164,0)</f>
        <v>0</v>
      </c>
      <c r="J168" s="159">
        <f>ROUND(I168/'[1]Summary calculation'!$G$5,0)</f>
        <v>0</v>
      </c>
      <c r="K168" s="166">
        <f t="shared" si="2"/>
        <v>0</v>
      </c>
    </row>
    <row r="169" spans="2:11" x14ac:dyDescent="0.35">
      <c r="B169" s="158">
        <f>'[1]Summary calculation'!B165</f>
        <v>157</v>
      </c>
      <c r="C169" s="158" t="str">
        <f>'[1]Summary calculation'!C165</f>
        <v/>
      </c>
      <c r="D169" s="158" t="str">
        <f>'[1]Summary calculation'!E165</f>
        <v/>
      </c>
      <c r="E169" s="159">
        <f>'[1]Summary calculation'!H165</f>
        <v>0</v>
      </c>
      <c r="F169" s="159">
        <f>E169/'[1]Summary calculation'!$G$5</f>
        <v>0</v>
      </c>
      <c r="G169" s="159">
        <f>'[1]Summary calculation'!N165</f>
        <v>0</v>
      </c>
      <c r="H169" s="159">
        <f>'[1]Summary calculation'!S165</f>
        <v>0</v>
      </c>
      <c r="I169" s="159">
        <f>ROUND('[1]Summary calculation'!T165,0)</f>
        <v>0</v>
      </c>
      <c r="J169" s="159">
        <f>ROUND(I169/'[1]Summary calculation'!$G$5,0)</f>
        <v>0</v>
      </c>
      <c r="K169" s="166">
        <f t="shared" si="2"/>
        <v>0</v>
      </c>
    </row>
    <row r="170" spans="2:11" x14ac:dyDescent="0.35">
      <c r="B170" s="158">
        <f>'[1]Summary calculation'!B166</f>
        <v>158</v>
      </c>
      <c r="C170" s="158" t="str">
        <f>'[1]Summary calculation'!C166</f>
        <v/>
      </c>
      <c r="D170" s="158" t="str">
        <f>'[1]Summary calculation'!E166</f>
        <v/>
      </c>
      <c r="E170" s="159">
        <f>'[1]Summary calculation'!H166</f>
        <v>0</v>
      </c>
      <c r="F170" s="159">
        <f>E170/'[1]Summary calculation'!$G$5</f>
        <v>0</v>
      </c>
      <c r="G170" s="159">
        <f>'[1]Summary calculation'!N166</f>
        <v>0</v>
      </c>
      <c r="H170" s="159">
        <f>'[1]Summary calculation'!S166</f>
        <v>0</v>
      </c>
      <c r="I170" s="159">
        <f>ROUND('[1]Summary calculation'!T166,0)</f>
        <v>0</v>
      </c>
      <c r="J170" s="159">
        <f>ROUND(I170/'[1]Summary calculation'!$G$5,0)</f>
        <v>0</v>
      </c>
      <c r="K170" s="166">
        <f t="shared" si="2"/>
        <v>0</v>
      </c>
    </row>
    <row r="171" spans="2:11" x14ac:dyDescent="0.35">
      <c r="B171" s="158">
        <f>'[1]Summary calculation'!B167</f>
        <v>159</v>
      </c>
      <c r="C171" s="158" t="str">
        <f>'[1]Summary calculation'!C167</f>
        <v/>
      </c>
      <c r="D171" s="158" t="str">
        <f>'[1]Summary calculation'!E167</f>
        <v/>
      </c>
      <c r="E171" s="159">
        <f>'[1]Summary calculation'!H167</f>
        <v>0</v>
      </c>
      <c r="F171" s="159">
        <f>E171/'[1]Summary calculation'!$G$5</f>
        <v>0</v>
      </c>
      <c r="G171" s="159">
        <f>'[1]Summary calculation'!N167</f>
        <v>0</v>
      </c>
      <c r="H171" s="159">
        <f>'[1]Summary calculation'!S167</f>
        <v>0</v>
      </c>
      <c r="I171" s="159">
        <f>ROUND('[1]Summary calculation'!T167,0)</f>
        <v>0</v>
      </c>
      <c r="J171" s="159">
        <f>ROUND(I171/'[1]Summary calculation'!$G$5,0)</f>
        <v>0</v>
      </c>
      <c r="K171" s="166">
        <f t="shared" si="2"/>
        <v>0</v>
      </c>
    </row>
    <row r="172" spans="2:11" x14ac:dyDescent="0.35">
      <c r="B172" s="158">
        <f>'[1]Summary calculation'!B168</f>
        <v>160</v>
      </c>
      <c r="C172" s="158" t="str">
        <f>'[1]Summary calculation'!C168</f>
        <v/>
      </c>
      <c r="D172" s="158" t="str">
        <f>'[1]Summary calculation'!E168</f>
        <v/>
      </c>
      <c r="E172" s="159">
        <f>'[1]Summary calculation'!H168</f>
        <v>0</v>
      </c>
      <c r="F172" s="159">
        <f>E172/'[1]Summary calculation'!$G$5</f>
        <v>0</v>
      </c>
      <c r="G172" s="159">
        <f>'[1]Summary calculation'!N168</f>
        <v>0</v>
      </c>
      <c r="H172" s="159">
        <f>'[1]Summary calculation'!S168</f>
        <v>0</v>
      </c>
      <c r="I172" s="159">
        <f>ROUND('[1]Summary calculation'!T168,0)</f>
        <v>0</v>
      </c>
      <c r="J172" s="159">
        <f>ROUND(I172/'[1]Summary calculation'!$G$5,0)</f>
        <v>0</v>
      </c>
      <c r="K172" s="166">
        <f t="shared" si="2"/>
        <v>0</v>
      </c>
    </row>
    <row r="173" spans="2:11" x14ac:dyDescent="0.35">
      <c r="B173" s="158">
        <f>'[1]Summary calculation'!B169</f>
        <v>161</v>
      </c>
      <c r="C173" s="158" t="str">
        <f>'[1]Summary calculation'!C169</f>
        <v/>
      </c>
      <c r="D173" s="158" t="str">
        <f>'[1]Summary calculation'!E169</f>
        <v/>
      </c>
      <c r="E173" s="159">
        <f>'[1]Summary calculation'!H169</f>
        <v>0</v>
      </c>
      <c r="F173" s="159">
        <f>E173/'[1]Summary calculation'!$G$5</f>
        <v>0</v>
      </c>
      <c r="G173" s="159">
        <f>'[1]Summary calculation'!N169</f>
        <v>0</v>
      </c>
      <c r="H173" s="159">
        <f>'[1]Summary calculation'!S169</f>
        <v>0</v>
      </c>
      <c r="I173" s="159">
        <f>ROUND('[1]Summary calculation'!T169,0)</f>
        <v>0</v>
      </c>
      <c r="J173" s="159">
        <f>ROUND(I173/'[1]Summary calculation'!$G$5,0)</f>
        <v>0</v>
      </c>
      <c r="K173" s="166">
        <f t="shared" si="2"/>
        <v>0</v>
      </c>
    </row>
    <row r="174" spans="2:11" x14ac:dyDescent="0.35">
      <c r="B174" s="158">
        <f>'[1]Summary calculation'!B170</f>
        <v>162</v>
      </c>
      <c r="C174" s="158" t="str">
        <f>'[1]Summary calculation'!C170</f>
        <v/>
      </c>
      <c r="D174" s="158" t="str">
        <f>'[1]Summary calculation'!E170</f>
        <v/>
      </c>
      <c r="E174" s="159">
        <f>'[1]Summary calculation'!H170</f>
        <v>0</v>
      </c>
      <c r="F174" s="159">
        <f>E174/'[1]Summary calculation'!$G$5</f>
        <v>0</v>
      </c>
      <c r="G174" s="159">
        <f>'[1]Summary calculation'!N170</f>
        <v>0</v>
      </c>
      <c r="H174" s="159">
        <f>'[1]Summary calculation'!S170</f>
        <v>0</v>
      </c>
      <c r="I174" s="159">
        <f>ROUND('[1]Summary calculation'!T170,0)</f>
        <v>0</v>
      </c>
      <c r="J174" s="159">
        <f>ROUND(I174/'[1]Summary calculation'!$G$5,0)</f>
        <v>0</v>
      </c>
      <c r="K174" s="166">
        <f t="shared" si="2"/>
        <v>0</v>
      </c>
    </row>
    <row r="175" spans="2:11" x14ac:dyDescent="0.35">
      <c r="B175" s="158">
        <f>'[1]Summary calculation'!B171</f>
        <v>163</v>
      </c>
      <c r="C175" s="158" t="str">
        <f>'[1]Summary calculation'!C171</f>
        <v/>
      </c>
      <c r="D175" s="158" t="str">
        <f>'[1]Summary calculation'!E171</f>
        <v/>
      </c>
      <c r="E175" s="159">
        <f>'[1]Summary calculation'!H171</f>
        <v>0</v>
      </c>
      <c r="F175" s="159">
        <f>E175/'[1]Summary calculation'!$G$5</f>
        <v>0</v>
      </c>
      <c r="G175" s="159">
        <f>'[1]Summary calculation'!N171</f>
        <v>0</v>
      </c>
      <c r="H175" s="159">
        <f>'[1]Summary calculation'!S171</f>
        <v>0</v>
      </c>
      <c r="I175" s="159">
        <f>ROUND('[1]Summary calculation'!T171,0)</f>
        <v>0</v>
      </c>
      <c r="J175" s="159">
        <f>ROUND(I175/'[1]Summary calculation'!$G$5,0)</f>
        <v>0</v>
      </c>
      <c r="K175" s="166">
        <f t="shared" si="2"/>
        <v>0</v>
      </c>
    </row>
    <row r="176" spans="2:11" x14ac:dyDescent="0.35">
      <c r="B176" s="158">
        <f>'[1]Summary calculation'!B172</f>
        <v>164</v>
      </c>
      <c r="C176" s="158" t="str">
        <f>'[1]Summary calculation'!C172</f>
        <v/>
      </c>
      <c r="D176" s="158" t="str">
        <f>'[1]Summary calculation'!E172</f>
        <v/>
      </c>
      <c r="E176" s="159">
        <f>'[1]Summary calculation'!H172</f>
        <v>0</v>
      </c>
      <c r="F176" s="159">
        <f>E176/'[1]Summary calculation'!$G$5</f>
        <v>0</v>
      </c>
      <c r="G176" s="159">
        <f>'[1]Summary calculation'!N172</f>
        <v>0</v>
      </c>
      <c r="H176" s="159">
        <f>'[1]Summary calculation'!S172</f>
        <v>0</v>
      </c>
      <c r="I176" s="159">
        <f>ROUND('[1]Summary calculation'!T172,0)</f>
        <v>0</v>
      </c>
      <c r="J176" s="159">
        <f>ROUND(I176/'[1]Summary calculation'!$G$5,0)</f>
        <v>0</v>
      </c>
      <c r="K176" s="166">
        <f t="shared" si="2"/>
        <v>0</v>
      </c>
    </row>
    <row r="177" spans="2:11" x14ac:dyDescent="0.35">
      <c r="B177" s="158">
        <f>'[1]Summary calculation'!B173</f>
        <v>165</v>
      </c>
      <c r="C177" s="158" t="str">
        <f>'[1]Summary calculation'!C173</f>
        <v/>
      </c>
      <c r="D177" s="158" t="str">
        <f>'[1]Summary calculation'!E173</f>
        <v/>
      </c>
      <c r="E177" s="159">
        <f>'[1]Summary calculation'!H173</f>
        <v>0</v>
      </c>
      <c r="F177" s="159">
        <f>E177/'[1]Summary calculation'!$G$5</f>
        <v>0</v>
      </c>
      <c r="G177" s="159">
        <f>'[1]Summary calculation'!N173</f>
        <v>0</v>
      </c>
      <c r="H177" s="159">
        <f>'[1]Summary calculation'!S173</f>
        <v>0</v>
      </c>
      <c r="I177" s="159">
        <f>ROUND('[1]Summary calculation'!T173,0)</f>
        <v>0</v>
      </c>
      <c r="J177" s="159">
        <f>ROUND(I177/'[1]Summary calculation'!$G$5,0)</f>
        <v>0</v>
      </c>
      <c r="K177" s="166">
        <f t="shared" si="2"/>
        <v>0</v>
      </c>
    </row>
    <row r="178" spans="2:11" x14ac:dyDescent="0.35">
      <c r="B178" s="158">
        <f>'[1]Summary calculation'!B174</f>
        <v>166</v>
      </c>
      <c r="C178" s="158" t="str">
        <f>'[1]Summary calculation'!C174</f>
        <v/>
      </c>
      <c r="D178" s="158" t="str">
        <f>'[1]Summary calculation'!E174</f>
        <v/>
      </c>
      <c r="E178" s="159">
        <f>'[1]Summary calculation'!H174</f>
        <v>0</v>
      </c>
      <c r="F178" s="159">
        <f>E178/'[1]Summary calculation'!$G$5</f>
        <v>0</v>
      </c>
      <c r="G178" s="159">
        <f>'[1]Summary calculation'!N174</f>
        <v>0</v>
      </c>
      <c r="H178" s="159">
        <f>'[1]Summary calculation'!S174</f>
        <v>0</v>
      </c>
      <c r="I178" s="159">
        <f>ROUND('[1]Summary calculation'!T174,0)</f>
        <v>0</v>
      </c>
      <c r="J178" s="159">
        <f>ROUND(I178/'[1]Summary calculation'!$G$5,0)</f>
        <v>0</v>
      </c>
      <c r="K178" s="166">
        <f t="shared" si="2"/>
        <v>0</v>
      </c>
    </row>
    <row r="179" spans="2:11" x14ac:dyDescent="0.35">
      <c r="B179" s="158">
        <f>'[1]Summary calculation'!B175</f>
        <v>167</v>
      </c>
      <c r="C179" s="158" t="str">
        <f>'[1]Summary calculation'!C175</f>
        <v/>
      </c>
      <c r="D179" s="158" t="str">
        <f>'[1]Summary calculation'!E175</f>
        <v/>
      </c>
      <c r="E179" s="159">
        <f>'[1]Summary calculation'!H175</f>
        <v>0</v>
      </c>
      <c r="F179" s="159">
        <f>E179/'[1]Summary calculation'!$G$5</f>
        <v>0</v>
      </c>
      <c r="G179" s="159">
        <f>'[1]Summary calculation'!N175</f>
        <v>0</v>
      </c>
      <c r="H179" s="159">
        <f>'[1]Summary calculation'!S175</f>
        <v>0</v>
      </c>
      <c r="I179" s="159">
        <f>ROUND('[1]Summary calculation'!T175,0)</f>
        <v>0</v>
      </c>
      <c r="J179" s="159">
        <f>ROUND(I179/'[1]Summary calculation'!$G$5,0)</f>
        <v>0</v>
      </c>
      <c r="K179" s="166">
        <f t="shared" si="2"/>
        <v>0</v>
      </c>
    </row>
    <row r="180" spans="2:11" x14ac:dyDescent="0.35">
      <c r="B180" s="158">
        <f>'[1]Summary calculation'!B176</f>
        <v>168</v>
      </c>
      <c r="C180" s="158" t="str">
        <f>'[1]Summary calculation'!C176</f>
        <v/>
      </c>
      <c r="D180" s="158" t="str">
        <f>'[1]Summary calculation'!E176</f>
        <v/>
      </c>
      <c r="E180" s="159">
        <f>'[1]Summary calculation'!H176</f>
        <v>0</v>
      </c>
      <c r="F180" s="159">
        <f>E180/'[1]Summary calculation'!$G$5</f>
        <v>0</v>
      </c>
      <c r="G180" s="159">
        <f>'[1]Summary calculation'!N176</f>
        <v>0</v>
      </c>
      <c r="H180" s="159">
        <f>'[1]Summary calculation'!S176</f>
        <v>0</v>
      </c>
      <c r="I180" s="159">
        <f>ROUND('[1]Summary calculation'!T176,0)</f>
        <v>0</v>
      </c>
      <c r="J180" s="159">
        <f>ROUND(I180/'[1]Summary calculation'!$G$5,0)</f>
        <v>0</v>
      </c>
      <c r="K180" s="166">
        <f t="shared" si="2"/>
        <v>0</v>
      </c>
    </row>
    <row r="181" spans="2:11" x14ac:dyDescent="0.35">
      <c r="B181" s="158">
        <f>'[1]Summary calculation'!B177</f>
        <v>169</v>
      </c>
      <c r="C181" s="158" t="str">
        <f>'[1]Summary calculation'!C177</f>
        <v/>
      </c>
      <c r="D181" s="158" t="str">
        <f>'[1]Summary calculation'!E177</f>
        <v/>
      </c>
      <c r="E181" s="159">
        <f>'[1]Summary calculation'!H177</f>
        <v>0</v>
      </c>
      <c r="F181" s="159">
        <f>E181/'[1]Summary calculation'!$G$5</f>
        <v>0</v>
      </c>
      <c r="G181" s="159">
        <f>'[1]Summary calculation'!N177</f>
        <v>0</v>
      </c>
      <c r="H181" s="159">
        <f>'[1]Summary calculation'!S177</f>
        <v>0</v>
      </c>
      <c r="I181" s="159">
        <f>ROUND('[1]Summary calculation'!T177,0)</f>
        <v>0</v>
      </c>
      <c r="J181" s="159">
        <f>ROUND(I181/'[1]Summary calculation'!$G$5,0)</f>
        <v>0</v>
      </c>
      <c r="K181" s="166">
        <f t="shared" si="2"/>
        <v>0</v>
      </c>
    </row>
    <row r="182" spans="2:11" x14ac:dyDescent="0.35">
      <c r="B182" s="158">
        <f>'[1]Summary calculation'!B178</f>
        <v>170</v>
      </c>
      <c r="C182" s="158" t="str">
        <f>'[1]Summary calculation'!C178</f>
        <v/>
      </c>
      <c r="D182" s="158" t="str">
        <f>'[1]Summary calculation'!E178</f>
        <v/>
      </c>
      <c r="E182" s="159">
        <f>'[1]Summary calculation'!H178</f>
        <v>0</v>
      </c>
      <c r="F182" s="159">
        <f>E182/'[1]Summary calculation'!$G$5</f>
        <v>0</v>
      </c>
      <c r="G182" s="159">
        <f>'[1]Summary calculation'!N178</f>
        <v>0</v>
      </c>
      <c r="H182" s="159">
        <f>'[1]Summary calculation'!S178</f>
        <v>0</v>
      </c>
      <c r="I182" s="159">
        <f>ROUND('[1]Summary calculation'!T178,0)</f>
        <v>0</v>
      </c>
      <c r="J182" s="159">
        <f>ROUND(I182/'[1]Summary calculation'!$G$5,0)</f>
        <v>0</v>
      </c>
      <c r="K182" s="166">
        <f t="shared" si="2"/>
        <v>0</v>
      </c>
    </row>
    <row r="183" spans="2:11" x14ac:dyDescent="0.35">
      <c r="B183" s="158">
        <f>'[1]Summary calculation'!B179</f>
        <v>171</v>
      </c>
      <c r="C183" s="158" t="str">
        <f>'[1]Summary calculation'!C179</f>
        <v/>
      </c>
      <c r="D183" s="158" t="str">
        <f>'[1]Summary calculation'!E179</f>
        <v/>
      </c>
      <c r="E183" s="159">
        <f>'[1]Summary calculation'!H179</f>
        <v>0</v>
      </c>
      <c r="F183" s="159">
        <f>E183/'[1]Summary calculation'!$G$5</f>
        <v>0</v>
      </c>
      <c r="G183" s="159">
        <f>'[1]Summary calculation'!N179</f>
        <v>0</v>
      </c>
      <c r="H183" s="159">
        <f>'[1]Summary calculation'!S179</f>
        <v>0</v>
      </c>
      <c r="I183" s="159">
        <f>ROUND('[1]Summary calculation'!T179,0)</f>
        <v>0</v>
      </c>
      <c r="J183" s="159">
        <f>ROUND(I183/'[1]Summary calculation'!$G$5,0)</f>
        <v>0</v>
      </c>
      <c r="K183" s="166">
        <f t="shared" si="2"/>
        <v>0</v>
      </c>
    </row>
    <row r="184" spans="2:11" x14ac:dyDescent="0.35">
      <c r="B184" s="158">
        <f>'[1]Summary calculation'!B180</f>
        <v>172</v>
      </c>
      <c r="C184" s="158" t="str">
        <f>'[1]Summary calculation'!C180</f>
        <v/>
      </c>
      <c r="D184" s="158" t="str">
        <f>'[1]Summary calculation'!E180</f>
        <v/>
      </c>
      <c r="E184" s="159">
        <f>'[1]Summary calculation'!H180</f>
        <v>0</v>
      </c>
      <c r="F184" s="159">
        <f>E184/'[1]Summary calculation'!$G$5</f>
        <v>0</v>
      </c>
      <c r="G184" s="159">
        <f>'[1]Summary calculation'!N180</f>
        <v>0</v>
      </c>
      <c r="H184" s="159">
        <f>'[1]Summary calculation'!S180</f>
        <v>0</v>
      </c>
      <c r="I184" s="159">
        <f>ROUND('[1]Summary calculation'!T180,0)</f>
        <v>0</v>
      </c>
      <c r="J184" s="159">
        <f>ROUND(I184/'[1]Summary calculation'!$G$5,0)</f>
        <v>0</v>
      </c>
      <c r="K184" s="166">
        <f t="shared" si="2"/>
        <v>0</v>
      </c>
    </row>
    <row r="185" spans="2:11" x14ac:dyDescent="0.35">
      <c r="B185" s="158">
        <f>'[1]Summary calculation'!B181</f>
        <v>173</v>
      </c>
      <c r="C185" s="158" t="str">
        <f>'[1]Summary calculation'!C181</f>
        <v/>
      </c>
      <c r="D185" s="158" t="str">
        <f>'[1]Summary calculation'!E181</f>
        <v/>
      </c>
      <c r="E185" s="159">
        <f>'[1]Summary calculation'!H181</f>
        <v>0</v>
      </c>
      <c r="F185" s="159">
        <f>E185/'[1]Summary calculation'!$G$5</f>
        <v>0</v>
      </c>
      <c r="G185" s="159">
        <f>'[1]Summary calculation'!N181</f>
        <v>0</v>
      </c>
      <c r="H185" s="159">
        <f>'[1]Summary calculation'!S181</f>
        <v>0</v>
      </c>
      <c r="I185" s="159">
        <f>ROUND('[1]Summary calculation'!T181,0)</f>
        <v>0</v>
      </c>
      <c r="J185" s="159">
        <f>ROUND(I185/'[1]Summary calculation'!$G$5,0)</f>
        <v>0</v>
      </c>
      <c r="K185" s="166">
        <f t="shared" si="2"/>
        <v>0</v>
      </c>
    </row>
    <row r="186" spans="2:11" x14ac:dyDescent="0.35">
      <c r="B186" s="158">
        <f>'[1]Summary calculation'!B182</f>
        <v>174</v>
      </c>
      <c r="C186" s="158" t="str">
        <f>'[1]Summary calculation'!C182</f>
        <v/>
      </c>
      <c r="D186" s="158" t="str">
        <f>'[1]Summary calculation'!E182</f>
        <v/>
      </c>
      <c r="E186" s="159">
        <f>'[1]Summary calculation'!H182</f>
        <v>0</v>
      </c>
      <c r="F186" s="159">
        <f>E186/'[1]Summary calculation'!$G$5</f>
        <v>0</v>
      </c>
      <c r="G186" s="159">
        <f>'[1]Summary calculation'!N182</f>
        <v>0</v>
      </c>
      <c r="H186" s="159">
        <f>'[1]Summary calculation'!S182</f>
        <v>0</v>
      </c>
      <c r="I186" s="159">
        <f>ROUND('[1]Summary calculation'!T182,0)</f>
        <v>0</v>
      </c>
      <c r="J186" s="159">
        <f>ROUND(I186/'[1]Summary calculation'!$G$5,0)</f>
        <v>0</v>
      </c>
      <c r="K186" s="166">
        <f t="shared" si="2"/>
        <v>0</v>
      </c>
    </row>
    <row r="187" spans="2:11" x14ac:dyDescent="0.35">
      <c r="B187" s="158">
        <f>'[1]Summary calculation'!B183</f>
        <v>175</v>
      </c>
      <c r="C187" s="158" t="str">
        <f>'[1]Summary calculation'!C183</f>
        <v/>
      </c>
      <c r="D187" s="158" t="str">
        <f>'[1]Summary calculation'!E183</f>
        <v/>
      </c>
      <c r="E187" s="159">
        <f>'[1]Summary calculation'!H183</f>
        <v>0</v>
      </c>
      <c r="F187" s="159">
        <f>E187/'[1]Summary calculation'!$G$5</f>
        <v>0</v>
      </c>
      <c r="G187" s="159">
        <f>'[1]Summary calculation'!N183</f>
        <v>0</v>
      </c>
      <c r="H187" s="159">
        <f>'[1]Summary calculation'!S183</f>
        <v>0</v>
      </c>
      <c r="I187" s="159">
        <f>ROUND('[1]Summary calculation'!T183,0)</f>
        <v>0</v>
      </c>
      <c r="J187" s="159">
        <f>ROUND(I187/'[1]Summary calculation'!$G$5,0)</f>
        <v>0</v>
      </c>
      <c r="K187" s="166">
        <f t="shared" si="2"/>
        <v>0</v>
      </c>
    </row>
    <row r="188" spans="2:11" x14ac:dyDescent="0.35">
      <c r="B188" s="158">
        <f>'[1]Summary calculation'!B184</f>
        <v>176</v>
      </c>
      <c r="C188" s="158" t="str">
        <f>'[1]Summary calculation'!C184</f>
        <v/>
      </c>
      <c r="D188" s="158" t="str">
        <f>'[1]Summary calculation'!E184</f>
        <v/>
      </c>
      <c r="E188" s="159">
        <f>'[1]Summary calculation'!H184</f>
        <v>0</v>
      </c>
      <c r="F188" s="159">
        <f>E188/'[1]Summary calculation'!$G$5</f>
        <v>0</v>
      </c>
      <c r="G188" s="159">
        <f>'[1]Summary calculation'!N184</f>
        <v>0</v>
      </c>
      <c r="H188" s="159">
        <f>'[1]Summary calculation'!S184</f>
        <v>0</v>
      </c>
      <c r="I188" s="159">
        <f>ROUND('[1]Summary calculation'!T184,0)</f>
        <v>0</v>
      </c>
      <c r="J188" s="159">
        <f>ROUND(I188/'[1]Summary calculation'!$G$5,0)</f>
        <v>0</v>
      </c>
      <c r="K188" s="166">
        <f t="shared" si="2"/>
        <v>0</v>
      </c>
    </row>
    <row r="189" spans="2:11" x14ac:dyDescent="0.35">
      <c r="B189" s="158">
        <f>'[1]Summary calculation'!B185</f>
        <v>177</v>
      </c>
      <c r="C189" s="158" t="str">
        <f>'[1]Summary calculation'!C185</f>
        <v/>
      </c>
      <c r="D189" s="158" t="str">
        <f>'[1]Summary calculation'!E185</f>
        <v/>
      </c>
      <c r="E189" s="159">
        <f>'[1]Summary calculation'!H185</f>
        <v>0</v>
      </c>
      <c r="F189" s="159">
        <f>E189/'[1]Summary calculation'!$G$5</f>
        <v>0</v>
      </c>
      <c r="G189" s="159">
        <f>'[1]Summary calculation'!N185</f>
        <v>0</v>
      </c>
      <c r="H189" s="159">
        <f>'[1]Summary calculation'!S185</f>
        <v>0</v>
      </c>
      <c r="I189" s="159">
        <f>ROUND('[1]Summary calculation'!T185,0)</f>
        <v>0</v>
      </c>
      <c r="J189" s="159">
        <f>ROUND(I189/'[1]Summary calculation'!$G$5,0)</f>
        <v>0</v>
      </c>
      <c r="K189" s="166">
        <f t="shared" si="2"/>
        <v>0</v>
      </c>
    </row>
    <row r="190" spans="2:11" x14ac:dyDescent="0.35">
      <c r="B190" s="158">
        <f>'[1]Summary calculation'!B186</f>
        <v>178</v>
      </c>
      <c r="C190" s="158" t="str">
        <f>'[1]Summary calculation'!C186</f>
        <v/>
      </c>
      <c r="D190" s="158" t="str">
        <f>'[1]Summary calculation'!E186</f>
        <v/>
      </c>
      <c r="E190" s="159">
        <f>'[1]Summary calculation'!H186</f>
        <v>0</v>
      </c>
      <c r="F190" s="159">
        <f>E190/'[1]Summary calculation'!$G$5</f>
        <v>0</v>
      </c>
      <c r="G190" s="159">
        <f>'[1]Summary calculation'!N186</f>
        <v>0</v>
      </c>
      <c r="H190" s="159">
        <f>'[1]Summary calculation'!S186</f>
        <v>0</v>
      </c>
      <c r="I190" s="159">
        <f>ROUND('[1]Summary calculation'!T186,0)</f>
        <v>0</v>
      </c>
      <c r="J190" s="159">
        <f>ROUND(I190/'[1]Summary calculation'!$G$5,0)</f>
        <v>0</v>
      </c>
      <c r="K190" s="166">
        <f t="shared" si="2"/>
        <v>0</v>
      </c>
    </row>
    <row r="191" spans="2:11" x14ac:dyDescent="0.35">
      <c r="B191" s="158">
        <f>'[1]Summary calculation'!B187</f>
        <v>179</v>
      </c>
      <c r="C191" s="158" t="str">
        <f>'[1]Summary calculation'!C187</f>
        <v/>
      </c>
      <c r="D191" s="158" t="str">
        <f>'[1]Summary calculation'!E187</f>
        <v/>
      </c>
      <c r="E191" s="159">
        <f>'[1]Summary calculation'!H187</f>
        <v>0</v>
      </c>
      <c r="F191" s="159">
        <f>E191/'[1]Summary calculation'!$G$5</f>
        <v>0</v>
      </c>
      <c r="G191" s="159">
        <f>'[1]Summary calculation'!N187</f>
        <v>0</v>
      </c>
      <c r="H191" s="159">
        <f>'[1]Summary calculation'!S187</f>
        <v>0</v>
      </c>
      <c r="I191" s="159">
        <f>ROUND('[1]Summary calculation'!T187,0)</f>
        <v>0</v>
      </c>
      <c r="J191" s="159">
        <f>ROUND(I191/'[1]Summary calculation'!$G$5,0)</f>
        <v>0</v>
      </c>
      <c r="K191" s="166">
        <f t="shared" si="2"/>
        <v>0</v>
      </c>
    </row>
    <row r="192" spans="2:11" x14ac:dyDescent="0.35">
      <c r="B192" s="158">
        <f>'[1]Summary calculation'!B188</f>
        <v>180</v>
      </c>
      <c r="C192" s="158" t="str">
        <f>'[1]Summary calculation'!C188</f>
        <v/>
      </c>
      <c r="D192" s="158" t="str">
        <f>'[1]Summary calculation'!E188</f>
        <v/>
      </c>
      <c r="E192" s="159">
        <f>'[1]Summary calculation'!H188</f>
        <v>0</v>
      </c>
      <c r="F192" s="159">
        <f>E192/'[1]Summary calculation'!$G$5</f>
        <v>0</v>
      </c>
      <c r="G192" s="159">
        <f>'[1]Summary calculation'!N188</f>
        <v>0</v>
      </c>
      <c r="H192" s="159">
        <f>'[1]Summary calculation'!S188</f>
        <v>0</v>
      </c>
      <c r="I192" s="159">
        <f>ROUND('[1]Summary calculation'!T188,0)</f>
        <v>0</v>
      </c>
      <c r="J192" s="159">
        <f>ROUND(I192/'[1]Summary calculation'!$G$5,0)</f>
        <v>0</v>
      </c>
      <c r="K192" s="166">
        <f t="shared" si="2"/>
        <v>0</v>
      </c>
    </row>
    <row r="193" spans="2:11" x14ac:dyDescent="0.35">
      <c r="B193" s="158">
        <f>'[1]Summary calculation'!B189</f>
        <v>181</v>
      </c>
      <c r="C193" s="158" t="str">
        <f>'[1]Summary calculation'!C189</f>
        <v/>
      </c>
      <c r="D193" s="158" t="str">
        <f>'[1]Summary calculation'!E189</f>
        <v/>
      </c>
      <c r="E193" s="159">
        <f>'[1]Summary calculation'!H189</f>
        <v>0</v>
      </c>
      <c r="F193" s="159">
        <f>E193/'[1]Summary calculation'!$G$5</f>
        <v>0</v>
      </c>
      <c r="G193" s="159">
        <f>'[1]Summary calculation'!N189</f>
        <v>0</v>
      </c>
      <c r="H193" s="159">
        <f>'[1]Summary calculation'!S189</f>
        <v>0</v>
      </c>
      <c r="I193" s="159">
        <f>ROUND('[1]Summary calculation'!T189,0)</f>
        <v>0</v>
      </c>
      <c r="J193" s="159">
        <f>ROUND(I193/'[1]Summary calculation'!$G$5,0)</f>
        <v>0</v>
      </c>
      <c r="K193" s="166">
        <f t="shared" si="2"/>
        <v>0</v>
      </c>
    </row>
    <row r="194" spans="2:11" x14ac:dyDescent="0.35">
      <c r="B194" s="158">
        <f>'[1]Summary calculation'!B190</f>
        <v>182</v>
      </c>
      <c r="C194" s="158" t="str">
        <f>'[1]Summary calculation'!C190</f>
        <v/>
      </c>
      <c r="D194" s="158" t="str">
        <f>'[1]Summary calculation'!E190</f>
        <v/>
      </c>
      <c r="E194" s="159">
        <f>'[1]Summary calculation'!H190</f>
        <v>0</v>
      </c>
      <c r="F194" s="159">
        <f>E194/'[1]Summary calculation'!$G$5</f>
        <v>0</v>
      </c>
      <c r="G194" s="159">
        <f>'[1]Summary calculation'!N190</f>
        <v>0</v>
      </c>
      <c r="H194" s="159">
        <f>'[1]Summary calculation'!S190</f>
        <v>0</v>
      </c>
      <c r="I194" s="159">
        <f>ROUND('[1]Summary calculation'!T190,0)</f>
        <v>0</v>
      </c>
      <c r="J194" s="159">
        <f>ROUND(I194/'[1]Summary calculation'!$G$5,0)</f>
        <v>0</v>
      </c>
      <c r="K194" s="166">
        <f t="shared" si="2"/>
        <v>0</v>
      </c>
    </row>
    <row r="195" spans="2:11" x14ac:dyDescent="0.35">
      <c r="B195" s="158">
        <f>'[1]Summary calculation'!B191</f>
        <v>183</v>
      </c>
      <c r="C195" s="158" t="str">
        <f>'[1]Summary calculation'!C191</f>
        <v/>
      </c>
      <c r="D195" s="158" t="str">
        <f>'[1]Summary calculation'!E191</f>
        <v/>
      </c>
      <c r="E195" s="159">
        <f>'[1]Summary calculation'!H191</f>
        <v>0</v>
      </c>
      <c r="F195" s="159">
        <f>E195/'[1]Summary calculation'!$G$5</f>
        <v>0</v>
      </c>
      <c r="G195" s="159">
        <f>'[1]Summary calculation'!N191</f>
        <v>0</v>
      </c>
      <c r="H195" s="159">
        <f>'[1]Summary calculation'!S191</f>
        <v>0</v>
      </c>
      <c r="I195" s="159">
        <f>ROUND('[1]Summary calculation'!T191,0)</f>
        <v>0</v>
      </c>
      <c r="J195" s="159">
        <f>ROUND(I195/'[1]Summary calculation'!$G$5,0)</f>
        <v>0</v>
      </c>
      <c r="K195" s="166">
        <f t="shared" si="2"/>
        <v>0</v>
      </c>
    </row>
    <row r="196" spans="2:11" x14ac:dyDescent="0.35">
      <c r="B196" s="158">
        <f>'[1]Summary calculation'!B192</f>
        <v>184</v>
      </c>
      <c r="C196" s="158" t="str">
        <f>'[1]Summary calculation'!C192</f>
        <v/>
      </c>
      <c r="D196" s="158" t="str">
        <f>'[1]Summary calculation'!E192</f>
        <v/>
      </c>
      <c r="E196" s="159">
        <f>'[1]Summary calculation'!H192</f>
        <v>0</v>
      </c>
      <c r="F196" s="159">
        <f>E196/'[1]Summary calculation'!$G$5</f>
        <v>0</v>
      </c>
      <c r="G196" s="159">
        <f>'[1]Summary calculation'!N192</f>
        <v>0</v>
      </c>
      <c r="H196" s="159">
        <f>'[1]Summary calculation'!S192</f>
        <v>0</v>
      </c>
      <c r="I196" s="159">
        <f>ROUND('[1]Summary calculation'!T192,0)</f>
        <v>0</v>
      </c>
      <c r="J196" s="159">
        <f>ROUND(I196/'[1]Summary calculation'!$G$5,0)</f>
        <v>0</v>
      </c>
      <c r="K196" s="166">
        <f t="shared" si="2"/>
        <v>0</v>
      </c>
    </row>
    <row r="197" spans="2:11" x14ac:dyDescent="0.35">
      <c r="B197" s="158">
        <f>'[1]Summary calculation'!B193</f>
        <v>185</v>
      </c>
      <c r="C197" s="158" t="str">
        <f>'[1]Summary calculation'!C193</f>
        <v/>
      </c>
      <c r="D197" s="158" t="str">
        <f>'[1]Summary calculation'!E193</f>
        <v/>
      </c>
      <c r="E197" s="159">
        <f>'[1]Summary calculation'!H193</f>
        <v>0</v>
      </c>
      <c r="F197" s="159">
        <f>E197/'[1]Summary calculation'!$G$5</f>
        <v>0</v>
      </c>
      <c r="G197" s="159">
        <f>'[1]Summary calculation'!N193</f>
        <v>0</v>
      </c>
      <c r="H197" s="159">
        <f>'[1]Summary calculation'!S193</f>
        <v>0</v>
      </c>
      <c r="I197" s="159">
        <f>ROUND('[1]Summary calculation'!T193,0)</f>
        <v>0</v>
      </c>
      <c r="J197" s="159">
        <f>ROUND(I197/'[1]Summary calculation'!$G$5,0)</f>
        <v>0</v>
      </c>
      <c r="K197" s="166">
        <f t="shared" si="2"/>
        <v>0</v>
      </c>
    </row>
    <row r="198" spans="2:11" x14ac:dyDescent="0.35">
      <c r="B198" s="158">
        <f>'[1]Summary calculation'!B194</f>
        <v>186</v>
      </c>
      <c r="C198" s="158" t="str">
        <f>'[1]Summary calculation'!C194</f>
        <v/>
      </c>
      <c r="D198" s="158" t="str">
        <f>'[1]Summary calculation'!E194</f>
        <v/>
      </c>
      <c r="E198" s="159">
        <f>'[1]Summary calculation'!H194</f>
        <v>0</v>
      </c>
      <c r="F198" s="159">
        <f>E198/'[1]Summary calculation'!$G$5</f>
        <v>0</v>
      </c>
      <c r="G198" s="159">
        <f>'[1]Summary calculation'!N194</f>
        <v>0</v>
      </c>
      <c r="H198" s="159">
        <f>'[1]Summary calculation'!S194</f>
        <v>0</v>
      </c>
      <c r="I198" s="159">
        <f>ROUND('[1]Summary calculation'!T194,0)</f>
        <v>0</v>
      </c>
      <c r="J198" s="159">
        <f>ROUND(I198/'[1]Summary calculation'!$G$5,0)</f>
        <v>0</v>
      </c>
      <c r="K198" s="166">
        <f t="shared" si="2"/>
        <v>0</v>
      </c>
    </row>
    <row r="199" spans="2:11" x14ac:dyDescent="0.35">
      <c r="B199" s="158">
        <f>'[1]Summary calculation'!B195</f>
        <v>187</v>
      </c>
      <c r="C199" s="158" t="str">
        <f>'[1]Summary calculation'!C195</f>
        <v/>
      </c>
      <c r="D199" s="158" t="str">
        <f>'[1]Summary calculation'!E195</f>
        <v/>
      </c>
      <c r="E199" s="159">
        <f>'[1]Summary calculation'!H195</f>
        <v>0</v>
      </c>
      <c r="F199" s="159">
        <f>E199/'[1]Summary calculation'!$G$5</f>
        <v>0</v>
      </c>
      <c r="G199" s="159">
        <f>'[1]Summary calculation'!N195</f>
        <v>0</v>
      </c>
      <c r="H199" s="159">
        <f>'[1]Summary calculation'!S195</f>
        <v>0</v>
      </c>
      <c r="I199" s="159">
        <f>ROUND('[1]Summary calculation'!T195,0)</f>
        <v>0</v>
      </c>
      <c r="J199" s="159">
        <f>ROUND(I199/'[1]Summary calculation'!$G$5,0)</f>
        <v>0</v>
      </c>
      <c r="K199" s="166">
        <f t="shared" si="2"/>
        <v>0</v>
      </c>
    </row>
    <row r="200" spans="2:11" x14ac:dyDescent="0.35">
      <c r="B200" s="158">
        <f>'[1]Summary calculation'!B196</f>
        <v>188</v>
      </c>
      <c r="C200" s="158" t="str">
        <f>'[1]Summary calculation'!C196</f>
        <v/>
      </c>
      <c r="D200" s="158" t="str">
        <f>'[1]Summary calculation'!E196</f>
        <v/>
      </c>
      <c r="E200" s="159">
        <f>'[1]Summary calculation'!H196</f>
        <v>0</v>
      </c>
      <c r="F200" s="159">
        <f>E200/'[1]Summary calculation'!$G$5</f>
        <v>0</v>
      </c>
      <c r="G200" s="159">
        <f>'[1]Summary calculation'!N196</f>
        <v>0</v>
      </c>
      <c r="H200" s="159">
        <f>'[1]Summary calculation'!S196</f>
        <v>0</v>
      </c>
      <c r="I200" s="159">
        <f>ROUND('[1]Summary calculation'!T196,0)</f>
        <v>0</v>
      </c>
      <c r="J200" s="159">
        <f>ROUND(I200/'[1]Summary calculation'!$G$5,0)</f>
        <v>0</v>
      </c>
      <c r="K200" s="166">
        <f t="shared" si="2"/>
        <v>0</v>
      </c>
    </row>
    <row r="201" spans="2:11" x14ac:dyDescent="0.35">
      <c r="B201" s="158">
        <f>'[1]Summary calculation'!B197</f>
        <v>189</v>
      </c>
      <c r="C201" s="158" t="str">
        <f>'[1]Summary calculation'!C197</f>
        <v/>
      </c>
      <c r="D201" s="158" t="str">
        <f>'[1]Summary calculation'!E197</f>
        <v/>
      </c>
      <c r="E201" s="159">
        <f>'[1]Summary calculation'!H197</f>
        <v>0</v>
      </c>
      <c r="F201" s="159">
        <f>E201/'[1]Summary calculation'!$G$5</f>
        <v>0</v>
      </c>
      <c r="G201" s="159">
        <f>'[1]Summary calculation'!N197</f>
        <v>0</v>
      </c>
      <c r="H201" s="159">
        <f>'[1]Summary calculation'!S197</f>
        <v>0</v>
      </c>
      <c r="I201" s="159">
        <f>ROUND('[1]Summary calculation'!T197,0)</f>
        <v>0</v>
      </c>
      <c r="J201" s="159">
        <f>ROUND(I201/'[1]Summary calculation'!$G$5,0)</f>
        <v>0</v>
      </c>
      <c r="K201" s="166">
        <f t="shared" si="2"/>
        <v>0</v>
      </c>
    </row>
    <row r="202" spans="2:11" x14ac:dyDescent="0.35">
      <c r="B202" s="158">
        <f>'[1]Summary calculation'!B198</f>
        <v>190</v>
      </c>
      <c r="C202" s="158" t="str">
        <f>'[1]Summary calculation'!C198</f>
        <v/>
      </c>
      <c r="D202" s="158" t="str">
        <f>'[1]Summary calculation'!E198</f>
        <v/>
      </c>
      <c r="E202" s="159">
        <f>'[1]Summary calculation'!H198</f>
        <v>0</v>
      </c>
      <c r="F202" s="159">
        <f>E202/'[1]Summary calculation'!$G$5</f>
        <v>0</v>
      </c>
      <c r="G202" s="159">
        <f>'[1]Summary calculation'!N198</f>
        <v>0</v>
      </c>
      <c r="H202" s="159">
        <f>'[1]Summary calculation'!S198</f>
        <v>0</v>
      </c>
      <c r="I202" s="159">
        <f>ROUND('[1]Summary calculation'!T198,0)</f>
        <v>0</v>
      </c>
      <c r="J202" s="159">
        <f>ROUND(I202/'[1]Summary calculation'!$G$5,0)</f>
        <v>0</v>
      </c>
      <c r="K202" s="166">
        <f t="shared" si="2"/>
        <v>0</v>
      </c>
    </row>
    <row r="203" spans="2:11" x14ac:dyDescent="0.35">
      <c r="B203" s="158">
        <f>'[1]Summary calculation'!B199</f>
        <v>191</v>
      </c>
      <c r="C203" s="158" t="str">
        <f>'[1]Summary calculation'!C199</f>
        <v/>
      </c>
      <c r="D203" s="158" t="str">
        <f>'[1]Summary calculation'!E199</f>
        <v/>
      </c>
      <c r="E203" s="159">
        <f>'[1]Summary calculation'!H199</f>
        <v>0</v>
      </c>
      <c r="F203" s="159">
        <f>E203/'[1]Summary calculation'!$G$5</f>
        <v>0</v>
      </c>
      <c r="G203" s="159">
        <f>'[1]Summary calculation'!N199</f>
        <v>0</v>
      </c>
      <c r="H203" s="159">
        <f>'[1]Summary calculation'!S199</f>
        <v>0</v>
      </c>
      <c r="I203" s="159">
        <f>ROUND('[1]Summary calculation'!T199,0)</f>
        <v>0</v>
      </c>
      <c r="J203" s="159">
        <f>ROUND(I203/'[1]Summary calculation'!$G$5,0)</f>
        <v>0</v>
      </c>
      <c r="K203" s="166">
        <f t="shared" si="2"/>
        <v>0</v>
      </c>
    </row>
    <row r="204" spans="2:11" x14ac:dyDescent="0.35">
      <c r="B204" s="158">
        <f>'[1]Summary calculation'!B200</f>
        <v>192</v>
      </c>
      <c r="C204" s="158" t="str">
        <f>'[1]Summary calculation'!C200</f>
        <v/>
      </c>
      <c r="D204" s="158" t="str">
        <f>'[1]Summary calculation'!E200</f>
        <v/>
      </c>
      <c r="E204" s="159">
        <f>'[1]Summary calculation'!H200</f>
        <v>0</v>
      </c>
      <c r="F204" s="159">
        <f>E204/'[1]Summary calculation'!$G$5</f>
        <v>0</v>
      </c>
      <c r="G204" s="159">
        <f>'[1]Summary calculation'!N200</f>
        <v>0</v>
      </c>
      <c r="H204" s="159">
        <f>'[1]Summary calculation'!S200</f>
        <v>0</v>
      </c>
      <c r="I204" s="159">
        <f>ROUND('[1]Summary calculation'!T200,0)</f>
        <v>0</v>
      </c>
      <c r="J204" s="159">
        <f>ROUND(I204/'[1]Summary calculation'!$G$5,0)</f>
        <v>0</v>
      </c>
      <c r="K204" s="166">
        <f t="shared" si="2"/>
        <v>0</v>
      </c>
    </row>
    <row r="205" spans="2:11" x14ac:dyDescent="0.35">
      <c r="B205" s="158">
        <f>'[1]Summary calculation'!B201</f>
        <v>193</v>
      </c>
      <c r="C205" s="158" t="str">
        <f>'[1]Summary calculation'!C201</f>
        <v/>
      </c>
      <c r="D205" s="158" t="str">
        <f>'[1]Summary calculation'!E201</f>
        <v/>
      </c>
      <c r="E205" s="159">
        <f>'[1]Summary calculation'!H201</f>
        <v>0</v>
      </c>
      <c r="F205" s="159">
        <f>E205/'[1]Summary calculation'!$G$5</f>
        <v>0</v>
      </c>
      <c r="G205" s="159">
        <f>'[1]Summary calculation'!N201</f>
        <v>0</v>
      </c>
      <c r="H205" s="159">
        <f>'[1]Summary calculation'!S201</f>
        <v>0</v>
      </c>
      <c r="I205" s="159">
        <f>ROUND('[1]Summary calculation'!T201,0)</f>
        <v>0</v>
      </c>
      <c r="J205" s="159">
        <f>ROUND(I205/'[1]Summary calculation'!$G$5,0)</f>
        <v>0</v>
      </c>
      <c r="K205" s="166">
        <f t="shared" si="2"/>
        <v>0</v>
      </c>
    </row>
    <row r="206" spans="2:11" x14ac:dyDescent="0.35">
      <c r="B206" s="158">
        <f>'[1]Summary calculation'!B202</f>
        <v>194</v>
      </c>
      <c r="C206" s="158" t="str">
        <f>'[1]Summary calculation'!C202</f>
        <v/>
      </c>
      <c r="D206" s="158" t="str">
        <f>'[1]Summary calculation'!E202</f>
        <v/>
      </c>
      <c r="E206" s="159">
        <f>'[1]Summary calculation'!H202</f>
        <v>0</v>
      </c>
      <c r="F206" s="159">
        <f>E206/'[1]Summary calculation'!$G$5</f>
        <v>0</v>
      </c>
      <c r="G206" s="159">
        <f>'[1]Summary calculation'!N202</f>
        <v>0</v>
      </c>
      <c r="H206" s="159">
        <f>'[1]Summary calculation'!S202</f>
        <v>0</v>
      </c>
      <c r="I206" s="159">
        <f>ROUND('[1]Summary calculation'!T202,0)</f>
        <v>0</v>
      </c>
      <c r="J206" s="159">
        <f>ROUND(I206/'[1]Summary calculation'!$G$5,0)</f>
        <v>0</v>
      </c>
      <c r="K206" s="166">
        <f t="shared" ref="K206:K213" si="3">IF(F206=0,0,J206/F206)</f>
        <v>0</v>
      </c>
    </row>
    <row r="207" spans="2:11" x14ac:dyDescent="0.35">
      <c r="B207" s="158">
        <f>'[1]Summary calculation'!B203</f>
        <v>195</v>
      </c>
      <c r="C207" s="158" t="str">
        <f>'[1]Summary calculation'!C203</f>
        <v/>
      </c>
      <c r="D207" s="158" t="str">
        <f>'[1]Summary calculation'!E203</f>
        <v/>
      </c>
      <c r="E207" s="159">
        <f>'[1]Summary calculation'!H203</f>
        <v>0</v>
      </c>
      <c r="F207" s="159">
        <f>E207/'[1]Summary calculation'!$G$5</f>
        <v>0</v>
      </c>
      <c r="G207" s="159">
        <f>'[1]Summary calculation'!N203</f>
        <v>0</v>
      </c>
      <c r="H207" s="159">
        <f>'[1]Summary calculation'!S203</f>
        <v>0</v>
      </c>
      <c r="I207" s="159">
        <f>ROUND('[1]Summary calculation'!T203,0)</f>
        <v>0</v>
      </c>
      <c r="J207" s="159">
        <f>ROUND(I207/'[1]Summary calculation'!$G$5,0)</f>
        <v>0</v>
      </c>
      <c r="K207" s="166">
        <f t="shared" si="3"/>
        <v>0</v>
      </c>
    </row>
    <row r="208" spans="2:11" x14ac:dyDescent="0.35">
      <c r="B208" s="158">
        <f>'[1]Summary calculation'!B204</f>
        <v>196</v>
      </c>
      <c r="C208" s="158" t="str">
        <f>'[1]Summary calculation'!C204</f>
        <v/>
      </c>
      <c r="D208" s="158" t="str">
        <f>'[1]Summary calculation'!E204</f>
        <v/>
      </c>
      <c r="E208" s="159">
        <f>'[1]Summary calculation'!H204</f>
        <v>0</v>
      </c>
      <c r="F208" s="159">
        <f>E208/'[1]Summary calculation'!$G$5</f>
        <v>0</v>
      </c>
      <c r="G208" s="159">
        <f>'[1]Summary calculation'!N204</f>
        <v>0</v>
      </c>
      <c r="H208" s="159">
        <f>'[1]Summary calculation'!S204</f>
        <v>0</v>
      </c>
      <c r="I208" s="159">
        <f>ROUND('[1]Summary calculation'!T204,0)</f>
        <v>0</v>
      </c>
      <c r="J208" s="159">
        <f>ROUND(I208/'[1]Summary calculation'!$G$5,0)</f>
        <v>0</v>
      </c>
      <c r="K208" s="166">
        <f t="shared" si="3"/>
        <v>0</v>
      </c>
    </row>
    <row r="209" spans="2:11" x14ac:dyDescent="0.35">
      <c r="B209" s="158">
        <f>'[1]Summary calculation'!B205</f>
        <v>197</v>
      </c>
      <c r="C209" s="158" t="str">
        <f>'[1]Summary calculation'!C205</f>
        <v/>
      </c>
      <c r="D209" s="158" t="str">
        <f>'[1]Summary calculation'!E205</f>
        <v/>
      </c>
      <c r="E209" s="159">
        <f>'[1]Summary calculation'!H205</f>
        <v>0</v>
      </c>
      <c r="F209" s="159">
        <f>E209/'[1]Summary calculation'!$G$5</f>
        <v>0</v>
      </c>
      <c r="G209" s="159">
        <f>'[1]Summary calculation'!N205</f>
        <v>0</v>
      </c>
      <c r="H209" s="159">
        <f>'[1]Summary calculation'!S205</f>
        <v>0</v>
      </c>
      <c r="I209" s="159">
        <f>ROUND('[1]Summary calculation'!T205,0)</f>
        <v>0</v>
      </c>
      <c r="J209" s="159">
        <f>ROUND(I209/'[1]Summary calculation'!$G$5,0)</f>
        <v>0</v>
      </c>
      <c r="K209" s="166">
        <f t="shared" si="3"/>
        <v>0</v>
      </c>
    </row>
    <row r="210" spans="2:11" x14ac:dyDescent="0.35">
      <c r="B210" s="158">
        <f>'[1]Summary calculation'!B206</f>
        <v>198</v>
      </c>
      <c r="C210" s="158" t="str">
        <f>'[1]Summary calculation'!C206</f>
        <v/>
      </c>
      <c r="D210" s="158" t="str">
        <f>'[1]Summary calculation'!E206</f>
        <v/>
      </c>
      <c r="E210" s="159">
        <f>'[1]Summary calculation'!H206</f>
        <v>0</v>
      </c>
      <c r="F210" s="159">
        <f>E210/'[1]Summary calculation'!$G$5</f>
        <v>0</v>
      </c>
      <c r="G210" s="159">
        <f>'[1]Summary calculation'!N206</f>
        <v>0</v>
      </c>
      <c r="H210" s="159">
        <f>'[1]Summary calculation'!S206</f>
        <v>0</v>
      </c>
      <c r="I210" s="159">
        <f>ROUND('[1]Summary calculation'!T206,0)</f>
        <v>0</v>
      </c>
      <c r="J210" s="159">
        <f>ROUND(I210/'[1]Summary calculation'!$G$5,0)</f>
        <v>0</v>
      </c>
      <c r="K210" s="166">
        <f t="shared" si="3"/>
        <v>0</v>
      </c>
    </row>
    <row r="211" spans="2:11" x14ac:dyDescent="0.35">
      <c r="B211" s="158">
        <f>'[1]Summary calculation'!B207</f>
        <v>199</v>
      </c>
      <c r="C211" s="158" t="str">
        <f>'[1]Summary calculation'!C207</f>
        <v/>
      </c>
      <c r="D211" s="158" t="str">
        <f>'[1]Summary calculation'!E207</f>
        <v/>
      </c>
      <c r="E211" s="159">
        <f>'[1]Summary calculation'!H207</f>
        <v>0</v>
      </c>
      <c r="F211" s="159">
        <f>E211/'[1]Summary calculation'!$G$5</f>
        <v>0</v>
      </c>
      <c r="G211" s="159">
        <f>'[1]Summary calculation'!N207</f>
        <v>0</v>
      </c>
      <c r="H211" s="159">
        <f>'[1]Summary calculation'!S207</f>
        <v>0</v>
      </c>
      <c r="I211" s="159">
        <f>ROUND('[1]Summary calculation'!T207,0)</f>
        <v>0</v>
      </c>
      <c r="J211" s="159">
        <f>ROUND(I211/'[1]Summary calculation'!$G$5,0)</f>
        <v>0</v>
      </c>
      <c r="K211" s="166">
        <f t="shared" si="3"/>
        <v>0</v>
      </c>
    </row>
    <row r="212" spans="2:11" x14ac:dyDescent="0.35">
      <c r="B212" s="158">
        <f>'[1]Summary calculation'!B208</f>
        <v>200</v>
      </c>
      <c r="C212" s="158" t="str">
        <f>'[1]Summary calculation'!C208</f>
        <v/>
      </c>
      <c r="D212" s="158" t="str">
        <f>'[1]Summary calculation'!E208</f>
        <v/>
      </c>
      <c r="E212" s="159">
        <f>'[1]Summary calculation'!H208</f>
        <v>0</v>
      </c>
      <c r="F212" s="159">
        <f>E212/'[1]Summary calculation'!$G$5</f>
        <v>0</v>
      </c>
      <c r="G212" s="159">
        <f>'[1]Summary calculation'!N208</f>
        <v>0</v>
      </c>
      <c r="H212" s="159">
        <f>'[1]Summary calculation'!S208</f>
        <v>0</v>
      </c>
      <c r="I212" s="159">
        <f>ROUND('[1]Summary calculation'!T208,0)</f>
        <v>0</v>
      </c>
      <c r="J212" s="159">
        <f>ROUND(I212/'[1]Summary calculation'!$G$5,0)</f>
        <v>0</v>
      </c>
      <c r="K212" s="166">
        <f t="shared" si="3"/>
        <v>0</v>
      </c>
    </row>
    <row r="213" spans="2:11" ht="18" x14ac:dyDescent="0.4">
      <c r="B213" s="160" t="s">
        <v>253</v>
      </c>
      <c r="C213" s="161"/>
      <c r="D213" s="162"/>
      <c r="E213" s="163">
        <f t="shared" ref="E213:J213" si="4">SUM(E13:E212)</f>
        <v>34615404.166666664</v>
      </c>
      <c r="F213" s="163">
        <f t="shared" si="4"/>
        <v>104043.89590221431</v>
      </c>
      <c r="G213" s="163">
        <f t="shared" si="4"/>
        <v>38243075.199999981</v>
      </c>
      <c r="H213" s="163">
        <f t="shared" si="4"/>
        <v>5429843.333333333</v>
      </c>
      <c r="I213" s="163">
        <f t="shared" si="4"/>
        <v>43672924</v>
      </c>
      <c r="J213" s="163">
        <f t="shared" si="4"/>
        <v>131268</v>
      </c>
      <c r="K213" s="167">
        <f t="shared" si="3"/>
        <v>1.2616597913958574</v>
      </c>
    </row>
    <row r="215" spans="2:11" x14ac:dyDescent="0.35">
      <c r="J215" s="168">
        <f>I213-'[1]Summary calculation'!T211</f>
        <v>0</v>
      </c>
      <c r="K215" s="169" t="s">
        <v>261</v>
      </c>
    </row>
    <row r="217" spans="2:11" x14ac:dyDescent="0.35">
      <c r="D217" s="164"/>
      <c r="E217" s="164"/>
      <c r="F217" s="164"/>
      <c r="G217" s="164"/>
      <c r="H217" s="164"/>
      <c r="I217" s="164"/>
      <c r="J217" s="164"/>
    </row>
    <row r="218" spans="2:11" x14ac:dyDescent="0.35">
      <c r="C218" s="164" t="s">
        <v>262</v>
      </c>
      <c r="D218" s="164"/>
      <c r="E218" s="164"/>
      <c r="F218" s="164"/>
      <c r="G218" s="164" t="s">
        <v>263</v>
      </c>
      <c r="H218" s="164"/>
      <c r="I218" s="164"/>
      <c r="J218" s="164"/>
      <c r="K218" s="164"/>
    </row>
    <row r="219" spans="2:11" x14ac:dyDescent="0.35">
      <c r="C219" s="164"/>
      <c r="D219" s="164"/>
      <c r="E219" s="164"/>
      <c r="F219" s="164"/>
      <c r="G219" s="164"/>
      <c r="H219" s="164"/>
      <c r="I219" s="164"/>
      <c r="J219" s="164"/>
      <c r="K219" s="164"/>
    </row>
    <row r="220" spans="2:11" x14ac:dyDescent="0.35">
      <c r="C220" s="164"/>
      <c r="D220" s="164"/>
      <c r="E220" s="164"/>
      <c r="F220" s="164"/>
      <c r="G220" s="164"/>
      <c r="H220" s="164"/>
      <c r="I220" s="164"/>
      <c r="J220" s="164"/>
      <c r="K220" s="164"/>
    </row>
    <row r="221" spans="2:11" x14ac:dyDescent="0.35">
      <c r="C221" s="164" t="s">
        <v>264</v>
      </c>
      <c r="D221" s="164"/>
      <c r="E221" s="164"/>
      <c r="F221" s="164"/>
      <c r="G221" s="164" t="s">
        <v>263</v>
      </c>
      <c r="H221" s="164"/>
      <c r="I221" s="164"/>
      <c r="J221" s="164"/>
      <c r="K221" s="164"/>
    </row>
    <row r="222" spans="2:11" x14ac:dyDescent="0.35">
      <c r="C222" s="164"/>
      <c r="D222" s="164"/>
      <c r="E222" s="164"/>
      <c r="F222" s="164"/>
      <c r="G222" s="164"/>
      <c r="H222" s="164"/>
      <c r="I222" s="164"/>
      <c r="J222" s="164"/>
      <c r="K222" s="164"/>
    </row>
    <row r="223" spans="2:11" x14ac:dyDescent="0.35">
      <c r="C223" s="164"/>
      <c r="D223" s="164"/>
      <c r="E223" s="164"/>
      <c r="F223" s="164"/>
      <c r="G223" s="164"/>
      <c r="H223" s="164"/>
      <c r="I223" s="164"/>
      <c r="J223" s="164"/>
      <c r="K223" s="164"/>
    </row>
    <row r="224" spans="2:11" x14ac:dyDescent="0.35">
      <c r="C224" s="164" t="s">
        <v>265</v>
      </c>
      <c r="D224" s="164"/>
      <c r="E224" s="164"/>
      <c r="F224" s="164"/>
      <c r="G224" s="164" t="s">
        <v>263</v>
      </c>
      <c r="H224" s="164"/>
      <c r="I224" s="164"/>
      <c r="J224" s="164"/>
      <c r="K224" s="164"/>
    </row>
    <row r="225" spans="3:11" x14ac:dyDescent="0.35">
      <c r="C225" s="164"/>
      <c r="D225" s="164"/>
      <c r="E225" s="164"/>
      <c r="F225" s="164"/>
      <c r="G225" s="164"/>
      <c r="H225" s="164"/>
      <c r="I225" s="164"/>
      <c r="J225" s="164"/>
      <c r="K225" s="164"/>
    </row>
    <row r="226" spans="3:11" x14ac:dyDescent="0.35">
      <c r="C226" s="164"/>
      <c r="D226" s="164"/>
      <c r="E226" s="164"/>
      <c r="F226" s="164"/>
      <c r="G226" s="164"/>
      <c r="H226" s="164"/>
      <c r="I226" s="164"/>
      <c r="J226" s="164"/>
      <c r="K226" s="164"/>
    </row>
    <row r="227" spans="3:11" x14ac:dyDescent="0.35">
      <c r="C227" s="164" t="s">
        <v>266</v>
      </c>
      <c r="D227" s="164"/>
      <c r="E227" s="164"/>
      <c r="F227" s="164"/>
      <c r="G227" s="164" t="s">
        <v>263</v>
      </c>
      <c r="H227" s="164"/>
      <c r="I227" s="164"/>
      <c r="J227" s="164"/>
      <c r="K227" s="164"/>
    </row>
    <row r="228" spans="3:11" x14ac:dyDescent="0.35">
      <c r="C228" s="164"/>
      <c r="D228" s="164"/>
      <c r="E228" s="164"/>
      <c r="F228" s="164"/>
      <c r="G228" s="164"/>
      <c r="H228" s="164"/>
      <c r="I228" s="164"/>
      <c r="J228" s="164"/>
      <c r="K228" s="164"/>
    </row>
    <row r="229" spans="3:11" x14ac:dyDescent="0.35">
      <c r="C229" s="164"/>
      <c r="D229" s="164"/>
      <c r="E229" s="164"/>
      <c r="F229" s="164"/>
      <c r="G229" s="164"/>
      <c r="H229" s="164"/>
      <c r="I229" s="164"/>
      <c r="J229" s="164"/>
      <c r="K229" s="164"/>
    </row>
    <row r="230" spans="3:11" x14ac:dyDescent="0.35">
      <c r="C230" s="164" t="s">
        <v>267</v>
      </c>
      <c r="D230" s="164"/>
      <c r="E230" s="164"/>
      <c r="F230" s="164"/>
      <c r="G230" s="164" t="s">
        <v>263</v>
      </c>
      <c r="H230" s="164"/>
      <c r="I230" s="164"/>
      <c r="J230" s="164"/>
      <c r="K230" s="164"/>
    </row>
    <row r="231" spans="3:11" x14ac:dyDescent="0.35">
      <c r="C231" s="164"/>
      <c r="D231" s="164"/>
      <c r="E231" s="164"/>
      <c r="F231" s="164"/>
      <c r="G231" s="164"/>
      <c r="H231" s="164"/>
      <c r="I231" s="164"/>
      <c r="J231" s="164"/>
      <c r="K231" s="164"/>
    </row>
    <row r="232" spans="3:11" x14ac:dyDescent="0.35">
      <c r="C232" s="164"/>
      <c r="D232" s="164"/>
      <c r="E232" s="164"/>
      <c r="F232" s="164"/>
      <c r="G232" s="164"/>
      <c r="H232" s="164"/>
      <c r="I232" s="164"/>
      <c r="J232" s="164"/>
    </row>
    <row r="233" spans="3:11" x14ac:dyDescent="0.35">
      <c r="C233" s="164"/>
      <c r="D233" s="164"/>
      <c r="E233" s="164"/>
      <c r="F233" s="164"/>
      <c r="G233" s="164"/>
      <c r="H233" s="164"/>
      <c r="I233" s="164"/>
      <c r="J233" s="164"/>
    </row>
    <row r="234" spans="3:11" x14ac:dyDescent="0.35">
      <c r="D234" s="164"/>
      <c r="E234" s="164"/>
      <c r="F234" s="164"/>
      <c r="G234" s="164"/>
      <c r="H234" s="164"/>
      <c r="I234" s="164"/>
      <c r="J234" s="164"/>
    </row>
  </sheetData>
  <mergeCells count="4">
    <mergeCell ref="B8:J8"/>
    <mergeCell ref="E9:G9"/>
    <mergeCell ref="E10:G10"/>
    <mergeCell ref="B213:C2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55F7-4B43-4138-AE70-6D312D4511EE}">
  <dimension ref="A1:M210"/>
  <sheetViews>
    <sheetView workbookViewId="0">
      <selection sqref="A1:M210"/>
    </sheetView>
  </sheetViews>
  <sheetFormatPr defaultRowHeight="14.5" x14ac:dyDescent="0.35"/>
  <sheetData>
    <row r="1" spans="1:13" x14ac:dyDescent="0.35">
      <c r="A1" s="170" t="s">
        <v>268</v>
      </c>
      <c r="B1" s="170"/>
      <c r="E1" s="171" t="s">
        <v>225</v>
      </c>
      <c r="H1" t="s">
        <v>269</v>
      </c>
      <c r="J1" s="171" t="s">
        <v>225</v>
      </c>
      <c r="K1" s="171" t="s">
        <v>232</v>
      </c>
      <c r="L1" s="171" t="s">
        <v>235</v>
      </c>
      <c r="M1" s="171" t="s">
        <v>236</v>
      </c>
    </row>
    <row r="2" spans="1:13" x14ac:dyDescent="0.35">
      <c r="A2" s="172" t="s">
        <v>214</v>
      </c>
      <c r="B2" s="172"/>
      <c r="C2" s="172"/>
      <c r="D2" s="173" t="s">
        <v>270</v>
      </c>
      <c r="E2" s="173" t="s">
        <v>271</v>
      </c>
      <c r="G2">
        <v>1</v>
      </c>
      <c r="H2" t="str">
        <f>IFERROR(IF(VLOOKUP(I2,[1]Mapping!$BT:$BU,2,FALSE)=0,"N/A",VLOOKUP(I2,[1]Mapping!$BT:$BU,2,FALSE)),"N/A")</f>
        <v>Abasheva Anna</v>
      </c>
      <c r="I2" t="s">
        <v>272</v>
      </c>
      <c r="J2" s="174">
        <f>IFERROR(VLOOKUP(I2,$C$4:$E$119,3,FALSE),0)</f>
        <v>0.9</v>
      </c>
      <c r="K2" s="174">
        <f>IFERROR(VLOOKUP(I2,$C$122:$E$238,3,FALSE),0)</f>
        <v>0.93</v>
      </c>
      <c r="L2" s="174"/>
      <c r="M2" s="174"/>
    </row>
    <row r="3" spans="1:13" x14ac:dyDescent="0.35">
      <c r="A3" s="172" t="s">
        <v>273</v>
      </c>
      <c r="B3" s="172"/>
      <c r="C3" s="172" t="s">
        <v>274</v>
      </c>
      <c r="D3" s="173" t="s">
        <v>275</v>
      </c>
      <c r="E3" s="173"/>
      <c r="G3">
        <v>2</v>
      </c>
      <c r="H3" t="str">
        <f>IFERROR(IF(VLOOKUP(I3,[1]Mapping!$BT:$BU,2,FALSE)=0,"N/A",VLOOKUP(I3,[1]Mapping!$BT:$BU,2,FALSE)),"N/A")</f>
        <v>Abdykadyrova Aizhamal</v>
      </c>
      <c r="I3" t="s">
        <v>276</v>
      </c>
      <c r="J3" s="174">
        <f t="shared" ref="J3:J66" si="0">IFERROR(VLOOKUP(I3,$C$4:$E$119,3,FALSE),0)</f>
        <v>0.99</v>
      </c>
      <c r="K3" s="174">
        <f t="shared" ref="K3:K66" si="1">IFERROR(VLOOKUP(I3,$C$122:$E$238,3,FALSE),0)</f>
        <v>1</v>
      </c>
      <c r="L3" s="174"/>
      <c r="M3" s="174"/>
    </row>
    <row r="4" spans="1:13" x14ac:dyDescent="0.35">
      <c r="A4" s="175" t="s">
        <v>277</v>
      </c>
      <c r="B4" s="175" t="str">
        <f>IFERROR(IF(VLOOKUP(C4,[1]Mapping!$BT:$BU,2,FALSE)=0,"",VLOOKUP(C4,[1]Mapping!$BT:$BU,2,FALSE)),"")</f>
        <v>Dratkov Grigoriy</v>
      </c>
      <c r="C4" s="175" t="s">
        <v>278</v>
      </c>
      <c r="D4" s="176">
        <v>1</v>
      </c>
      <c r="E4" s="176">
        <v>1</v>
      </c>
      <c r="G4">
        <v>3</v>
      </c>
      <c r="H4" t="str">
        <f>IFERROR(IF(VLOOKUP(I4,[1]Mapping!$BT:$BU,2,FALSE)=0,"N/A",VLOOKUP(I4,[1]Mapping!$BT:$BU,2,FALSE)),"N/A")</f>
        <v>Abdulanova Lyazzat</v>
      </c>
      <c r="I4" t="s">
        <v>279</v>
      </c>
      <c r="J4" s="174">
        <f t="shared" si="0"/>
        <v>0.93</v>
      </c>
      <c r="K4" s="174">
        <f t="shared" si="1"/>
        <v>0</v>
      </c>
      <c r="L4" s="174"/>
      <c r="M4" s="174"/>
    </row>
    <row r="5" spans="1:13" x14ac:dyDescent="0.35">
      <c r="A5" s="177"/>
      <c r="B5" s="177" t="str">
        <f>IFERROR(IF(VLOOKUP(C5,[1]Mapping!$BT:$BU,2,FALSE)=0,"",VLOOKUP(C5,[1]Mapping!$BT:$BU,2,FALSE)),"")</f>
        <v/>
      </c>
      <c r="C5" s="178" t="s">
        <v>280</v>
      </c>
      <c r="D5" s="176">
        <v>1</v>
      </c>
      <c r="E5" s="176">
        <v>1</v>
      </c>
      <c r="G5">
        <v>4</v>
      </c>
      <c r="H5" t="str">
        <f>IFERROR(IF(VLOOKUP(I5,[1]Mapping!$BT:$BU,2,FALSE)=0,"N/A",VLOOKUP(I5,[1]Mapping!$BT:$BU,2,FALSE)),"N/A")</f>
        <v>Abdygaziyeva Zhanylmyrza</v>
      </c>
      <c r="I5" t="s">
        <v>281</v>
      </c>
      <c r="J5" s="174">
        <f t="shared" si="0"/>
        <v>0.99</v>
      </c>
      <c r="K5" s="174">
        <f t="shared" si="1"/>
        <v>1</v>
      </c>
      <c r="L5" s="174"/>
      <c r="M5" s="174"/>
    </row>
    <row r="6" spans="1:13" x14ac:dyDescent="0.35">
      <c r="A6" s="175" t="s">
        <v>282</v>
      </c>
      <c r="B6" s="175" t="str">
        <f>IFERROR(IF(VLOOKUP(C6,[1]Mapping!$BT:$BU,2,FALSE)=0,"",VLOOKUP(C6,[1]Mapping!$BT:$BU,2,FALSE)),"")</f>
        <v>Itakhunov Rassul</v>
      </c>
      <c r="C6" s="175" t="s">
        <v>283</v>
      </c>
      <c r="D6" s="179">
        <v>0.91</v>
      </c>
      <c r="E6" s="179">
        <v>0.91</v>
      </c>
      <c r="G6">
        <v>5</v>
      </c>
      <c r="H6" t="str">
        <f>IFERROR(IF(VLOOKUP(I6,[1]Mapping!$BT:$BU,2,FALSE)=0,"N/A",VLOOKUP(I6,[1]Mapping!$BT:$BU,2,FALSE)),"N/A")</f>
        <v>Aybolova Zhazira</v>
      </c>
      <c r="I6" t="s">
        <v>284</v>
      </c>
      <c r="J6" s="174">
        <f t="shared" si="0"/>
        <v>0.96</v>
      </c>
      <c r="K6" s="174">
        <f t="shared" si="1"/>
        <v>0.95</v>
      </c>
      <c r="L6" s="174"/>
      <c r="M6" s="174"/>
    </row>
    <row r="7" spans="1:13" x14ac:dyDescent="0.35">
      <c r="A7" s="177"/>
      <c r="B7" s="177" t="str">
        <f>IFERROR(IF(VLOOKUP(C7,[1]Mapping!$BT:$BU,2,FALSE)=0,"",VLOOKUP(C7,[1]Mapping!$BT:$BU,2,FALSE)),"")</f>
        <v/>
      </c>
      <c r="C7" s="178" t="s">
        <v>280</v>
      </c>
      <c r="D7" s="179">
        <v>0.91</v>
      </c>
      <c r="E7" s="179">
        <v>0.91</v>
      </c>
      <c r="G7">
        <v>6</v>
      </c>
      <c r="H7" t="str">
        <f>IFERROR(IF(VLOOKUP(I7,[1]Mapping!$BT:$BU,2,FALSE)=0,"N/A",VLOOKUP(I7,[1]Mapping!$BT:$BU,2,FALSE)),"N/A")</f>
        <v>Aitbenbetova Dinara</v>
      </c>
      <c r="I7" t="s">
        <v>285</v>
      </c>
      <c r="J7" s="174">
        <f t="shared" si="0"/>
        <v>0.96</v>
      </c>
      <c r="K7" s="174">
        <f t="shared" si="1"/>
        <v>0.98</v>
      </c>
      <c r="L7" s="174"/>
      <c r="M7" s="174"/>
    </row>
    <row r="8" spans="1:13" x14ac:dyDescent="0.35">
      <c r="A8" s="175" t="s">
        <v>286</v>
      </c>
      <c r="B8" s="175" t="str">
        <f>IFERROR(IF(VLOOKUP(C8,[1]Mapping!$BT:$BU,2,FALSE)=0,"",VLOOKUP(C8,[1]Mapping!$BT:$BU,2,FALSE)),"")</f>
        <v>Alzhanova Zhuldyz</v>
      </c>
      <c r="C8" s="175" t="s">
        <v>287</v>
      </c>
      <c r="D8" s="179">
        <v>0.91</v>
      </c>
      <c r="E8" s="179">
        <v>0.91</v>
      </c>
      <c r="G8">
        <v>7</v>
      </c>
      <c r="H8" t="str">
        <f>IFERROR(IF(VLOOKUP(I8,[1]Mapping!$BT:$BU,2,FALSE)=0,"N/A",VLOOKUP(I8,[1]Mapping!$BT:$BU,2,FALSE)),"N/A")</f>
        <v>Aliyev Askar</v>
      </c>
      <c r="I8" t="s">
        <v>288</v>
      </c>
      <c r="J8" s="174">
        <f t="shared" si="0"/>
        <v>1</v>
      </c>
      <c r="K8" s="174">
        <f t="shared" si="1"/>
        <v>0.99</v>
      </c>
      <c r="L8" s="174"/>
      <c r="M8" s="174"/>
    </row>
    <row r="9" spans="1:13" x14ac:dyDescent="0.35">
      <c r="A9" s="175"/>
      <c r="B9" s="175" t="str">
        <f>IFERROR(IF(VLOOKUP(C9,[1]Mapping!$BT:$BU,2,FALSE)=0,"",VLOOKUP(C9,[1]Mapping!$BT:$BU,2,FALSE)),"")</f>
        <v>Sadvakassova Zhanat</v>
      </c>
      <c r="C9" s="175" t="s">
        <v>289</v>
      </c>
      <c r="D9" s="176">
        <v>0.99</v>
      </c>
      <c r="E9" s="176">
        <v>0.99</v>
      </c>
      <c r="G9">
        <v>8</v>
      </c>
      <c r="H9" t="str">
        <f>IFERROR(IF(VLOOKUP(I9,[1]Mapping!$BT:$BU,2,FALSE)=0,"N/A",VLOOKUP(I9,[1]Mapping!$BT:$BU,2,FALSE)),"N/A")</f>
        <v>Tilessova Altynay</v>
      </c>
      <c r="I9" s="175" t="s">
        <v>290</v>
      </c>
      <c r="J9" s="174">
        <f t="shared" si="0"/>
        <v>0.99</v>
      </c>
      <c r="K9" s="174">
        <f t="shared" si="1"/>
        <v>0.97</v>
      </c>
      <c r="L9" s="174"/>
      <c r="M9" s="174"/>
    </row>
    <row r="10" spans="1:13" x14ac:dyDescent="0.35">
      <c r="A10" s="177"/>
      <c r="B10" s="177" t="str">
        <f>IFERROR(IF(VLOOKUP(C10,[1]Mapping!$BT:$BU,2,FALSE)=0,"",VLOOKUP(C10,[1]Mapping!$BT:$BU,2,FALSE)),"")</f>
        <v/>
      </c>
      <c r="C10" s="178" t="s">
        <v>280</v>
      </c>
      <c r="D10" s="176">
        <v>0.95</v>
      </c>
      <c r="E10" s="176">
        <v>0.95</v>
      </c>
      <c r="G10">
        <v>9</v>
      </c>
      <c r="H10" t="str">
        <f>IFERROR(IF(VLOOKUP(I10,[1]Mapping!$BT:$BU,2,FALSE)=0,"N/A",VLOOKUP(I10,[1]Mapping!$BT:$BU,2,FALSE)),"N/A")</f>
        <v>Altynbassova Shynar</v>
      </c>
      <c r="I10" t="s">
        <v>291</v>
      </c>
      <c r="J10" s="174">
        <f t="shared" si="0"/>
        <v>0.87</v>
      </c>
      <c r="K10" s="174">
        <f t="shared" si="1"/>
        <v>0.96</v>
      </c>
      <c r="L10" s="174"/>
      <c r="M10" s="174"/>
    </row>
    <row r="11" spans="1:13" x14ac:dyDescent="0.35">
      <c r="A11" s="175" t="s">
        <v>292</v>
      </c>
      <c r="B11" s="175" t="str">
        <f>IFERROR(IF(VLOOKUP(C11,[1]Mapping!$BT:$BU,2,FALSE)=0,"",VLOOKUP(C11,[1]Mapping!$BT:$BU,2,FALSE)),"")</f>
        <v>Ossipova Anna</v>
      </c>
      <c r="C11" s="175" t="s">
        <v>293</v>
      </c>
      <c r="D11" s="179">
        <v>0.93</v>
      </c>
      <c r="E11" s="179">
        <v>0.93</v>
      </c>
      <c r="G11">
        <v>10</v>
      </c>
      <c r="H11" t="str">
        <f>IFERROR(IF(VLOOKUP(I11,[1]Mapping!$BT:$BU,2,FALSE)=0,"N/A",VLOOKUP(I11,[1]Mapping!$BT:$BU,2,FALSE)),"N/A")</f>
        <v>Alzhanova Zhuldyz</v>
      </c>
      <c r="I11" t="s">
        <v>287</v>
      </c>
      <c r="J11" s="174">
        <f t="shared" si="0"/>
        <v>0.91</v>
      </c>
      <c r="K11" s="174">
        <f t="shared" si="1"/>
        <v>1</v>
      </c>
      <c r="L11" s="174"/>
      <c r="M11" s="174"/>
    </row>
    <row r="12" spans="1:13" x14ac:dyDescent="0.35">
      <c r="A12" s="177"/>
      <c r="B12" s="177" t="str">
        <f>IFERROR(IF(VLOOKUP(C12,[1]Mapping!$BT:$BU,2,FALSE)=0,"",VLOOKUP(C12,[1]Mapping!$BT:$BU,2,FALSE)),"")</f>
        <v/>
      </c>
      <c r="C12" s="178" t="s">
        <v>280</v>
      </c>
      <c r="D12" s="179">
        <v>0.93</v>
      </c>
      <c r="E12" s="179">
        <v>0.93</v>
      </c>
      <c r="G12">
        <v>11</v>
      </c>
      <c r="H12" t="str">
        <f>IFERROR(IF(VLOOKUP(I12,[1]Mapping!$BT:$BU,2,FALSE)=0,"N/A",VLOOKUP(I12,[1]Mapping!$BT:$BU,2,FALSE)),"N/A")</f>
        <v>Arestova Yelena</v>
      </c>
      <c r="I12" t="s">
        <v>294</v>
      </c>
      <c r="J12" s="174">
        <f t="shared" si="0"/>
        <v>0.94</v>
      </c>
      <c r="K12" s="174">
        <f t="shared" si="1"/>
        <v>0.96</v>
      </c>
      <c r="L12" s="174"/>
      <c r="M12" s="174"/>
    </row>
    <row r="13" spans="1:13" x14ac:dyDescent="0.35">
      <c r="A13" s="175" t="s">
        <v>295</v>
      </c>
      <c r="B13" s="175" t="str">
        <f>IFERROR(IF(VLOOKUP(C13,[1]Mapping!$BT:$BU,2,FALSE)=0,"",VLOOKUP(C13,[1]Mapping!$BT:$BU,2,FALSE)),"")</f>
        <v>Maximenko Alexandr</v>
      </c>
      <c r="C13" s="175" t="s">
        <v>296</v>
      </c>
      <c r="D13" s="179">
        <v>0.91</v>
      </c>
      <c r="E13" s="179">
        <v>0.91</v>
      </c>
      <c r="G13">
        <v>12</v>
      </c>
      <c r="H13" t="str">
        <f>IFERROR(IF(VLOOKUP(I13,[1]Mapping!$BT:$BU,2,FALSE)=0,"N/A",VLOOKUP(I13,[1]Mapping!$BT:$BU,2,FALSE)),"N/A")</f>
        <v>Auyelbekova Syndykul</v>
      </c>
      <c r="I13" t="s">
        <v>297</v>
      </c>
      <c r="J13" s="174">
        <f t="shared" si="0"/>
        <v>0.92</v>
      </c>
      <c r="K13" s="174">
        <f t="shared" si="1"/>
        <v>0.93</v>
      </c>
      <c r="L13" s="174"/>
      <c r="M13" s="174"/>
    </row>
    <row r="14" spans="1:13" x14ac:dyDescent="0.35">
      <c r="A14" s="177"/>
      <c r="B14" s="177" t="str">
        <f>IFERROR(IF(VLOOKUP(C14,[1]Mapping!$BT:$BU,2,FALSE)=0,"",VLOOKUP(C14,[1]Mapping!$BT:$BU,2,FALSE)),"")</f>
        <v/>
      </c>
      <c r="C14" s="178" t="s">
        <v>280</v>
      </c>
      <c r="D14" s="179">
        <v>0.91</v>
      </c>
      <c r="E14" s="179">
        <v>0.91</v>
      </c>
      <c r="G14">
        <v>13</v>
      </c>
      <c r="H14" t="str">
        <f>IFERROR(IF(VLOOKUP(I14,[1]Mapping!$BT:$BU,2,FALSE)=0,"N/A",VLOOKUP(I14,[1]Mapping!$BT:$BU,2,FALSE)),"N/A")</f>
        <v>Akhmadiyeva Gulzhan</v>
      </c>
      <c r="I14" t="s">
        <v>298</v>
      </c>
      <c r="J14" s="174">
        <f t="shared" si="0"/>
        <v>0.95</v>
      </c>
      <c r="K14" s="174">
        <f t="shared" si="1"/>
        <v>0.95</v>
      </c>
      <c r="L14" s="174"/>
      <c r="M14" s="174"/>
    </row>
    <row r="15" spans="1:13" x14ac:dyDescent="0.35">
      <c r="A15" s="175" t="s">
        <v>299</v>
      </c>
      <c r="B15" s="175" t="str">
        <f>IFERROR(IF(VLOOKUP(C15,[1]Mapping!$BT:$BU,2,FALSE)=0,"",VLOOKUP(C15,[1]Mapping!$BT:$BU,2,FALSE)),"")</f>
        <v>Litvinenko Tatyana</v>
      </c>
      <c r="C15" s="175" t="s">
        <v>300</v>
      </c>
      <c r="D15" s="179">
        <v>0.87</v>
      </c>
      <c r="E15" s="179">
        <v>0.87</v>
      </c>
      <c r="G15">
        <v>14</v>
      </c>
      <c r="H15" t="str">
        <f>IFERROR(IF(VLOOKUP(I15,[1]Mapping!$BT:$BU,2,FALSE)=0,"N/A",VLOOKUP(I15,[1]Mapping!$BT:$BU,2,FALSE)),"N/A")</f>
        <v>Bayzakova Gulzhan</v>
      </c>
      <c r="I15" t="s">
        <v>301</v>
      </c>
      <c r="J15" s="174">
        <f t="shared" si="0"/>
        <v>0.82</v>
      </c>
      <c r="K15" s="174">
        <f t="shared" si="1"/>
        <v>0.86</v>
      </c>
      <c r="L15" s="174"/>
      <c r="M15" s="174"/>
    </row>
    <row r="16" spans="1:13" x14ac:dyDescent="0.35">
      <c r="A16" s="177"/>
      <c r="B16" s="177" t="str">
        <f>IFERROR(IF(VLOOKUP(C16,[1]Mapping!$BT:$BU,2,FALSE)=0,"",VLOOKUP(C16,[1]Mapping!$BT:$BU,2,FALSE)),"")</f>
        <v/>
      </c>
      <c r="C16" s="178" t="s">
        <v>280</v>
      </c>
      <c r="D16" s="179">
        <v>0.87</v>
      </c>
      <c r="E16" s="179">
        <v>0.87</v>
      </c>
      <c r="G16">
        <v>15</v>
      </c>
      <c r="H16" t="str">
        <f>IFERROR(IF(VLOOKUP(I16,[1]Mapping!$BT:$BU,2,FALSE)=0,"N/A",VLOOKUP(I16,[1]Mapping!$BT:$BU,2,FALSE)),"N/A")</f>
        <v>Baimysheva Mariya</v>
      </c>
      <c r="I16" t="s">
        <v>302</v>
      </c>
      <c r="J16" s="174">
        <f t="shared" si="0"/>
        <v>0.95</v>
      </c>
      <c r="K16" s="174">
        <f t="shared" si="1"/>
        <v>0.98</v>
      </c>
      <c r="L16" s="174"/>
      <c r="M16" s="174"/>
    </row>
    <row r="17" spans="1:13" x14ac:dyDescent="0.35">
      <c r="A17" s="175" t="s">
        <v>303</v>
      </c>
      <c r="B17" s="175" t="str">
        <f>IFERROR(IF(VLOOKUP(C17,[1]Mapping!$BT:$BU,2,FALSE)=0,"",VLOOKUP(C17,[1]Mapping!$BT:$BU,2,FALSE)),"")</f>
        <v>Simachkova Yelena</v>
      </c>
      <c r="C17" s="175" t="s">
        <v>304</v>
      </c>
      <c r="D17" s="179">
        <v>0.9</v>
      </c>
      <c r="E17" s="179">
        <v>0.9</v>
      </c>
      <c r="G17">
        <v>16</v>
      </c>
      <c r="H17" t="str">
        <f>IFERROR(IF(VLOOKUP(I17,[1]Mapping!$BT:$BU,2,FALSE)=0,"N/A",VLOOKUP(I17,[1]Mapping!$BT:$BU,2,FALSE)),"N/A")</f>
        <v>Bakisheva Aliya</v>
      </c>
      <c r="I17" t="s">
        <v>305</v>
      </c>
      <c r="J17" s="174">
        <f t="shared" si="0"/>
        <v>0.97</v>
      </c>
      <c r="K17" s="174">
        <f t="shared" si="1"/>
        <v>1</v>
      </c>
      <c r="L17" s="174"/>
      <c r="M17" s="174"/>
    </row>
    <row r="18" spans="1:13" x14ac:dyDescent="0.35">
      <c r="A18" s="177"/>
      <c r="B18" s="177" t="str">
        <f>IFERROR(IF(VLOOKUP(C18,[1]Mapping!$BT:$BU,2,FALSE)=0,"",VLOOKUP(C18,[1]Mapping!$BT:$BU,2,FALSE)),"")</f>
        <v/>
      </c>
      <c r="C18" s="178" t="s">
        <v>280</v>
      </c>
      <c r="D18" s="179">
        <v>0.9</v>
      </c>
      <c r="E18" s="179">
        <v>0.9</v>
      </c>
      <c r="G18">
        <v>17</v>
      </c>
      <c r="H18" t="str">
        <f>IFERROR(IF(VLOOKUP(I18,[1]Mapping!$BT:$BU,2,FALSE)=0,"N/A",VLOOKUP(I18,[1]Mapping!$BT:$BU,2,FALSE)),"N/A")</f>
        <v>Balanesku Irina</v>
      </c>
      <c r="I18" t="s">
        <v>306</v>
      </c>
      <c r="J18" s="174">
        <f t="shared" si="0"/>
        <v>0.98</v>
      </c>
      <c r="K18" s="174">
        <f t="shared" si="1"/>
        <v>0.98</v>
      </c>
      <c r="L18" s="174"/>
      <c r="M18" s="174"/>
    </row>
    <row r="19" spans="1:13" x14ac:dyDescent="0.35">
      <c r="A19" s="175" t="s">
        <v>307</v>
      </c>
      <c r="B19" s="175" t="str">
        <f>IFERROR(IF(VLOOKUP(C19,[1]Mapping!$BT:$BU,2,FALSE)=0,"",VLOOKUP(C19,[1]Mapping!$BT:$BU,2,FALSE)),"")</f>
        <v>Sarbassova Dina (Astana)</v>
      </c>
      <c r="C19" s="175" t="s">
        <v>308</v>
      </c>
      <c r="D19" s="179">
        <v>0.83</v>
      </c>
      <c r="E19" s="179">
        <v>0.83</v>
      </c>
      <c r="G19">
        <v>18</v>
      </c>
      <c r="H19" t="str">
        <f>IFERROR(IF(VLOOKUP(I19,[1]Mapping!$BT:$BU,2,FALSE)=0,"N/A",VLOOKUP(I19,[1]Mapping!$BT:$BU,2,FALSE)),"N/A")</f>
        <v>Balmagambetova Zamza</v>
      </c>
      <c r="I19" t="s">
        <v>309</v>
      </c>
      <c r="J19" s="174">
        <f t="shared" si="0"/>
        <v>0.95</v>
      </c>
      <c r="K19" s="174">
        <f t="shared" si="1"/>
        <v>0.96</v>
      </c>
      <c r="L19" s="174"/>
      <c r="M19" s="174"/>
    </row>
    <row r="20" spans="1:13" x14ac:dyDescent="0.35">
      <c r="A20" s="175"/>
      <c r="B20" s="175" t="str">
        <f>IFERROR(IF(VLOOKUP(C20,[1]Mapping!$BT:$BU,2,FALSE)=0,"",VLOOKUP(C20,[1]Mapping!$BT:$BU,2,FALSE)),"")</f>
        <v>Sariyeva Ainur</v>
      </c>
      <c r="C20" s="175" t="s">
        <v>310</v>
      </c>
      <c r="D20" s="179">
        <v>0.89</v>
      </c>
      <c r="E20" s="179">
        <v>0.89</v>
      </c>
      <c r="G20">
        <v>19</v>
      </c>
      <c r="H20" t="str">
        <f>IFERROR(IF(VLOOKUP(I20,[1]Mapping!$BT:$BU,2,FALSE)=0,"N/A",VLOOKUP(I20,[1]Mapping!$BT:$BU,2,FALSE)),"N/A")</f>
        <v>Bekbauova Saltanat</v>
      </c>
      <c r="I20" t="s">
        <v>311</v>
      </c>
      <c r="J20" s="174">
        <f t="shared" si="0"/>
        <v>0.87</v>
      </c>
      <c r="K20" s="174">
        <f t="shared" si="1"/>
        <v>0.97</v>
      </c>
      <c r="L20" s="174"/>
      <c r="M20" s="174"/>
    </row>
    <row r="21" spans="1:13" x14ac:dyDescent="0.35">
      <c r="A21" s="177"/>
      <c r="B21" s="177" t="str">
        <f>IFERROR(IF(VLOOKUP(C21,[1]Mapping!$BT:$BU,2,FALSE)=0,"",VLOOKUP(C21,[1]Mapping!$BT:$BU,2,FALSE)),"")</f>
        <v/>
      </c>
      <c r="C21" s="178" t="s">
        <v>280</v>
      </c>
      <c r="D21" s="179">
        <v>0.86</v>
      </c>
      <c r="E21" s="179">
        <v>0.86</v>
      </c>
      <c r="G21">
        <v>20</v>
      </c>
      <c r="H21" t="str">
        <f>IFERROR(IF(VLOOKUP(I21,[1]Mapping!$BT:$BU,2,FALSE)=0,"N/A",VLOOKUP(I21,[1]Mapping!$BT:$BU,2,FALSE)),"N/A")</f>
        <v>Boyarova Alfiya</v>
      </c>
      <c r="I21" t="s">
        <v>312</v>
      </c>
      <c r="J21" s="174">
        <f t="shared" si="0"/>
        <v>0.81</v>
      </c>
      <c r="K21" s="174">
        <f t="shared" si="1"/>
        <v>0.85</v>
      </c>
      <c r="L21" s="174"/>
      <c r="M21" s="174"/>
    </row>
    <row r="22" spans="1:13" x14ac:dyDescent="0.35">
      <c r="A22" s="175" t="s">
        <v>313</v>
      </c>
      <c r="B22" s="175" t="str">
        <f>IFERROR(IF(VLOOKUP(C22,[1]Mapping!$BT:$BU,2,FALSE)=0,"",VLOOKUP(C22,[1]Mapping!$BT:$BU,2,FALSE)),"")</f>
        <v>Sagimbayeva Lyazat</v>
      </c>
      <c r="C22" s="175" t="s">
        <v>314</v>
      </c>
      <c r="D22" s="176">
        <v>0.99</v>
      </c>
      <c r="E22" s="176">
        <v>0.99</v>
      </c>
      <c r="G22">
        <v>21</v>
      </c>
      <c r="H22" t="str">
        <f>IFERROR(IF(VLOOKUP(I22,[1]Mapping!$BT:$BU,2,FALSE)=0,"N/A",VLOOKUP(I22,[1]Mapping!$BT:$BU,2,FALSE)),"N/A")</f>
        <v>Brialinova Inkar</v>
      </c>
      <c r="I22" t="s">
        <v>315</v>
      </c>
      <c r="J22" s="174">
        <f t="shared" si="0"/>
        <v>0.99</v>
      </c>
      <c r="K22" s="174">
        <f t="shared" si="1"/>
        <v>0.98</v>
      </c>
      <c r="L22" s="174"/>
      <c r="M22" s="174"/>
    </row>
    <row r="23" spans="1:13" x14ac:dyDescent="0.35">
      <c r="B23" t="str">
        <f>IFERROR(IF(VLOOKUP(C23,[1]Mapping!$BT:$BU,2,FALSE)=0,"",VLOOKUP(C23,[1]Mapping!$BT:$BU,2,FALSE)),"")</f>
        <v>Beyshenbayeva Gulzat</v>
      </c>
      <c r="C23" t="s">
        <v>316</v>
      </c>
      <c r="E23" s="174">
        <v>0.97</v>
      </c>
      <c r="G23">
        <v>22</v>
      </c>
      <c r="H23" t="str">
        <f>IFERROR(IF(VLOOKUP(I23,[1]Mapping!$BT:$BU,2,FALSE)=0,"N/A",VLOOKUP(I23,[1]Mapping!$BT:$BU,2,FALSE)),"N/A")</f>
        <v>Morshneva (Burda) Irina</v>
      </c>
      <c r="I23" t="s">
        <v>317</v>
      </c>
      <c r="J23" s="174">
        <f t="shared" si="0"/>
        <v>0.66</v>
      </c>
      <c r="K23" s="174">
        <f t="shared" si="1"/>
        <v>0</v>
      </c>
      <c r="L23" s="174"/>
      <c r="M23" s="174"/>
    </row>
    <row r="24" spans="1:13" x14ac:dyDescent="0.35">
      <c r="B24" t="str">
        <f>IFERROR(IF(VLOOKUP(C24,[1]Mapping!$BT:$BU,2,FALSE)=0,"",VLOOKUP(C24,[1]Mapping!$BT:$BU,2,FALSE)),"")</f>
        <v>Galiyeva Saule</v>
      </c>
      <c r="C24" t="s">
        <v>318</v>
      </c>
      <c r="E24" s="174">
        <v>0.93</v>
      </c>
      <c r="G24">
        <v>23</v>
      </c>
      <c r="H24" t="str">
        <f>IFERROR(IF(VLOOKUP(I24,[1]Mapping!$BT:$BU,2,FALSE)=0,"N/A",VLOOKUP(I24,[1]Mapping!$BT:$BU,2,FALSE)),"N/A")</f>
        <v>Gulyakova Olga</v>
      </c>
      <c r="I24" t="s">
        <v>319</v>
      </c>
      <c r="J24" s="174">
        <f t="shared" si="0"/>
        <v>0.95</v>
      </c>
      <c r="K24" s="174">
        <f t="shared" si="1"/>
        <v>0.87</v>
      </c>
      <c r="L24" s="174"/>
      <c r="M24" s="174"/>
    </row>
    <row r="25" spans="1:13" x14ac:dyDescent="0.35">
      <c r="B25" t="str">
        <f>IFERROR(IF(VLOOKUP(C25,[1]Mapping!$BT:$BU,2,FALSE)=0,"",VLOOKUP(C25,[1]Mapping!$BT:$BU,2,FALSE)),"")</f>
        <v>Yevseyenko Larissa</v>
      </c>
      <c r="C25" t="s">
        <v>320</v>
      </c>
      <c r="E25" s="174">
        <v>0.91</v>
      </c>
      <c r="G25">
        <v>24</v>
      </c>
      <c r="H25" t="str">
        <f>IFERROR(IF(VLOOKUP(I25,[1]Mapping!$BT:$BU,2,FALSE)=0,"N/A",VLOOKUP(I25,[1]Mapping!$BT:$BU,2,FALSE)),"N/A")</f>
        <v>Donayeva Nazira</v>
      </c>
      <c r="I25" t="s">
        <v>321</v>
      </c>
      <c r="J25" s="174">
        <f t="shared" si="0"/>
        <v>0.93</v>
      </c>
      <c r="K25" s="174">
        <f t="shared" si="1"/>
        <v>0.95</v>
      </c>
      <c r="L25" s="174"/>
      <c r="M25" s="174"/>
    </row>
    <row r="26" spans="1:13" x14ac:dyDescent="0.35">
      <c r="B26" t="str">
        <f>IFERROR(IF(VLOOKUP(C26,[1]Mapping!$BT:$BU,2,FALSE)=0,"",VLOOKUP(C26,[1]Mapping!$BT:$BU,2,FALSE)),"")</f>
        <v>Zhmailova Yelena</v>
      </c>
      <c r="C26" t="s">
        <v>322</v>
      </c>
      <c r="E26" s="174">
        <v>0.97</v>
      </c>
      <c r="G26">
        <v>25</v>
      </c>
      <c r="H26" t="str">
        <f>IFERROR(IF(VLOOKUP(I26,[1]Mapping!$BT:$BU,2,FALSE)=0,"N/A",VLOOKUP(I26,[1]Mapping!$BT:$BU,2,FALSE)),"N/A")</f>
        <v>Dratkov Grigoriy</v>
      </c>
      <c r="I26" t="s">
        <v>278</v>
      </c>
      <c r="J26" s="174">
        <f t="shared" si="0"/>
        <v>1</v>
      </c>
      <c r="K26" s="174">
        <f t="shared" si="1"/>
        <v>1</v>
      </c>
      <c r="L26" s="174"/>
      <c r="M26" s="174"/>
    </row>
    <row r="27" spans="1:13" x14ac:dyDescent="0.35">
      <c r="B27" t="str">
        <f>IFERROR(IF(VLOOKUP(C27,[1]Mapping!$BT:$BU,2,FALSE)=0,"",VLOOKUP(C27,[1]Mapping!$BT:$BU,2,FALSE)),"")</f>
        <v>Zarpullayeva Gulnara</v>
      </c>
      <c r="C27" t="s">
        <v>323</v>
      </c>
      <c r="E27" s="174">
        <v>0.92</v>
      </c>
      <c r="G27">
        <v>26</v>
      </c>
      <c r="H27" t="str">
        <f>IFERROR(IF(VLOOKUP(I27,[1]Mapping!$BT:$BU,2,FALSE)=0,"N/A",VLOOKUP(I27,[1]Mapping!$BT:$BU,2,FALSE)),"N/A")</f>
        <v>Dubova Yevgeniya</v>
      </c>
      <c r="I27" t="s">
        <v>324</v>
      </c>
      <c r="J27" s="174">
        <f t="shared" si="0"/>
        <v>0</v>
      </c>
      <c r="K27" s="174">
        <f t="shared" si="1"/>
        <v>1</v>
      </c>
      <c r="L27" s="174"/>
      <c r="M27" s="174"/>
    </row>
    <row r="28" spans="1:13" x14ac:dyDescent="0.35">
      <c r="B28" t="str">
        <f>IFERROR(IF(VLOOKUP(C28,[1]Mapping!$BT:$BU,2,FALSE)=0,"",VLOOKUP(C28,[1]Mapping!$BT:$BU,2,FALSE)),"")</f>
        <v>Kuzikeyeva Dinara</v>
      </c>
      <c r="C28" t="s">
        <v>325</v>
      </c>
      <c r="E28" s="174">
        <v>0.94</v>
      </c>
      <c r="G28">
        <v>27</v>
      </c>
      <c r="H28" t="str">
        <f>IFERROR(IF(VLOOKUP(I28,[1]Mapping!$BT:$BU,2,FALSE)=0,"N/A",VLOOKUP(I28,[1]Mapping!$BT:$BU,2,FALSE)),"N/A")</f>
        <v>Yerkebayeva Gulmira</v>
      </c>
      <c r="I28" t="s">
        <v>326</v>
      </c>
      <c r="J28" s="174">
        <f t="shared" si="0"/>
        <v>0.97</v>
      </c>
      <c r="K28" s="174">
        <f t="shared" si="1"/>
        <v>0</v>
      </c>
      <c r="L28" s="174"/>
      <c r="M28" s="174"/>
    </row>
    <row r="29" spans="1:13" x14ac:dyDescent="0.35">
      <c r="B29" t="str">
        <f>IFERROR(IF(VLOOKUP(C29,[1]Mapping!$BT:$BU,2,FALSE)=0,"",VLOOKUP(C29,[1]Mapping!$BT:$BU,2,FALSE)),"")</f>
        <v>Kuxa Anna</v>
      </c>
      <c r="C29" t="s">
        <v>327</v>
      </c>
      <c r="E29" s="174">
        <v>0.92</v>
      </c>
      <c r="G29">
        <v>28</v>
      </c>
      <c r="H29" t="str">
        <f>IFERROR(IF(VLOOKUP(I29,[1]Mapping!$BT:$BU,2,FALSE)=0,"N/A",VLOOKUP(I29,[1]Mapping!$BT:$BU,2,FALSE)),"N/A")</f>
        <v>Yerkin Nadiyam</v>
      </c>
      <c r="I29" t="s">
        <v>328</v>
      </c>
      <c r="J29" s="174">
        <f t="shared" si="0"/>
        <v>0.98</v>
      </c>
      <c r="K29" s="174">
        <f t="shared" si="1"/>
        <v>0.96</v>
      </c>
      <c r="L29" s="174"/>
      <c r="M29" s="174"/>
    </row>
    <row r="30" spans="1:13" x14ac:dyDescent="0.35">
      <c r="B30" t="str">
        <f>IFERROR(IF(VLOOKUP(C30,[1]Mapping!$BT:$BU,2,FALSE)=0,"",VLOOKUP(C30,[1]Mapping!$BT:$BU,2,FALSE)),"")</f>
        <v>Maisutova Almagul</v>
      </c>
      <c r="C30" t="s">
        <v>329</v>
      </c>
      <c r="E30" s="174">
        <v>0.98</v>
      </c>
      <c r="G30">
        <v>29</v>
      </c>
      <c r="H30" t="str">
        <f>IFERROR(IF(VLOOKUP(I30,[1]Mapping!$BT:$BU,2,FALSE)=0,"N/A",VLOOKUP(I30,[1]Mapping!$BT:$BU,2,FALSE)),"N/A")</f>
        <v>Yesbolova Gulnur</v>
      </c>
      <c r="I30" t="s">
        <v>330</v>
      </c>
      <c r="J30" s="174">
        <f t="shared" si="0"/>
        <v>0.99</v>
      </c>
      <c r="K30" s="174">
        <f t="shared" si="1"/>
        <v>0.99</v>
      </c>
      <c r="L30" s="174"/>
      <c r="M30" s="174"/>
    </row>
    <row r="31" spans="1:13" x14ac:dyDescent="0.35">
      <c r="B31" t="str">
        <f>IFERROR(IF(VLOOKUP(C31,[1]Mapping!$BT:$BU,2,FALSE)=0,"",VLOOKUP(C31,[1]Mapping!$BT:$BU,2,FALSE)),"")</f>
        <v>Nurikhanova Alissa</v>
      </c>
      <c r="C31" t="s">
        <v>331</v>
      </c>
      <c r="E31" s="174">
        <v>0.97</v>
      </c>
      <c r="G31">
        <v>30</v>
      </c>
      <c r="H31" t="str">
        <f>IFERROR(IF(VLOOKUP(I31,[1]Mapping!$BT:$BU,2,FALSE)=0,"N/A",VLOOKUP(I31,[1]Mapping!$BT:$BU,2,FALSE)),"N/A")</f>
        <v>Zhazylbekova Aitolkyn</v>
      </c>
      <c r="I31" t="s">
        <v>332</v>
      </c>
      <c r="J31" s="174">
        <f t="shared" si="0"/>
        <v>0.97</v>
      </c>
      <c r="K31" s="174">
        <f t="shared" si="1"/>
        <v>0.98</v>
      </c>
      <c r="L31" s="174"/>
      <c r="M31" s="174"/>
    </row>
    <row r="32" spans="1:13" x14ac:dyDescent="0.35">
      <c r="B32" t="str">
        <f>IFERROR(IF(VLOOKUP(C32,[1]Mapping!$BT:$BU,2,FALSE)=0,"",VLOOKUP(C32,[1]Mapping!$BT:$BU,2,FALSE)),"")</f>
        <v>Suttubayeva Gulnar</v>
      </c>
      <c r="C32" t="s">
        <v>333</v>
      </c>
      <c r="E32" s="174">
        <v>0.92</v>
      </c>
      <c r="G32">
        <v>31</v>
      </c>
      <c r="H32" t="str">
        <f>IFERROR(IF(VLOOKUP(I32,[1]Mapping!$BT:$BU,2,FALSE)=0,"N/A",VLOOKUP(I32,[1]Mapping!$BT:$BU,2,FALSE)),"N/A")</f>
        <v>Zhakenova Botagoz (замещение Калдыбаевой Н.)</v>
      </c>
      <c r="I32" t="s">
        <v>334</v>
      </c>
      <c r="J32" s="174">
        <f t="shared" si="0"/>
        <v>0</v>
      </c>
      <c r="K32" s="174">
        <f t="shared" si="1"/>
        <v>0.83</v>
      </c>
      <c r="L32" s="174"/>
      <c r="M32" s="174"/>
    </row>
    <row r="33" spans="1:13" x14ac:dyDescent="0.35">
      <c r="A33" s="177"/>
      <c r="B33" s="177" t="str">
        <f>IFERROR(IF(VLOOKUP(C33,[1]Mapping!$BT:$BU,2,FALSE)=0,"",VLOOKUP(C33,[1]Mapping!$BT:$BU,2,FALSE)),"")</f>
        <v/>
      </c>
      <c r="C33" s="178" t="s">
        <v>280</v>
      </c>
      <c r="D33" s="176">
        <v>0.99</v>
      </c>
      <c r="E33" s="176">
        <v>0.99</v>
      </c>
      <c r="G33">
        <v>32</v>
      </c>
      <c r="H33" t="str">
        <f>IFERROR(IF(VLOOKUP(I33,[1]Mapping!$BT:$BU,2,FALSE)=0,"N/A",VLOOKUP(I33,[1]Mapping!$BT:$BU,2,FALSE)),"N/A")</f>
        <v>Zhanabekova Kamshat</v>
      </c>
      <c r="I33" t="s">
        <v>335</v>
      </c>
      <c r="J33" s="174">
        <f t="shared" si="0"/>
        <v>0.99</v>
      </c>
      <c r="K33" s="174">
        <f t="shared" si="1"/>
        <v>0.97</v>
      </c>
      <c r="L33" s="174"/>
      <c r="M33" s="174"/>
    </row>
    <row r="34" spans="1:13" x14ac:dyDescent="0.35">
      <c r="A34" s="170" t="s">
        <v>336</v>
      </c>
      <c r="B34" s="170" t="str">
        <f>IFERROR(IF(VLOOKUP(C34,[1]Mapping!$BT:$BU,2,FALSE)=0,"",VLOOKUP(C34,[1]Mapping!$BT:$BU,2,FALSE)),"")</f>
        <v/>
      </c>
      <c r="E34" s="171" t="s">
        <v>225</v>
      </c>
      <c r="G34">
        <v>33</v>
      </c>
      <c r="H34" t="str">
        <f>IFERROR(IF(VLOOKUP(I34,[1]Mapping!$BT:$BU,2,FALSE)=0,"N/A",VLOOKUP(I34,[1]Mapping!$BT:$BU,2,FALSE)),"N/A")</f>
        <v>Akhmetova (Imanzhanova) Sholpan</v>
      </c>
      <c r="I34" t="s">
        <v>337</v>
      </c>
      <c r="J34" s="174">
        <f t="shared" si="0"/>
        <v>0.97</v>
      </c>
      <c r="K34" s="174">
        <f t="shared" si="1"/>
        <v>0.97</v>
      </c>
      <c r="L34" s="174"/>
      <c r="M34" s="174"/>
    </row>
    <row r="35" spans="1:13" x14ac:dyDescent="0.35">
      <c r="A35" s="172" t="s">
        <v>214</v>
      </c>
      <c r="B35" s="172" t="str">
        <f>IFERROR(IF(VLOOKUP(C35,[1]Mapping!$BT:$BU,2,FALSE)=0,"",VLOOKUP(C35,[1]Mapping!$BT:$BU,2,FALSE)),"")</f>
        <v/>
      </c>
      <c r="C35" s="172"/>
      <c r="D35" s="173" t="s">
        <v>270</v>
      </c>
      <c r="E35" s="173" t="s">
        <v>271</v>
      </c>
      <c r="G35">
        <v>34</v>
      </c>
      <c r="H35" t="str">
        <f>IFERROR(IF(VLOOKUP(I35,[1]Mapping!$BT:$BU,2,FALSE)=0,"N/A",VLOOKUP(I35,[1]Mapping!$BT:$BU,2,FALSE)),"N/A")</f>
        <v>Inkarbekova Nurbibi</v>
      </c>
      <c r="I35" t="s">
        <v>338</v>
      </c>
      <c r="J35" s="174">
        <f t="shared" si="0"/>
        <v>0.98</v>
      </c>
      <c r="K35" s="174">
        <f t="shared" si="1"/>
        <v>0.98</v>
      </c>
      <c r="L35" s="174"/>
      <c r="M35" s="174"/>
    </row>
    <row r="36" spans="1:13" x14ac:dyDescent="0.35">
      <c r="A36" s="172" t="s">
        <v>273</v>
      </c>
      <c r="B36" s="172" t="str">
        <f>IFERROR(IF(VLOOKUP(C36,[1]Mapping!$BT:$BU,2,FALSE)=0,"",VLOOKUP(C36,[1]Mapping!$BT:$BU,2,FALSE)),"")</f>
        <v/>
      </c>
      <c r="C36" s="172" t="s">
        <v>274</v>
      </c>
      <c r="D36" s="173" t="s">
        <v>339</v>
      </c>
      <c r="E36" s="173"/>
      <c r="G36">
        <v>35</v>
      </c>
      <c r="H36" t="str">
        <f>IFERROR(IF(VLOOKUP(I36,[1]Mapping!$BT:$BU,2,FALSE)=0,"N/A",VLOOKUP(I36,[1]Mapping!$BT:$BU,2,FALSE)),"N/A")</f>
        <v>Issakova Dina</v>
      </c>
      <c r="I36" t="s">
        <v>340</v>
      </c>
      <c r="J36" s="174">
        <f t="shared" si="0"/>
        <v>0.79</v>
      </c>
      <c r="K36" s="174">
        <f t="shared" si="1"/>
        <v>0.96</v>
      </c>
      <c r="L36" s="174"/>
      <c r="M36" s="174"/>
    </row>
    <row r="37" spans="1:13" x14ac:dyDescent="0.35">
      <c r="A37" s="175" t="s">
        <v>277</v>
      </c>
      <c r="B37" s="175" t="str">
        <f>IFERROR(IF(VLOOKUP(C37,[1]Mapping!$BT:$BU,2,FALSE)=0,"",VLOOKUP(C37,[1]Mapping!$BT:$BU,2,FALSE)),"")</f>
        <v>Aitbenbetova Dinara</v>
      </c>
      <c r="C37" s="175" t="s">
        <v>285</v>
      </c>
      <c r="D37" s="176">
        <v>0.96</v>
      </c>
      <c r="E37" s="176">
        <v>0.96</v>
      </c>
      <c r="G37">
        <v>36</v>
      </c>
      <c r="H37" t="str">
        <f>IFERROR(IF(VLOOKUP(I37,[1]Mapping!$BT:$BU,2,FALSE)=0,"N/A",VLOOKUP(I37,[1]Mapping!$BT:$BU,2,FALSE)),"N/A")</f>
        <v>Issakhanova Assem</v>
      </c>
      <c r="I37" t="s">
        <v>341</v>
      </c>
      <c r="J37" s="174">
        <f t="shared" si="0"/>
        <v>0.95</v>
      </c>
      <c r="K37" s="174">
        <f t="shared" si="1"/>
        <v>0.93</v>
      </c>
      <c r="L37" s="174"/>
      <c r="M37" s="174"/>
    </row>
    <row r="38" spans="1:13" x14ac:dyDescent="0.35">
      <c r="A38" s="175"/>
      <c r="B38" s="175" t="str">
        <f>IFERROR(IF(VLOOKUP(C38,[1]Mapping!$BT:$BU,2,FALSE)=0,"",VLOOKUP(C38,[1]Mapping!$BT:$BU,2,FALSE)),"")</f>
        <v>Boyarova Alfiya</v>
      </c>
      <c r="C38" s="175" t="s">
        <v>312</v>
      </c>
      <c r="D38" s="179">
        <v>0.81</v>
      </c>
      <c r="E38" s="179">
        <v>0.81</v>
      </c>
      <c r="G38">
        <v>37</v>
      </c>
      <c r="H38" t="str">
        <f>IFERROR(IF(VLOOKUP(I38,[1]Mapping!$BT:$BU,2,FALSE)=0,"N/A",VLOOKUP(I38,[1]Mapping!$BT:$BU,2,FALSE)),"N/A")</f>
        <v>Itakhunov Rassul</v>
      </c>
      <c r="I38" t="s">
        <v>283</v>
      </c>
      <c r="J38" s="174">
        <f t="shared" si="0"/>
        <v>0.91</v>
      </c>
      <c r="K38" s="174">
        <f t="shared" si="1"/>
        <v>0.97</v>
      </c>
      <c r="L38" s="174"/>
      <c r="M38" s="174"/>
    </row>
    <row r="39" spans="1:13" x14ac:dyDescent="0.35">
      <c r="A39" s="175"/>
      <c r="B39" s="175" t="str">
        <f>IFERROR(IF(VLOOKUP(C39,[1]Mapping!$BT:$BU,2,FALSE)=0,"",VLOOKUP(C39,[1]Mapping!$BT:$BU,2,FALSE)),"")</f>
        <v>Donayeva Nazira</v>
      </c>
      <c r="C39" s="175" t="s">
        <v>321</v>
      </c>
      <c r="D39" s="179">
        <v>0.93</v>
      </c>
      <c r="E39" s="179">
        <v>0.93</v>
      </c>
      <c r="G39">
        <v>38</v>
      </c>
      <c r="H39" t="str">
        <f>IFERROR(IF(VLOOKUP(I39,[1]Mapping!$BT:$BU,2,FALSE)=0,"N/A",VLOOKUP(I39,[1]Mapping!$BT:$BU,2,FALSE)),"N/A")</f>
        <v>Kaderov Nursultan</v>
      </c>
      <c r="I39" t="s">
        <v>342</v>
      </c>
      <c r="J39" s="174">
        <f t="shared" si="0"/>
        <v>0.92</v>
      </c>
      <c r="K39" s="174">
        <f t="shared" si="1"/>
        <v>1</v>
      </c>
      <c r="L39" s="174"/>
      <c r="M39" s="174"/>
    </row>
    <row r="40" spans="1:13" x14ac:dyDescent="0.35">
      <c r="A40" s="175"/>
      <c r="B40" s="175" t="str">
        <f>IFERROR(IF(VLOOKUP(C40,[1]Mapping!$BT:$BU,2,FALSE)=0,"",VLOOKUP(C40,[1]Mapping!$BT:$BU,2,FALSE)),"")</f>
        <v>Issakova Dina</v>
      </c>
      <c r="C40" s="175" t="s">
        <v>340</v>
      </c>
      <c r="D40" s="180">
        <v>0.79</v>
      </c>
      <c r="E40" s="180">
        <v>0.79</v>
      </c>
      <c r="G40">
        <v>39</v>
      </c>
      <c r="H40" t="str">
        <f>IFERROR(IF(VLOOKUP(I40,[1]Mapping!$BT:$BU,2,FALSE)=0,"N/A",VLOOKUP(I40,[1]Mapping!$BT:$BU,2,FALSE)),"N/A")</f>
        <v>Kadyrova Azaliya</v>
      </c>
      <c r="I40" t="s">
        <v>343</v>
      </c>
      <c r="J40" s="174">
        <f t="shared" si="0"/>
        <v>0.87</v>
      </c>
      <c r="K40" s="174">
        <f t="shared" si="1"/>
        <v>0.85</v>
      </c>
      <c r="L40" s="174"/>
      <c r="M40" s="174"/>
    </row>
    <row r="41" spans="1:13" x14ac:dyDescent="0.35">
      <c r="A41" s="175"/>
      <c r="B41" s="175" t="str">
        <f>IFERROR(IF(VLOOKUP(C41,[1]Mapping!$BT:$BU,2,FALSE)=0,"",VLOOKUP(C41,[1]Mapping!$BT:$BU,2,FALSE)),"")</f>
        <v>Kutlymuratov Assylatdin</v>
      </c>
      <c r="C41" s="175" t="s">
        <v>344</v>
      </c>
      <c r="D41" s="179">
        <v>0.94</v>
      </c>
      <c r="E41" s="179">
        <v>0.94</v>
      </c>
      <c r="G41">
        <v>40</v>
      </c>
      <c r="H41" t="str">
        <f>IFERROR(IF(VLOOKUP(I41,[1]Mapping!$BT:$BU,2,FALSE)=0,"N/A",VLOOKUP(I41,[1]Mapping!$BT:$BU,2,FALSE)),"N/A")</f>
        <v>Kalistratova Alexandra</v>
      </c>
      <c r="I41" t="s">
        <v>345</v>
      </c>
      <c r="J41" s="174">
        <f t="shared" si="0"/>
        <v>1</v>
      </c>
      <c r="K41" s="174">
        <f t="shared" si="1"/>
        <v>0.98</v>
      </c>
      <c r="L41" s="174"/>
      <c r="M41" s="174"/>
    </row>
    <row r="42" spans="1:13" x14ac:dyDescent="0.35">
      <c r="A42" s="175"/>
      <c r="B42" s="175" t="str">
        <f>IFERROR(IF(VLOOKUP(C42,[1]Mapping!$BT:$BU,2,FALSE)=0,"",VLOOKUP(C42,[1]Mapping!$BT:$BU,2,FALSE)),"")</f>
        <v>Kuchshanova Akmaral</v>
      </c>
      <c r="C42" s="175" t="s">
        <v>346</v>
      </c>
      <c r="D42" s="176">
        <v>1</v>
      </c>
      <c r="E42" s="176">
        <v>1</v>
      </c>
      <c r="G42">
        <v>41</v>
      </c>
      <c r="H42" t="str">
        <f>IFERROR(IF(VLOOKUP(I42,[1]Mapping!$BT:$BU,2,FALSE)=0,"N/A",VLOOKUP(I42,[1]Mapping!$BT:$BU,2,FALSE)),"N/A")</f>
        <v>Karimova Nazgul</v>
      </c>
      <c r="I42" t="s">
        <v>347</v>
      </c>
      <c r="J42" s="174">
        <f t="shared" si="0"/>
        <v>0.91</v>
      </c>
      <c r="K42" s="174">
        <f t="shared" si="1"/>
        <v>0.92</v>
      </c>
      <c r="L42" s="174"/>
      <c r="M42" s="174"/>
    </row>
    <row r="43" spans="1:13" x14ac:dyDescent="0.35">
      <c r="A43" s="175"/>
      <c r="B43" s="175" t="str">
        <f>IFERROR(IF(VLOOKUP(C43,[1]Mapping!$BT:$BU,2,FALSE)=0,"",VLOOKUP(C43,[1]Mapping!$BT:$BU,2,FALSE)),"")</f>
        <v>Manapbayeva Assel</v>
      </c>
      <c r="C43" s="175" t="s">
        <v>348</v>
      </c>
      <c r="D43" s="179">
        <v>0.94</v>
      </c>
      <c r="E43" s="179">
        <v>0.94</v>
      </c>
      <c r="G43">
        <v>42</v>
      </c>
      <c r="H43" t="str">
        <f>IFERROR(IF(VLOOKUP(I43,[1]Mapping!$BT:$BU,2,FALSE)=0,"N/A",VLOOKUP(I43,[1]Mapping!$BT:$BU,2,FALSE)),"N/A")</f>
        <v>Kassanova Elmira</v>
      </c>
      <c r="I43" t="s">
        <v>349</v>
      </c>
      <c r="J43" s="174">
        <f t="shared" si="0"/>
        <v>0</v>
      </c>
      <c r="K43" s="174">
        <f t="shared" si="1"/>
        <v>0.93</v>
      </c>
      <c r="L43" s="174"/>
      <c r="M43" s="174"/>
    </row>
    <row r="44" spans="1:13" x14ac:dyDescent="0.35">
      <c r="A44" s="175"/>
      <c r="B44" s="175" t="str">
        <f>IFERROR(IF(VLOOKUP(C44,[1]Mapping!$BT:$BU,2,FALSE)=0,"",VLOOKUP(C44,[1]Mapping!$BT:$BU,2,FALSE)),"")</f>
        <v>Novokhatnyaya Anastasiya</v>
      </c>
      <c r="C44" s="175" t="s">
        <v>350</v>
      </c>
      <c r="D44" s="179">
        <v>0.88</v>
      </c>
      <c r="E44" s="179">
        <v>0.88</v>
      </c>
      <c r="G44">
        <v>43</v>
      </c>
      <c r="H44" t="str">
        <f>IFERROR(IF(VLOOKUP(I44,[1]Mapping!$BT:$BU,2,FALSE)=0,"N/A",VLOOKUP(I44,[1]Mapping!$BT:$BU,2,FALSE)),"N/A")</f>
        <v>Kassenova Gulshat</v>
      </c>
      <c r="I44" t="s">
        <v>351</v>
      </c>
      <c r="J44" s="174">
        <f t="shared" si="0"/>
        <v>0.96</v>
      </c>
      <c r="K44" s="174">
        <f t="shared" si="1"/>
        <v>0.94</v>
      </c>
      <c r="L44" s="174"/>
      <c r="M44" s="174"/>
    </row>
    <row r="45" spans="1:13" x14ac:dyDescent="0.35">
      <c r="A45" s="177"/>
      <c r="B45" s="177" t="str">
        <f>IFERROR(IF(VLOOKUP(C45,[1]Mapping!$BT:$BU,2,FALSE)=0,"",VLOOKUP(C45,[1]Mapping!$BT:$BU,2,FALSE)),"")</f>
        <v/>
      </c>
      <c r="C45" s="178" t="s">
        <v>280</v>
      </c>
      <c r="D45" s="179">
        <v>0.91</v>
      </c>
      <c r="E45" s="179">
        <v>0.91</v>
      </c>
      <c r="G45">
        <v>44</v>
      </c>
      <c r="H45" t="str">
        <f>IFERROR(IF(VLOOKUP(I45,[1]Mapping!$BT:$BU,2,FALSE)=0,"N/A",VLOOKUP(I45,[1]Mapping!$BT:$BU,2,FALSE)),"N/A")</f>
        <v>Ossipova Anna</v>
      </c>
      <c r="I45" t="s">
        <v>293</v>
      </c>
      <c r="J45" s="174">
        <f t="shared" si="0"/>
        <v>0.93</v>
      </c>
      <c r="K45" s="174">
        <f t="shared" si="1"/>
        <v>0.94</v>
      </c>
      <c r="L45" s="174"/>
      <c r="M45" s="174"/>
    </row>
    <row r="46" spans="1:13" x14ac:dyDescent="0.35">
      <c r="A46" s="175" t="s">
        <v>282</v>
      </c>
      <c r="B46" s="175" t="str">
        <f>IFERROR(IF(VLOOKUP(C46,[1]Mapping!$BT:$BU,2,FALSE)=0,"",VLOOKUP(C46,[1]Mapping!$BT:$BU,2,FALSE)),"")</f>
        <v>Arestova Yelena</v>
      </c>
      <c r="C46" s="175" t="s">
        <v>294</v>
      </c>
      <c r="D46" s="179">
        <v>0.94</v>
      </c>
      <c r="E46" s="179">
        <v>0.94</v>
      </c>
      <c r="G46">
        <v>45</v>
      </c>
      <c r="H46" t="str">
        <f>IFERROR(IF(VLOOKUP(I46,[1]Mapping!$BT:$BU,2,FALSE)=0,"N/A",VLOOKUP(I46,[1]Mapping!$BT:$BU,2,FALSE)),"N/A")</f>
        <v>Kussainova Dilara</v>
      </c>
      <c r="I46" t="s">
        <v>352</v>
      </c>
      <c r="J46" s="174">
        <f t="shared" si="0"/>
        <v>0.99</v>
      </c>
      <c r="K46" s="174">
        <f t="shared" si="1"/>
        <v>0.98</v>
      </c>
      <c r="L46" s="174"/>
      <c r="M46" s="174"/>
    </row>
    <row r="47" spans="1:13" x14ac:dyDescent="0.35">
      <c r="A47" s="175"/>
      <c r="B47" s="175" t="str">
        <f>IFERROR(IF(VLOOKUP(C47,[1]Mapping!$BT:$BU,2,FALSE)=0,"",VLOOKUP(C47,[1]Mapping!$BT:$BU,2,FALSE)),"")</f>
        <v>Bakisheva Aliya</v>
      </c>
      <c r="C47" s="175" t="s">
        <v>305</v>
      </c>
      <c r="D47" s="176">
        <v>0.97</v>
      </c>
      <c r="E47" s="176">
        <v>0.97</v>
      </c>
      <c r="G47">
        <v>46</v>
      </c>
      <c r="H47" t="str">
        <f>IFERROR(IF(VLOOKUP(I47,[1]Mapping!$BT:$BU,2,FALSE)=0,"N/A",VLOOKUP(I47,[1]Mapping!$BT:$BU,2,FALSE)),"N/A")</f>
        <v>Kusmanova Shynar</v>
      </c>
      <c r="I47" t="s">
        <v>353</v>
      </c>
      <c r="J47" s="174">
        <f t="shared" si="0"/>
        <v>0</v>
      </c>
      <c r="K47" s="174">
        <f t="shared" si="1"/>
        <v>0</v>
      </c>
      <c r="L47" s="174"/>
      <c r="M47" s="174"/>
    </row>
    <row r="48" spans="1:13" x14ac:dyDescent="0.35">
      <c r="A48" s="175"/>
      <c r="B48" s="175" t="str">
        <f>IFERROR(IF(VLOOKUP(C48,[1]Mapping!$BT:$BU,2,FALSE)=0,"",VLOOKUP(C48,[1]Mapping!$BT:$BU,2,FALSE)),"")</f>
        <v>Yerkin Nadiyam</v>
      </c>
      <c r="C48" s="175" t="s">
        <v>328</v>
      </c>
      <c r="D48" s="176">
        <v>0.98</v>
      </c>
      <c r="E48" s="176">
        <v>0.98</v>
      </c>
      <c r="G48">
        <v>47</v>
      </c>
      <c r="H48" t="str">
        <f>IFERROR(IF(VLOOKUP(I48,[1]Mapping!$BT:$BU,2,FALSE)=0,"N/A",VLOOKUP(I48,[1]Mapping!$BT:$BU,2,FALSE)),"N/A")</f>
        <v>Kutdussova Liliya</v>
      </c>
      <c r="I48" t="s">
        <v>354</v>
      </c>
      <c r="J48" s="174">
        <f t="shared" si="0"/>
        <v>0.99</v>
      </c>
      <c r="K48" s="174">
        <f t="shared" si="1"/>
        <v>0.97</v>
      </c>
      <c r="L48" s="174"/>
      <c r="M48" s="174"/>
    </row>
    <row r="49" spans="1:13" x14ac:dyDescent="0.35">
      <c r="A49" s="175"/>
      <c r="B49" s="175" t="str">
        <f>IFERROR(IF(VLOOKUP(C49,[1]Mapping!$BT:$BU,2,FALSE)=0,"",VLOOKUP(C49,[1]Mapping!$BT:$BU,2,FALSE)),"")</f>
        <v>Yesbolova Gulnur</v>
      </c>
      <c r="C49" s="175" t="s">
        <v>330</v>
      </c>
      <c r="D49" s="176">
        <v>0.99</v>
      </c>
      <c r="E49" s="176">
        <v>0.99</v>
      </c>
      <c r="G49">
        <v>48</v>
      </c>
      <c r="H49" t="str">
        <f>IFERROR(IF(VLOOKUP(I49,[1]Mapping!$BT:$BU,2,FALSE)=0,"N/A",VLOOKUP(I49,[1]Mapping!$BT:$BU,2,FALSE)),"N/A")</f>
        <v>Kutlymuratov Assylatdin</v>
      </c>
      <c r="I49" t="s">
        <v>344</v>
      </c>
      <c r="J49" s="174">
        <f t="shared" si="0"/>
        <v>0.94</v>
      </c>
      <c r="K49" s="174">
        <f t="shared" si="1"/>
        <v>0.89</v>
      </c>
      <c r="L49" s="174"/>
      <c r="M49" s="174"/>
    </row>
    <row r="50" spans="1:13" x14ac:dyDescent="0.35">
      <c r="A50" s="175"/>
      <c r="B50" s="175" t="str">
        <f>IFERROR(IF(VLOOKUP(C50,[1]Mapping!$BT:$BU,2,FALSE)=0,"",VLOOKUP(C50,[1]Mapping!$BT:$BU,2,FALSE)),"")</f>
        <v>Zhazylbekova Aitolkyn</v>
      </c>
      <c r="C50" s="175" t="s">
        <v>332</v>
      </c>
      <c r="D50" s="176">
        <v>0.97</v>
      </c>
      <c r="E50" s="176">
        <v>0.97</v>
      </c>
      <c r="G50">
        <v>49</v>
      </c>
      <c r="H50" t="str">
        <f>IFERROR(IF(VLOOKUP(I50,[1]Mapping!$BT:$BU,2,FALSE)=0,"N/A",VLOOKUP(I50,[1]Mapping!$BT:$BU,2,FALSE)),"N/A")</f>
        <v>Kuchshanova Akmaral</v>
      </c>
      <c r="I50" t="s">
        <v>346</v>
      </c>
      <c r="J50" s="174">
        <f t="shared" si="0"/>
        <v>1</v>
      </c>
      <c r="K50" s="174">
        <f t="shared" si="1"/>
        <v>0.98</v>
      </c>
      <c r="L50" s="174"/>
      <c r="M50" s="174"/>
    </row>
    <row r="51" spans="1:13" x14ac:dyDescent="0.35">
      <c r="A51" s="175"/>
      <c r="B51" s="175" t="str">
        <f>IFERROR(IF(VLOOKUP(C51,[1]Mapping!$BT:$BU,2,FALSE)=0,"",VLOOKUP(C51,[1]Mapping!$BT:$BU,2,FALSE)),"")</f>
        <v>Inkarbekova Nurbibi</v>
      </c>
      <c r="C51" s="175" t="s">
        <v>338</v>
      </c>
      <c r="D51" s="176">
        <v>0.98</v>
      </c>
      <c r="E51" s="176">
        <v>0.98</v>
      </c>
      <c r="G51">
        <v>50</v>
      </c>
      <c r="H51" t="str">
        <f>IFERROR(IF(VLOOKUP(I51,[1]Mapping!$BT:$BU,2,FALSE)=0,"N/A",VLOOKUP(I51,[1]Mapping!$BT:$BU,2,FALSE)),"N/A")</f>
        <v>Litvinenko Tatyana</v>
      </c>
      <c r="I51" t="s">
        <v>300</v>
      </c>
      <c r="J51" s="174">
        <f t="shared" si="0"/>
        <v>0.87</v>
      </c>
      <c r="K51" s="174">
        <f t="shared" si="1"/>
        <v>0.97</v>
      </c>
      <c r="L51" s="174"/>
      <c r="M51" s="174"/>
    </row>
    <row r="52" spans="1:13" x14ac:dyDescent="0.35">
      <c r="A52" s="175"/>
      <c r="B52" s="175" t="str">
        <f>IFERROR(IF(VLOOKUP(C52,[1]Mapping!$BT:$BU,2,FALSE)=0,"",VLOOKUP(C52,[1]Mapping!$BT:$BU,2,FALSE)),"")</f>
        <v>Soni Laura</v>
      </c>
      <c r="C52" s="175" t="s">
        <v>355</v>
      </c>
      <c r="D52" s="176">
        <v>0.99</v>
      </c>
      <c r="E52" s="176">
        <v>0.99</v>
      </c>
      <c r="G52">
        <v>51</v>
      </c>
      <c r="H52" t="str">
        <f>IFERROR(IF(VLOOKUP(I52,[1]Mapping!$BT:$BU,2,FALSE)=0,"N/A",VLOOKUP(I52,[1]Mapping!$BT:$BU,2,FALSE)),"N/A")</f>
        <v>Makenova Yuliya</v>
      </c>
      <c r="I52" t="s">
        <v>356</v>
      </c>
      <c r="J52" s="174">
        <f t="shared" si="0"/>
        <v>0</v>
      </c>
      <c r="K52" s="174">
        <f t="shared" si="1"/>
        <v>0.94</v>
      </c>
      <c r="L52" s="174"/>
      <c r="M52" s="174"/>
    </row>
    <row r="53" spans="1:13" x14ac:dyDescent="0.35">
      <c r="A53" s="175"/>
      <c r="B53" s="175" t="str">
        <f>IFERROR(IF(VLOOKUP(C53,[1]Mapping!$BT:$BU,2,FALSE)=0,"",VLOOKUP(C53,[1]Mapping!$BT:$BU,2,FALSE)),"")</f>
        <v>Yu Vitaliya</v>
      </c>
      <c r="C53" s="175" t="s">
        <v>357</v>
      </c>
      <c r="D53" s="176">
        <v>0.96</v>
      </c>
      <c r="E53" s="176">
        <v>0.96</v>
      </c>
      <c r="G53">
        <v>52</v>
      </c>
      <c r="H53" t="str">
        <f>IFERROR(IF(VLOOKUP(I53,[1]Mapping!$BT:$BU,2,FALSE)=0,"N/A",VLOOKUP(I53,[1]Mapping!$BT:$BU,2,FALSE)),"N/A")</f>
        <v>Maximenko Alexandr</v>
      </c>
      <c r="I53" t="s">
        <v>296</v>
      </c>
      <c r="J53" s="174">
        <f t="shared" si="0"/>
        <v>0.91</v>
      </c>
      <c r="K53" s="174">
        <f t="shared" si="1"/>
        <v>0.96</v>
      </c>
      <c r="L53" s="174"/>
      <c r="M53" s="174"/>
    </row>
    <row r="54" spans="1:13" x14ac:dyDescent="0.35">
      <c r="A54" s="177"/>
      <c r="B54" s="177" t="str">
        <f>IFERROR(IF(VLOOKUP(C54,[1]Mapping!$BT:$BU,2,FALSE)=0,"",VLOOKUP(C54,[1]Mapping!$BT:$BU,2,FALSE)),"")</f>
        <v/>
      </c>
      <c r="C54" s="178" t="s">
        <v>280</v>
      </c>
      <c r="D54" s="176">
        <v>0.97</v>
      </c>
      <c r="E54" s="176">
        <v>0.97</v>
      </c>
      <c r="G54">
        <v>53</v>
      </c>
      <c r="H54" t="str">
        <f>IFERROR(IF(VLOOKUP(I54,[1]Mapping!$BT:$BU,2,FALSE)=0,"N/A",VLOOKUP(I54,[1]Mapping!$BT:$BU,2,FALSE)),"N/A")</f>
        <v>Mamedova Zarina</v>
      </c>
      <c r="I54" t="s">
        <v>358</v>
      </c>
      <c r="J54" s="174">
        <f t="shared" si="0"/>
        <v>0.97</v>
      </c>
      <c r="K54" s="174">
        <f t="shared" si="1"/>
        <v>0.96</v>
      </c>
      <c r="L54" s="174"/>
      <c r="M54" s="174"/>
    </row>
    <row r="55" spans="1:13" x14ac:dyDescent="0.35">
      <c r="A55" s="175" t="s">
        <v>286</v>
      </c>
      <c r="B55" s="175" t="str">
        <f>IFERROR(IF(VLOOKUP(C55,[1]Mapping!$BT:$BU,2,FALSE)=0,"",VLOOKUP(C55,[1]Mapping!$BT:$BU,2,FALSE)),"")</f>
        <v>Abdulanova Lyazzat</v>
      </c>
      <c r="C55" s="175" t="s">
        <v>279</v>
      </c>
      <c r="D55" s="179">
        <v>0.93</v>
      </c>
      <c r="E55" s="179">
        <v>0.93</v>
      </c>
      <c r="G55">
        <v>54</v>
      </c>
      <c r="H55" t="str">
        <f>IFERROR(IF(VLOOKUP(I55,[1]Mapping!$BT:$BU,2,FALSE)=0,"N/A",VLOOKUP(I55,[1]Mapping!$BT:$BU,2,FALSE)),"N/A")</f>
        <v>Mamutova Aliya</v>
      </c>
      <c r="I55" t="s">
        <v>359</v>
      </c>
      <c r="J55" s="174">
        <f t="shared" si="0"/>
        <v>0.96</v>
      </c>
      <c r="K55" s="174">
        <f t="shared" si="1"/>
        <v>0.96</v>
      </c>
      <c r="L55" s="174"/>
      <c r="M55" s="174"/>
    </row>
    <row r="56" spans="1:13" x14ac:dyDescent="0.35">
      <c r="A56" s="175"/>
      <c r="B56" s="175" t="str">
        <f>IFERROR(IF(VLOOKUP(C56,[1]Mapping!$BT:$BU,2,FALSE)=0,"",VLOOKUP(C56,[1]Mapping!$BT:$BU,2,FALSE)),"")</f>
        <v>Bayzakova Gulzhan</v>
      </c>
      <c r="C56" s="175" t="s">
        <v>301</v>
      </c>
      <c r="D56" s="179">
        <v>0.82</v>
      </c>
      <c r="E56" s="179">
        <v>0.82</v>
      </c>
      <c r="G56">
        <v>55</v>
      </c>
      <c r="H56" t="str">
        <f>IFERROR(IF(VLOOKUP(I56,[1]Mapping!$BT:$BU,2,FALSE)=0,"N/A",VLOOKUP(I56,[1]Mapping!$BT:$BU,2,FALSE)),"N/A")</f>
        <v>Manapbayeva Assel</v>
      </c>
      <c r="I56" t="s">
        <v>348</v>
      </c>
      <c r="J56" s="174">
        <f t="shared" si="0"/>
        <v>0.94</v>
      </c>
      <c r="K56" s="174">
        <f t="shared" si="1"/>
        <v>0.97</v>
      </c>
      <c r="L56" s="174"/>
      <c r="M56" s="174"/>
    </row>
    <row r="57" spans="1:13" x14ac:dyDescent="0.35">
      <c r="A57" s="175"/>
      <c r="B57" s="175" t="str">
        <f>IFERROR(IF(VLOOKUP(C57,[1]Mapping!$BT:$BU,2,FALSE)=0,"",VLOOKUP(C57,[1]Mapping!$BT:$BU,2,FALSE)),"")</f>
        <v>Balmagambetova Zamza</v>
      </c>
      <c r="C57" s="175" t="s">
        <v>309</v>
      </c>
      <c r="D57" s="179">
        <v>0.95</v>
      </c>
      <c r="E57" s="179">
        <v>0.95</v>
      </c>
      <c r="G57">
        <v>56</v>
      </c>
      <c r="H57" t="str">
        <f>IFERROR(IF(VLOOKUP(I57,[1]Mapping!$BT:$BU,2,FALSE)=0,"N/A",VLOOKUP(I57,[1]Mapping!$BT:$BU,2,FALSE)),"N/A")</f>
        <v>Meirbek Ainur</v>
      </c>
      <c r="I57" t="s">
        <v>360</v>
      </c>
      <c r="J57" s="174">
        <f t="shared" si="0"/>
        <v>0.91</v>
      </c>
      <c r="K57" s="174">
        <f t="shared" si="1"/>
        <v>0.98</v>
      </c>
      <c r="L57" s="174"/>
      <c r="M57" s="174"/>
    </row>
    <row r="58" spans="1:13" x14ac:dyDescent="0.35">
      <c r="A58" s="175"/>
      <c r="B58" s="175" t="str">
        <f>IFERROR(IF(VLOOKUP(C58,[1]Mapping!$BT:$BU,2,FALSE)=0,"",VLOOKUP(C58,[1]Mapping!$BT:$BU,2,FALSE)),"")</f>
        <v>Akhmetova (Imanzhanova) Sholpan</v>
      </c>
      <c r="C58" s="175" t="s">
        <v>337</v>
      </c>
      <c r="D58" s="176">
        <v>0.97</v>
      </c>
      <c r="E58" s="176">
        <v>0.97</v>
      </c>
      <c r="G58">
        <v>57</v>
      </c>
      <c r="H58" t="str">
        <f>IFERROR(IF(VLOOKUP(I58,[1]Mapping!$BT:$BU,2,FALSE)=0,"N/A",VLOOKUP(I58,[1]Mapping!$BT:$BU,2,FALSE)),"N/A")</f>
        <v>N/A</v>
      </c>
      <c r="I58" t="s">
        <v>361</v>
      </c>
      <c r="J58" s="174">
        <f t="shared" si="0"/>
        <v>0</v>
      </c>
      <c r="K58" s="174">
        <f t="shared" si="1"/>
        <v>0</v>
      </c>
      <c r="L58" s="174"/>
      <c r="M58" s="174"/>
    </row>
    <row r="59" spans="1:13" x14ac:dyDescent="0.35">
      <c r="A59" s="175"/>
      <c r="B59" s="175" t="str">
        <f>IFERROR(IF(VLOOKUP(C59,[1]Mapping!$BT:$BU,2,FALSE)=0,"",VLOOKUP(C59,[1]Mapping!$BT:$BU,2,FALSE)),"")</f>
        <v>Kussainova Dilara</v>
      </c>
      <c r="C59" s="175" t="s">
        <v>352</v>
      </c>
      <c r="D59" s="176">
        <v>0.99</v>
      </c>
      <c r="E59" s="176">
        <v>0.99</v>
      </c>
      <c r="G59">
        <v>58</v>
      </c>
      <c r="H59" t="str">
        <f>IFERROR(IF(VLOOKUP(I59,[1]Mapping!$BT:$BU,2,FALSE)=0,"N/A",VLOOKUP(I59,[1]Mapping!$BT:$BU,2,FALSE)),"N/A")</f>
        <v>Nakipbekova Gulzhan</v>
      </c>
      <c r="I59" t="s">
        <v>362</v>
      </c>
      <c r="J59" s="174">
        <f t="shared" si="0"/>
        <v>0.95</v>
      </c>
      <c r="K59" s="174">
        <f t="shared" si="1"/>
        <v>0.92</v>
      </c>
      <c r="L59" s="174"/>
      <c r="M59" s="174"/>
    </row>
    <row r="60" spans="1:13" x14ac:dyDescent="0.35">
      <c r="A60" s="175"/>
      <c r="B60" s="175" t="str">
        <f>IFERROR(IF(VLOOKUP(C60,[1]Mapping!$BT:$BU,2,FALSE)=0,"",VLOOKUP(C60,[1]Mapping!$BT:$BU,2,FALSE)),"")</f>
        <v>Nauryzbayeva Shynar</v>
      </c>
      <c r="C60" s="175" t="s">
        <v>363</v>
      </c>
      <c r="D60" s="176">
        <v>1</v>
      </c>
      <c r="E60" s="176">
        <v>1</v>
      </c>
      <c r="G60">
        <v>59</v>
      </c>
      <c r="H60" t="str">
        <f>IFERROR(IF(VLOOKUP(I60,[1]Mapping!$BT:$BU,2,FALSE)=0,"N/A",VLOOKUP(I60,[1]Mapping!$BT:$BU,2,FALSE)),"N/A")</f>
        <v>Kuznetsova Natalya</v>
      </c>
      <c r="I60" t="s">
        <v>364</v>
      </c>
      <c r="J60" s="174">
        <f t="shared" si="0"/>
        <v>0.99</v>
      </c>
      <c r="K60" s="174">
        <f t="shared" si="1"/>
        <v>0.98</v>
      </c>
      <c r="L60" s="174"/>
      <c r="M60" s="174"/>
    </row>
    <row r="61" spans="1:13" x14ac:dyDescent="0.35">
      <c r="A61" s="175"/>
      <c r="B61" s="175" t="str">
        <f>IFERROR(IF(VLOOKUP(C61,[1]Mapping!$BT:$BU,2,FALSE)=0,"",VLOOKUP(C61,[1]Mapping!$BT:$BU,2,FALSE)),"")</f>
        <v>Sarsenbayeva Saniya</v>
      </c>
      <c r="C61" s="175" t="s">
        <v>365</v>
      </c>
      <c r="D61" s="179">
        <v>0.83</v>
      </c>
      <c r="E61" s="179">
        <v>0.83</v>
      </c>
      <c r="G61">
        <v>60</v>
      </c>
      <c r="H61" t="str">
        <f>IFERROR(IF(VLOOKUP(I61,[1]Mapping!$BT:$BU,2,FALSE)=0,"N/A",VLOOKUP(I61,[1]Mapping!$BT:$BU,2,FALSE)),"N/A")</f>
        <v>Nauryzbayeva Shynar</v>
      </c>
      <c r="I61" t="s">
        <v>363</v>
      </c>
      <c r="J61" s="174">
        <f t="shared" si="0"/>
        <v>1</v>
      </c>
      <c r="K61" s="174">
        <f t="shared" si="1"/>
        <v>0</v>
      </c>
      <c r="L61" s="174"/>
      <c r="M61" s="174"/>
    </row>
    <row r="62" spans="1:13" x14ac:dyDescent="0.35">
      <c r="A62" s="177"/>
      <c r="B62" s="177" t="str">
        <f>IFERROR(IF(VLOOKUP(C62,[1]Mapping!$BT:$BU,2,FALSE)=0,"",VLOOKUP(C62,[1]Mapping!$BT:$BU,2,FALSE)),"")</f>
        <v/>
      </c>
      <c r="C62" s="178" t="s">
        <v>280</v>
      </c>
      <c r="D62" s="179">
        <v>0.93</v>
      </c>
      <c r="E62" s="179">
        <v>0.93</v>
      </c>
      <c r="G62">
        <v>61</v>
      </c>
      <c r="H62" t="str">
        <f>IFERROR(IF(VLOOKUP(I62,[1]Mapping!$BT:$BU,2,FALSE)=0,"N/A",VLOOKUP(I62,[1]Mapping!$BT:$BU,2,FALSE)),"N/A")</f>
        <v>Novokhatnyaya Anastasiya</v>
      </c>
      <c r="I62" t="s">
        <v>350</v>
      </c>
      <c r="J62" s="174">
        <f t="shared" si="0"/>
        <v>0.88</v>
      </c>
      <c r="K62" s="174">
        <f t="shared" si="1"/>
        <v>0.83</v>
      </c>
      <c r="L62" s="174"/>
      <c r="M62" s="174"/>
    </row>
    <row r="63" spans="1:13" x14ac:dyDescent="0.35">
      <c r="A63" s="175" t="s">
        <v>292</v>
      </c>
      <c r="B63" s="175" t="str">
        <f>IFERROR(IF(VLOOKUP(C63,[1]Mapping!$BT:$BU,2,FALSE)=0,"",VLOOKUP(C63,[1]Mapping!$BT:$BU,2,FALSE)),"")</f>
        <v>Altynbassova Shynar</v>
      </c>
      <c r="C63" s="175" t="s">
        <v>291</v>
      </c>
      <c r="D63" s="179">
        <v>0.87</v>
      </c>
      <c r="E63" s="179">
        <v>0.87</v>
      </c>
      <c r="G63">
        <v>62</v>
      </c>
      <c r="H63" t="str">
        <f>IFERROR(IF(VLOOKUP(I63,[1]Mapping!$BT:$BU,2,FALSE)=0,"N/A",VLOOKUP(I63,[1]Mapping!$BT:$BU,2,FALSE)),"N/A")</f>
        <v>N/A</v>
      </c>
      <c r="I63" t="s">
        <v>366</v>
      </c>
      <c r="J63" s="174">
        <f t="shared" si="0"/>
        <v>0.94</v>
      </c>
      <c r="K63" s="174">
        <f t="shared" si="1"/>
        <v>1</v>
      </c>
      <c r="L63" s="174"/>
      <c r="M63" s="174"/>
    </row>
    <row r="64" spans="1:13" x14ac:dyDescent="0.35">
      <c r="A64" s="175"/>
      <c r="B64" s="175" t="str">
        <f>IFERROR(IF(VLOOKUP(C64,[1]Mapping!$BT:$BU,2,FALSE)=0,"",VLOOKUP(C64,[1]Mapping!$BT:$BU,2,FALSE)),"")</f>
        <v>Balanesku Irina</v>
      </c>
      <c r="C64" s="175" t="s">
        <v>306</v>
      </c>
      <c r="D64" s="176">
        <v>0.98</v>
      </c>
      <c r="E64" s="176">
        <v>0.98</v>
      </c>
      <c r="G64">
        <v>63</v>
      </c>
      <c r="H64" t="str">
        <f>IFERROR(IF(VLOOKUP(I64,[1]Mapping!$BT:$BU,2,FALSE)=0,"N/A",VLOOKUP(I64,[1]Mapping!$BT:$BU,2,FALSE)),"N/A")</f>
        <v>Nurikhanova Alissa</v>
      </c>
      <c r="I64" t="s">
        <v>331</v>
      </c>
      <c r="J64" s="174">
        <f t="shared" si="0"/>
        <v>0.97</v>
      </c>
      <c r="K64" s="174">
        <f t="shared" si="1"/>
        <v>0.95</v>
      </c>
      <c r="L64" s="174"/>
      <c r="M64" s="174"/>
    </row>
    <row r="65" spans="1:13" x14ac:dyDescent="0.35">
      <c r="A65" s="175"/>
      <c r="B65" s="175" t="str">
        <f>IFERROR(IF(VLOOKUP(C65,[1]Mapping!$BT:$BU,2,FALSE)=0,"",VLOOKUP(C65,[1]Mapping!$BT:$BU,2,FALSE)),"")</f>
        <v>Morshneva (Burda) Irina</v>
      </c>
      <c r="C65" s="175" t="s">
        <v>317</v>
      </c>
      <c r="D65" s="180">
        <v>0.66</v>
      </c>
      <c r="E65" s="180">
        <v>0.66</v>
      </c>
      <c r="G65">
        <v>64</v>
      </c>
      <c r="H65" t="str">
        <f>IFERROR(IF(VLOOKUP(I65,[1]Mapping!$BT:$BU,2,FALSE)=0,"N/A",VLOOKUP(I65,[1]Mapping!$BT:$BU,2,FALSE)),"N/A")</f>
        <v>Omarova Aizhan</v>
      </c>
      <c r="I65" t="s">
        <v>367</v>
      </c>
      <c r="J65" s="174">
        <f t="shared" si="0"/>
        <v>0.97</v>
      </c>
      <c r="K65" s="174">
        <f t="shared" si="1"/>
        <v>0.94</v>
      </c>
      <c r="L65" s="174"/>
      <c r="M65" s="174"/>
    </row>
    <row r="66" spans="1:13" x14ac:dyDescent="0.35">
      <c r="A66" s="175"/>
      <c r="B66" s="175" t="str">
        <f>IFERROR(IF(VLOOKUP(C66,[1]Mapping!$BT:$BU,2,FALSE)=0,"",VLOOKUP(C66,[1]Mapping!$BT:$BU,2,FALSE)),"")</f>
        <v>Gulyakova Olga</v>
      </c>
      <c r="C66" s="175" t="s">
        <v>319</v>
      </c>
      <c r="D66" s="176">
        <v>0.95</v>
      </c>
      <c r="E66" s="176">
        <v>0.95</v>
      </c>
      <c r="G66">
        <v>65</v>
      </c>
      <c r="H66" t="str">
        <f>IFERROR(IF(VLOOKUP(I66,[1]Mapping!$BT:$BU,2,FALSE)=0,"N/A",VLOOKUP(I66,[1]Mapping!$BT:$BU,2,FALSE)),"N/A")</f>
        <v>Ospanova Anar</v>
      </c>
      <c r="I66" t="s">
        <v>368</v>
      </c>
      <c r="J66" s="174">
        <f t="shared" si="0"/>
        <v>0.98</v>
      </c>
      <c r="K66" s="174">
        <f t="shared" si="1"/>
        <v>0.97</v>
      </c>
      <c r="L66" s="174"/>
      <c r="M66" s="174"/>
    </row>
    <row r="67" spans="1:13" x14ac:dyDescent="0.35">
      <c r="A67" s="175"/>
      <c r="B67" s="175" t="str">
        <f>IFERROR(IF(VLOOKUP(C67,[1]Mapping!$BT:$BU,2,FALSE)=0,"",VLOOKUP(C67,[1]Mapping!$BT:$BU,2,FALSE)),"")</f>
        <v>Mamutova Aliya</v>
      </c>
      <c r="C67" s="175" t="s">
        <v>359</v>
      </c>
      <c r="D67" s="176">
        <v>0.96</v>
      </c>
      <c r="E67" s="176">
        <v>0.96</v>
      </c>
      <c r="G67">
        <v>66</v>
      </c>
      <c r="H67" t="str">
        <f>IFERROR(IF(VLOOKUP(I67,[1]Mapping!$BT:$BU,2,FALSE)=0,"N/A",VLOOKUP(I67,[1]Mapping!$BT:$BU,2,FALSE)),"N/A")</f>
        <v>Ospanova Zhumagul</v>
      </c>
      <c r="I67" t="s">
        <v>369</v>
      </c>
      <c r="J67" s="174">
        <f t="shared" ref="J67:J101" si="2">IFERROR(VLOOKUP(I67,$C$4:$E$119,3,FALSE),0)</f>
        <v>0.82</v>
      </c>
      <c r="K67" s="174">
        <f t="shared" ref="K67:K101" si="3">IFERROR(VLOOKUP(I67,$C$122:$E$238,3,FALSE),0)</f>
        <v>0.97</v>
      </c>
      <c r="L67" s="174"/>
      <c r="M67" s="174"/>
    </row>
    <row r="68" spans="1:13" x14ac:dyDescent="0.35">
      <c r="A68" s="175"/>
      <c r="B68" s="175" t="str">
        <f>IFERROR(IF(VLOOKUP(C68,[1]Mapping!$BT:$BU,2,FALSE)=0,"",VLOOKUP(C68,[1]Mapping!$BT:$BU,2,FALSE)),"")</f>
        <v>Kuznetsova Natalya</v>
      </c>
      <c r="C68" s="175" t="s">
        <v>364</v>
      </c>
      <c r="D68" s="176">
        <v>0.99</v>
      </c>
      <c r="E68" s="176">
        <v>0.99</v>
      </c>
      <c r="G68">
        <v>67</v>
      </c>
      <c r="H68" t="str">
        <f>IFERROR(IF(VLOOKUP(I68,[1]Mapping!$BT:$BU,2,FALSE)=0,"N/A",VLOOKUP(I68,[1]Mapping!$BT:$BU,2,FALSE)),"N/A")</f>
        <v>Pavlutskikh Yelena</v>
      </c>
      <c r="I68" t="s">
        <v>370</v>
      </c>
      <c r="J68" s="174">
        <f t="shared" si="2"/>
        <v>0.95</v>
      </c>
      <c r="K68" s="174">
        <f t="shared" si="3"/>
        <v>0.93</v>
      </c>
      <c r="L68" s="174"/>
      <c r="M68" s="174"/>
    </row>
    <row r="69" spans="1:13" x14ac:dyDescent="0.35">
      <c r="A69" s="177"/>
      <c r="B69" s="177" t="str">
        <f>IFERROR(IF(VLOOKUP(C69,[1]Mapping!$BT:$BU,2,FALSE)=0,"",VLOOKUP(C69,[1]Mapping!$BT:$BU,2,FALSE)),"")</f>
        <v/>
      </c>
      <c r="C69" s="178" t="s">
        <v>280</v>
      </c>
      <c r="D69" s="179">
        <v>0.9</v>
      </c>
      <c r="E69" s="179">
        <v>0.9</v>
      </c>
      <c r="G69">
        <v>68</v>
      </c>
      <c r="H69" t="str">
        <f>IFERROR(IF(VLOOKUP(I69,[1]Mapping!$BT:$BU,2,FALSE)=0,"N/A",VLOOKUP(I69,[1]Mapping!$BT:$BU,2,FALSE)),"N/A")</f>
        <v>Rakhimzhanova Gulnar</v>
      </c>
      <c r="I69" t="s">
        <v>371</v>
      </c>
      <c r="J69" s="174">
        <f t="shared" si="2"/>
        <v>0.99</v>
      </c>
      <c r="K69" s="174">
        <f t="shared" si="3"/>
        <v>1</v>
      </c>
      <c r="L69" s="174"/>
      <c r="M69" s="174"/>
    </row>
    <row r="70" spans="1:13" x14ac:dyDescent="0.35">
      <c r="A70" s="175" t="s">
        <v>372</v>
      </c>
      <c r="B70" s="175" t="str">
        <f>IFERROR(IF(VLOOKUP(C70,[1]Mapping!$BT:$BU,2,FALSE)=0,"",VLOOKUP(C70,[1]Mapping!$BT:$BU,2,FALSE)),"")</f>
        <v>Akhmadiyeva Gulzhan</v>
      </c>
      <c r="C70" s="175" t="s">
        <v>298</v>
      </c>
      <c r="D70" s="179">
        <v>0.95</v>
      </c>
      <c r="E70" s="179">
        <v>0.95</v>
      </c>
      <c r="G70">
        <v>69</v>
      </c>
      <c r="H70" t="str">
        <f>IFERROR(IF(VLOOKUP(I70,[1]Mapping!$BT:$BU,2,FALSE)=0,"N/A",VLOOKUP(I70,[1]Mapping!$BT:$BU,2,FALSE)),"N/A")</f>
        <v>Sagimbayeva Lyazat</v>
      </c>
      <c r="I70" t="s">
        <v>314</v>
      </c>
      <c r="J70" s="174">
        <f t="shared" si="2"/>
        <v>0.99</v>
      </c>
      <c r="K70" s="174">
        <f t="shared" si="3"/>
        <v>0.99</v>
      </c>
      <c r="L70" s="174"/>
      <c r="M70" s="174"/>
    </row>
    <row r="71" spans="1:13" x14ac:dyDescent="0.35">
      <c r="A71" s="175"/>
      <c r="B71" s="175" t="str">
        <f>IFERROR(IF(VLOOKUP(C71,[1]Mapping!$BT:$BU,2,FALSE)=0,"",VLOOKUP(C71,[1]Mapping!$BT:$BU,2,FALSE)),"")</f>
        <v>Zhanabekova Kamshat</v>
      </c>
      <c r="C71" s="175" t="s">
        <v>335</v>
      </c>
      <c r="D71" s="176">
        <v>0.99</v>
      </c>
      <c r="E71" s="176">
        <v>0.99</v>
      </c>
      <c r="G71">
        <v>70</v>
      </c>
      <c r="H71" t="str">
        <f>IFERROR(IF(VLOOKUP(I71,[1]Mapping!$BT:$BU,2,FALSE)=0,"N/A",VLOOKUP(I71,[1]Mapping!$BT:$BU,2,FALSE)),"N/A")</f>
        <v>Sadvakassova Zhanat</v>
      </c>
      <c r="I71" t="s">
        <v>289</v>
      </c>
      <c r="J71" s="174">
        <f t="shared" si="2"/>
        <v>0.99</v>
      </c>
      <c r="K71" s="174">
        <f t="shared" si="3"/>
        <v>0.99</v>
      </c>
      <c r="L71" s="174"/>
      <c r="M71" s="174"/>
    </row>
    <row r="72" spans="1:13" x14ac:dyDescent="0.35">
      <c r="A72" s="175"/>
      <c r="B72" s="175" t="str">
        <f>IFERROR(IF(VLOOKUP(C72,[1]Mapping!$BT:$BU,2,FALSE)=0,"",VLOOKUP(C72,[1]Mapping!$BT:$BU,2,FALSE)),"")</f>
        <v>Issakhanova Assem</v>
      </c>
      <c r="C72" s="175" t="s">
        <v>341</v>
      </c>
      <c r="D72" s="176">
        <v>0.95</v>
      </c>
      <c r="E72" s="176">
        <v>0.95</v>
      </c>
      <c r="G72">
        <v>71</v>
      </c>
      <c r="H72" t="str">
        <f>IFERROR(IF(VLOOKUP(I72,[1]Mapping!$BT:$BU,2,FALSE)=0,"N/A",VLOOKUP(I72,[1]Mapping!$BT:$BU,2,FALSE)),"N/A")</f>
        <v>Sakalbayeva Aliya</v>
      </c>
      <c r="I72" t="s">
        <v>373</v>
      </c>
      <c r="J72" s="174">
        <f t="shared" si="2"/>
        <v>0.97</v>
      </c>
      <c r="K72" s="174">
        <f t="shared" si="3"/>
        <v>0.93</v>
      </c>
      <c r="L72" s="174"/>
      <c r="M72" s="174"/>
    </row>
    <row r="73" spans="1:13" x14ac:dyDescent="0.35">
      <c r="A73" s="175"/>
      <c r="B73" s="175" t="str">
        <f>IFERROR(IF(VLOOKUP(C73,[1]Mapping!$BT:$BU,2,FALSE)=0,"",VLOOKUP(C73,[1]Mapping!$BT:$BU,2,FALSE)),"")</f>
        <v>Kalistratova Alexandra</v>
      </c>
      <c r="C73" s="175" t="s">
        <v>345</v>
      </c>
      <c r="D73" s="176">
        <v>1</v>
      </c>
      <c r="E73" s="176">
        <v>1</v>
      </c>
      <c r="G73">
        <v>72</v>
      </c>
      <c r="H73" t="str">
        <f>IFERROR(IF(VLOOKUP(I73,[1]Mapping!$BT:$BU,2,FALSE)=0,"N/A",VLOOKUP(I73,[1]Mapping!$BT:$BU,2,FALSE)),"N/A")</f>
        <v>Salikhova Akbota</v>
      </c>
      <c r="I73" t="s">
        <v>374</v>
      </c>
      <c r="J73" s="174">
        <f t="shared" si="2"/>
        <v>0</v>
      </c>
      <c r="K73" s="174">
        <f t="shared" si="3"/>
        <v>0</v>
      </c>
      <c r="L73" s="174"/>
      <c r="M73" s="174"/>
    </row>
    <row r="74" spans="1:13" x14ac:dyDescent="0.35">
      <c r="A74" s="175"/>
      <c r="B74" s="175" t="str">
        <f>IFERROR(IF(VLOOKUP(C74,[1]Mapping!$BT:$BU,2,FALSE)=0,"",VLOOKUP(C74,[1]Mapping!$BT:$BU,2,FALSE)),"")</f>
        <v>Sakalbayeva Aliya</v>
      </c>
      <c r="C74" s="175" t="s">
        <v>373</v>
      </c>
      <c r="D74" s="176">
        <v>0.97</v>
      </c>
      <c r="E74" s="176">
        <v>0.97</v>
      </c>
      <c r="G74">
        <v>73</v>
      </c>
      <c r="H74" t="str">
        <f>IFERROR(IF(VLOOKUP(I74,[1]Mapping!$BT:$BU,2,FALSE)=0,"N/A",VLOOKUP(I74,[1]Mapping!$BT:$BU,2,FALSE)),"N/A")</f>
        <v>Sarbassova Dina (Astana)</v>
      </c>
      <c r="I74" t="s">
        <v>308</v>
      </c>
      <c r="J74" s="174">
        <f t="shared" si="2"/>
        <v>0.83</v>
      </c>
      <c r="K74" s="174">
        <f t="shared" si="3"/>
        <v>0</v>
      </c>
      <c r="L74" s="174"/>
      <c r="M74" s="174"/>
    </row>
    <row r="75" spans="1:13" x14ac:dyDescent="0.35">
      <c r="A75" s="175"/>
      <c r="B75" s="175" t="str">
        <f>IFERROR(IF(VLOOKUP(C75,[1]Mapping!$BT:$BU,2,FALSE)=0,"",VLOOKUP(C75,[1]Mapping!$BT:$BU,2,FALSE)),"")</f>
        <v>Sidorenko Yevgeniya</v>
      </c>
      <c r="C75" s="175" t="s">
        <v>375</v>
      </c>
      <c r="D75" s="176">
        <v>0.98</v>
      </c>
      <c r="E75" s="176">
        <v>0.98</v>
      </c>
      <c r="G75">
        <v>74</v>
      </c>
      <c r="H75" t="str">
        <f>IFERROR(IF(VLOOKUP(I75,[1]Mapping!$BT:$BU,2,FALSE)=0,"N/A",VLOOKUP(I75,[1]Mapping!$BT:$BU,2,FALSE)),"N/A")</f>
        <v>Sariyeva Ainur</v>
      </c>
      <c r="I75" t="s">
        <v>310</v>
      </c>
      <c r="J75" s="174">
        <f t="shared" si="2"/>
        <v>0.89</v>
      </c>
      <c r="K75" s="174">
        <f t="shared" si="3"/>
        <v>0.99</v>
      </c>
      <c r="L75" s="174"/>
      <c r="M75" s="174"/>
    </row>
    <row r="76" spans="1:13" x14ac:dyDescent="0.35">
      <c r="A76" s="177"/>
      <c r="B76" s="177" t="str">
        <f>IFERROR(IF(VLOOKUP(C76,[1]Mapping!$BT:$BU,2,FALSE)=0,"",VLOOKUP(C76,[1]Mapping!$BT:$BU,2,FALSE)),"")</f>
        <v/>
      </c>
      <c r="C76" s="178" t="s">
        <v>280</v>
      </c>
      <c r="D76" s="176">
        <v>0.97</v>
      </c>
      <c r="E76" s="176">
        <v>0.97</v>
      </c>
      <c r="G76">
        <v>75</v>
      </c>
      <c r="H76" t="str">
        <f>IFERROR(IF(VLOOKUP(I76,[1]Mapping!$BT:$BU,2,FALSE)=0,"N/A",VLOOKUP(I76,[1]Mapping!$BT:$BU,2,FALSE)),"N/A")</f>
        <v>Sarsenbayeva Saniya</v>
      </c>
      <c r="I76" t="s">
        <v>365</v>
      </c>
      <c r="J76" s="174">
        <f t="shared" si="2"/>
        <v>0.83</v>
      </c>
      <c r="K76" s="174">
        <f t="shared" si="3"/>
        <v>0.99</v>
      </c>
      <c r="L76" s="174"/>
      <c r="M76" s="174"/>
    </row>
    <row r="77" spans="1:13" x14ac:dyDescent="0.35">
      <c r="A77" s="175" t="s">
        <v>376</v>
      </c>
      <c r="B77" s="175" t="str">
        <f>IFERROR(IF(VLOOKUP(C77,[1]Mapping!$BT:$BU,2,FALSE)=0,"",VLOOKUP(C77,[1]Mapping!$BT:$BU,2,FALSE)),"")</f>
        <v>Nurikhanova Alissa</v>
      </c>
      <c r="C77" s="175" t="s">
        <v>331</v>
      </c>
      <c r="D77" s="176">
        <v>0.99</v>
      </c>
      <c r="E77" s="176">
        <v>0.99</v>
      </c>
      <c r="G77">
        <v>76</v>
      </c>
      <c r="H77" t="str">
        <f>IFERROR(IF(VLOOKUP(I77,[1]Mapping!$BT:$BU,2,FALSE)=0,"N/A",VLOOKUP(I77,[1]Mapping!$BT:$BU,2,FALSE)),"N/A")</f>
        <v>Sidorenko Yevgeniya</v>
      </c>
      <c r="I77" t="s">
        <v>375</v>
      </c>
      <c r="J77" s="174">
        <f t="shared" si="2"/>
        <v>0.98</v>
      </c>
      <c r="K77" s="174">
        <f t="shared" si="3"/>
        <v>0</v>
      </c>
      <c r="L77" s="174"/>
      <c r="M77" s="174"/>
    </row>
    <row r="78" spans="1:13" x14ac:dyDescent="0.35">
      <c r="A78" s="177"/>
      <c r="B78" s="177" t="str">
        <f>IFERROR(IF(VLOOKUP(C78,[1]Mapping!$BT:$BU,2,FALSE)=0,"",VLOOKUP(C78,[1]Mapping!$BT:$BU,2,FALSE)),"")</f>
        <v/>
      </c>
      <c r="C78" s="178" t="s">
        <v>280</v>
      </c>
      <c r="D78" s="176">
        <v>0.99</v>
      </c>
      <c r="E78" s="176">
        <v>0.99</v>
      </c>
      <c r="G78">
        <v>77</v>
      </c>
      <c r="H78" t="str">
        <f>IFERROR(IF(VLOOKUP(I78,[1]Mapping!$BT:$BU,2,FALSE)=0,"N/A",VLOOKUP(I78,[1]Mapping!$BT:$BU,2,FALSE)),"N/A")</f>
        <v>Simachkova Yelena</v>
      </c>
      <c r="I78" t="s">
        <v>304</v>
      </c>
      <c r="J78" s="174">
        <f t="shared" si="2"/>
        <v>0.9</v>
      </c>
      <c r="K78" s="174">
        <f t="shared" si="3"/>
        <v>0</v>
      </c>
      <c r="L78" s="174"/>
      <c r="M78" s="174"/>
    </row>
    <row r="79" spans="1:13" x14ac:dyDescent="0.35">
      <c r="A79" s="175" t="s">
        <v>299</v>
      </c>
      <c r="B79" s="175" t="str">
        <f>IFERROR(IF(VLOOKUP(C79,[1]Mapping!$BT:$BU,2,FALSE)=0,"",VLOOKUP(C79,[1]Mapping!$BT:$BU,2,FALSE)),"")</f>
        <v>Auyelbekova Syndykul</v>
      </c>
      <c r="C79" s="175" t="s">
        <v>297</v>
      </c>
      <c r="D79" s="179">
        <v>0.92</v>
      </c>
      <c r="E79" s="179">
        <v>0.92</v>
      </c>
      <c r="G79">
        <v>78</v>
      </c>
      <c r="H79" t="str">
        <f>IFERROR(IF(VLOOKUP(I79,[1]Mapping!$BT:$BU,2,FALSE)=0,"N/A",VLOOKUP(I79,[1]Mapping!$BT:$BU,2,FALSE)),"N/A")</f>
        <v>Soni Laura</v>
      </c>
      <c r="I79" t="s">
        <v>355</v>
      </c>
      <c r="J79" s="174">
        <f t="shared" si="2"/>
        <v>0.99</v>
      </c>
      <c r="K79" s="174">
        <f t="shared" si="3"/>
        <v>0.99</v>
      </c>
      <c r="L79" s="174"/>
      <c r="M79" s="174"/>
    </row>
    <row r="80" spans="1:13" x14ac:dyDescent="0.35">
      <c r="A80" s="175"/>
      <c r="B80" s="175" t="str">
        <f>IFERROR(IF(VLOOKUP(C80,[1]Mapping!$BT:$BU,2,FALSE)=0,"",VLOOKUP(C80,[1]Mapping!$BT:$BU,2,FALSE)),"")</f>
        <v>Bekbauova Saltanat</v>
      </c>
      <c r="C80" s="175" t="s">
        <v>311</v>
      </c>
      <c r="D80" s="179">
        <v>0.87</v>
      </c>
      <c r="E80" s="179">
        <v>0.87</v>
      </c>
      <c r="G80">
        <v>79</v>
      </c>
      <c r="H80" t="str">
        <f>IFERROR(IF(VLOOKUP(I80,[1]Mapping!$BT:$BU,2,FALSE)=0,"N/A",VLOOKUP(I80,[1]Mapping!$BT:$BU,2,FALSE)),"N/A")</f>
        <v>Tasbulatova Saule</v>
      </c>
      <c r="I80" t="s">
        <v>377</v>
      </c>
      <c r="J80" s="174">
        <f t="shared" si="2"/>
        <v>1</v>
      </c>
      <c r="K80" s="174">
        <f t="shared" si="3"/>
        <v>1</v>
      </c>
      <c r="L80" s="174"/>
      <c r="M80" s="174"/>
    </row>
    <row r="81" spans="1:13" x14ac:dyDescent="0.35">
      <c r="A81" s="175"/>
      <c r="B81" s="175" t="str">
        <f>IFERROR(IF(VLOOKUP(C81,[1]Mapping!$BT:$BU,2,FALSE)=0,"",VLOOKUP(C81,[1]Mapping!$BT:$BU,2,FALSE)),"")</f>
        <v>Kassenova Gulshat</v>
      </c>
      <c r="C81" s="175" t="s">
        <v>351</v>
      </c>
      <c r="D81" s="176">
        <v>0.96</v>
      </c>
      <c r="E81" s="176">
        <v>0.96</v>
      </c>
      <c r="G81">
        <v>80</v>
      </c>
      <c r="H81" t="str">
        <f>IFERROR(IF(VLOOKUP(I81,[1]Mapping!$BT:$BU,2,FALSE)=0,"N/A",VLOOKUP(I81,[1]Mapping!$BT:$BU,2,FALSE)),"N/A")</f>
        <v>Temirbayeva Akzhunis</v>
      </c>
      <c r="I81" t="s">
        <v>378</v>
      </c>
      <c r="J81" s="174">
        <f t="shared" si="2"/>
        <v>0.97</v>
      </c>
      <c r="K81" s="174">
        <f t="shared" si="3"/>
        <v>0.93</v>
      </c>
      <c r="L81" s="174"/>
      <c r="M81" s="174"/>
    </row>
    <row r="82" spans="1:13" x14ac:dyDescent="0.35">
      <c r="A82" s="175"/>
      <c r="B82" s="175" t="str">
        <f>IFERROR(IF(VLOOKUP(C82,[1]Mapping!$BT:$BU,2,FALSE)=0,"",VLOOKUP(C82,[1]Mapping!$BT:$BU,2,FALSE)),"")</f>
        <v>Omarova Aizhan</v>
      </c>
      <c r="C82" s="175" t="s">
        <v>367</v>
      </c>
      <c r="D82" s="176">
        <v>0.97</v>
      </c>
      <c r="E82" s="176">
        <v>0.97</v>
      </c>
      <c r="G82">
        <v>81</v>
      </c>
      <c r="H82" t="str">
        <f>IFERROR(IF(VLOOKUP(I82,[1]Mapping!$BT:$BU,2,FALSE)=0,"N/A",VLOOKUP(I82,[1]Mapping!$BT:$BU,2,FALSE)),"N/A")</f>
        <v>Tilessova Altynay</v>
      </c>
      <c r="I82" t="s">
        <v>290</v>
      </c>
      <c r="J82" s="174">
        <f t="shared" si="2"/>
        <v>0.99</v>
      </c>
      <c r="K82" s="174">
        <f t="shared" si="3"/>
        <v>0.97</v>
      </c>
      <c r="L82" s="174"/>
      <c r="M82" s="174"/>
    </row>
    <row r="83" spans="1:13" x14ac:dyDescent="0.35">
      <c r="A83" s="175"/>
      <c r="B83" s="175" t="str">
        <f>IFERROR(IF(VLOOKUP(C83,[1]Mapping!$BT:$BU,2,FALSE)=0,"",VLOOKUP(C83,[1]Mapping!$BT:$BU,2,FALSE)),"")</f>
        <v>Ospanova Anar</v>
      </c>
      <c r="C83" s="175" t="s">
        <v>368</v>
      </c>
      <c r="D83" s="176">
        <v>0.98</v>
      </c>
      <c r="E83" s="176">
        <v>0.98</v>
      </c>
      <c r="G83">
        <v>82</v>
      </c>
      <c r="H83" t="str">
        <f>IFERROR(IF(VLOOKUP(I83,[1]Mapping!$BT:$BU,2,FALSE)=0,"N/A",VLOOKUP(I83,[1]Mapping!$BT:$BU,2,FALSE)),"N/A")</f>
        <v>Tipalov Sergey</v>
      </c>
      <c r="I83" t="s">
        <v>379</v>
      </c>
      <c r="J83" s="174">
        <f t="shared" si="2"/>
        <v>0.98</v>
      </c>
      <c r="K83" s="174">
        <f t="shared" si="3"/>
        <v>0.9</v>
      </c>
      <c r="L83" s="174"/>
      <c r="M83" s="174"/>
    </row>
    <row r="84" spans="1:13" x14ac:dyDescent="0.35">
      <c r="A84" s="175"/>
      <c r="B84" s="175" t="str">
        <f>IFERROR(IF(VLOOKUP(C84,[1]Mapping!$BT:$BU,2,FALSE)=0,"",VLOOKUP(C84,[1]Mapping!$BT:$BU,2,FALSE)),"")</f>
        <v>Tipalov Sergey</v>
      </c>
      <c r="C84" s="175" t="s">
        <v>379</v>
      </c>
      <c r="D84" s="176">
        <v>0.98</v>
      </c>
      <c r="E84" s="176">
        <v>0.98</v>
      </c>
      <c r="G84">
        <v>83</v>
      </c>
      <c r="H84" t="str">
        <f>IFERROR(IF(VLOOKUP(I84,[1]Mapping!$BT:$BU,2,FALSE)=0,"N/A",VLOOKUP(I84,[1]Mapping!$BT:$BU,2,FALSE)),"N/A")</f>
        <v>N/A</v>
      </c>
      <c r="I84" t="s">
        <v>380</v>
      </c>
      <c r="J84" s="174">
        <f t="shared" si="2"/>
        <v>1</v>
      </c>
      <c r="K84" s="174">
        <f t="shared" si="3"/>
        <v>0.97</v>
      </c>
      <c r="L84" s="174"/>
      <c r="M84" s="174"/>
    </row>
    <row r="85" spans="1:13" x14ac:dyDescent="0.35">
      <c r="A85" s="177"/>
      <c r="B85" s="177" t="str">
        <f>IFERROR(IF(VLOOKUP(C85,[1]Mapping!$BT:$BU,2,FALSE)=0,"",VLOOKUP(C85,[1]Mapping!$BT:$BU,2,FALSE)),"")</f>
        <v/>
      </c>
      <c r="C85" s="178" t="s">
        <v>280</v>
      </c>
      <c r="D85" s="176">
        <v>0.95</v>
      </c>
      <c r="E85" s="176">
        <v>0.95</v>
      </c>
      <c r="G85">
        <v>84</v>
      </c>
      <c r="H85" t="str">
        <f>IFERROR(IF(VLOOKUP(I85,[1]Mapping!$BT:$BU,2,FALSE)=0,"N/A",VLOOKUP(I85,[1]Mapping!$BT:$BU,2,FALSE)),"N/A")</f>
        <v>Ungarbayeva Zhanna</v>
      </c>
      <c r="I85" t="s">
        <v>381</v>
      </c>
      <c r="J85" s="174">
        <f t="shared" si="2"/>
        <v>0.92</v>
      </c>
      <c r="K85" s="174">
        <f t="shared" si="3"/>
        <v>0.97</v>
      </c>
      <c r="L85" s="174"/>
      <c r="M85" s="174"/>
    </row>
    <row r="86" spans="1:13" x14ac:dyDescent="0.35">
      <c r="A86" s="175" t="s">
        <v>382</v>
      </c>
      <c r="B86" s="175" t="str">
        <f>IFERROR(IF(VLOOKUP(C86,[1]Mapping!$BT:$BU,2,FALSE)=0,"",VLOOKUP(C86,[1]Mapping!$BT:$BU,2,FALSE)),"")</f>
        <v>Abdykadyrova Aizhamal</v>
      </c>
      <c r="C86" s="175" t="s">
        <v>276</v>
      </c>
      <c r="D86" s="176">
        <v>0.99</v>
      </c>
      <c r="E86" s="176">
        <v>0.99</v>
      </c>
      <c r="G86">
        <v>85</v>
      </c>
      <c r="H86" t="str">
        <f>IFERROR(IF(VLOOKUP(I86,[1]Mapping!$BT:$BU,2,FALSE)=0,"N/A",VLOOKUP(I86,[1]Mapping!$BT:$BU,2,FALSE)),"N/A")</f>
        <v>N/A</v>
      </c>
      <c r="I86" t="s">
        <v>383</v>
      </c>
      <c r="J86" s="174">
        <f t="shared" si="2"/>
        <v>0.85</v>
      </c>
      <c r="K86" s="174">
        <f t="shared" si="3"/>
        <v>0</v>
      </c>
      <c r="L86" s="174"/>
      <c r="M86" s="174"/>
    </row>
    <row r="87" spans="1:13" x14ac:dyDescent="0.35">
      <c r="A87" s="175"/>
      <c r="B87" s="175" t="str">
        <f>IFERROR(IF(VLOOKUP(C87,[1]Mapping!$BT:$BU,2,FALSE)=0,"",VLOOKUP(C87,[1]Mapping!$BT:$BU,2,FALSE)),"")</f>
        <v>Abdygaziyeva Zhanylmyrza</v>
      </c>
      <c r="C87" s="175" t="s">
        <v>281</v>
      </c>
      <c r="D87" s="176">
        <v>0.99</v>
      </c>
      <c r="E87" s="176">
        <v>0.99</v>
      </c>
      <c r="G87">
        <v>86</v>
      </c>
      <c r="H87" t="str">
        <f>IFERROR(IF(VLOOKUP(I87,[1]Mapping!$BT:$BU,2,FALSE)=0,"N/A",VLOOKUP(I87,[1]Mapping!$BT:$BU,2,FALSE)),"N/A")</f>
        <v>Feist Yekaterina</v>
      </c>
      <c r="I87" t="s">
        <v>384</v>
      </c>
      <c r="J87" s="174">
        <f t="shared" si="2"/>
        <v>0.84</v>
      </c>
      <c r="K87" s="174">
        <f t="shared" si="3"/>
        <v>0.99</v>
      </c>
      <c r="L87" s="174"/>
      <c r="M87" s="174"/>
    </row>
    <row r="88" spans="1:13" x14ac:dyDescent="0.35">
      <c r="A88" s="175"/>
      <c r="B88" s="175" t="str">
        <f>IFERROR(IF(VLOOKUP(C88,[1]Mapping!$BT:$BU,2,FALSE)=0,"",VLOOKUP(C88,[1]Mapping!$BT:$BU,2,FALSE)),"")</f>
        <v>Karimova Nazgul</v>
      </c>
      <c r="C88" s="175" t="s">
        <v>347</v>
      </c>
      <c r="D88" s="179">
        <v>0.91</v>
      </c>
      <c r="E88" s="179">
        <v>0.91</v>
      </c>
      <c r="G88">
        <v>87</v>
      </c>
      <c r="H88" t="str">
        <f>IFERROR(IF(VLOOKUP(I88,[1]Mapping!$BT:$BU,2,FALSE)=0,"N/A",VLOOKUP(I88,[1]Mapping!$BT:$BU,2,FALSE)),"N/A")</f>
        <v>Khalikova Nuriya</v>
      </c>
      <c r="I88" t="s">
        <v>385</v>
      </c>
      <c r="J88" s="174">
        <f t="shared" si="2"/>
        <v>0.92</v>
      </c>
      <c r="K88" s="174">
        <f t="shared" si="3"/>
        <v>0.97</v>
      </c>
      <c r="L88" s="174"/>
      <c r="M88" s="174"/>
    </row>
    <row r="89" spans="1:13" x14ac:dyDescent="0.35">
      <c r="A89" s="175"/>
      <c r="B89" s="175" t="str">
        <f>IFERROR(IF(VLOOKUP(C89,[1]Mapping!$BT:$BU,2,FALSE)=0,"",VLOOKUP(C89,[1]Mapping!$BT:$BU,2,FALSE)),"")</f>
        <v/>
      </c>
      <c r="C89" s="175" t="s">
        <v>366</v>
      </c>
      <c r="D89" s="179">
        <v>0.94</v>
      </c>
      <c r="E89" s="179">
        <v>0.94</v>
      </c>
      <c r="G89">
        <v>88</v>
      </c>
      <c r="H89" t="str">
        <f>IFERROR(IF(VLOOKUP(I89,[1]Mapping!$BT:$BU,2,FALSE)=0,"N/A",VLOOKUP(I89,[1]Mapping!$BT:$BU,2,FALSE)),"N/A")</f>
        <v>N/A</v>
      </c>
      <c r="I89" t="s">
        <v>386</v>
      </c>
      <c r="J89" s="174">
        <f t="shared" si="2"/>
        <v>1</v>
      </c>
      <c r="K89" s="174">
        <f t="shared" si="3"/>
        <v>1</v>
      </c>
      <c r="L89" s="174"/>
      <c r="M89" s="174"/>
    </row>
    <row r="90" spans="1:13" x14ac:dyDescent="0.35">
      <c r="A90" s="175"/>
      <c r="B90" s="175" t="str">
        <f>IFERROR(IF(VLOOKUP(C90,[1]Mapping!$BT:$BU,2,FALSE)=0,"",VLOOKUP(C90,[1]Mapping!$BT:$BU,2,FALSE)),"")</f>
        <v/>
      </c>
      <c r="C90" s="175" t="s">
        <v>380</v>
      </c>
      <c r="D90" s="176">
        <v>1</v>
      </c>
      <c r="E90" s="176">
        <v>1</v>
      </c>
      <c r="G90">
        <v>89</v>
      </c>
      <c r="H90" t="str">
        <f>IFERROR(IF(VLOOKUP(I90,[1]Mapping!$BT:$BU,2,FALSE)=0,"N/A",VLOOKUP(I90,[1]Mapping!$BT:$BU,2,FALSE)),"N/A")</f>
        <v>Eshbayeva Chinara</v>
      </c>
      <c r="I90" t="s">
        <v>387</v>
      </c>
      <c r="J90" s="174">
        <f t="shared" si="2"/>
        <v>0.99</v>
      </c>
      <c r="K90" s="174">
        <f t="shared" si="3"/>
        <v>1</v>
      </c>
      <c r="L90" s="174"/>
      <c r="M90" s="174"/>
    </row>
    <row r="91" spans="1:13" x14ac:dyDescent="0.35">
      <c r="A91" s="175"/>
      <c r="B91" s="175" t="str">
        <f>IFERROR(IF(VLOOKUP(C91,[1]Mapping!$BT:$BU,2,FALSE)=0,"",VLOOKUP(C91,[1]Mapping!$BT:$BU,2,FALSE)),"")</f>
        <v/>
      </c>
      <c r="C91" s="175" t="s">
        <v>386</v>
      </c>
      <c r="D91" s="176">
        <v>1</v>
      </c>
      <c r="E91" s="176">
        <v>1</v>
      </c>
      <c r="G91">
        <v>90</v>
      </c>
      <c r="H91" t="str">
        <f>IFERROR(IF(VLOOKUP(I91,[1]Mapping!$BT:$BU,2,FALSE)=0,"N/A",VLOOKUP(I91,[1]Mapping!$BT:$BU,2,FALSE)),"N/A")</f>
        <v>Yu Vitaliya</v>
      </c>
      <c r="I91" t="s">
        <v>357</v>
      </c>
      <c r="J91" s="174">
        <f t="shared" si="2"/>
        <v>0.96</v>
      </c>
      <c r="K91" s="174">
        <f t="shared" si="3"/>
        <v>0.97</v>
      </c>
      <c r="L91" s="174"/>
      <c r="M91" s="174"/>
    </row>
    <row r="92" spans="1:13" x14ac:dyDescent="0.35">
      <c r="A92" s="177"/>
      <c r="B92" s="177" t="str">
        <f>IFERROR(IF(VLOOKUP(C92,[1]Mapping!$BT:$BU,2,FALSE)=0,"",VLOOKUP(C92,[1]Mapping!$BT:$BU,2,FALSE)),"")</f>
        <v/>
      </c>
      <c r="C92" s="178" t="s">
        <v>280</v>
      </c>
      <c r="D92" s="176">
        <v>0.97</v>
      </c>
      <c r="E92" s="176">
        <v>0.97</v>
      </c>
      <c r="G92">
        <v>91</v>
      </c>
      <c r="H92" t="str">
        <f>IFERROR(IF(VLOOKUP(I92,[1]Mapping!$BT:$BU,2,FALSE)=0,"N/A",VLOOKUP(I92,[1]Mapping!$BT:$BU,2,FALSE)),"N/A")</f>
        <v>Beyshenbayeva Gulzat</v>
      </c>
      <c r="I92" t="s">
        <v>316</v>
      </c>
      <c r="J92" s="174">
        <f t="shared" si="2"/>
        <v>0.97</v>
      </c>
      <c r="K92" s="174">
        <f t="shared" si="3"/>
        <v>0.99</v>
      </c>
      <c r="L92" s="174"/>
      <c r="M92" s="174"/>
    </row>
    <row r="93" spans="1:13" x14ac:dyDescent="0.35">
      <c r="A93" s="175" t="s">
        <v>388</v>
      </c>
      <c r="B93" s="175" t="str">
        <f>IFERROR(IF(VLOOKUP(C93,[1]Mapping!$BT:$BU,2,FALSE)=0,"",VLOOKUP(C93,[1]Mapping!$BT:$BU,2,FALSE)),"")</f>
        <v>Eshbayeva Chinara</v>
      </c>
      <c r="C93" s="175" t="s">
        <v>387</v>
      </c>
      <c r="D93" s="176">
        <v>0.99</v>
      </c>
      <c r="E93" s="176">
        <v>0.99</v>
      </c>
      <c r="G93">
        <v>92</v>
      </c>
      <c r="H93" t="str">
        <f>IFERROR(IF(VLOOKUP(I93,[1]Mapping!$BT:$BU,2,FALSE)=0,"N/A",VLOOKUP(I93,[1]Mapping!$BT:$BU,2,FALSE)),"N/A")</f>
        <v>Galiyeva Saule</v>
      </c>
      <c r="I93" t="s">
        <v>318</v>
      </c>
      <c r="J93" s="174">
        <f t="shared" si="2"/>
        <v>0.93</v>
      </c>
      <c r="K93" s="174">
        <f t="shared" si="3"/>
        <v>0.96875</v>
      </c>
      <c r="L93" s="174"/>
      <c r="M93" s="174"/>
    </row>
    <row r="94" spans="1:13" x14ac:dyDescent="0.35">
      <c r="A94" s="177"/>
      <c r="B94" s="177" t="str">
        <f>IFERROR(IF(VLOOKUP(C94,[1]Mapping!$BT:$BU,2,FALSE)=0,"",VLOOKUP(C94,[1]Mapping!$BT:$BU,2,FALSE)),"")</f>
        <v/>
      </c>
      <c r="C94" s="178" t="s">
        <v>280</v>
      </c>
      <c r="D94" s="176">
        <v>0.99</v>
      </c>
      <c r="E94" s="176">
        <v>0.99</v>
      </c>
      <c r="G94">
        <v>93</v>
      </c>
      <c r="H94" t="str">
        <f>IFERROR(IF(VLOOKUP(I94,[1]Mapping!$BT:$BU,2,FALSE)=0,"N/A",VLOOKUP(I94,[1]Mapping!$BT:$BU,2,FALSE)),"N/A")</f>
        <v>Yevseyenko Larissa</v>
      </c>
      <c r="I94" t="s">
        <v>320</v>
      </c>
      <c r="J94" s="174">
        <f t="shared" si="2"/>
        <v>0.91</v>
      </c>
      <c r="K94" s="174">
        <f t="shared" si="3"/>
        <v>0.95</v>
      </c>
      <c r="L94" s="174"/>
      <c r="M94" s="174"/>
    </row>
    <row r="95" spans="1:13" x14ac:dyDescent="0.35">
      <c r="A95" s="175" t="s">
        <v>303</v>
      </c>
      <c r="B95" s="175" t="str">
        <f>IFERROR(IF(VLOOKUP(C95,[1]Mapping!$BT:$BU,2,FALSE)=0,"",VLOOKUP(C95,[1]Mapping!$BT:$BU,2,FALSE)),"")</f>
        <v>Abasheva Anna</v>
      </c>
      <c r="C95" s="175" t="s">
        <v>272</v>
      </c>
      <c r="D95" s="179">
        <v>0.9</v>
      </c>
      <c r="E95" s="179">
        <v>0.9</v>
      </c>
      <c r="G95">
        <v>94</v>
      </c>
      <c r="H95" t="str">
        <f>IFERROR(IF(VLOOKUP(I95,[1]Mapping!$BT:$BU,2,FALSE)=0,"N/A",VLOOKUP(I95,[1]Mapping!$BT:$BU,2,FALSE)),"N/A")</f>
        <v>Zhmailova Yelena</v>
      </c>
      <c r="I95" t="s">
        <v>322</v>
      </c>
      <c r="J95" s="174">
        <f t="shared" si="2"/>
        <v>0.97</v>
      </c>
      <c r="K95" s="174">
        <f t="shared" si="3"/>
        <v>0.98</v>
      </c>
      <c r="L95" s="174"/>
      <c r="M95" s="174"/>
    </row>
    <row r="96" spans="1:13" x14ac:dyDescent="0.35">
      <c r="A96" s="175"/>
      <c r="B96" s="175" t="str">
        <f>IFERROR(IF(VLOOKUP(C96,[1]Mapping!$BT:$BU,2,FALSE)=0,"",VLOOKUP(C96,[1]Mapping!$BT:$BU,2,FALSE)),"")</f>
        <v>Baimysheva Mariya</v>
      </c>
      <c r="C96" s="175" t="s">
        <v>302</v>
      </c>
      <c r="D96" s="179">
        <v>0.95</v>
      </c>
      <c r="E96" s="179">
        <v>0.95</v>
      </c>
      <c r="G96">
        <v>95</v>
      </c>
      <c r="H96" t="str">
        <f>IFERROR(IF(VLOOKUP(I96,[1]Mapping!$BT:$BU,2,FALSE)=0,"N/A",VLOOKUP(I96,[1]Mapping!$BT:$BU,2,FALSE)),"N/A")</f>
        <v>Zarpullayeva Gulnara</v>
      </c>
      <c r="I96" t="s">
        <v>323</v>
      </c>
      <c r="J96" s="174">
        <f t="shared" si="2"/>
        <v>0.92</v>
      </c>
      <c r="K96" s="174">
        <f t="shared" si="3"/>
        <v>0.94</v>
      </c>
      <c r="L96" s="174"/>
      <c r="M96" s="174"/>
    </row>
    <row r="97" spans="1:13" x14ac:dyDescent="0.35">
      <c r="A97" s="175"/>
      <c r="B97" s="175" t="str">
        <f>IFERROR(IF(VLOOKUP(C97,[1]Mapping!$BT:$BU,2,FALSE)=0,"",VLOOKUP(C97,[1]Mapping!$BT:$BU,2,FALSE)),"")</f>
        <v>Kaderov Nursultan</v>
      </c>
      <c r="C97" s="175" t="s">
        <v>342</v>
      </c>
      <c r="D97" s="179">
        <v>0.92</v>
      </c>
      <c r="E97" s="179">
        <v>0.92</v>
      </c>
      <c r="G97">
        <v>96</v>
      </c>
      <c r="H97" t="str">
        <f>IFERROR(IF(VLOOKUP(I97,[1]Mapping!$BT:$BU,2,FALSE)=0,"N/A",VLOOKUP(I97,[1]Mapping!$BT:$BU,2,FALSE)),"N/A")</f>
        <v>Kuzikeyeva Dinara</v>
      </c>
      <c r="I97" t="s">
        <v>325</v>
      </c>
      <c r="J97" s="174">
        <f t="shared" si="2"/>
        <v>0.94</v>
      </c>
      <c r="K97" s="174">
        <f t="shared" si="3"/>
        <v>0.95</v>
      </c>
      <c r="L97" s="174"/>
      <c r="M97" s="174"/>
    </row>
    <row r="98" spans="1:13" x14ac:dyDescent="0.35">
      <c r="A98" s="175"/>
      <c r="B98" s="175" t="str">
        <f>IFERROR(IF(VLOOKUP(C98,[1]Mapping!$BT:$BU,2,FALSE)=0,"",VLOOKUP(C98,[1]Mapping!$BT:$BU,2,FALSE)),"")</f>
        <v>Ospanova Zhumagul</v>
      </c>
      <c r="C98" s="175" t="s">
        <v>369</v>
      </c>
      <c r="D98" s="179">
        <v>0.82</v>
      </c>
      <c r="E98" s="179">
        <v>0.82</v>
      </c>
      <c r="G98">
        <v>97</v>
      </c>
      <c r="H98" t="str">
        <f>IFERROR(IF(VLOOKUP(I98,[1]Mapping!$BT:$BU,2,FALSE)=0,"N/A",VLOOKUP(I98,[1]Mapping!$BT:$BU,2,FALSE)),"N/A")</f>
        <v>Kuxa Anna</v>
      </c>
      <c r="I98" t="s">
        <v>327</v>
      </c>
      <c r="J98" s="174">
        <f t="shared" si="2"/>
        <v>0.92</v>
      </c>
      <c r="K98" s="174">
        <f t="shared" si="3"/>
        <v>0.92</v>
      </c>
      <c r="L98" s="174"/>
      <c r="M98" s="174"/>
    </row>
    <row r="99" spans="1:13" x14ac:dyDescent="0.35">
      <c r="A99" s="175"/>
      <c r="B99" s="175" t="str">
        <f>IFERROR(IF(VLOOKUP(C99,[1]Mapping!$BT:$BU,2,FALSE)=0,"",VLOOKUP(C99,[1]Mapping!$BT:$BU,2,FALSE)),"")</f>
        <v>Pavlutskikh Yelena</v>
      </c>
      <c r="C99" s="175" t="s">
        <v>370</v>
      </c>
      <c r="D99" s="179">
        <v>0.95</v>
      </c>
      <c r="E99" s="179">
        <v>0.95</v>
      </c>
      <c r="G99">
        <v>98</v>
      </c>
      <c r="H99" t="str">
        <f>IFERROR(IF(VLOOKUP(I99,[1]Mapping!$BT:$BU,2,FALSE)=0,"N/A",VLOOKUP(I99,[1]Mapping!$BT:$BU,2,FALSE)),"N/A")</f>
        <v>Maisutova Almagul</v>
      </c>
      <c r="I99" t="s">
        <v>329</v>
      </c>
      <c r="J99" s="174">
        <f t="shared" si="2"/>
        <v>0.98</v>
      </c>
      <c r="K99" s="174">
        <f t="shared" si="3"/>
        <v>0.97</v>
      </c>
      <c r="L99" s="174"/>
      <c r="M99" s="174"/>
    </row>
    <row r="100" spans="1:13" x14ac:dyDescent="0.35">
      <c r="A100" s="175"/>
      <c r="B100" s="175" t="str">
        <f>IFERROR(IF(VLOOKUP(C100,[1]Mapping!$BT:$BU,2,FALSE)=0,"",VLOOKUP(C100,[1]Mapping!$BT:$BU,2,FALSE)),"")</f>
        <v>Rakhimzhanova Gulnar</v>
      </c>
      <c r="C100" s="175" t="s">
        <v>371</v>
      </c>
      <c r="D100" s="176">
        <v>0.99</v>
      </c>
      <c r="E100" s="176">
        <v>0.99</v>
      </c>
      <c r="G100">
        <v>99</v>
      </c>
      <c r="H100" t="str">
        <f>IFERROR(IF(VLOOKUP(I100,[1]Mapping!$BT:$BU,2,FALSE)=0,"N/A",VLOOKUP(I100,[1]Mapping!$BT:$BU,2,FALSE)),"N/A")</f>
        <v>Nurikhanova Alissa</v>
      </c>
      <c r="I100" t="s">
        <v>331</v>
      </c>
      <c r="J100" s="174">
        <f t="shared" si="2"/>
        <v>0.97</v>
      </c>
      <c r="K100" s="174">
        <f t="shared" si="3"/>
        <v>0.95</v>
      </c>
      <c r="L100" s="174"/>
      <c r="M100" s="174"/>
    </row>
    <row r="101" spans="1:13" x14ac:dyDescent="0.35">
      <c r="A101" s="175"/>
      <c r="B101" s="175" t="str">
        <f>IFERROR(IF(VLOOKUP(C101,[1]Mapping!$BT:$BU,2,FALSE)=0,"",VLOOKUP(C101,[1]Mapping!$BT:$BU,2,FALSE)),"")</f>
        <v>Tasbulatova Saule</v>
      </c>
      <c r="C101" s="175" t="s">
        <v>377</v>
      </c>
      <c r="D101" s="176">
        <v>1</v>
      </c>
      <c r="E101" s="176">
        <v>1</v>
      </c>
      <c r="G101">
        <v>100</v>
      </c>
      <c r="H101" t="str">
        <f>IFERROR(IF(VLOOKUP(I101,[1]Mapping!$BT:$BU,2,FALSE)=0,"N/A",VLOOKUP(I101,[1]Mapping!$BT:$BU,2,FALSE)),"N/A")</f>
        <v>Suttubayeva Gulnar</v>
      </c>
      <c r="I101" t="s">
        <v>333</v>
      </c>
      <c r="J101" s="174">
        <f t="shared" si="2"/>
        <v>0.92</v>
      </c>
      <c r="K101" s="174">
        <f t="shared" si="3"/>
        <v>0.97</v>
      </c>
      <c r="L101" s="174"/>
      <c r="M101" s="174"/>
    </row>
    <row r="102" spans="1:13" x14ac:dyDescent="0.35">
      <c r="A102" s="175"/>
      <c r="B102" s="175" t="str">
        <f>IFERROR(IF(VLOOKUP(C102,[1]Mapping!$BT:$BU,2,FALSE)=0,"",VLOOKUP(C102,[1]Mapping!$BT:$BU,2,FALSE)),"")</f>
        <v>Feist Yekaterina</v>
      </c>
      <c r="C102" s="175" t="s">
        <v>384</v>
      </c>
      <c r="D102" s="179">
        <v>0.84</v>
      </c>
      <c r="E102" s="179">
        <v>0.84</v>
      </c>
      <c r="G102">
        <v>101</v>
      </c>
      <c r="H102" t="s">
        <v>75</v>
      </c>
      <c r="J102" s="174">
        <v>1</v>
      </c>
      <c r="K102" s="174">
        <v>1</v>
      </c>
    </row>
    <row r="103" spans="1:13" x14ac:dyDescent="0.35">
      <c r="A103" s="175"/>
      <c r="B103" s="175" t="str">
        <f>IFERROR(IF(VLOOKUP(C103,[1]Mapping!$BT:$BU,2,FALSE)=0,"",VLOOKUP(C103,[1]Mapping!$BT:$BU,2,FALSE)),"")</f>
        <v>Khalikova Nuriya</v>
      </c>
      <c r="C103" s="175" t="s">
        <v>385</v>
      </c>
      <c r="D103" s="179">
        <v>0.92</v>
      </c>
      <c r="E103" s="179">
        <v>0.92</v>
      </c>
      <c r="G103">
        <v>102</v>
      </c>
      <c r="H103" t="s">
        <v>107</v>
      </c>
      <c r="J103" s="174">
        <v>1</v>
      </c>
      <c r="K103" s="174">
        <v>1</v>
      </c>
    </row>
    <row r="104" spans="1:13" x14ac:dyDescent="0.35">
      <c r="A104" s="177"/>
      <c r="B104" s="177" t="str">
        <f>IFERROR(IF(VLOOKUP(C104,[1]Mapping!$BT:$BU,2,FALSE)=0,"",VLOOKUP(C104,[1]Mapping!$BT:$BU,2,FALSE)),"")</f>
        <v/>
      </c>
      <c r="C104" s="178" t="s">
        <v>280</v>
      </c>
      <c r="D104" s="179">
        <v>0.92</v>
      </c>
      <c r="E104" s="179">
        <v>0.92</v>
      </c>
      <c r="G104">
        <v>103</v>
      </c>
      <c r="H104" t="s">
        <v>105</v>
      </c>
      <c r="J104" s="174">
        <v>1</v>
      </c>
      <c r="K104" s="174">
        <v>1</v>
      </c>
    </row>
    <row r="105" spans="1:13" x14ac:dyDescent="0.35">
      <c r="A105" s="175" t="s">
        <v>307</v>
      </c>
      <c r="B105" s="175" t="str">
        <f>IFERROR(IF(VLOOKUP(C105,[1]Mapping!$BT:$BU,2,FALSE)=0,"",VLOOKUP(C105,[1]Mapping!$BT:$BU,2,FALSE)),"")</f>
        <v>Aybolova Zhazira</v>
      </c>
      <c r="C105" s="175" t="s">
        <v>284</v>
      </c>
      <c r="D105" s="176">
        <v>0.96</v>
      </c>
      <c r="E105" s="176">
        <v>0.96</v>
      </c>
      <c r="G105">
        <v>104</v>
      </c>
      <c r="H105" s="181" t="s">
        <v>69</v>
      </c>
      <c r="J105" s="174">
        <v>0.94</v>
      </c>
      <c r="K105" s="174">
        <v>0.94</v>
      </c>
    </row>
    <row r="106" spans="1:13" x14ac:dyDescent="0.35">
      <c r="A106" s="175"/>
      <c r="B106" s="175" t="str">
        <f>IFERROR(IF(VLOOKUP(C106,[1]Mapping!$BT:$BU,2,FALSE)=0,"",VLOOKUP(C106,[1]Mapping!$BT:$BU,2,FALSE)),"")</f>
        <v>Tilessova Altynay</v>
      </c>
      <c r="C106" s="175" t="s">
        <v>290</v>
      </c>
      <c r="D106" s="176">
        <v>0.99</v>
      </c>
      <c r="E106" s="176">
        <v>0.99</v>
      </c>
      <c r="G106">
        <v>105</v>
      </c>
      <c r="H106" s="181" t="s">
        <v>100</v>
      </c>
      <c r="J106" s="174">
        <v>1</v>
      </c>
      <c r="K106" s="174">
        <v>1</v>
      </c>
    </row>
    <row r="107" spans="1:13" x14ac:dyDescent="0.35">
      <c r="A107" s="175"/>
      <c r="B107" s="175" t="str">
        <f>IFERROR(IF(VLOOKUP(C107,[1]Mapping!$BT:$BU,2,FALSE)=0,"",VLOOKUP(C107,[1]Mapping!$BT:$BU,2,FALSE)),"")</f>
        <v>Yerkebayeva Gulmira</v>
      </c>
      <c r="C107" s="175" t="s">
        <v>326</v>
      </c>
      <c r="D107" s="176">
        <v>0.97</v>
      </c>
      <c r="E107" s="176">
        <v>0.97</v>
      </c>
      <c r="G107">
        <v>106</v>
      </c>
      <c r="H107" s="181" t="s">
        <v>101</v>
      </c>
      <c r="J107" s="174">
        <v>1</v>
      </c>
      <c r="K107" s="174">
        <v>1</v>
      </c>
    </row>
    <row r="108" spans="1:13" x14ac:dyDescent="0.35">
      <c r="A108" s="175"/>
      <c r="B108" s="175" t="str">
        <f>IFERROR(IF(VLOOKUP(C108,[1]Mapping!$BT:$BU,2,FALSE)=0,"",VLOOKUP(C108,[1]Mapping!$BT:$BU,2,FALSE)),"")</f>
        <v>Kadyrova Azaliya</v>
      </c>
      <c r="C108" s="175" t="s">
        <v>343</v>
      </c>
      <c r="D108" s="179">
        <v>0.87</v>
      </c>
      <c r="E108" s="179">
        <v>0.87</v>
      </c>
      <c r="G108">
        <v>107</v>
      </c>
      <c r="H108" s="181" t="s">
        <v>102</v>
      </c>
      <c r="J108" s="174">
        <v>1</v>
      </c>
      <c r="K108" s="174">
        <v>1</v>
      </c>
    </row>
    <row r="109" spans="1:13" x14ac:dyDescent="0.35">
      <c r="A109" s="175"/>
      <c r="B109" s="175" t="str">
        <f>IFERROR(IF(VLOOKUP(C109,[1]Mapping!$BT:$BU,2,FALSE)=0,"",VLOOKUP(C109,[1]Mapping!$BT:$BU,2,FALSE)),"")</f>
        <v>Mamedova Zarina</v>
      </c>
      <c r="C109" s="175" t="s">
        <v>358</v>
      </c>
      <c r="D109" s="176">
        <v>0.97</v>
      </c>
      <c r="E109" s="176">
        <v>0.97</v>
      </c>
      <c r="G109">
        <v>108</v>
      </c>
    </row>
    <row r="110" spans="1:13" x14ac:dyDescent="0.35">
      <c r="A110" s="175"/>
      <c r="B110" s="175" t="str">
        <f>IFERROR(IF(VLOOKUP(C110,[1]Mapping!$BT:$BU,2,FALSE)=0,"",VLOOKUP(C110,[1]Mapping!$BT:$BU,2,FALSE)),"")</f>
        <v>Meirbek Ainur</v>
      </c>
      <c r="C110" s="175" t="s">
        <v>360</v>
      </c>
      <c r="D110" s="179">
        <v>0.91</v>
      </c>
      <c r="E110" s="179">
        <v>0.91</v>
      </c>
      <c r="G110">
        <v>109</v>
      </c>
    </row>
    <row r="111" spans="1:13" x14ac:dyDescent="0.35">
      <c r="A111" s="175"/>
      <c r="B111" s="175" t="str">
        <f>IFERROR(IF(VLOOKUP(C111,[1]Mapping!$BT:$BU,2,FALSE)=0,"",VLOOKUP(C111,[1]Mapping!$BT:$BU,2,FALSE)),"")</f>
        <v>Nakipbekova Gulzhan</v>
      </c>
      <c r="C111" s="175" t="s">
        <v>362</v>
      </c>
      <c r="D111" s="176">
        <v>0.95</v>
      </c>
      <c r="E111" s="176">
        <v>0.95</v>
      </c>
      <c r="G111">
        <v>110</v>
      </c>
    </row>
    <row r="112" spans="1:13" x14ac:dyDescent="0.35">
      <c r="A112" s="175"/>
      <c r="B112" s="175" t="str">
        <f>IFERROR(IF(VLOOKUP(C112,[1]Mapping!$BT:$BU,2,FALSE)=0,"",VLOOKUP(C112,[1]Mapping!$BT:$BU,2,FALSE)),"")</f>
        <v>Temirbayeva Akzhunis</v>
      </c>
      <c r="C112" s="175" t="s">
        <v>378</v>
      </c>
      <c r="D112" s="176">
        <v>0.97</v>
      </c>
      <c r="E112" s="176">
        <v>0.97</v>
      </c>
    </row>
    <row r="113" spans="1:6" x14ac:dyDescent="0.35">
      <c r="A113" s="175"/>
      <c r="B113" s="175" t="str">
        <f>IFERROR(IF(VLOOKUP(C113,[1]Mapping!$BT:$BU,2,FALSE)=0,"",VLOOKUP(C113,[1]Mapping!$BT:$BU,2,FALSE)),"")</f>
        <v/>
      </c>
      <c r="C113" s="175" t="s">
        <v>383</v>
      </c>
      <c r="D113" s="179">
        <v>0.85</v>
      </c>
      <c r="E113" s="179">
        <v>0.85</v>
      </c>
    </row>
    <row r="114" spans="1:6" x14ac:dyDescent="0.35">
      <c r="A114" s="177"/>
      <c r="B114" s="177" t="str">
        <f>IFERROR(IF(VLOOKUP(C114,[1]Mapping!$BT:$BU,2,FALSE)=0,"",VLOOKUP(C114,[1]Mapping!$BT:$BU,2,FALSE)),"")</f>
        <v/>
      </c>
      <c r="C114" s="178" t="s">
        <v>280</v>
      </c>
      <c r="D114" s="179">
        <v>0.94</v>
      </c>
      <c r="E114" s="179">
        <v>0.94</v>
      </c>
    </row>
    <row r="115" spans="1:6" x14ac:dyDescent="0.35">
      <c r="A115" s="175" t="s">
        <v>313</v>
      </c>
      <c r="B115" s="175" t="str">
        <f>IFERROR(IF(VLOOKUP(C115,[1]Mapping!$BT:$BU,2,FALSE)=0,"",VLOOKUP(C115,[1]Mapping!$BT:$BU,2,FALSE)),"")</f>
        <v>Aliyev Askar</v>
      </c>
      <c r="C115" s="175" t="s">
        <v>288</v>
      </c>
      <c r="D115" s="176">
        <v>1</v>
      </c>
      <c r="E115" s="176">
        <v>1</v>
      </c>
    </row>
    <row r="116" spans="1:6" x14ac:dyDescent="0.35">
      <c r="A116" s="175"/>
      <c r="B116" s="175" t="str">
        <f>IFERROR(IF(VLOOKUP(C116,[1]Mapping!$BT:$BU,2,FALSE)=0,"",VLOOKUP(C116,[1]Mapping!$BT:$BU,2,FALSE)),"")</f>
        <v>Brialinova Inkar</v>
      </c>
      <c r="C116" s="175" t="s">
        <v>315</v>
      </c>
      <c r="D116" s="176">
        <v>0.99</v>
      </c>
      <c r="E116" s="176">
        <v>0.99</v>
      </c>
    </row>
    <row r="117" spans="1:6" x14ac:dyDescent="0.35">
      <c r="A117" s="175"/>
      <c r="B117" s="175" t="str">
        <f>IFERROR(IF(VLOOKUP(C117,[1]Mapping!$BT:$BU,2,FALSE)=0,"",VLOOKUP(C117,[1]Mapping!$BT:$BU,2,FALSE)),"")</f>
        <v>Kutdussova Liliya</v>
      </c>
      <c r="C117" s="175" t="s">
        <v>354</v>
      </c>
      <c r="D117" s="176">
        <v>0.99</v>
      </c>
      <c r="E117" s="176">
        <v>0.99</v>
      </c>
    </row>
    <row r="118" spans="1:6" x14ac:dyDescent="0.35">
      <c r="A118" s="175"/>
      <c r="B118" s="175" t="str">
        <f>IFERROR(IF(VLOOKUP(C118,[1]Mapping!$BT:$BU,2,FALSE)=0,"",VLOOKUP(C118,[1]Mapping!$BT:$BU,2,FALSE)),"")</f>
        <v>Ungarbayeva Zhanna</v>
      </c>
      <c r="C118" s="175" t="s">
        <v>381</v>
      </c>
      <c r="D118" s="179">
        <v>0.92</v>
      </c>
      <c r="E118" s="179">
        <v>0.92</v>
      </c>
    </row>
    <row r="119" spans="1:6" x14ac:dyDescent="0.35">
      <c r="A119" s="177"/>
      <c r="B119" s="177" t="str">
        <f>IFERROR(IF(VLOOKUP(C119,[1]Mapping!$BT:$BU,2,FALSE)=0,"",VLOOKUP(C119,[1]Mapping!$BT:$BU,2,FALSE)),"")</f>
        <v/>
      </c>
      <c r="C119" s="178" t="s">
        <v>280</v>
      </c>
      <c r="D119" s="176">
        <v>0.97</v>
      </c>
      <c r="E119" s="176">
        <v>0.97</v>
      </c>
    </row>
    <row r="120" spans="1:6" x14ac:dyDescent="0.35">
      <c r="B120" t="str">
        <f>IFERROR(IF(VLOOKUP(C120,[1]Mapping!$BT:$BU,2,FALSE)=0,"",VLOOKUP(C120,[1]Mapping!$BT:$BU,2,FALSE)),"")</f>
        <v/>
      </c>
      <c r="F120" t="str">
        <f>IFERROR(IF(VLOOKUP(C123,[1]Mapping!$BT:$BU,2,FALSE)=0,"",VLOOKUP(C123,[1]Mapping!$BT:$BU,2,FALSE)),"")</f>
        <v/>
      </c>
    </row>
    <row r="121" spans="1:6" x14ac:dyDescent="0.35">
      <c r="A121" s="182" t="s">
        <v>389</v>
      </c>
      <c r="B121" s="182"/>
    </row>
    <row r="122" spans="1:6" x14ac:dyDescent="0.35">
      <c r="A122" s="183" t="s">
        <v>214</v>
      </c>
      <c r="B122" s="183"/>
      <c r="C122" s="183"/>
      <c r="D122" s="184"/>
      <c r="E122" s="185" t="s">
        <v>271</v>
      </c>
    </row>
    <row r="123" spans="1:6" ht="26" x14ac:dyDescent="0.35">
      <c r="A123" s="184" t="s">
        <v>273</v>
      </c>
      <c r="B123" s="184"/>
      <c r="C123" s="184" t="s">
        <v>274</v>
      </c>
      <c r="D123" s="184"/>
      <c r="E123" s="185"/>
    </row>
    <row r="124" spans="1:6" ht="39" x14ac:dyDescent="0.35">
      <c r="A124" s="186" t="s">
        <v>277</v>
      </c>
      <c r="B124" t="str">
        <f>IFERROR(IF(VLOOKUP(C124,[1]Mapping!$BT:$BU,2,FALSE)=0,"",VLOOKUP(C124,[1]Mapping!$BT:$BU,2,FALSE)),"")</f>
        <v>Aitbenbetova Dinara</v>
      </c>
      <c r="C124" s="186" t="s">
        <v>285</v>
      </c>
      <c r="D124" s="186"/>
      <c r="E124" s="187">
        <v>0.98</v>
      </c>
    </row>
    <row r="125" spans="1:6" ht="26" x14ac:dyDescent="0.35">
      <c r="A125" s="186"/>
      <c r="B125" t="str">
        <f>IFERROR(IF(VLOOKUP(C125,[1]Mapping!$BT:$BU,2,FALSE)=0,"",VLOOKUP(C125,[1]Mapping!$BT:$BU,2,FALSE)),"")</f>
        <v>Boyarova Alfiya</v>
      </c>
      <c r="C125" s="186" t="s">
        <v>312</v>
      </c>
      <c r="D125" s="186"/>
      <c r="E125" s="188">
        <v>0.85</v>
      </c>
    </row>
    <row r="126" spans="1:6" ht="26" x14ac:dyDescent="0.35">
      <c r="A126" s="186"/>
      <c r="B126" t="str">
        <f>IFERROR(IF(VLOOKUP(C126,[1]Mapping!$BT:$BU,2,FALSE)=0,"",VLOOKUP(C126,[1]Mapping!$BT:$BU,2,FALSE)),"")</f>
        <v>Donayeva Nazira</v>
      </c>
      <c r="C126" s="186" t="s">
        <v>321</v>
      </c>
      <c r="D126" s="186"/>
      <c r="E126" s="187">
        <v>0.95</v>
      </c>
    </row>
    <row r="127" spans="1:6" ht="26" x14ac:dyDescent="0.35">
      <c r="A127" s="186"/>
      <c r="B127" t="str">
        <f>IFERROR(IF(VLOOKUP(C127,[1]Mapping!$BT:$BU,2,FALSE)=0,"",VLOOKUP(C127,[1]Mapping!$BT:$BU,2,FALSE)),"")</f>
        <v>Zhakenova Botagoz (замещение Калдыбаевой Н.)</v>
      </c>
      <c r="C127" s="186" t="s">
        <v>334</v>
      </c>
      <c r="D127" s="186"/>
      <c r="E127" s="188">
        <v>0.83</v>
      </c>
    </row>
    <row r="128" spans="1:6" ht="26" x14ac:dyDescent="0.35">
      <c r="A128" s="186"/>
      <c r="B128" t="str">
        <f>IFERROR(IF(VLOOKUP(C128,[1]Mapping!$BT:$BU,2,FALSE)=0,"",VLOOKUP(C128,[1]Mapping!$BT:$BU,2,FALSE)),"")</f>
        <v>Issakova Dina</v>
      </c>
      <c r="C128" s="186" t="s">
        <v>340</v>
      </c>
      <c r="D128" s="186"/>
      <c r="E128" s="187">
        <v>0.96</v>
      </c>
    </row>
    <row r="129" spans="1:5" ht="52" x14ac:dyDescent="0.35">
      <c r="A129" s="186"/>
      <c r="B129" t="str">
        <f>IFERROR(IF(VLOOKUP(C129,[1]Mapping!$BT:$BU,2,FALSE)=0,"",VLOOKUP(C129,[1]Mapping!$BT:$BU,2,FALSE)),"")</f>
        <v>Kutlymuratov Assylatdin</v>
      </c>
      <c r="C129" s="186" t="s">
        <v>344</v>
      </c>
      <c r="D129" s="186"/>
      <c r="E129" s="188">
        <v>0.89</v>
      </c>
    </row>
    <row r="130" spans="1:5" ht="26" x14ac:dyDescent="0.35">
      <c r="A130" s="186"/>
      <c r="B130" t="str">
        <f>IFERROR(IF(VLOOKUP(C130,[1]Mapping!$BT:$BU,2,FALSE)=0,"",VLOOKUP(C130,[1]Mapping!$BT:$BU,2,FALSE)),"")</f>
        <v>Kuchshanova Akmaral</v>
      </c>
      <c r="C130" s="186" t="s">
        <v>346</v>
      </c>
      <c r="D130" s="186"/>
      <c r="E130" s="187">
        <v>0.98</v>
      </c>
    </row>
    <row r="131" spans="1:5" ht="39" x14ac:dyDescent="0.35">
      <c r="A131" s="186"/>
      <c r="B131" t="str">
        <f>IFERROR(IF(VLOOKUP(C131,[1]Mapping!$BT:$BU,2,FALSE)=0,"",VLOOKUP(C131,[1]Mapping!$BT:$BU,2,FALSE)),"")</f>
        <v>Manapbayeva Assel</v>
      </c>
      <c r="C131" s="186" t="s">
        <v>348</v>
      </c>
      <c r="D131" s="186"/>
      <c r="E131" s="187">
        <v>0.97</v>
      </c>
    </row>
    <row r="132" spans="1:5" ht="39" x14ac:dyDescent="0.35">
      <c r="A132" s="186"/>
      <c r="B132" t="str">
        <f>IFERROR(IF(VLOOKUP(C132,[1]Mapping!$BT:$BU,2,FALSE)=0,"",VLOOKUP(C132,[1]Mapping!$BT:$BU,2,FALSE)),"")</f>
        <v>Novokhatnyaya Anastasiya</v>
      </c>
      <c r="C132" s="186" t="s">
        <v>350</v>
      </c>
      <c r="D132" s="186"/>
      <c r="E132" s="188">
        <v>0.83</v>
      </c>
    </row>
    <row r="133" spans="1:5" ht="26" x14ac:dyDescent="0.35">
      <c r="A133" s="186"/>
      <c r="B133" t="str">
        <f>IFERROR(IF(VLOOKUP(C133,[1]Mapping!$BT:$BU,2,FALSE)=0,"",VLOOKUP(C133,[1]Mapping!$BT:$BU,2,FALSE)),"")</f>
        <v>Dratkov Grigoriy</v>
      </c>
      <c r="C133" s="186" t="s">
        <v>278</v>
      </c>
      <c r="D133" s="186"/>
      <c r="E133" s="187">
        <v>1</v>
      </c>
    </row>
    <row r="134" spans="1:5" ht="26" x14ac:dyDescent="0.35">
      <c r="A134" s="189"/>
      <c r="B134" t="str">
        <f>IFERROR(IF(VLOOKUP(C134,[1]Mapping!$BT:$BU,2,FALSE)=0,"",VLOOKUP(C134,[1]Mapping!$BT:$BU,2,FALSE)),"")</f>
        <v>Kuxa Anna</v>
      </c>
      <c r="C134" s="190" t="s">
        <v>327</v>
      </c>
      <c r="D134" s="190"/>
      <c r="E134" s="188">
        <v>0.92</v>
      </c>
    </row>
    <row r="135" spans="1:5" ht="39" x14ac:dyDescent="0.35">
      <c r="A135" s="186" t="s">
        <v>282</v>
      </c>
      <c r="B135" t="str">
        <f>IFERROR(IF(VLOOKUP(C135,[1]Mapping!$BT:$BU,2,FALSE)=0,"",VLOOKUP(C135,[1]Mapping!$BT:$BU,2,FALSE)),"")</f>
        <v>Arestova Yelena</v>
      </c>
      <c r="C135" s="186" t="s">
        <v>294</v>
      </c>
      <c r="D135" s="186"/>
      <c r="E135" s="187">
        <v>0.96</v>
      </c>
    </row>
    <row r="136" spans="1:5" ht="26" x14ac:dyDescent="0.35">
      <c r="A136" s="186"/>
      <c r="B136" t="str">
        <f>IFERROR(IF(VLOOKUP(C136,[1]Mapping!$BT:$BU,2,FALSE)=0,"",VLOOKUP(C136,[1]Mapping!$BT:$BU,2,FALSE)),"")</f>
        <v>Bakisheva Aliya</v>
      </c>
      <c r="C136" s="186" t="s">
        <v>305</v>
      </c>
      <c r="D136" s="186"/>
      <c r="E136" s="187">
        <v>1</v>
      </c>
    </row>
    <row r="137" spans="1:5" ht="26" x14ac:dyDescent="0.35">
      <c r="A137" s="186"/>
      <c r="B137" t="str">
        <f>IFERROR(IF(VLOOKUP(C137,[1]Mapping!$BT:$BU,2,FALSE)=0,"",VLOOKUP(C137,[1]Mapping!$BT:$BU,2,FALSE)),"")</f>
        <v>Yerkin Nadiyam</v>
      </c>
      <c r="C137" s="186" t="s">
        <v>328</v>
      </c>
      <c r="D137" s="186"/>
      <c r="E137" s="187">
        <v>0.96</v>
      </c>
    </row>
    <row r="138" spans="1:5" ht="26" x14ac:dyDescent="0.35">
      <c r="A138" s="186"/>
      <c r="B138" t="str">
        <f>IFERROR(IF(VLOOKUP(C138,[1]Mapping!$BT:$BU,2,FALSE)=0,"",VLOOKUP(C138,[1]Mapping!$BT:$BU,2,FALSE)),"")</f>
        <v>Yesbolova Gulnur</v>
      </c>
      <c r="C138" s="186" t="s">
        <v>330</v>
      </c>
      <c r="D138" s="186"/>
      <c r="E138" s="187">
        <v>0.99</v>
      </c>
    </row>
    <row r="139" spans="1:5" ht="39" x14ac:dyDescent="0.35">
      <c r="A139" s="186"/>
      <c r="B139" t="str">
        <f>IFERROR(IF(VLOOKUP(C139,[1]Mapping!$BT:$BU,2,FALSE)=0,"",VLOOKUP(C139,[1]Mapping!$BT:$BU,2,FALSE)),"")</f>
        <v>Zhazylbekova Aitolkyn</v>
      </c>
      <c r="C139" s="186" t="s">
        <v>332</v>
      </c>
      <c r="D139" s="186"/>
      <c r="E139" s="187">
        <v>0.98</v>
      </c>
    </row>
    <row r="140" spans="1:5" ht="39" x14ac:dyDescent="0.35">
      <c r="A140" s="186"/>
      <c r="B140" t="str">
        <f>IFERROR(IF(VLOOKUP(C140,[1]Mapping!$BT:$BU,2,FALSE)=0,"",VLOOKUP(C140,[1]Mapping!$BT:$BU,2,FALSE)),"")</f>
        <v>Inkarbekova Nurbibi</v>
      </c>
      <c r="C140" s="186" t="s">
        <v>338</v>
      </c>
      <c r="D140" s="186"/>
      <c r="E140" s="187">
        <v>0.98</v>
      </c>
    </row>
    <row r="141" spans="1:5" ht="26" x14ac:dyDescent="0.35">
      <c r="A141" s="186"/>
      <c r="B141" t="str">
        <f>IFERROR(IF(VLOOKUP(C141,[1]Mapping!$BT:$BU,2,FALSE)=0,"",VLOOKUP(C141,[1]Mapping!$BT:$BU,2,FALSE)),"")</f>
        <v>Soni Laura</v>
      </c>
      <c r="C141" s="186" t="s">
        <v>355</v>
      </c>
      <c r="D141" s="186"/>
      <c r="E141" s="187">
        <v>0.99</v>
      </c>
    </row>
    <row r="142" spans="1:5" ht="26" x14ac:dyDescent="0.35">
      <c r="A142" s="186"/>
      <c r="B142" t="str">
        <f>IFERROR(IF(VLOOKUP(C142,[1]Mapping!$BT:$BU,2,FALSE)=0,"",VLOOKUP(C142,[1]Mapping!$BT:$BU,2,FALSE)),"")</f>
        <v>Yu Vitaliya</v>
      </c>
      <c r="C142" s="186" t="s">
        <v>357</v>
      </c>
      <c r="D142" s="186"/>
      <c r="E142" s="187">
        <v>0.97</v>
      </c>
    </row>
    <row r="143" spans="1:5" ht="26" x14ac:dyDescent="0.35">
      <c r="A143" s="186"/>
      <c r="B143" t="str">
        <f>IFERROR(IF(VLOOKUP(C143,[1]Mapping!$BT:$BU,2,FALSE)=0,"",VLOOKUP(C143,[1]Mapping!$BT:$BU,2,FALSE)),"")</f>
        <v>Itakhunov Rassul</v>
      </c>
      <c r="C143" s="186" t="s">
        <v>283</v>
      </c>
      <c r="D143" s="186"/>
      <c r="E143" s="187">
        <v>0.97</v>
      </c>
    </row>
    <row r="144" spans="1:5" ht="26" x14ac:dyDescent="0.35">
      <c r="A144" s="189"/>
      <c r="B144" t="str">
        <f>IFERROR(IF(VLOOKUP(C144,[1]Mapping!$BT:$BU,2,FALSE)=0,"",VLOOKUP(C144,[1]Mapping!$BT:$BU,2,FALSE)),"")</f>
        <v>Zhmailova Yelena</v>
      </c>
      <c r="C144" s="190" t="s">
        <v>322</v>
      </c>
      <c r="D144" s="190"/>
      <c r="E144" s="187">
        <v>0.98</v>
      </c>
    </row>
    <row r="145" spans="1:5" ht="39" x14ac:dyDescent="0.35">
      <c r="A145" s="186" t="s">
        <v>286</v>
      </c>
      <c r="B145" t="str">
        <f>IFERROR(IF(VLOOKUP(C145,[1]Mapping!$BT:$BU,2,FALSE)=0,"",VLOOKUP(C145,[1]Mapping!$BT:$BU,2,FALSE)),"")</f>
        <v>Bayzakova Gulzhan</v>
      </c>
      <c r="C145" s="186" t="s">
        <v>301</v>
      </c>
      <c r="D145" s="186"/>
      <c r="E145" s="188">
        <v>0.86</v>
      </c>
    </row>
    <row r="146" spans="1:5" ht="39" x14ac:dyDescent="0.35">
      <c r="A146" s="186"/>
      <c r="B146" t="str">
        <f>IFERROR(IF(VLOOKUP(C146,[1]Mapping!$BT:$BU,2,FALSE)=0,"",VLOOKUP(C146,[1]Mapping!$BT:$BU,2,FALSE)),"")</f>
        <v>Balmagambetova Zamza</v>
      </c>
      <c r="C146" s="186" t="s">
        <v>309</v>
      </c>
      <c r="D146" s="186"/>
      <c r="E146" s="187">
        <v>0.96</v>
      </c>
    </row>
    <row r="147" spans="1:5" ht="26" x14ac:dyDescent="0.35">
      <c r="A147" s="186"/>
      <c r="B147" t="str">
        <f>IFERROR(IF(VLOOKUP(C147,[1]Mapping!$BT:$BU,2,FALSE)=0,"",VLOOKUP(C147,[1]Mapping!$BT:$BU,2,FALSE)),"")</f>
        <v>Dubova Yevgeniya</v>
      </c>
      <c r="C147" s="186" t="s">
        <v>324</v>
      </c>
      <c r="D147" s="186"/>
      <c r="E147" s="187">
        <v>1</v>
      </c>
    </row>
    <row r="148" spans="1:5" ht="39" x14ac:dyDescent="0.35">
      <c r="A148" s="186"/>
      <c r="B148" t="str">
        <f>IFERROR(IF(VLOOKUP(C148,[1]Mapping!$BT:$BU,2,FALSE)=0,"",VLOOKUP(C148,[1]Mapping!$BT:$BU,2,FALSE)),"")</f>
        <v>Akhmetova (Imanzhanova) Sholpan</v>
      </c>
      <c r="C148" s="186" t="s">
        <v>337</v>
      </c>
      <c r="D148" s="186"/>
      <c r="E148" s="187">
        <v>0.97</v>
      </c>
    </row>
    <row r="149" spans="1:5" ht="26" x14ac:dyDescent="0.35">
      <c r="A149" s="186"/>
      <c r="B149" t="str">
        <f>IFERROR(IF(VLOOKUP(C149,[1]Mapping!$BT:$BU,2,FALSE)=0,"",VLOOKUP(C149,[1]Mapping!$BT:$BU,2,FALSE)),"")</f>
        <v>Kussainova Dilara</v>
      </c>
      <c r="C149" s="186" t="s">
        <v>352</v>
      </c>
      <c r="D149" s="186"/>
      <c r="E149" s="187">
        <v>0.98</v>
      </c>
    </row>
    <row r="150" spans="1:5" ht="39" x14ac:dyDescent="0.35">
      <c r="A150" s="186"/>
      <c r="B150" t="str">
        <f>IFERROR(IF(VLOOKUP(C150,[1]Mapping!$BT:$BU,2,FALSE)=0,"",VLOOKUP(C150,[1]Mapping!$BT:$BU,2,FALSE)),"")</f>
        <v>Sarsenbayeva Saniya</v>
      </c>
      <c r="C150" s="186" t="s">
        <v>365</v>
      </c>
      <c r="D150" s="186"/>
      <c r="E150" s="187">
        <v>0.99</v>
      </c>
    </row>
    <row r="151" spans="1:5" ht="26" x14ac:dyDescent="0.35">
      <c r="A151" s="186"/>
      <c r="B151" t="str">
        <f>IFERROR(IF(VLOOKUP(C151,[1]Mapping!$BT:$BU,2,FALSE)=0,"",VLOOKUP(C151,[1]Mapping!$BT:$BU,2,FALSE)),"")</f>
        <v>Alzhanova Zhuldyz</v>
      </c>
      <c r="C151" s="186" t="s">
        <v>287</v>
      </c>
      <c r="D151" s="186"/>
      <c r="E151" s="187">
        <v>1</v>
      </c>
    </row>
    <row r="152" spans="1:5" ht="39" x14ac:dyDescent="0.35">
      <c r="A152" s="186"/>
      <c r="B152" t="str">
        <f>IFERROR(IF(VLOOKUP(C152,[1]Mapping!$BT:$BU,2,FALSE)=0,"",VLOOKUP(C152,[1]Mapping!$BT:$BU,2,FALSE)),"")</f>
        <v>Sadvakassova Zhanat</v>
      </c>
      <c r="C152" s="186" t="s">
        <v>289</v>
      </c>
      <c r="D152" s="186"/>
      <c r="E152" s="187">
        <v>0.99</v>
      </c>
    </row>
    <row r="153" spans="1:5" ht="26" x14ac:dyDescent="0.35">
      <c r="A153" s="189"/>
      <c r="B153" t="str">
        <f>IFERROR(IF(VLOOKUP(C153,[1]Mapping!$BT:$BU,2,FALSE)=0,"",VLOOKUP(C153,[1]Mapping!$BT:$BU,2,FALSE)),"")</f>
        <v>Galiyeva Saule</v>
      </c>
      <c r="C153" s="190" t="s">
        <v>318</v>
      </c>
      <c r="D153" s="190"/>
      <c r="E153" s="187">
        <f>AVERAGE(E145:E152)</f>
        <v>0.96875</v>
      </c>
    </row>
    <row r="154" spans="1:5" ht="39" x14ac:dyDescent="0.35">
      <c r="A154" s="186" t="s">
        <v>292</v>
      </c>
      <c r="B154" t="str">
        <f>IFERROR(IF(VLOOKUP(C154,[1]Mapping!$BT:$BU,2,FALSE)=0,"",VLOOKUP(C154,[1]Mapping!$BT:$BU,2,FALSE)),"")</f>
        <v>Altynbassova Shynar</v>
      </c>
      <c r="C154" s="186" t="s">
        <v>291</v>
      </c>
      <c r="D154" s="186"/>
      <c r="E154" s="187">
        <v>0.96</v>
      </c>
    </row>
    <row r="155" spans="1:5" ht="26" x14ac:dyDescent="0.35">
      <c r="A155" s="186"/>
      <c r="B155" t="str">
        <f>IFERROR(IF(VLOOKUP(C155,[1]Mapping!$BT:$BU,2,FALSE)=0,"",VLOOKUP(C155,[1]Mapping!$BT:$BU,2,FALSE)),"")</f>
        <v>Balanesku Irina</v>
      </c>
      <c r="C155" s="186" t="s">
        <v>306</v>
      </c>
      <c r="D155" s="186"/>
      <c r="E155" s="187">
        <v>0.98</v>
      </c>
    </row>
    <row r="156" spans="1:5" ht="26" x14ac:dyDescent="0.35">
      <c r="A156" s="186"/>
      <c r="B156" t="str">
        <f>IFERROR(IF(VLOOKUP(C156,[1]Mapping!$BT:$BU,2,FALSE)=0,"",VLOOKUP(C156,[1]Mapping!$BT:$BU,2,FALSE)),"")</f>
        <v>Gulyakova Olga</v>
      </c>
      <c r="C156" s="186" t="s">
        <v>319</v>
      </c>
      <c r="D156" s="186"/>
      <c r="E156" s="188">
        <v>0.87</v>
      </c>
    </row>
    <row r="157" spans="1:5" ht="26" x14ac:dyDescent="0.35">
      <c r="A157" s="186"/>
      <c r="B157" t="str">
        <f>IFERROR(IF(VLOOKUP(C157,[1]Mapping!$BT:$BU,2,FALSE)=0,"",VLOOKUP(C157,[1]Mapping!$BT:$BU,2,FALSE)),"")</f>
        <v>Makenova Yuliya</v>
      </c>
      <c r="C157" s="186" t="s">
        <v>356</v>
      </c>
      <c r="D157" s="186"/>
      <c r="E157" s="187">
        <v>0.94</v>
      </c>
    </row>
    <row r="158" spans="1:5" ht="26" x14ac:dyDescent="0.35">
      <c r="A158" s="186"/>
      <c r="B158" t="str">
        <f>IFERROR(IF(VLOOKUP(C158,[1]Mapping!$BT:$BU,2,FALSE)=0,"",VLOOKUP(C158,[1]Mapping!$BT:$BU,2,FALSE)),"")</f>
        <v>Mamutova Aliya</v>
      </c>
      <c r="C158" s="186" t="s">
        <v>359</v>
      </c>
      <c r="D158" s="186"/>
      <c r="E158" s="187">
        <v>0.96</v>
      </c>
    </row>
    <row r="159" spans="1:5" ht="39" x14ac:dyDescent="0.35">
      <c r="A159" s="186"/>
      <c r="B159" t="str">
        <f>IFERROR(IF(VLOOKUP(C159,[1]Mapping!$BT:$BU,2,FALSE)=0,"",VLOOKUP(C159,[1]Mapping!$BT:$BU,2,FALSE)),"")</f>
        <v>Kuznetsova Natalya</v>
      </c>
      <c r="C159" s="186" t="s">
        <v>364</v>
      </c>
      <c r="D159" s="186"/>
      <c r="E159" s="187">
        <v>0.98</v>
      </c>
    </row>
    <row r="160" spans="1:5" ht="26" x14ac:dyDescent="0.35">
      <c r="A160" s="186"/>
      <c r="B160" t="str">
        <f>IFERROR(IF(VLOOKUP(C160,[1]Mapping!$BT:$BU,2,FALSE)=0,"",VLOOKUP(C160,[1]Mapping!$BT:$BU,2,FALSE)),"")</f>
        <v>Ossipova Anna</v>
      </c>
      <c r="C160" s="186" t="s">
        <v>293</v>
      </c>
      <c r="D160" s="186"/>
      <c r="E160" s="188">
        <v>0.94</v>
      </c>
    </row>
    <row r="161" spans="1:5" ht="26" x14ac:dyDescent="0.35">
      <c r="A161" s="189"/>
      <c r="B161" t="str">
        <f>IFERROR(IF(VLOOKUP(C161,[1]Mapping!$BT:$BU,2,FALSE)=0,"",VLOOKUP(C161,[1]Mapping!$BT:$BU,2,FALSE)),"")</f>
        <v>Yevseyenko Larissa</v>
      </c>
      <c r="C161" s="190" t="s">
        <v>320</v>
      </c>
      <c r="D161" s="190"/>
      <c r="E161" s="187">
        <v>0.95</v>
      </c>
    </row>
    <row r="162" spans="1:5" ht="39" x14ac:dyDescent="0.35">
      <c r="A162" s="186" t="s">
        <v>372</v>
      </c>
      <c r="B162" t="str">
        <f>IFERROR(IF(VLOOKUP(C162,[1]Mapping!$BT:$BU,2,FALSE)=0,"",VLOOKUP(C162,[1]Mapping!$BT:$BU,2,FALSE)),"")</f>
        <v>Akhmadiyeva Gulzhan</v>
      </c>
      <c r="C162" s="186" t="s">
        <v>298</v>
      </c>
      <c r="D162" s="186"/>
      <c r="E162" s="187">
        <v>0.95</v>
      </c>
    </row>
    <row r="163" spans="1:5" ht="39" x14ac:dyDescent="0.35">
      <c r="A163" s="186"/>
      <c r="B163" t="str">
        <f>IFERROR(IF(VLOOKUP(C163,[1]Mapping!$BT:$BU,2,FALSE)=0,"",VLOOKUP(C163,[1]Mapping!$BT:$BU,2,FALSE)),"")</f>
        <v>Zhanabekova Kamshat</v>
      </c>
      <c r="C163" s="186" t="s">
        <v>335</v>
      </c>
      <c r="D163" s="186"/>
      <c r="E163" s="187">
        <v>0.97</v>
      </c>
    </row>
    <row r="164" spans="1:5" ht="26" x14ac:dyDescent="0.35">
      <c r="A164" s="186"/>
      <c r="B164" t="str">
        <f>IFERROR(IF(VLOOKUP(C164,[1]Mapping!$BT:$BU,2,FALSE)=0,"",VLOOKUP(C164,[1]Mapping!$BT:$BU,2,FALSE)),"")</f>
        <v>Issakhanova Assem</v>
      </c>
      <c r="C164" s="186" t="s">
        <v>341</v>
      </c>
      <c r="D164" s="186"/>
      <c r="E164" s="188">
        <v>0.93</v>
      </c>
    </row>
    <row r="165" spans="1:5" ht="52" x14ac:dyDescent="0.35">
      <c r="A165" s="186"/>
      <c r="B165" t="str">
        <f>IFERROR(IF(VLOOKUP(C165,[1]Mapping!$BT:$BU,2,FALSE)=0,"",VLOOKUP(C165,[1]Mapping!$BT:$BU,2,FALSE)),"")</f>
        <v>Kalistratova Alexandra</v>
      </c>
      <c r="C165" s="186" t="s">
        <v>345</v>
      </c>
      <c r="D165" s="186"/>
      <c r="E165" s="187">
        <v>0.98</v>
      </c>
    </row>
    <row r="166" spans="1:5" ht="26" x14ac:dyDescent="0.35">
      <c r="A166" s="186"/>
      <c r="B166" t="str">
        <f>IFERROR(IF(VLOOKUP(C166,[1]Mapping!$BT:$BU,2,FALSE)=0,"",VLOOKUP(C166,[1]Mapping!$BT:$BU,2,FALSE)),"")</f>
        <v>Sakalbayeva Aliya</v>
      </c>
      <c r="C166" s="186" t="s">
        <v>373</v>
      </c>
      <c r="D166" s="186"/>
      <c r="E166" s="188">
        <v>0.93</v>
      </c>
    </row>
    <row r="167" spans="1:5" ht="52" x14ac:dyDescent="0.35">
      <c r="A167" s="186"/>
      <c r="B167" t="str">
        <f>IFERROR(IF(VLOOKUP(C167,[1]Mapping!$BT:$BU,2,FALSE)=0,"",VLOOKUP(C167,[1]Mapping!$BT:$BU,2,FALSE)),"")</f>
        <v>Maximenko Alexandr</v>
      </c>
      <c r="C167" s="186" t="s">
        <v>296</v>
      </c>
      <c r="D167" s="186"/>
      <c r="E167" s="187">
        <v>0.96</v>
      </c>
    </row>
    <row r="168" spans="1:5" ht="26" x14ac:dyDescent="0.35">
      <c r="A168" s="189"/>
      <c r="B168" t="str">
        <f>IFERROR(IF(VLOOKUP(C168,[1]Mapping!$BT:$BU,2,FALSE)=0,"",VLOOKUP(C168,[1]Mapping!$BT:$BU,2,FALSE)),"")</f>
        <v>Nurikhanova Alissa</v>
      </c>
      <c r="C168" s="190" t="s">
        <v>331</v>
      </c>
      <c r="D168" s="190"/>
      <c r="E168" s="187">
        <v>0.95</v>
      </c>
    </row>
    <row r="169" spans="1:5" ht="52" x14ac:dyDescent="0.35">
      <c r="A169" s="186" t="s">
        <v>299</v>
      </c>
      <c r="B169" t="str">
        <f>IFERROR(IF(VLOOKUP(C169,[1]Mapping!$BT:$BU,2,FALSE)=0,"",VLOOKUP(C169,[1]Mapping!$BT:$BU,2,FALSE)),"")</f>
        <v>Auyelbekova Syndykul</v>
      </c>
      <c r="C169" s="186" t="s">
        <v>297</v>
      </c>
      <c r="D169" s="186"/>
      <c r="E169" s="188">
        <v>0.93</v>
      </c>
    </row>
    <row r="170" spans="1:5" ht="39" x14ac:dyDescent="0.35">
      <c r="A170" s="186"/>
      <c r="B170" t="str">
        <f>IFERROR(IF(VLOOKUP(C170,[1]Mapping!$BT:$BU,2,FALSE)=0,"",VLOOKUP(C170,[1]Mapping!$BT:$BU,2,FALSE)),"")</f>
        <v>Bekbauova Saltanat</v>
      </c>
      <c r="C170" s="186" t="s">
        <v>311</v>
      </c>
      <c r="D170" s="186"/>
      <c r="E170" s="187">
        <v>0.97</v>
      </c>
    </row>
    <row r="171" spans="1:5" ht="26" x14ac:dyDescent="0.35">
      <c r="A171" s="186"/>
      <c r="B171" t="str">
        <f>IFERROR(IF(VLOOKUP(C171,[1]Mapping!$BT:$BU,2,FALSE)=0,"",VLOOKUP(C171,[1]Mapping!$BT:$BU,2,FALSE)),"")</f>
        <v>Kassenova Gulshat</v>
      </c>
      <c r="C171" s="186" t="s">
        <v>351</v>
      </c>
      <c r="D171" s="186"/>
      <c r="E171" s="188">
        <v>0.94</v>
      </c>
    </row>
    <row r="172" spans="1:5" ht="26" x14ac:dyDescent="0.35">
      <c r="A172" s="186"/>
      <c r="B172" t="str">
        <f>IFERROR(IF(VLOOKUP(C172,[1]Mapping!$BT:$BU,2,FALSE)=0,"",VLOOKUP(C172,[1]Mapping!$BT:$BU,2,FALSE)),"")</f>
        <v>Omarova Aizhan</v>
      </c>
      <c r="C172" s="186" t="s">
        <v>367</v>
      </c>
      <c r="D172" s="186"/>
      <c r="E172" s="188">
        <v>0.94</v>
      </c>
    </row>
    <row r="173" spans="1:5" ht="26" x14ac:dyDescent="0.35">
      <c r="A173" s="186"/>
      <c r="B173" t="str">
        <f>IFERROR(IF(VLOOKUP(C173,[1]Mapping!$BT:$BU,2,FALSE)=0,"",VLOOKUP(C173,[1]Mapping!$BT:$BU,2,FALSE)),"")</f>
        <v>Ospanova Anar</v>
      </c>
      <c r="C173" s="186" t="s">
        <v>368</v>
      </c>
      <c r="D173" s="186"/>
      <c r="E173" s="187">
        <v>0.97</v>
      </c>
    </row>
    <row r="174" spans="1:5" ht="26" x14ac:dyDescent="0.35">
      <c r="A174" s="186"/>
      <c r="B174" t="str">
        <f>IFERROR(IF(VLOOKUP(C174,[1]Mapping!$BT:$BU,2,FALSE)=0,"",VLOOKUP(C174,[1]Mapping!$BT:$BU,2,FALSE)),"")</f>
        <v>Tipalov Sergey</v>
      </c>
      <c r="C174" s="186" t="s">
        <v>379</v>
      </c>
      <c r="D174" s="186"/>
      <c r="E174" s="188">
        <v>0.9</v>
      </c>
    </row>
    <row r="175" spans="1:5" ht="39" x14ac:dyDescent="0.35">
      <c r="A175" s="186"/>
      <c r="B175" t="str">
        <f>IFERROR(IF(VLOOKUP(C175,[1]Mapping!$BT:$BU,2,FALSE)=0,"",VLOOKUP(C175,[1]Mapping!$BT:$BU,2,FALSE)),"")</f>
        <v>Litvinenko Tatyana</v>
      </c>
      <c r="C175" s="186" t="s">
        <v>300</v>
      </c>
      <c r="D175" s="186"/>
      <c r="E175" s="187">
        <v>0.97</v>
      </c>
    </row>
    <row r="176" spans="1:5" ht="26" x14ac:dyDescent="0.35">
      <c r="A176" s="189"/>
      <c r="B176" t="str">
        <f>IFERROR(IF(VLOOKUP(C176,[1]Mapping!$BT:$BU,2,FALSE)=0,"",VLOOKUP(C176,[1]Mapping!$BT:$BU,2,FALSE)),"")</f>
        <v>Kuzikeyeva Dinara</v>
      </c>
      <c r="C176" s="190" t="s">
        <v>325</v>
      </c>
      <c r="D176" s="190"/>
      <c r="E176" s="188">
        <v>0.95</v>
      </c>
    </row>
    <row r="177" spans="1:5" ht="52" x14ac:dyDescent="0.35">
      <c r="A177" s="186" t="s">
        <v>382</v>
      </c>
      <c r="B177" t="str">
        <f>IFERROR(IF(VLOOKUP(C177,[1]Mapping!$BT:$BU,2,FALSE)=0,"",VLOOKUP(C177,[1]Mapping!$BT:$BU,2,FALSE)),"")</f>
        <v>Abdykadyrova Aizhamal</v>
      </c>
      <c r="C177" s="186" t="s">
        <v>276</v>
      </c>
      <c r="D177" s="186"/>
      <c r="E177" s="187">
        <v>1</v>
      </c>
    </row>
    <row r="178" spans="1:5" ht="52" x14ac:dyDescent="0.35">
      <c r="A178" s="186"/>
      <c r="B178" t="str">
        <f>IFERROR(IF(VLOOKUP(C178,[1]Mapping!$BT:$BU,2,FALSE)=0,"",VLOOKUP(C178,[1]Mapping!$BT:$BU,2,FALSE)),"")</f>
        <v>Abdygaziyeva Zhanylmyrza</v>
      </c>
      <c r="C178" s="186" t="s">
        <v>281</v>
      </c>
      <c r="D178" s="186"/>
      <c r="E178" s="187">
        <v>1</v>
      </c>
    </row>
    <row r="179" spans="1:5" ht="26" x14ac:dyDescent="0.35">
      <c r="A179" s="186"/>
      <c r="B179" t="str">
        <f>IFERROR(IF(VLOOKUP(C179,[1]Mapping!$BT:$BU,2,FALSE)=0,"",VLOOKUP(C179,[1]Mapping!$BT:$BU,2,FALSE)),"")</f>
        <v>Karimova Nazgul</v>
      </c>
      <c r="C179" s="186" t="s">
        <v>347</v>
      </c>
      <c r="D179" s="186"/>
      <c r="E179" s="188">
        <v>0.92</v>
      </c>
    </row>
    <row r="180" spans="1:5" ht="26" x14ac:dyDescent="0.35">
      <c r="A180" s="186"/>
      <c r="B180" t="str">
        <f>IFERROR(IF(VLOOKUP(C180,[1]Mapping!$BT:$BU,2,FALSE)=0,"",VLOOKUP(C180,[1]Mapping!$BT:$BU,2,FALSE)),"")</f>
        <v/>
      </c>
      <c r="C180" s="186" t="s">
        <v>366</v>
      </c>
      <c r="D180" s="186"/>
      <c r="E180" s="187">
        <v>1</v>
      </c>
    </row>
    <row r="181" spans="1:5" ht="39" x14ac:dyDescent="0.35">
      <c r="A181" s="186"/>
      <c r="B181" t="str">
        <f>IFERROR(IF(VLOOKUP(C181,[1]Mapping!$BT:$BU,2,FALSE)=0,"",VLOOKUP(C181,[1]Mapping!$BT:$BU,2,FALSE)),"")</f>
        <v/>
      </c>
      <c r="C181" s="186" t="s">
        <v>380</v>
      </c>
      <c r="D181" s="186"/>
      <c r="E181" s="187">
        <v>0.97</v>
      </c>
    </row>
    <row r="182" spans="1:5" ht="26" x14ac:dyDescent="0.35">
      <c r="A182" s="186"/>
      <c r="B182" t="str">
        <f>IFERROR(IF(VLOOKUP(C182,[1]Mapping!$BT:$BU,2,FALSE)=0,"",VLOOKUP(C182,[1]Mapping!$BT:$BU,2,FALSE)),"")</f>
        <v/>
      </c>
      <c r="C182" s="186" t="s">
        <v>386</v>
      </c>
      <c r="D182" s="186"/>
      <c r="E182" s="187">
        <v>1</v>
      </c>
    </row>
    <row r="183" spans="1:5" ht="26" x14ac:dyDescent="0.35">
      <c r="A183" s="186"/>
      <c r="B183" t="str">
        <f>IFERROR(IF(VLOOKUP(C183,[1]Mapping!$BT:$BU,2,FALSE)=0,"",VLOOKUP(C183,[1]Mapping!$BT:$BU,2,FALSE)),"")</f>
        <v>Eshbayeva Chinara</v>
      </c>
      <c r="C183" s="186" t="s">
        <v>387</v>
      </c>
      <c r="D183" s="186"/>
      <c r="E183" s="187">
        <v>1</v>
      </c>
    </row>
    <row r="184" spans="1:5" ht="39" x14ac:dyDescent="0.35">
      <c r="A184" s="189"/>
      <c r="B184" t="str">
        <f>IFERROR(IF(VLOOKUP(C184,[1]Mapping!$BT:$BU,2,FALSE)=0,"",VLOOKUP(C184,[1]Mapping!$BT:$BU,2,FALSE)),"")</f>
        <v>Beyshenbayeva Gulzat</v>
      </c>
      <c r="C184" s="190" t="s">
        <v>316</v>
      </c>
      <c r="D184" s="190"/>
      <c r="E184" s="187">
        <v>0.99</v>
      </c>
    </row>
    <row r="185" spans="1:5" ht="52" x14ac:dyDescent="0.35">
      <c r="A185" s="186" t="s">
        <v>303</v>
      </c>
      <c r="B185" t="str">
        <f>IFERROR(IF(VLOOKUP(C185,[1]Mapping!$BT:$BU,2,FALSE)=0,"",VLOOKUP(C185,[1]Mapping!$BT:$BU,2,FALSE)),"")</f>
        <v>Abasheva Anna</v>
      </c>
      <c r="C185" s="186" t="s">
        <v>272</v>
      </c>
      <c r="D185" s="186"/>
      <c r="E185" s="188">
        <v>0.93</v>
      </c>
    </row>
    <row r="186" spans="1:5" ht="39" x14ac:dyDescent="0.35">
      <c r="A186" s="186"/>
      <c r="B186" t="str">
        <f>IFERROR(IF(VLOOKUP(C186,[1]Mapping!$BT:$BU,2,FALSE)=0,"",VLOOKUP(C186,[1]Mapping!$BT:$BU,2,FALSE)),"")</f>
        <v>Baimysheva Mariya</v>
      </c>
      <c r="C186" s="186" t="s">
        <v>302</v>
      </c>
      <c r="D186" s="186"/>
      <c r="E186" s="187">
        <v>0.98</v>
      </c>
    </row>
    <row r="187" spans="1:5" ht="39" x14ac:dyDescent="0.35">
      <c r="A187" s="186"/>
      <c r="B187" t="str">
        <f>IFERROR(IF(VLOOKUP(C187,[1]Mapping!$BT:$BU,2,FALSE)=0,"",VLOOKUP(C187,[1]Mapping!$BT:$BU,2,FALSE)),"")</f>
        <v>Kaderov Nursultan</v>
      </c>
      <c r="C187" s="186" t="s">
        <v>342</v>
      </c>
      <c r="D187" s="186"/>
      <c r="E187" s="187">
        <v>1</v>
      </c>
    </row>
    <row r="188" spans="1:5" ht="39" x14ac:dyDescent="0.35">
      <c r="A188" s="186"/>
      <c r="B188" t="str">
        <f>IFERROR(IF(VLOOKUP(C188,[1]Mapping!$BT:$BU,2,FALSE)=0,"",VLOOKUP(C188,[1]Mapping!$BT:$BU,2,FALSE)),"")</f>
        <v>Ospanova Zhumagul</v>
      </c>
      <c r="C188" s="186" t="s">
        <v>369</v>
      </c>
      <c r="D188" s="186"/>
      <c r="E188" s="187">
        <v>0.97</v>
      </c>
    </row>
    <row r="189" spans="1:5" ht="26" x14ac:dyDescent="0.35">
      <c r="A189" s="186"/>
      <c r="B189" t="str">
        <f>IFERROR(IF(VLOOKUP(C189,[1]Mapping!$BT:$BU,2,FALSE)=0,"",VLOOKUP(C189,[1]Mapping!$BT:$BU,2,FALSE)),"")</f>
        <v>Pavlutskikh Yelena</v>
      </c>
      <c r="C189" s="186" t="s">
        <v>370</v>
      </c>
      <c r="D189" s="186"/>
      <c r="E189" s="188">
        <v>0.93</v>
      </c>
    </row>
    <row r="190" spans="1:5" ht="39" x14ac:dyDescent="0.35">
      <c r="A190" s="186"/>
      <c r="B190" t="str">
        <f>IFERROR(IF(VLOOKUP(C190,[1]Mapping!$BT:$BU,2,FALSE)=0,"",VLOOKUP(C190,[1]Mapping!$BT:$BU,2,FALSE)),"")</f>
        <v>Rakhimzhanova Gulnar</v>
      </c>
      <c r="C190" s="186" t="s">
        <v>371</v>
      </c>
      <c r="D190" s="186"/>
      <c r="E190" s="187">
        <v>1</v>
      </c>
    </row>
    <row r="191" spans="1:5" ht="26" x14ac:dyDescent="0.35">
      <c r="A191" s="186"/>
      <c r="B191" t="str">
        <f>IFERROR(IF(VLOOKUP(C191,[1]Mapping!$BT:$BU,2,FALSE)=0,"",VLOOKUP(C191,[1]Mapping!$BT:$BU,2,FALSE)),"")</f>
        <v>Tasbulatova Saule</v>
      </c>
      <c r="C191" s="186" t="s">
        <v>377</v>
      </c>
      <c r="D191" s="186"/>
      <c r="E191" s="187">
        <v>1</v>
      </c>
    </row>
    <row r="192" spans="1:5" ht="39" x14ac:dyDescent="0.35">
      <c r="A192" s="186"/>
      <c r="B192" t="str">
        <f>IFERROR(IF(VLOOKUP(C192,[1]Mapping!$BT:$BU,2,FALSE)=0,"",VLOOKUP(C192,[1]Mapping!$BT:$BU,2,FALSE)),"")</f>
        <v>Feist Yekaterina</v>
      </c>
      <c r="C192" s="186" t="s">
        <v>384</v>
      </c>
      <c r="D192" s="186"/>
      <c r="E192" s="187">
        <v>0.99</v>
      </c>
    </row>
    <row r="193" spans="1:5" ht="26" x14ac:dyDescent="0.35">
      <c r="A193" s="186"/>
      <c r="B193" t="str">
        <f>IFERROR(IF(VLOOKUP(C193,[1]Mapping!$BT:$BU,2,FALSE)=0,"",VLOOKUP(C193,[1]Mapping!$BT:$BU,2,FALSE)),"")</f>
        <v>Khalikova Nuriya</v>
      </c>
      <c r="C193" s="186" t="s">
        <v>385</v>
      </c>
      <c r="D193" s="186"/>
      <c r="E193" s="187">
        <v>0.97</v>
      </c>
    </row>
    <row r="194" spans="1:5" ht="39" x14ac:dyDescent="0.35">
      <c r="A194" s="189"/>
      <c r="B194" t="str">
        <f>IFERROR(IF(VLOOKUP(C194,[1]Mapping!$BT:$BU,2,FALSE)=0,"",VLOOKUP(C194,[1]Mapping!$BT:$BU,2,FALSE)),"")</f>
        <v>Suttubayeva Gulnar</v>
      </c>
      <c r="C194" s="190" t="s">
        <v>333</v>
      </c>
      <c r="D194" s="190"/>
      <c r="E194" s="187">
        <v>0.97</v>
      </c>
    </row>
    <row r="195" spans="1:5" ht="52" x14ac:dyDescent="0.35">
      <c r="A195" s="186" t="s">
        <v>307</v>
      </c>
      <c r="B195" t="str">
        <f>IFERROR(IF(VLOOKUP(C195,[1]Mapping!$BT:$BU,2,FALSE)=0,"",VLOOKUP(C195,[1]Mapping!$BT:$BU,2,FALSE)),"")</f>
        <v>Aybolova Zhazira</v>
      </c>
      <c r="C195" s="186" t="s">
        <v>284</v>
      </c>
      <c r="D195" s="186"/>
      <c r="E195" s="187">
        <v>0.95</v>
      </c>
    </row>
    <row r="196" spans="1:5" ht="26" x14ac:dyDescent="0.35">
      <c r="A196" s="186"/>
      <c r="B196" t="str">
        <f>IFERROR(IF(VLOOKUP(C196,[1]Mapping!$BT:$BU,2,FALSE)=0,"",VLOOKUP(C196,[1]Mapping!$BT:$BU,2,FALSE)),"")</f>
        <v>Kadyrova Azaliya</v>
      </c>
      <c r="C196" s="186" t="s">
        <v>343</v>
      </c>
      <c r="D196" s="186"/>
      <c r="E196" s="188">
        <v>0.85</v>
      </c>
    </row>
    <row r="197" spans="1:5" ht="26" x14ac:dyDescent="0.35">
      <c r="A197" s="186"/>
      <c r="B197" t="str">
        <f>IFERROR(IF(VLOOKUP(C197,[1]Mapping!$BT:$BU,2,FALSE)=0,"",VLOOKUP(C197,[1]Mapping!$BT:$BU,2,FALSE)),"")</f>
        <v>Mamedova Zarina</v>
      </c>
      <c r="C197" s="186" t="s">
        <v>358</v>
      </c>
      <c r="D197" s="186"/>
      <c r="E197" s="187">
        <v>0.96</v>
      </c>
    </row>
    <row r="198" spans="1:5" ht="26" x14ac:dyDescent="0.35">
      <c r="A198" s="186"/>
      <c r="B198" t="str">
        <f>IFERROR(IF(VLOOKUP(C198,[1]Mapping!$BT:$BU,2,FALSE)=0,"",VLOOKUP(C198,[1]Mapping!$BT:$BU,2,FALSE)),"")</f>
        <v>Meirbek Ainur</v>
      </c>
      <c r="C198" s="186" t="s">
        <v>360</v>
      </c>
      <c r="D198" s="186"/>
      <c r="E198" s="187">
        <v>0.98</v>
      </c>
    </row>
    <row r="199" spans="1:5" ht="39" x14ac:dyDescent="0.35">
      <c r="A199" s="186"/>
      <c r="B199" t="str">
        <f>IFERROR(IF(VLOOKUP(C199,[1]Mapping!$BT:$BU,2,FALSE)=0,"",VLOOKUP(C199,[1]Mapping!$BT:$BU,2,FALSE)),"")</f>
        <v>Nakipbekova Gulzhan</v>
      </c>
      <c r="C199" s="186" t="s">
        <v>362</v>
      </c>
      <c r="D199" s="186"/>
      <c r="E199" s="188">
        <v>0.92</v>
      </c>
    </row>
    <row r="200" spans="1:5" ht="39" x14ac:dyDescent="0.35">
      <c r="A200" s="186"/>
      <c r="B200" t="str">
        <f>IFERROR(IF(VLOOKUP(C200,[1]Mapping!$BT:$BU,2,FALSE)=0,"",VLOOKUP(C200,[1]Mapping!$BT:$BU,2,FALSE)),"")</f>
        <v>Temirbayeva Akzhunis</v>
      </c>
      <c r="C200" s="186" t="s">
        <v>378</v>
      </c>
      <c r="D200" s="186"/>
      <c r="E200" s="188">
        <v>0.93</v>
      </c>
    </row>
    <row r="201" spans="1:5" ht="26" x14ac:dyDescent="0.35">
      <c r="A201" s="186"/>
      <c r="B201" t="str">
        <f>IFERROR(IF(VLOOKUP(C201,[1]Mapping!$BT:$BU,2,FALSE)=0,"",VLOOKUP(C201,[1]Mapping!$BT:$BU,2,FALSE)),"")</f>
        <v>Tilessova Altynay</v>
      </c>
      <c r="C201" s="186" t="s">
        <v>290</v>
      </c>
      <c r="D201" s="186"/>
      <c r="E201" s="187">
        <v>0.97</v>
      </c>
    </row>
    <row r="202" spans="1:5" ht="26" x14ac:dyDescent="0.35">
      <c r="A202" s="186"/>
      <c r="B202" t="str">
        <f>IFERROR(IF(VLOOKUP(C202,[1]Mapping!$BT:$BU,2,FALSE)=0,"",VLOOKUP(C202,[1]Mapping!$BT:$BU,2,FALSE)),"")</f>
        <v>Sariyeva Ainur</v>
      </c>
      <c r="C202" s="186" t="s">
        <v>310</v>
      </c>
      <c r="D202" s="186"/>
      <c r="E202" s="187">
        <v>0.99</v>
      </c>
    </row>
    <row r="203" spans="1:5" ht="39" x14ac:dyDescent="0.35">
      <c r="A203" s="189"/>
      <c r="B203" t="str">
        <f>IFERROR(IF(VLOOKUP(C203,[1]Mapping!$BT:$BU,2,FALSE)=0,"",VLOOKUP(C203,[1]Mapping!$BT:$BU,2,FALSE)),"")</f>
        <v>Zarpullayeva Gulnara</v>
      </c>
      <c r="C203" s="190" t="s">
        <v>323</v>
      </c>
      <c r="D203" s="190"/>
      <c r="E203" s="188">
        <v>0.94</v>
      </c>
    </row>
    <row r="204" spans="1:5" ht="52" x14ac:dyDescent="0.35">
      <c r="A204" s="186" t="s">
        <v>313</v>
      </c>
      <c r="B204" t="str">
        <f>IFERROR(IF(VLOOKUP(C204,[1]Mapping!$BT:$BU,2,FALSE)=0,"",VLOOKUP(C204,[1]Mapping!$BT:$BU,2,FALSE)),"")</f>
        <v>Aliyev Askar</v>
      </c>
      <c r="C204" s="186" t="s">
        <v>288</v>
      </c>
      <c r="D204" s="186"/>
      <c r="E204" s="187">
        <v>0.99</v>
      </c>
    </row>
    <row r="205" spans="1:5" ht="26" x14ac:dyDescent="0.35">
      <c r="A205" s="186"/>
      <c r="B205" t="str">
        <f>IFERROR(IF(VLOOKUP(C205,[1]Mapping!$BT:$BU,2,FALSE)=0,"",VLOOKUP(C205,[1]Mapping!$BT:$BU,2,FALSE)),"")</f>
        <v>Brialinova Inkar</v>
      </c>
      <c r="C205" s="186" t="s">
        <v>315</v>
      </c>
      <c r="D205" s="186"/>
      <c r="E205" s="187">
        <v>0.98</v>
      </c>
    </row>
    <row r="206" spans="1:5" ht="26" x14ac:dyDescent="0.35">
      <c r="A206" s="186"/>
      <c r="B206" t="str">
        <f>IFERROR(IF(VLOOKUP(C206,[1]Mapping!$BT:$BU,2,FALSE)=0,"",VLOOKUP(C206,[1]Mapping!$BT:$BU,2,FALSE)),"")</f>
        <v>Kassanova Elmira</v>
      </c>
      <c r="C206" s="186" t="s">
        <v>349</v>
      </c>
      <c r="D206" s="186"/>
      <c r="E206" s="188">
        <v>0.93</v>
      </c>
    </row>
    <row r="207" spans="1:5" ht="26" x14ac:dyDescent="0.35">
      <c r="A207" s="186"/>
      <c r="B207" t="str">
        <f>IFERROR(IF(VLOOKUP(C207,[1]Mapping!$BT:$BU,2,FALSE)=0,"",VLOOKUP(C207,[1]Mapping!$BT:$BU,2,FALSE)),"")</f>
        <v>Kutdussova Liliya</v>
      </c>
      <c r="C207" s="186" t="s">
        <v>354</v>
      </c>
      <c r="D207" s="186"/>
      <c r="E207" s="187">
        <v>0.97</v>
      </c>
    </row>
    <row r="208" spans="1:5" ht="39" x14ac:dyDescent="0.35">
      <c r="A208" s="186"/>
      <c r="B208" t="str">
        <f>IFERROR(IF(VLOOKUP(C208,[1]Mapping!$BT:$BU,2,FALSE)=0,"",VLOOKUP(C208,[1]Mapping!$BT:$BU,2,FALSE)),"")</f>
        <v>Ungarbayeva Zhanna</v>
      </c>
      <c r="C208" s="186" t="s">
        <v>381</v>
      </c>
      <c r="D208" s="186"/>
      <c r="E208" s="187">
        <v>0.97</v>
      </c>
    </row>
    <row r="209" spans="1:5" ht="26" x14ac:dyDescent="0.35">
      <c r="A209" s="186"/>
      <c r="B209" t="str">
        <f>IFERROR(IF(VLOOKUP(C209,[1]Mapping!$BT:$BU,2,FALSE)=0,"",VLOOKUP(C209,[1]Mapping!$BT:$BU,2,FALSE)),"")</f>
        <v>Sagimbayeva Lyazat</v>
      </c>
      <c r="C209" s="186" t="s">
        <v>314</v>
      </c>
      <c r="D209" s="186"/>
      <c r="E209" s="187">
        <v>0.99</v>
      </c>
    </row>
    <row r="210" spans="1:5" ht="39" x14ac:dyDescent="0.35">
      <c r="A210" s="189"/>
      <c r="B210" t="str">
        <f>IFERROR(IF(VLOOKUP(C210,[1]Mapping!$BT:$BU,2,FALSE)=0,"",VLOOKUP(C210,[1]Mapping!$BT:$BU,2,FALSE)),"")</f>
        <v>Maisutova Almagul</v>
      </c>
      <c r="C210" s="190" t="s">
        <v>329</v>
      </c>
      <c r="D210" s="190"/>
      <c r="E210" s="187">
        <v>0.97</v>
      </c>
    </row>
  </sheetData>
  <mergeCells count="2">
    <mergeCell ref="A122:C122"/>
    <mergeCell ref="E122:E123"/>
  </mergeCells>
  <conditionalFormatting sqref="J2:M101 J102:K103">
    <cfRule type="colorScale" priority="6">
      <colorScale>
        <cfvo type="percent" val="80"/>
        <cfvo type="percentile" val="94"/>
        <cfvo type="percent" val="95"/>
        <color rgb="FFFF0000"/>
        <color rgb="FFFFC000"/>
        <color rgb="FF92D050"/>
      </colorScale>
    </cfRule>
  </conditionalFormatting>
  <conditionalFormatting sqref="J104:K104">
    <cfRule type="colorScale" priority="5">
      <colorScale>
        <cfvo type="percent" val="80"/>
        <cfvo type="percentile" val="94"/>
        <cfvo type="percent" val="95"/>
        <color rgb="FFFF0000"/>
        <color rgb="FFFFC000"/>
        <color rgb="FF92D050"/>
      </colorScale>
    </cfRule>
  </conditionalFormatting>
  <conditionalFormatting sqref="J105:K105">
    <cfRule type="colorScale" priority="4">
      <colorScale>
        <cfvo type="percent" val="80"/>
        <cfvo type="percentile" val="94"/>
        <cfvo type="percent" val="95"/>
        <color rgb="FFFF0000"/>
        <color rgb="FFFFC000"/>
        <color rgb="FF92D050"/>
      </colorScale>
    </cfRule>
  </conditionalFormatting>
  <conditionalFormatting sqref="J106:K106">
    <cfRule type="colorScale" priority="3">
      <colorScale>
        <cfvo type="percent" val="80"/>
        <cfvo type="percentile" val="94"/>
        <cfvo type="percent" val="95"/>
        <color rgb="FFFF0000"/>
        <color rgb="FFFFC000"/>
        <color rgb="FF92D050"/>
      </colorScale>
    </cfRule>
  </conditionalFormatting>
  <conditionalFormatting sqref="J107:K107">
    <cfRule type="colorScale" priority="2">
      <colorScale>
        <cfvo type="percent" val="80"/>
        <cfvo type="percentile" val="94"/>
        <cfvo type="percent" val="95"/>
        <color rgb="FFFF0000"/>
        <color rgb="FFFFC000"/>
        <color rgb="FF92D050"/>
      </colorScale>
    </cfRule>
  </conditionalFormatting>
  <conditionalFormatting sqref="J108:K108">
    <cfRule type="colorScale" priority="1">
      <colorScale>
        <cfvo type="percent" val="80"/>
        <cfvo type="percentile" val="94"/>
        <cfvo type="percent" val="95"/>
        <color rgb="FFFF0000"/>
        <color rgb="FFFFC000"/>
        <color rgb="FF92D05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17E7-A88D-40B6-AA1D-336F871BF3D9}">
  <dimension ref="A1:I86"/>
  <sheetViews>
    <sheetView workbookViewId="0">
      <selection sqref="A1:I86"/>
    </sheetView>
  </sheetViews>
  <sheetFormatPr defaultRowHeight="14.5" x14ac:dyDescent="0.35"/>
  <sheetData>
    <row r="1" spans="1:9" x14ac:dyDescent="0.35">
      <c r="A1" s="170" t="s">
        <v>390</v>
      </c>
      <c r="B1" s="170"/>
      <c r="G1" s="171" t="s">
        <v>225</v>
      </c>
      <c r="I1" s="171" t="s">
        <v>225</v>
      </c>
    </row>
    <row r="2" spans="1:9" x14ac:dyDescent="0.35">
      <c r="A2" s="191" t="s">
        <v>391</v>
      </c>
      <c r="B2" s="191"/>
      <c r="C2" s="191"/>
      <c r="D2" s="191"/>
      <c r="E2" s="192" t="s">
        <v>392</v>
      </c>
      <c r="F2" s="192"/>
      <c r="G2" s="192"/>
      <c r="H2" s="192" t="s">
        <v>271</v>
      </c>
      <c r="I2" s="192" t="s">
        <v>271</v>
      </c>
    </row>
    <row r="3" spans="1:9" x14ac:dyDescent="0.35">
      <c r="A3" s="191" t="s">
        <v>393</v>
      </c>
      <c r="B3" s="191"/>
      <c r="C3" s="191" t="s">
        <v>394</v>
      </c>
      <c r="D3" s="191"/>
      <c r="E3" s="193">
        <v>42736</v>
      </c>
      <c r="F3" s="193">
        <v>42767</v>
      </c>
      <c r="G3" s="193">
        <v>42795</v>
      </c>
      <c r="H3" s="192"/>
      <c r="I3" s="192" t="s">
        <v>395</v>
      </c>
    </row>
    <row r="4" spans="1:9" x14ac:dyDescent="0.35">
      <c r="A4" s="194" t="s">
        <v>396</v>
      </c>
      <c r="B4" s="194" t="str">
        <f>IFERROR(IF(VLOOKUP(C4,[1]Mapping!$BT:$BU,2,FALSE)=0,"",VLOOKUP(C4,[1]Mapping!$BT:$BU,2,FALSE)),"")</f>
        <v>Kuxa Anna</v>
      </c>
      <c r="C4" s="194" t="s">
        <v>327</v>
      </c>
      <c r="D4" s="194"/>
      <c r="E4" s="195">
        <v>0.53</v>
      </c>
      <c r="F4" s="196">
        <v>0.73</v>
      </c>
      <c r="G4" s="195">
        <v>0.68</v>
      </c>
      <c r="H4" s="196">
        <v>1.92</v>
      </c>
      <c r="I4" s="196">
        <f>AVERAGE(E4:G4)</f>
        <v>0.64666666666666661</v>
      </c>
    </row>
    <row r="5" spans="1:9" x14ac:dyDescent="0.35">
      <c r="A5" s="197"/>
      <c r="B5" s="197" t="str">
        <f>IFERROR(IF(VLOOKUP(C5,[1]Mapping!$BT:$BU,2,FALSE)=0,"",VLOOKUP(C5,[1]Mapping!$BT:$BU,2,FALSE)),"")</f>
        <v/>
      </c>
      <c r="C5" s="198" t="s">
        <v>280</v>
      </c>
      <c r="D5" s="198"/>
      <c r="E5" s="195">
        <v>0.53</v>
      </c>
      <c r="F5" s="196">
        <v>0.73</v>
      </c>
      <c r="G5" s="195">
        <v>0.68</v>
      </c>
      <c r="H5" s="196">
        <v>1.92</v>
      </c>
      <c r="I5" s="196">
        <f t="shared" ref="I5:I19" si="0">AVERAGE(E5:G5)</f>
        <v>0.64666666666666661</v>
      </c>
    </row>
    <row r="6" spans="1:9" x14ac:dyDescent="0.35">
      <c r="A6" s="194" t="s">
        <v>397</v>
      </c>
      <c r="B6" s="194" t="str">
        <f>IFERROR(IF(VLOOKUP(C6,[1]Mapping!$BT:$BU,2,FALSE)=0,"",VLOOKUP(C6,[1]Mapping!$BT:$BU,2,FALSE)),"")</f>
        <v>Zhmailova Yelena</v>
      </c>
      <c r="C6" s="194" t="s">
        <v>322</v>
      </c>
      <c r="D6" s="194"/>
      <c r="E6" s="195">
        <v>0.67</v>
      </c>
      <c r="F6" s="195">
        <v>0.53</v>
      </c>
      <c r="G6" s="195">
        <v>0.53</v>
      </c>
      <c r="H6" s="196">
        <v>1.7</v>
      </c>
      <c r="I6" s="196">
        <f t="shared" si="0"/>
        <v>0.57666666666666677</v>
      </c>
    </row>
    <row r="7" spans="1:9" x14ac:dyDescent="0.35">
      <c r="A7" s="197"/>
      <c r="B7" s="197" t="str">
        <f>IFERROR(IF(VLOOKUP(C7,[1]Mapping!$BT:$BU,2,FALSE)=0,"",VLOOKUP(C7,[1]Mapping!$BT:$BU,2,FALSE)),"")</f>
        <v/>
      </c>
      <c r="C7" s="198" t="s">
        <v>280</v>
      </c>
      <c r="D7" s="198"/>
      <c r="E7" s="195">
        <v>0.67</v>
      </c>
      <c r="F7" s="195">
        <v>0.53</v>
      </c>
      <c r="G7" s="195">
        <v>0.53</v>
      </c>
      <c r="H7" s="196">
        <v>1.7</v>
      </c>
      <c r="I7" s="196">
        <f t="shared" si="0"/>
        <v>0.57666666666666677</v>
      </c>
    </row>
    <row r="8" spans="1:9" x14ac:dyDescent="0.35">
      <c r="A8" s="194" t="s">
        <v>398</v>
      </c>
      <c r="B8" s="194" t="str">
        <f>IFERROR(IF(VLOOKUP(C8,[1]Mapping!$BT:$BU,2,FALSE)=0,"",VLOOKUP(C8,[1]Mapping!$BT:$BU,2,FALSE)),"")</f>
        <v>Galiyeva Saule</v>
      </c>
      <c r="C8" s="194" t="s">
        <v>318</v>
      </c>
      <c r="D8" s="194"/>
      <c r="E8" s="195">
        <v>0.53</v>
      </c>
      <c r="F8" s="195">
        <v>0.56000000000000005</v>
      </c>
      <c r="G8" s="196">
        <v>0.74</v>
      </c>
      <c r="H8" s="196">
        <v>1.81</v>
      </c>
      <c r="I8" s="196">
        <f t="shared" si="0"/>
        <v>0.61</v>
      </c>
    </row>
    <row r="9" spans="1:9" x14ac:dyDescent="0.35">
      <c r="A9" s="197"/>
      <c r="B9" s="197" t="str">
        <f>IFERROR(IF(VLOOKUP(C9,[1]Mapping!$BT:$BU,2,FALSE)=0,"",VLOOKUP(C9,[1]Mapping!$BT:$BU,2,FALSE)),"")</f>
        <v/>
      </c>
      <c r="C9" s="198" t="s">
        <v>280</v>
      </c>
      <c r="D9" s="198"/>
      <c r="E9" s="195">
        <v>0.53</v>
      </c>
      <c r="F9" s="195">
        <v>0.56000000000000005</v>
      </c>
      <c r="G9" s="196">
        <v>0.74</v>
      </c>
      <c r="H9" s="196">
        <v>1.81</v>
      </c>
      <c r="I9" s="196">
        <f t="shared" si="0"/>
        <v>0.61</v>
      </c>
    </row>
    <row r="10" spans="1:9" x14ac:dyDescent="0.35">
      <c r="A10" s="194" t="s">
        <v>399</v>
      </c>
      <c r="B10" s="194" t="str">
        <f>IFERROR(IF(VLOOKUP(C10,[1]Mapping!$BT:$BU,2,FALSE)=0,"",VLOOKUP(C10,[1]Mapping!$BT:$BU,2,FALSE)),"")</f>
        <v>Yevseyenko Larissa</v>
      </c>
      <c r="C10" s="194" t="s">
        <v>320</v>
      </c>
      <c r="D10" s="194"/>
      <c r="E10" s="196">
        <v>0.79</v>
      </c>
      <c r="F10" s="195">
        <v>0.68</v>
      </c>
      <c r="G10" s="195">
        <v>0.59</v>
      </c>
      <c r="H10" s="196">
        <v>2.04</v>
      </c>
      <c r="I10" s="196">
        <f t="shared" si="0"/>
        <v>0.68666666666666665</v>
      </c>
    </row>
    <row r="11" spans="1:9" x14ac:dyDescent="0.35">
      <c r="A11" s="197"/>
      <c r="B11" s="197" t="str">
        <f>IFERROR(IF(VLOOKUP(C11,[1]Mapping!$BT:$BU,2,FALSE)=0,"",VLOOKUP(C11,[1]Mapping!$BT:$BU,2,FALSE)),"")</f>
        <v/>
      </c>
      <c r="C11" s="198" t="s">
        <v>280</v>
      </c>
      <c r="D11" s="198"/>
      <c r="E11" s="196">
        <v>0.79</v>
      </c>
      <c r="F11" s="195">
        <v>0.68</v>
      </c>
      <c r="G11" s="195">
        <v>0.59</v>
      </c>
      <c r="H11" s="196">
        <v>2.04</v>
      </c>
      <c r="I11" s="196">
        <f t="shared" si="0"/>
        <v>0.68666666666666665</v>
      </c>
    </row>
    <row r="12" spans="1:9" x14ac:dyDescent="0.35">
      <c r="A12" s="194" t="s">
        <v>400</v>
      </c>
      <c r="B12" s="194" t="str">
        <f>IFERROR(IF(VLOOKUP(C12,[1]Mapping!$BT:$BU,2,FALSE)=0,"",VLOOKUP(C12,[1]Mapping!$BT:$BU,2,FALSE)),"")</f>
        <v>Kuzikeyeva Dinara</v>
      </c>
      <c r="C12" s="194" t="s">
        <v>325</v>
      </c>
      <c r="D12" s="194"/>
      <c r="E12" s="195">
        <v>0.53</v>
      </c>
      <c r="F12" s="195">
        <v>0.47</v>
      </c>
      <c r="G12" s="196">
        <v>0.71</v>
      </c>
      <c r="H12" s="196">
        <v>1.69</v>
      </c>
      <c r="I12" s="196">
        <f t="shared" si="0"/>
        <v>0.56999999999999995</v>
      </c>
    </row>
    <row r="13" spans="1:9" x14ac:dyDescent="0.35">
      <c r="A13" s="197"/>
      <c r="B13" s="197" t="str">
        <f>IFERROR(IF(VLOOKUP(C13,[1]Mapping!$BT:$BU,2,FALSE)=0,"",VLOOKUP(C13,[1]Mapping!$BT:$BU,2,FALSE)),"")</f>
        <v/>
      </c>
      <c r="C13" s="198" t="s">
        <v>280</v>
      </c>
      <c r="D13" s="198"/>
      <c r="E13" s="195">
        <v>0.53</v>
      </c>
      <c r="F13" s="195">
        <v>0.47</v>
      </c>
      <c r="G13" s="196">
        <v>0.71</v>
      </c>
      <c r="H13" s="196">
        <v>1.69</v>
      </c>
      <c r="I13" s="196">
        <f t="shared" si="0"/>
        <v>0.56999999999999995</v>
      </c>
    </row>
    <row r="14" spans="1:9" x14ac:dyDescent="0.35">
      <c r="A14" s="194" t="s">
        <v>401</v>
      </c>
      <c r="B14" s="194" t="str">
        <f>IFERROR(IF(VLOOKUP(C14,[1]Mapping!$BT:$BU,2,FALSE)=0,"",VLOOKUP(C14,[1]Mapping!$BT:$BU,2,FALSE)),"")</f>
        <v>Suttubayeva Gulnar</v>
      </c>
      <c r="C14" s="194" t="s">
        <v>333</v>
      </c>
      <c r="D14" s="194"/>
      <c r="E14" s="195">
        <v>0.56999999999999995</v>
      </c>
      <c r="F14" s="196">
        <v>0.7</v>
      </c>
      <c r="G14" s="196">
        <v>0.78</v>
      </c>
      <c r="H14" s="196">
        <v>2.0299999999999998</v>
      </c>
      <c r="I14" s="196">
        <f t="shared" si="0"/>
        <v>0.68333333333333324</v>
      </c>
    </row>
    <row r="15" spans="1:9" x14ac:dyDescent="0.35">
      <c r="A15" s="197"/>
      <c r="B15" s="197" t="str">
        <f>IFERROR(IF(VLOOKUP(C15,[1]Mapping!$BT:$BU,2,FALSE)=0,"",VLOOKUP(C15,[1]Mapping!$BT:$BU,2,FALSE)),"")</f>
        <v/>
      </c>
      <c r="C15" s="198" t="s">
        <v>280</v>
      </c>
      <c r="D15" s="198"/>
      <c r="E15" s="195">
        <v>0.56999999999999995</v>
      </c>
      <c r="F15" s="196">
        <v>0.7</v>
      </c>
      <c r="G15" s="196">
        <v>0.78</v>
      </c>
      <c r="H15" s="196">
        <v>2.0299999999999998</v>
      </c>
      <c r="I15" s="196">
        <f t="shared" si="0"/>
        <v>0.68333333333333324</v>
      </c>
    </row>
    <row r="16" spans="1:9" x14ac:dyDescent="0.35">
      <c r="A16" s="194" t="s">
        <v>402</v>
      </c>
      <c r="B16" s="194" t="str">
        <f>IFERROR(IF(VLOOKUP(C16,[1]Mapping!$BT:$BU,2,FALSE)=0,"",VLOOKUP(C16,[1]Mapping!$BT:$BU,2,FALSE)),"")</f>
        <v>Zarpullayeva Gulnara</v>
      </c>
      <c r="C16" s="194" t="s">
        <v>323</v>
      </c>
      <c r="D16" s="194"/>
      <c r="E16" s="195">
        <v>0.67</v>
      </c>
      <c r="F16" s="196">
        <v>0.73</v>
      </c>
      <c r="G16" s="196">
        <v>0.79</v>
      </c>
      <c r="H16" s="196">
        <v>2.16</v>
      </c>
      <c r="I16" s="196">
        <f t="shared" si="0"/>
        <v>0.73</v>
      </c>
    </row>
    <row r="17" spans="1:9" x14ac:dyDescent="0.35">
      <c r="A17" s="197"/>
      <c r="B17" s="197" t="str">
        <f>IFERROR(IF(VLOOKUP(C17,[1]Mapping!$BT:$BU,2,FALSE)=0,"",VLOOKUP(C17,[1]Mapping!$BT:$BU,2,FALSE)),"")</f>
        <v/>
      </c>
      <c r="C17" s="198" t="s">
        <v>280</v>
      </c>
      <c r="D17" s="198"/>
      <c r="E17" s="195">
        <v>0.67</v>
      </c>
      <c r="F17" s="196">
        <v>0.73</v>
      </c>
      <c r="G17" s="196">
        <v>0.79</v>
      </c>
      <c r="H17" s="196">
        <v>2.16</v>
      </c>
      <c r="I17" s="196">
        <f t="shared" si="0"/>
        <v>0.73</v>
      </c>
    </row>
    <row r="18" spans="1:9" x14ac:dyDescent="0.35">
      <c r="A18" s="194" t="s">
        <v>403</v>
      </c>
      <c r="B18" s="194" t="str">
        <f>IFERROR(IF(VLOOKUP(C18,[1]Mapping!$BT:$BU,2,FALSE)=0,"",VLOOKUP(C18,[1]Mapping!$BT:$BU,2,FALSE)),"")</f>
        <v>Maisutova Almagul</v>
      </c>
      <c r="C18" s="194" t="s">
        <v>329</v>
      </c>
      <c r="D18" s="194"/>
      <c r="E18" s="195">
        <v>0.63</v>
      </c>
      <c r="F18" s="196">
        <v>0.91</v>
      </c>
      <c r="G18" s="196">
        <v>0.85</v>
      </c>
      <c r="H18" s="196">
        <v>2.37</v>
      </c>
      <c r="I18" s="196">
        <f t="shared" si="0"/>
        <v>0.79666666666666675</v>
      </c>
    </row>
    <row r="19" spans="1:9" x14ac:dyDescent="0.35">
      <c r="A19" s="197"/>
      <c r="B19" s="197" t="str">
        <f>IFERROR(IF(VLOOKUP(C19,[1]Mapping!$BT:$BU,2,FALSE)=0,"",VLOOKUP(C19,[1]Mapping!$BT:$BU,2,FALSE)),"")</f>
        <v/>
      </c>
      <c r="C19" s="198" t="s">
        <v>280</v>
      </c>
      <c r="D19" s="198"/>
      <c r="E19" s="195">
        <v>0.63</v>
      </c>
      <c r="F19" s="196">
        <v>0.91</v>
      </c>
      <c r="G19" s="196">
        <v>0.85</v>
      </c>
      <c r="H19" s="196">
        <v>2.37</v>
      </c>
      <c r="I19" s="196">
        <f t="shared" si="0"/>
        <v>0.79666666666666675</v>
      </c>
    </row>
    <row r="20" spans="1:9" x14ac:dyDescent="0.35">
      <c r="B20" t="str">
        <f>IFERROR(IF(VLOOKUP(C20,[1]Mapping!$BT:$BU,2,FALSE)=0,"",VLOOKUP(C20,[1]Mapping!$BT:$BU,2,FALSE)),"")</f>
        <v/>
      </c>
      <c r="I20" s="171"/>
    </row>
    <row r="21" spans="1:9" x14ac:dyDescent="0.35">
      <c r="A21" s="182" t="s">
        <v>404</v>
      </c>
      <c r="B21" s="182"/>
    </row>
    <row r="22" spans="1:9" x14ac:dyDescent="0.35">
      <c r="A22" s="183"/>
      <c r="B22" s="183"/>
      <c r="C22" s="183"/>
      <c r="D22" s="183"/>
      <c r="E22" s="185" t="s">
        <v>392</v>
      </c>
      <c r="F22" s="185"/>
      <c r="G22" s="185"/>
      <c r="H22" s="185" t="s">
        <v>271</v>
      </c>
      <c r="I22" s="185" t="s">
        <v>271</v>
      </c>
    </row>
    <row r="23" spans="1:9" ht="26" x14ac:dyDescent="0.35">
      <c r="A23" s="184" t="s">
        <v>405</v>
      </c>
      <c r="B23" s="184"/>
      <c r="C23" s="184" t="s">
        <v>394</v>
      </c>
      <c r="D23" s="199"/>
      <c r="E23" s="200" t="s">
        <v>406</v>
      </c>
      <c r="F23" s="200" t="s">
        <v>407</v>
      </c>
      <c r="G23" s="200" t="s">
        <v>408</v>
      </c>
      <c r="H23" s="185"/>
      <c r="I23" s="185"/>
    </row>
    <row r="24" spans="1:9" ht="26.5" x14ac:dyDescent="0.35">
      <c r="A24" s="201" t="s">
        <v>409</v>
      </c>
      <c r="B24" s="186"/>
      <c r="C24" s="201" t="s">
        <v>410</v>
      </c>
      <c r="D24" s="202" t="s">
        <v>411</v>
      </c>
      <c r="E24" s="203">
        <v>0.56999999999999995</v>
      </c>
      <c r="F24" s="187">
        <v>0.84</v>
      </c>
      <c r="G24" s="203">
        <v>0.55000000000000004</v>
      </c>
      <c r="H24" s="187">
        <v>1.97</v>
      </c>
      <c r="I24" s="203">
        <f>I25/I26</f>
        <v>0.6607142857142857</v>
      </c>
    </row>
    <row r="25" spans="1:9" ht="26.5" x14ac:dyDescent="0.35">
      <c r="A25" s="201"/>
      <c r="B25" s="186"/>
      <c r="C25" s="201"/>
      <c r="D25" s="202" t="s">
        <v>412</v>
      </c>
      <c r="E25" s="204">
        <v>108</v>
      </c>
      <c r="F25" s="204">
        <v>151</v>
      </c>
      <c r="G25" s="204">
        <v>74</v>
      </c>
      <c r="H25" s="204">
        <v>333</v>
      </c>
      <c r="I25" s="204">
        <v>333</v>
      </c>
    </row>
    <row r="26" spans="1:9" ht="39.5" x14ac:dyDescent="0.35">
      <c r="A26" s="201"/>
      <c r="B26" s="186"/>
      <c r="C26" s="201"/>
      <c r="D26" s="202" t="s">
        <v>413</v>
      </c>
      <c r="E26" s="204">
        <v>189</v>
      </c>
      <c r="F26" s="204">
        <v>180</v>
      </c>
      <c r="G26" s="204">
        <v>135</v>
      </c>
      <c r="H26" s="204">
        <v>169</v>
      </c>
      <c r="I26" s="204">
        <v>504</v>
      </c>
    </row>
    <row r="27" spans="1:9" ht="26.5" x14ac:dyDescent="0.35">
      <c r="A27" s="205"/>
      <c r="B27" s="189"/>
      <c r="C27" s="206" t="s">
        <v>280</v>
      </c>
      <c r="D27" s="207" t="s">
        <v>411</v>
      </c>
      <c r="E27" s="203">
        <v>0.56999999999999995</v>
      </c>
      <c r="F27" s="187">
        <v>0.84</v>
      </c>
      <c r="G27" s="203">
        <v>0.55000000000000004</v>
      </c>
      <c r="H27" s="187">
        <v>1.97</v>
      </c>
    </row>
    <row r="28" spans="1:9" ht="26.5" x14ac:dyDescent="0.35">
      <c r="A28" s="205"/>
      <c r="B28" s="189"/>
      <c r="C28" s="206"/>
      <c r="D28" s="207" t="s">
        <v>412</v>
      </c>
      <c r="E28" s="208">
        <v>108</v>
      </c>
      <c r="F28" s="208">
        <v>151</v>
      </c>
      <c r="G28" s="208">
        <v>74</v>
      </c>
      <c r="H28" s="208">
        <v>333</v>
      </c>
    </row>
    <row r="29" spans="1:9" ht="39.5" x14ac:dyDescent="0.35">
      <c r="A29" s="205"/>
      <c r="B29" s="189"/>
      <c r="C29" s="206"/>
      <c r="D29" s="207" t="s">
        <v>413</v>
      </c>
      <c r="E29" s="208">
        <v>189</v>
      </c>
      <c r="F29" s="208">
        <v>180</v>
      </c>
      <c r="G29" s="208">
        <v>135</v>
      </c>
      <c r="H29" s="208">
        <v>169</v>
      </c>
    </row>
    <row r="30" spans="1:9" ht="26.5" x14ac:dyDescent="0.35">
      <c r="A30" s="201" t="s">
        <v>414</v>
      </c>
      <c r="B30" s="186"/>
      <c r="C30" s="201" t="s">
        <v>415</v>
      </c>
      <c r="D30" s="202" t="s">
        <v>411</v>
      </c>
      <c r="E30" s="187">
        <v>0.72</v>
      </c>
      <c r="F30" s="187">
        <v>0.72</v>
      </c>
      <c r="G30" s="187">
        <v>1.08</v>
      </c>
      <c r="H30" s="187">
        <v>2.46</v>
      </c>
      <c r="I30" s="187">
        <f>I31/I32</f>
        <v>0.81632653061224492</v>
      </c>
    </row>
    <row r="31" spans="1:9" ht="26.5" x14ac:dyDescent="0.35">
      <c r="A31" s="201"/>
      <c r="B31" s="186"/>
      <c r="C31" s="201"/>
      <c r="D31" s="202" t="s">
        <v>412</v>
      </c>
      <c r="E31" s="204">
        <v>117</v>
      </c>
      <c r="F31" s="204">
        <v>117</v>
      </c>
      <c r="G31" s="204">
        <v>126</v>
      </c>
      <c r="H31" s="204">
        <v>360</v>
      </c>
      <c r="I31" s="204">
        <v>360</v>
      </c>
    </row>
    <row r="32" spans="1:9" ht="39.5" x14ac:dyDescent="0.35">
      <c r="A32" s="201"/>
      <c r="B32" s="186"/>
      <c r="C32" s="201"/>
      <c r="D32" s="202" t="s">
        <v>413</v>
      </c>
      <c r="E32" s="204">
        <v>162</v>
      </c>
      <c r="F32" s="204">
        <v>162</v>
      </c>
      <c r="G32" s="204">
        <v>117</v>
      </c>
      <c r="H32" s="204">
        <v>146</v>
      </c>
      <c r="I32" s="204">
        <v>441</v>
      </c>
    </row>
    <row r="33" spans="1:9" ht="26.5" x14ac:dyDescent="0.35">
      <c r="A33" s="205"/>
      <c r="B33" s="189"/>
      <c r="C33" s="206" t="s">
        <v>280</v>
      </c>
      <c r="D33" s="207" t="s">
        <v>411</v>
      </c>
      <c r="E33" s="187">
        <v>0.72</v>
      </c>
      <c r="F33" s="187">
        <v>0.72</v>
      </c>
      <c r="G33" s="187">
        <v>1.08</v>
      </c>
      <c r="H33" s="187">
        <v>2.46</v>
      </c>
    </row>
    <row r="34" spans="1:9" ht="26.5" x14ac:dyDescent="0.35">
      <c r="A34" s="205"/>
      <c r="B34" s="189"/>
      <c r="C34" s="206"/>
      <c r="D34" s="207" t="s">
        <v>412</v>
      </c>
      <c r="E34" s="208">
        <v>117</v>
      </c>
      <c r="F34" s="208">
        <v>117</v>
      </c>
      <c r="G34" s="208">
        <v>126</v>
      </c>
      <c r="H34" s="208">
        <v>360</v>
      </c>
    </row>
    <row r="35" spans="1:9" ht="39.5" x14ac:dyDescent="0.35">
      <c r="A35" s="205"/>
      <c r="B35" s="189"/>
      <c r="C35" s="206"/>
      <c r="D35" s="207" t="s">
        <v>413</v>
      </c>
      <c r="E35" s="208">
        <v>162</v>
      </c>
      <c r="F35" s="208">
        <v>162</v>
      </c>
      <c r="G35" s="208">
        <v>117</v>
      </c>
      <c r="H35" s="208">
        <v>146</v>
      </c>
    </row>
    <row r="36" spans="1:9" ht="26.5" x14ac:dyDescent="0.35">
      <c r="A36" s="201" t="s">
        <v>416</v>
      </c>
      <c r="B36" s="186"/>
      <c r="C36" s="201" t="s">
        <v>327</v>
      </c>
      <c r="D36" s="202" t="s">
        <v>411</v>
      </c>
      <c r="E36" s="187">
        <v>0.7</v>
      </c>
      <c r="F36" s="187">
        <v>0.73</v>
      </c>
      <c r="G36" s="187">
        <v>0.84</v>
      </c>
      <c r="H36" s="187">
        <v>2.17</v>
      </c>
      <c r="I36" s="187">
        <f>I37/I38</f>
        <v>0.74814814814814812</v>
      </c>
    </row>
    <row r="37" spans="1:9" ht="26.5" x14ac:dyDescent="0.35">
      <c r="A37" s="201"/>
      <c r="B37" s="186"/>
      <c r="C37" s="201"/>
      <c r="D37" s="202" t="s">
        <v>412</v>
      </c>
      <c r="E37" s="204">
        <v>126</v>
      </c>
      <c r="F37" s="204">
        <v>86</v>
      </c>
      <c r="G37" s="204">
        <v>91</v>
      </c>
      <c r="H37" s="204">
        <v>303</v>
      </c>
      <c r="I37" s="204">
        <v>303</v>
      </c>
    </row>
    <row r="38" spans="1:9" ht="39.5" x14ac:dyDescent="0.35">
      <c r="A38" s="201"/>
      <c r="B38" s="186"/>
      <c r="C38" s="201"/>
      <c r="D38" s="202" t="s">
        <v>413</v>
      </c>
      <c r="E38" s="204">
        <v>180</v>
      </c>
      <c r="F38" s="204">
        <v>117</v>
      </c>
      <c r="G38" s="204">
        <v>108</v>
      </c>
      <c r="H38" s="204">
        <v>139</v>
      </c>
      <c r="I38" s="204">
        <v>405</v>
      </c>
    </row>
    <row r="39" spans="1:9" ht="26.5" x14ac:dyDescent="0.35">
      <c r="A39" s="205"/>
      <c r="B39" s="189"/>
      <c r="C39" s="206" t="s">
        <v>280</v>
      </c>
      <c r="D39" s="207" t="s">
        <v>411</v>
      </c>
      <c r="E39" s="187">
        <v>0.7</v>
      </c>
      <c r="F39" s="187">
        <v>0.73</v>
      </c>
      <c r="G39" s="187">
        <v>0.84</v>
      </c>
      <c r="H39" s="187">
        <v>2.17</v>
      </c>
    </row>
    <row r="40" spans="1:9" ht="26.5" x14ac:dyDescent="0.35">
      <c r="A40" s="205"/>
      <c r="B40" s="189"/>
      <c r="C40" s="206"/>
      <c r="D40" s="207" t="s">
        <v>412</v>
      </c>
      <c r="E40" s="208">
        <v>126</v>
      </c>
      <c r="F40" s="208">
        <v>86</v>
      </c>
      <c r="G40" s="208">
        <v>91</v>
      </c>
      <c r="H40" s="208">
        <v>303</v>
      </c>
    </row>
    <row r="41" spans="1:9" ht="39.5" x14ac:dyDescent="0.35">
      <c r="A41" s="205"/>
      <c r="B41" s="189"/>
      <c r="C41" s="206"/>
      <c r="D41" s="207" t="s">
        <v>413</v>
      </c>
      <c r="E41" s="208">
        <v>180</v>
      </c>
      <c r="F41" s="208">
        <v>117</v>
      </c>
      <c r="G41" s="208">
        <v>108</v>
      </c>
      <c r="H41" s="208">
        <v>139</v>
      </c>
    </row>
    <row r="42" spans="1:9" ht="26.5" x14ac:dyDescent="0.35">
      <c r="A42" s="201" t="s">
        <v>417</v>
      </c>
      <c r="B42" s="186"/>
      <c r="C42" s="201" t="s">
        <v>322</v>
      </c>
      <c r="D42" s="202" t="s">
        <v>411</v>
      </c>
      <c r="E42" s="187">
        <v>0.75</v>
      </c>
      <c r="F42" s="187">
        <v>0.77</v>
      </c>
      <c r="G42" s="187">
        <v>0.75</v>
      </c>
      <c r="H42" s="187">
        <v>2.15</v>
      </c>
      <c r="I42" s="187">
        <f>I43/I44</f>
        <v>0.75555555555555554</v>
      </c>
    </row>
    <row r="43" spans="1:9" ht="26.5" x14ac:dyDescent="0.35">
      <c r="A43" s="201"/>
      <c r="B43" s="186"/>
      <c r="C43" s="201"/>
      <c r="D43" s="202" t="s">
        <v>412</v>
      </c>
      <c r="E43" s="204">
        <v>135</v>
      </c>
      <c r="F43" s="204">
        <v>90</v>
      </c>
      <c r="G43" s="204">
        <v>81</v>
      </c>
      <c r="H43" s="204">
        <v>306</v>
      </c>
      <c r="I43" s="204">
        <v>306</v>
      </c>
    </row>
    <row r="44" spans="1:9" ht="39.5" x14ac:dyDescent="0.35">
      <c r="A44" s="201"/>
      <c r="B44" s="186"/>
      <c r="C44" s="201"/>
      <c r="D44" s="202" t="s">
        <v>413</v>
      </c>
      <c r="E44" s="204">
        <v>180</v>
      </c>
      <c r="F44" s="204">
        <v>117</v>
      </c>
      <c r="G44" s="204">
        <v>108</v>
      </c>
      <c r="H44" s="204">
        <v>142</v>
      </c>
      <c r="I44" s="204">
        <v>405</v>
      </c>
    </row>
    <row r="45" spans="1:9" ht="26.5" x14ac:dyDescent="0.35">
      <c r="A45" s="205"/>
      <c r="B45" s="189"/>
      <c r="C45" s="206" t="s">
        <v>280</v>
      </c>
      <c r="D45" s="207" t="s">
        <v>411</v>
      </c>
      <c r="E45" s="187">
        <v>0.75</v>
      </c>
      <c r="F45" s="187">
        <v>0.77</v>
      </c>
      <c r="G45" s="187">
        <v>0.75</v>
      </c>
      <c r="H45" s="187">
        <v>2.15</v>
      </c>
    </row>
    <row r="46" spans="1:9" ht="26.5" x14ac:dyDescent="0.35">
      <c r="A46" s="205"/>
      <c r="B46" s="189"/>
      <c r="C46" s="206"/>
      <c r="D46" s="207" t="s">
        <v>412</v>
      </c>
      <c r="E46" s="208">
        <v>135</v>
      </c>
      <c r="F46" s="208">
        <v>90</v>
      </c>
      <c r="G46" s="208">
        <v>81</v>
      </c>
      <c r="H46" s="208">
        <v>306</v>
      </c>
    </row>
    <row r="47" spans="1:9" ht="39.5" x14ac:dyDescent="0.35">
      <c r="A47" s="205"/>
      <c r="B47" s="189"/>
      <c r="C47" s="206"/>
      <c r="D47" s="207" t="s">
        <v>413</v>
      </c>
      <c r="E47" s="208">
        <v>180</v>
      </c>
      <c r="F47" s="208">
        <v>117</v>
      </c>
      <c r="G47" s="208">
        <v>108</v>
      </c>
      <c r="H47" s="208">
        <v>142</v>
      </c>
    </row>
    <row r="48" spans="1:9" ht="26.5" x14ac:dyDescent="0.35">
      <c r="A48" s="201" t="s">
        <v>418</v>
      </c>
      <c r="B48" s="186"/>
      <c r="C48" s="201" t="s">
        <v>318</v>
      </c>
      <c r="D48" s="202" t="s">
        <v>411</v>
      </c>
      <c r="E48" s="187">
        <v>0.7</v>
      </c>
      <c r="F48" s="187">
        <v>0.77</v>
      </c>
      <c r="G48" s="187">
        <v>0.92</v>
      </c>
      <c r="H48" s="187">
        <v>2.2599999999999998</v>
      </c>
      <c r="I48" s="187">
        <f>I49/I50</f>
        <v>0.77777777777777779</v>
      </c>
    </row>
    <row r="49" spans="1:9" ht="26.5" x14ac:dyDescent="0.35">
      <c r="A49" s="201"/>
      <c r="B49" s="186"/>
      <c r="C49" s="201"/>
      <c r="D49" s="202" t="s">
        <v>412</v>
      </c>
      <c r="E49" s="204">
        <v>126</v>
      </c>
      <c r="F49" s="204">
        <v>90</v>
      </c>
      <c r="G49" s="204">
        <v>99</v>
      </c>
      <c r="H49" s="204">
        <v>315</v>
      </c>
      <c r="I49" s="204">
        <v>315</v>
      </c>
    </row>
    <row r="50" spans="1:9" ht="39.5" x14ac:dyDescent="0.35">
      <c r="A50" s="201"/>
      <c r="B50" s="186"/>
      <c r="C50" s="201"/>
      <c r="D50" s="202" t="s">
        <v>413</v>
      </c>
      <c r="E50" s="204">
        <v>180</v>
      </c>
      <c r="F50" s="204">
        <v>117</v>
      </c>
      <c r="G50" s="204">
        <v>108</v>
      </c>
      <c r="H50" s="204">
        <v>139</v>
      </c>
      <c r="I50" s="204">
        <v>405</v>
      </c>
    </row>
    <row r="51" spans="1:9" ht="26.5" x14ac:dyDescent="0.35">
      <c r="A51" s="205"/>
      <c r="B51" s="189"/>
      <c r="C51" s="206" t="s">
        <v>280</v>
      </c>
      <c r="D51" s="207" t="s">
        <v>411</v>
      </c>
      <c r="E51" s="187">
        <v>0.7</v>
      </c>
      <c r="F51" s="187">
        <v>0.77</v>
      </c>
      <c r="G51" s="187">
        <v>0.92</v>
      </c>
      <c r="H51" s="187">
        <v>2.2599999999999998</v>
      </c>
    </row>
    <row r="52" spans="1:9" ht="26.5" x14ac:dyDescent="0.35">
      <c r="A52" s="205"/>
      <c r="B52" s="189"/>
      <c r="C52" s="206"/>
      <c r="D52" s="207" t="s">
        <v>412</v>
      </c>
      <c r="E52" s="208">
        <v>126</v>
      </c>
      <c r="F52" s="208">
        <v>90</v>
      </c>
      <c r="G52" s="208">
        <v>99</v>
      </c>
      <c r="H52" s="208">
        <v>315</v>
      </c>
    </row>
    <row r="53" spans="1:9" ht="39.5" x14ac:dyDescent="0.35">
      <c r="A53" s="205"/>
      <c r="B53" s="189"/>
      <c r="C53" s="206"/>
      <c r="D53" s="207" t="s">
        <v>413</v>
      </c>
      <c r="E53" s="208">
        <v>180</v>
      </c>
      <c r="F53" s="208">
        <v>117</v>
      </c>
      <c r="G53" s="208">
        <v>108</v>
      </c>
      <c r="H53" s="208">
        <v>139</v>
      </c>
    </row>
    <row r="54" spans="1:9" ht="26.5" x14ac:dyDescent="0.35">
      <c r="A54" s="201" t="s">
        <v>419</v>
      </c>
      <c r="B54" s="186"/>
      <c r="C54" s="201" t="s">
        <v>320</v>
      </c>
      <c r="D54" s="202" t="s">
        <v>411</v>
      </c>
      <c r="E54" s="187">
        <v>0.81</v>
      </c>
      <c r="F54" s="187">
        <v>0.74</v>
      </c>
      <c r="G54" s="187">
        <v>0.95</v>
      </c>
      <c r="H54" s="187">
        <v>2.34</v>
      </c>
      <c r="I54" s="187">
        <f>I55/I56</f>
        <v>0.82804232804232802</v>
      </c>
    </row>
    <row r="55" spans="1:9" ht="26.5" x14ac:dyDescent="0.35">
      <c r="A55" s="201"/>
      <c r="B55" s="186"/>
      <c r="C55" s="201"/>
      <c r="D55" s="202" t="s">
        <v>412</v>
      </c>
      <c r="E55" s="204">
        <v>139</v>
      </c>
      <c r="F55" s="204">
        <v>80</v>
      </c>
      <c r="G55" s="204">
        <v>94</v>
      </c>
      <c r="H55" s="204">
        <v>312</v>
      </c>
      <c r="I55" s="204">
        <v>313</v>
      </c>
    </row>
    <row r="56" spans="1:9" ht="39.5" x14ac:dyDescent="0.35">
      <c r="A56" s="201"/>
      <c r="B56" s="186"/>
      <c r="C56" s="201"/>
      <c r="D56" s="202" t="s">
        <v>413</v>
      </c>
      <c r="E56" s="204">
        <v>171</v>
      </c>
      <c r="F56" s="204">
        <v>108</v>
      </c>
      <c r="G56" s="204">
        <v>99</v>
      </c>
      <c r="H56" s="204">
        <v>133</v>
      </c>
      <c r="I56" s="204">
        <v>378</v>
      </c>
    </row>
    <row r="57" spans="1:9" ht="26.5" x14ac:dyDescent="0.35">
      <c r="A57" s="205"/>
      <c r="B57" s="189"/>
      <c r="C57" s="206" t="s">
        <v>280</v>
      </c>
      <c r="D57" s="207" t="s">
        <v>411</v>
      </c>
      <c r="E57" s="187">
        <v>0.81</v>
      </c>
      <c r="F57" s="187">
        <v>0.74</v>
      </c>
      <c r="G57" s="187">
        <v>0.95</v>
      </c>
      <c r="H57" s="187">
        <v>2.34</v>
      </c>
    </row>
    <row r="58" spans="1:9" ht="26.5" x14ac:dyDescent="0.35">
      <c r="A58" s="205"/>
      <c r="B58" s="189"/>
      <c r="C58" s="206"/>
      <c r="D58" s="207" t="s">
        <v>412</v>
      </c>
      <c r="E58" s="208">
        <v>139</v>
      </c>
      <c r="F58" s="208">
        <v>80</v>
      </c>
      <c r="G58" s="208">
        <v>94</v>
      </c>
      <c r="H58" s="208">
        <v>312</v>
      </c>
    </row>
    <row r="59" spans="1:9" ht="39.5" x14ac:dyDescent="0.35">
      <c r="A59" s="205"/>
      <c r="B59" s="189"/>
      <c r="C59" s="206"/>
      <c r="D59" s="207" t="s">
        <v>413</v>
      </c>
      <c r="E59" s="208">
        <v>171</v>
      </c>
      <c r="F59" s="208">
        <v>108</v>
      </c>
      <c r="G59" s="208">
        <v>99</v>
      </c>
      <c r="H59" s="208">
        <v>133</v>
      </c>
    </row>
    <row r="60" spans="1:9" ht="26.5" x14ac:dyDescent="0.35">
      <c r="A60" s="201" t="s">
        <v>420</v>
      </c>
      <c r="B60" s="186"/>
      <c r="C60" s="201" t="s">
        <v>331</v>
      </c>
      <c r="D60" s="202" t="s">
        <v>411</v>
      </c>
      <c r="E60" s="203">
        <v>0.2</v>
      </c>
      <c r="F60" s="203">
        <v>0.46</v>
      </c>
      <c r="G60" s="187">
        <v>0.74</v>
      </c>
      <c r="H60" s="187">
        <v>1.32</v>
      </c>
      <c r="I60" s="203">
        <f>I61/I62</f>
        <v>0.42222222222222222</v>
      </c>
    </row>
    <row r="61" spans="1:9" ht="26.5" x14ac:dyDescent="0.35">
      <c r="A61" s="201"/>
      <c r="B61" s="186"/>
      <c r="C61" s="201"/>
      <c r="D61" s="202" t="s">
        <v>412</v>
      </c>
      <c r="E61" s="204">
        <v>37</v>
      </c>
      <c r="F61" s="204">
        <v>54</v>
      </c>
      <c r="G61" s="204">
        <v>80</v>
      </c>
      <c r="H61" s="204">
        <v>170</v>
      </c>
      <c r="I61" s="204">
        <v>171</v>
      </c>
    </row>
    <row r="62" spans="1:9" ht="39.5" x14ac:dyDescent="0.35">
      <c r="A62" s="201"/>
      <c r="B62" s="186"/>
      <c r="C62" s="201"/>
      <c r="D62" s="202" t="s">
        <v>413</v>
      </c>
      <c r="E62" s="204">
        <v>180</v>
      </c>
      <c r="F62" s="204">
        <v>117</v>
      </c>
      <c r="G62" s="204">
        <v>108</v>
      </c>
      <c r="H62" s="204">
        <v>129</v>
      </c>
      <c r="I62" s="204">
        <v>405</v>
      </c>
    </row>
    <row r="63" spans="1:9" ht="26.5" x14ac:dyDescent="0.35">
      <c r="A63" s="205"/>
      <c r="B63" s="189"/>
      <c r="C63" s="206" t="s">
        <v>280</v>
      </c>
      <c r="D63" s="207" t="s">
        <v>411</v>
      </c>
      <c r="E63" s="203">
        <v>0.2</v>
      </c>
      <c r="F63" s="203">
        <v>0.46</v>
      </c>
      <c r="G63" s="187">
        <v>0.74</v>
      </c>
      <c r="H63" s="187">
        <v>1.32</v>
      </c>
    </row>
    <row r="64" spans="1:9" ht="26.5" x14ac:dyDescent="0.35">
      <c r="A64" s="205"/>
      <c r="B64" s="189"/>
      <c r="C64" s="206"/>
      <c r="D64" s="207" t="s">
        <v>412</v>
      </c>
      <c r="E64" s="208">
        <v>37</v>
      </c>
      <c r="F64" s="208">
        <v>54</v>
      </c>
      <c r="G64" s="208">
        <v>80</v>
      </c>
      <c r="H64" s="208">
        <v>170</v>
      </c>
    </row>
    <row r="65" spans="1:9" ht="39.5" x14ac:dyDescent="0.35">
      <c r="A65" s="205"/>
      <c r="B65" s="189"/>
      <c r="C65" s="206"/>
      <c r="D65" s="207" t="s">
        <v>413</v>
      </c>
      <c r="E65" s="208">
        <v>180</v>
      </c>
      <c r="F65" s="208">
        <v>117</v>
      </c>
      <c r="G65" s="208">
        <v>108</v>
      </c>
      <c r="H65" s="208">
        <v>129</v>
      </c>
    </row>
    <row r="66" spans="1:9" ht="26.5" x14ac:dyDescent="0.35">
      <c r="A66" s="201" t="s">
        <v>421</v>
      </c>
      <c r="B66" s="186"/>
      <c r="C66" s="201" t="s">
        <v>325</v>
      </c>
      <c r="D66" s="202" t="s">
        <v>411</v>
      </c>
      <c r="E66" s="187">
        <v>0.7</v>
      </c>
      <c r="F66" s="187">
        <v>0.75</v>
      </c>
      <c r="G66" s="187">
        <v>0.86</v>
      </c>
      <c r="H66" s="187">
        <v>2.17</v>
      </c>
      <c r="I66" s="187">
        <f>I67/I68</f>
        <v>0.7592592592592593</v>
      </c>
    </row>
    <row r="67" spans="1:9" ht="26.5" x14ac:dyDescent="0.35">
      <c r="A67" s="201"/>
      <c r="B67" s="186"/>
      <c r="C67" s="201"/>
      <c r="D67" s="202" t="s">
        <v>412</v>
      </c>
      <c r="E67" s="204">
        <v>121</v>
      </c>
      <c r="F67" s="204">
        <v>81</v>
      </c>
      <c r="G67" s="204">
        <v>85</v>
      </c>
      <c r="H67" s="204">
        <v>287</v>
      </c>
      <c r="I67" s="204">
        <v>287</v>
      </c>
    </row>
    <row r="68" spans="1:9" ht="39.5" x14ac:dyDescent="0.35">
      <c r="A68" s="201"/>
      <c r="B68" s="186"/>
      <c r="C68" s="201"/>
      <c r="D68" s="202" t="s">
        <v>413</v>
      </c>
      <c r="E68" s="204">
        <v>171</v>
      </c>
      <c r="F68" s="204">
        <v>108</v>
      </c>
      <c r="G68" s="204">
        <v>99</v>
      </c>
      <c r="H68" s="204">
        <v>132</v>
      </c>
      <c r="I68" s="204">
        <v>378</v>
      </c>
    </row>
    <row r="69" spans="1:9" ht="26.5" x14ac:dyDescent="0.35">
      <c r="A69" s="205"/>
      <c r="B69" s="189"/>
      <c r="C69" s="206" t="s">
        <v>280</v>
      </c>
      <c r="D69" s="207" t="s">
        <v>411</v>
      </c>
      <c r="E69" s="187">
        <v>0.7</v>
      </c>
      <c r="F69" s="187">
        <v>0.75</v>
      </c>
      <c r="G69" s="187">
        <v>0.86</v>
      </c>
      <c r="H69" s="187">
        <v>2.17</v>
      </c>
    </row>
    <row r="70" spans="1:9" ht="26.5" x14ac:dyDescent="0.35">
      <c r="A70" s="205"/>
      <c r="B70" s="189"/>
      <c r="C70" s="206"/>
      <c r="D70" s="207" t="s">
        <v>412</v>
      </c>
      <c r="E70" s="208">
        <v>121</v>
      </c>
      <c r="F70" s="208">
        <v>81</v>
      </c>
      <c r="G70" s="208">
        <v>85</v>
      </c>
      <c r="H70" s="208">
        <v>287</v>
      </c>
    </row>
    <row r="71" spans="1:9" ht="39.5" x14ac:dyDescent="0.35">
      <c r="A71" s="205"/>
      <c r="B71" s="189"/>
      <c r="C71" s="206"/>
      <c r="D71" s="207" t="s">
        <v>413</v>
      </c>
      <c r="E71" s="208">
        <v>171</v>
      </c>
      <c r="F71" s="208">
        <v>108</v>
      </c>
      <c r="G71" s="208">
        <v>99</v>
      </c>
      <c r="H71" s="208">
        <v>132</v>
      </c>
    </row>
    <row r="72" spans="1:9" ht="26.5" x14ac:dyDescent="0.35">
      <c r="A72" s="201" t="s">
        <v>422</v>
      </c>
      <c r="B72" s="186"/>
      <c r="C72" s="201" t="s">
        <v>316</v>
      </c>
      <c r="D72" s="202" t="s">
        <v>411</v>
      </c>
      <c r="E72" s="209"/>
      <c r="F72" s="187">
        <v>1.05</v>
      </c>
      <c r="G72" s="187">
        <v>1.08</v>
      </c>
      <c r="H72" s="187">
        <v>2.13</v>
      </c>
      <c r="I72" s="187">
        <f>I73/I74</f>
        <v>1.0666666666666667</v>
      </c>
    </row>
    <row r="73" spans="1:9" ht="26.5" x14ac:dyDescent="0.35">
      <c r="A73" s="201"/>
      <c r="B73" s="186"/>
      <c r="C73" s="201"/>
      <c r="D73" s="202" t="s">
        <v>412</v>
      </c>
      <c r="E73" s="209"/>
      <c r="F73" s="204">
        <v>123</v>
      </c>
      <c r="G73" s="204">
        <v>117</v>
      </c>
      <c r="H73" s="204">
        <v>240</v>
      </c>
      <c r="I73" s="204">
        <v>240</v>
      </c>
    </row>
    <row r="74" spans="1:9" ht="39.5" x14ac:dyDescent="0.35">
      <c r="A74" s="201"/>
      <c r="B74" s="186"/>
      <c r="C74" s="201"/>
      <c r="D74" s="202" t="s">
        <v>413</v>
      </c>
      <c r="E74" s="209"/>
      <c r="F74" s="204">
        <v>117</v>
      </c>
      <c r="G74" s="204">
        <v>108</v>
      </c>
      <c r="H74" s="204">
        <v>113</v>
      </c>
      <c r="I74" s="204">
        <v>225</v>
      </c>
    </row>
    <row r="75" spans="1:9" ht="26.5" x14ac:dyDescent="0.35">
      <c r="A75" s="205"/>
      <c r="B75" s="189"/>
      <c r="C75" s="206" t="s">
        <v>280</v>
      </c>
      <c r="D75" s="207" t="s">
        <v>411</v>
      </c>
      <c r="E75" s="210"/>
      <c r="F75" s="187">
        <v>1.05</v>
      </c>
      <c r="G75" s="187">
        <v>1.08</v>
      </c>
      <c r="H75" s="187">
        <v>2.13</v>
      </c>
    </row>
    <row r="76" spans="1:9" ht="26.5" x14ac:dyDescent="0.35">
      <c r="A76" s="205"/>
      <c r="B76" s="189"/>
      <c r="C76" s="206"/>
      <c r="D76" s="207" t="s">
        <v>412</v>
      </c>
      <c r="E76" s="210"/>
      <c r="F76" s="208">
        <v>123</v>
      </c>
      <c r="G76" s="208">
        <v>117</v>
      </c>
      <c r="H76" s="208">
        <v>240</v>
      </c>
    </row>
    <row r="77" spans="1:9" ht="39.5" x14ac:dyDescent="0.35">
      <c r="A77" s="205"/>
      <c r="B77" s="189"/>
      <c r="C77" s="206"/>
      <c r="D77" s="207" t="s">
        <v>413</v>
      </c>
      <c r="E77" s="210"/>
      <c r="F77" s="208">
        <v>117</v>
      </c>
      <c r="G77" s="208">
        <v>108</v>
      </c>
      <c r="H77" s="208">
        <v>113</v>
      </c>
    </row>
    <row r="78" spans="1:9" ht="26.5" x14ac:dyDescent="0.35">
      <c r="A78" s="201" t="s">
        <v>423</v>
      </c>
      <c r="B78" s="186"/>
      <c r="C78" s="201" t="s">
        <v>333</v>
      </c>
      <c r="D78" s="202" t="s">
        <v>411</v>
      </c>
      <c r="E78" s="187">
        <v>0.78</v>
      </c>
      <c r="F78" s="187">
        <v>0.79</v>
      </c>
      <c r="G78" s="187">
        <v>1.21</v>
      </c>
      <c r="H78" s="187">
        <v>2.64</v>
      </c>
      <c r="I78" s="187">
        <f>I79/I80</f>
        <v>0.89972899728997291</v>
      </c>
    </row>
    <row r="79" spans="1:9" ht="26.5" x14ac:dyDescent="0.35">
      <c r="A79" s="201"/>
      <c r="B79" s="186"/>
      <c r="C79" s="201"/>
      <c r="D79" s="202" t="s">
        <v>412</v>
      </c>
      <c r="E79" s="204">
        <v>126</v>
      </c>
      <c r="F79" s="204">
        <v>86</v>
      </c>
      <c r="G79" s="204">
        <v>120</v>
      </c>
      <c r="H79" s="204">
        <v>331</v>
      </c>
      <c r="I79" s="204">
        <v>332</v>
      </c>
    </row>
    <row r="80" spans="1:9" ht="39.5" x14ac:dyDescent="0.35">
      <c r="A80" s="201"/>
      <c r="B80" s="186"/>
      <c r="C80" s="201"/>
      <c r="D80" s="202" t="s">
        <v>413</v>
      </c>
      <c r="E80" s="204">
        <v>162</v>
      </c>
      <c r="F80" s="204">
        <v>108</v>
      </c>
      <c r="G80" s="204">
        <v>99</v>
      </c>
      <c r="H80" s="204">
        <v>126</v>
      </c>
      <c r="I80" s="204">
        <v>369</v>
      </c>
    </row>
    <row r="81" spans="1:9" ht="26.5" x14ac:dyDescent="0.35">
      <c r="A81" s="205"/>
      <c r="B81" s="189"/>
      <c r="C81" s="206" t="s">
        <v>280</v>
      </c>
      <c r="D81" s="207" t="s">
        <v>411</v>
      </c>
      <c r="E81" s="187">
        <v>0.78</v>
      </c>
      <c r="F81" s="187">
        <v>0.79</v>
      </c>
      <c r="G81" s="187">
        <v>1.21</v>
      </c>
      <c r="H81" s="187">
        <v>2.64</v>
      </c>
    </row>
    <row r="82" spans="1:9" ht="26.5" x14ac:dyDescent="0.35">
      <c r="A82" s="205"/>
      <c r="B82" s="189"/>
      <c r="C82" s="206"/>
      <c r="D82" s="207" t="s">
        <v>412</v>
      </c>
      <c r="E82" s="208">
        <v>126</v>
      </c>
      <c r="F82" s="208">
        <v>86</v>
      </c>
      <c r="G82" s="208">
        <v>120</v>
      </c>
      <c r="H82" s="208">
        <v>331</v>
      </c>
    </row>
    <row r="83" spans="1:9" ht="39.5" x14ac:dyDescent="0.35">
      <c r="A83" s="205"/>
      <c r="B83" s="189"/>
      <c r="C83" s="206"/>
      <c r="D83" s="207" t="s">
        <v>413</v>
      </c>
      <c r="E83" s="208">
        <v>162</v>
      </c>
      <c r="F83" s="208">
        <v>108</v>
      </c>
      <c r="G83" s="208">
        <v>99</v>
      </c>
      <c r="H83" s="208">
        <v>126</v>
      </c>
    </row>
    <row r="84" spans="1:9" ht="26.5" x14ac:dyDescent="0.35">
      <c r="A84" s="201" t="s">
        <v>424</v>
      </c>
      <c r="B84" s="186"/>
      <c r="C84" s="201" t="s">
        <v>329</v>
      </c>
      <c r="D84" s="202" t="s">
        <v>411</v>
      </c>
      <c r="E84" s="187">
        <v>0.76</v>
      </c>
      <c r="F84" s="187">
        <v>0.9</v>
      </c>
      <c r="G84" s="187">
        <v>0.76</v>
      </c>
      <c r="H84" s="187">
        <v>2.29</v>
      </c>
      <c r="I84" s="187">
        <f>I85/I86</f>
        <v>0.79945799457994582</v>
      </c>
    </row>
    <row r="85" spans="1:9" ht="26.5" x14ac:dyDescent="0.35">
      <c r="A85" s="201"/>
      <c r="B85" s="186"/>
      <c r="C85" s="201"/>
      <c r="D85" s="202" t="s">
        <v>412</v>
      </c>
      <c r="E85" s="204">
        <v>123</v>
      </c>
      <c r="F85" s="204">
        <v>97</v>
      </c>
      <c r="G85" s="204">
        <v>75</v>
      </c>
      <c r="H85" s="204">
        <v>295</v>
      </c>
      <c r="I85" s="204">
        <v>295</v>
      </c>
    </row>
    <row r="86" spans="1:9" ht="39.5" x14ac:dyDescent="0.35">
      <c r="A86" s="201"/>
      <c r="B86" s="186"/>
      <c r="C86" s="201"/>
      <c r="D86" s="202" t="s">
        <v>413</v>
      </c>
      <c r="E86" s="204">
        <v>162</v>
      </c>
      <c r="F86" s="204">
        <v>108</v>
      </c>
      <c r="G86" s="204">
        <v>99</v>
      </c>
      <c r="H86" s="204">
        <v>129</v>
      </c>
      <c r="I86" s="204">
        <v>369</v>
      </c>
    </row>
  </sheetData>
  <mergeCells count="46">
    <mergeCell ref="A81:A83"/>
    <mergeCell ref="C81:C83"/>
    <mergeCell ref="A84:A86"/>
    <mergeCell ref="C84:C86"/>
    <mergeCell ref="A72:A74"/>
    <mergeCell ref="C72:C74"/>
    <mergeCell ref="A75:A77"/>
    <mergeCell ref="C75:C77"/>
    <mergeCell ref="A78:A80"/>
    <mergeCell ref="C78:C80"/>
    <mergeCell ref="A63:A65"/>
    <mergeCell ref="C63:C65"/>
    <mergeCell ref="A66:A68"/>
    <mergeCell ref="C66:C68"/>
    <mergeCell ref="A69:A71"/>
    <mergeCell ref="C69:C71"/>
    <mergeCell ref="A54:A56"/>
    <mergeCell ref="C54:C56"/>
    <mergeCell ref="A57:A59"/>
    <mergeCell ref="C57:C59"/>
    <mergeCell ref="A60:A62"/>
    <mergeCell ref="C60:C62"/>
    <mergeCell ref="A45:A47"/>
    <mergeCell ref="C45:C47"/>
    <mergeCell ref="A48:A50"/>
    <mergeCell ref="C48:C50"/>
    <mergeCell ref="A51:A53"/>
    <mergeCell ref="C51:C53"/>
    <mergeCell ref="A36:A38"/>
    <mergeCell ref="C36:C38"/>
    <mergeCell ref="A39:A41"/>
    <mergeCell ref="C39:C41"/>
    <mergeCell ref="A42:A44"/>
    <mergeCell ref="C42:C44"/>
    <mergeCell ref="A27:A29"/>
    <mergeCell ref="C27:C29"/>
    <mergeCell ref="A30:A32"/>
    <mergeCell ref="C30:C32"/>
    <mergeCell ref="A33:A35"/>
    <mergeCell ref="C33:C35"/>
    <mergeCell ref="A22:D22"/>
    <mergeCell ref="E22:G22"/>
    <mergeCell ref="H22:H23"/>
    <mergeCell ref="I22:I23"/>
    <mergeCell ref="A24:A26"/>
    <mergeCell ref="C24:C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7D2D-5250-436C-9A2A-975CECDD518D}">
  <dimension ref="A1:BW1120"/>
  <sheetViews>
    <sheetView tabSelected="1" workbookViewId="0">
      <selection activeCell="C3" sqref="C3"/>
    </sheetView>
  </sheetViews>
  <sheetFormatPr defaultColWidth="9.1796875" defaultRowHeight="12" x14ac:dyDescent="0.35"/>
  <cols>
    <col min="1" max="1" width="3" style="211" customWidth="1"/>
    <col min="2" max="2" width="2.81640625" style="211" bestFit="1" customWidth="1"/>
    <col min="3" max="3" width="20.81640625" style="211" bestFit="1" customWidth="1"/>
    <col min="4" max="4" width="33.54296875" style="211" bestFit="1" customWidth="1"/>
    <col min="5" max="6" width="15.26953125" style="211" bestFit="1" customWidth="1"/>
    <col min="7" max="7" width="8.81640625" style="211" bestFit="1" customWidth="1"/>
    <col min="8" max="8" width="8.81640625" style="211" customWidth="1"/>
    <col min="9" max="9" width="9.54296875" style="212" bestFit="1" customWidth="1"/>
    <col min="10" max="10" width="18" style="212" bestFit="1" customWidth="1"/>
    <col min="11" max="11" width="4.81640625" style="212" bestFit="1" customWidth="1"/>
    <col min="12" max="13" width="5.81640625" style="212" customWidth="1"/>
    <col min="14" max="14" width="18" style="212" bestFit="1" customWidth="1"/>
    <col min="15" max="15" width="4" style="212" bestFit="1" customWidth="1"/>
    <col min="16" max="16" width="4.81640625" style="211" bestFit="1" customWidth="1"/>
    <col min="17" max="19" width="9.1796875" style="211"/>
    <col min="20" max="20" width="38" style="211" bestFit="1" customWidth="1"/>
    <col min="21" max="21" width="9.26953125" style="211" bestFit="1" customWidth="1"/>
    <col min="22" max="22" width="18" style="211" bestFit="1" customWidth="1"/>
    <col min="23" max="23" width="15.26953125" style="211" bestFit="1" customWidth="1"/>
    <col min="24" max="24" width="16.453125" style="211" bestFit="1" customWidth="1"/>
    <col min="25" max="25" width="10.81640625" style="211" customWidth="1"/>
    <col min="26" max="26" width="3.26953125" style="211" customWidth="1"/>
    <col min="27" max="27" width="28.81640625" style="213" bestFit="1" customWidth="1"/>
    <col min="28" max="28" width="15.54296875" style="213" bestFit="1" customWidth="1"/>
    <col min="29" max="29" width="11.81640625" style="213" bestFit="1" customWidth="1"/>
    <col min="30" max="30" width="9.1796875" style="211"/>
    <col min="31" max="31" width="15.54296875" style="211" bestFit="1" customWidth="1"/>
    <col min="32" max="32" width="11.81640625" style="211" bestFit="1" customWidth="1"/>
    <col min="33" max="34" width="15.54296875" style="211" bestFit="1" customWidth="1"/>
    <col min="35" max="35" width="11" style="211" bestFit="1" customWidth="1"/>
    <col min="36" max="36" width="11.81640625" style="211" bestFit="1" customWidth="1"/>
    <col min="37" max="37" width="15.26953125" style="211" bestFit="1" customWidth="1"/>
    <col min="38" max="38" width="8.7265625" style="211" bestFit="1" customWidth="1"/>
    <col min="39" max="39" width="9.81640625" style="211" bestFit="1" customWidth="1"/>
    <col min="40" max="40" width="15.54296875" style="211" bestFit="1" customWidth="1"/>
    <col min="41" max="41" width="9.7265625" style="211" bestFit="1" customWidth="1"/>
    <col min="42" max="42" width="15.54296875" style="211" bestFit="1" customWidth="1"/>
    <col min="43" max="43" width="10" style="211" bestFit="1" customWidth="1"/>
    <col min="44" max="45" width="8.7265625" style="211" bestFit="1" customWidth="1"/>
    <col min="46" max="46" width="9.54296875" style="211" bestFit="1" customWidth="1"/>
    <col min="47" max="47" width="8.81640625" style="211" bestFit="1" customWidth="1"/>
    <col min="48" max="48" width="7.54296875" style="211" bestFit="1" customWidth="1"/>
    <col min="49" max="49" width="8" style="211" bestFit="1" customWidth="1"/>
    <col min="50" max="50" width="9.7265625" style="211" bestFit="1" customWidth="1"/>
    <col min="51" max="52" width="15.54296875" style="211" bestFit="1" customWidth="1"/>
    <col min="53" max="53" width="4.7265625" style="211" bestFit="1" customWidth="1"/>
    <col min="54" max="54" width="3" style="211" bestFit="1" customWidth="1"/>
    <col min="55" max="55" width="7.81640625" style="211" bestFit="1" customWidth="1"/>
    <col min="56" max="56" width="5" style="211" customWidth="1"/>
    <col min="57" max="59" width="2.81640625" style="211" bestFit="1" customWidth="1"/>
    <col min="60" max="60" width="3.1796875" style="211" customWidth="1"/>
    <col min="61" max="61" width="7.26953125" style="211" bestFit="1" customWidth="1"/>
    <col min="62" max="62" width="7.7265625" style="211" bestFit="1" customWidth="1"/>
    <col min="63" max="64" width="7.81640625" style="211" bestFit="1" customWidth="1"/>
    <col min="65" max="65" width="9.1796875" style="211"/>
    <col min="66" max="66" width="3" style="211" bestFit="1" customWidth="1"/>
    <col min="67" max="67" width="5.26953125" style="211" bestFit="1" customWidth="1"/>
    <col min="68" max="68" width="7.26953125" style="211" bestFit="1" customWidth="1"/>
    <col min="69" max="69" width="2.81640625" style="211" bestFit="1" customWidth="1"/>
    <col min="70" max="70" width="9.1796875" style="211"/>
    <col min="71" max="71" width="3.7265625" style="211" bestFit="1" customWidth="1"/>
    <col min="72" max="72" width="21.81640625" style="211" bestFit="1" customWidth="1"/>
    <col min="73" max="73" width="38" style="211" bestFit="1" customWidth="1"/>
    <col min="74" max="74" width="21.81640625" style="211" bestFit="1" customWidth="1"/>
    <col min="75" max="16384" width="9.1796875" style="211"/>
  </cols>
  <sheetData>
    <row r="1" spans="2:74" x14ac:dyDescent="0.35">
      <c r="C1" s="211" t="s">
        <v>425</v>
      </c>
      <c r="G1" s="211" t="s">
        <v>225</v>
      </c>
      <c r="I1" s="212" t="s">
        <v>426</v>
      </c>
      <c r="J1" s="212" t="s">
        <v>38</v>
      </c>
      <c r="K1" s="212" t="s">
        <v>0</v>
      </c>
      <c r="T1" s="211" t="s">
        <v>425</v>
      </c>
      <c r="BS1" s="212" t="s">
        <v>0</v>
      </c>
      <c r="BT1" s="211" t="s">
        <v>427</v>
      </c>
      <c r="BU1" s="211" t="s">
        <v>428</v>
      </c>
      <c r="BV1" s="211" t="s">
        <v>427</v>
      </c>
    </row>
    <row r="2" spans="2:74" x14ac:dyDescent="0.35">
      <c r="B2" s="211" t="s">
        <v>0</v>
      </c>
      <c r="C2" s="211" t="s">
        <v>427</v>
      </c>
      <c r="D2" s="211" t="s">
        <v>429</v>
      </c>
      <c r="E2" s="211" t="s">
        <v>2</v>
      </c>
      <c r="F2" s="211" t="s">
        <v>430</v>
      </c>
      <c r="G2" s="211" t="s">
        <v>426</v>
      </c>
      <c r="I2" s="212" t="s">
        <v>431</v>
      </c>
      <c r="J2" s="212" t="s">
        <v>56</v>
      </c>
      <c r="K2" s="212" t="s">
        <v>432</v>
      </c>
      <c r="N2" s="212" t="s">
        <v>37</v>
      </c>
      <c r="O2" s="212" t="s">
        <v>433</v>
      </c>
      <c r="P2" s="212"/>
      <c r="Q2" s="212"/>
      <c r="R2" s="212"/>
      <c r="S2" s="212"/>
      <c r="T2" s="211" t="s">
        <v>429</v>
      </c>
      <c r="U2" s="211" t="s">
        <v>426</v>
      </c>
      <c r="V2" s="211" t="s">
        <v>227</v>
      </c>
      <c r="W2" s="211" t="s">
        <v>2</v>
      </c>
      <c r="X2" s="211" t="s">
        <v>430</v>
      </c>
      <c r="AA2" s="213" t="s">
        <v>434</v>
      </c>
      <c r="AB2" s="213" t="s">
        <v>162</v>
      </c>
      <c r="AC2" s="211" t="s">
        <v>170</v>
      </c>
      <c r="AE2" s="212"/>
      <c r="AF2" s="212" t="s">
        <v>123</v>
      </c>
      <c r="AG2" s="212" t="s">
        <v>124</v>
      </c>
      <c r="AH2" s="212" t="s">
        <v>125</v>
      </c>
      <c r="AI2" s="212" t="s">
        <v>126</v>
      </c>
      <c r="AJ2" s="212"/>
      <c r="AK2" s="214" t="s">
        <v>148</v>
      </c>
      <c r="AL2" s="212" t="s">
        <v>123</v>
      </c>
      <c r="AM2" s="214" t="s">
        <v>149</v>
      </c>
      <c r="AN2" s="214" t="s">
        <v>150</v>
      </c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R2" s="212"/>
      <c r="BS2" s="212">
        <v>1</v>
      </c>
      <c r="BT2" s="212" t="s">
        <v>272</v>
      </c>
      <c r="BU2" s="211" t="s">
        <v>11</v>
      </c>
      <c r="BV2" s="212" t="s">
        <v>272</v>
      </c>
    </row>
    <row r="3" spans="2:74" x14ac:dyDescent="0.35">
      <c r="B3" s="211">
        <v>1</v>
      </c>
      <c r="C3" s="211" t="s">
        <v>272</v>
      </c>
      <c r="D3" s="211" t="s">
        <v>11</v>
      </c>
      <c r="E3" s="211" t="s">
        <v>435</v>
      </c>
      <c r="F3" s="211" t="s">
        <v>156</v>
      </c>
      <c r="G3" s="211" t="s">
        <v>436</v>
      </c>
      <c r="I3" s="212" t="s">
        <v>437</v>
      </c>
      <c r="J3" s="212" t="s">
        <v>56</v>
      </c>
      <c r="K3" s="212" t="s">
        <v>432</v>
      </c>
      <c r="N3" s="212" t="s">
        <v>52</v>
      </c>
      <c r="O3" s="212" t="s">
        <v>438</v>
      </c>
      <c r="P3" s="212" t="s">
        <v>439</v>
      </c>
      <c r="Q3" s="212"/>
      <c r="R3" s="212"/>
      <c r="S3" s="212"/>
      <c r="T3" s="211" t="s">
        <v>11</v>
      </c>
      <c r="U3" s="211" t="s">
        <v>436</v>
      </c>
      <c r="V3" s="215">
        <v>1</v>
      </c>
      <c r="W3" s="211" t="s">
        <v>435</v>
      </c>
      <c r="X3" s="211" t="s">
        <v>156</v>
      </c>
      <c r="AA3" s="213" t="s">
        <v>440</v>
      </c>
      <c r="AB3" s="213" t="s">
        <v>162</v>
      </c>
      <c r="AC3" s="211" t="s">
        <v>170</v>
      </c>
      <c r="AE3" s="214" t="s">
        <v>148</v>
      </c>
      <c r="AF3" s="214" t="s">
        <v>149</v>
      </c>
      <c r="AG3" s="214" t="s">
        <v>151</v>
      </c>
      <c r="AH3" s="214" t="s">
        <v>153</v>
      </c>
      <c r="AI3" s="214" t="s">
        <v>155</v>
      </c>
      <c r="AJ3" s="212"/>
      <c r="AK3" s="214" t="s">
        <v>148</v>
      </c>
      <c r="AL3" s="212" t="s">
        <v>124</v>
      </c>
      <c r="AM3" s="214" t="s">
        <v>151</v>
      </c>
      <c r="AN3" s="214" t="s">
        <v>152</v>
      </c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B3" s="212" t="s">
        <v>225</v>
      </c>
      <c r="BC3" s="216">
        <v>42736</v>
      </c>
      <c r="BD3" s="216"/>
      <c r="BE3" s="212">
        <v>1</v>
      </c>
      <c r="BF3" s="212">
        <v>-9</v>
      </c>
      <c r="BG3" s="212">
        <v>0</v>
      </c>
      <c r="BH3" s="212"/>
      <c r="BI3" s="212" t="s">
        <v>441</v>
      </c>
      <c r="BJ3" s="216">
        <v>42736</v>
      </c>
      <c r="BK3" s="216">
        <v>42767</v>
      </c>
      <c r="BL3" s="216">
        <v>42795</v>
      </c>
      <c r="BM3" s="212"/>
      <c r="BN3" s="212" t="s">
        <v>225</v>
      </c>
      <c r="BO3" s="216" t="s">
        <v>442</v>
      </c>
      <c r="BP3" s="212" t="s">
        <v>441</v>
      </c>
      <c r="BQ3" s="211">
        <v>1</v>
      </c>
      <c r="BR3" s="212"/>
      <c r="BS3" s="212">
        <v>2</v>
      </c>
      <c r="BT3" s="212" t="s">
        <v>276</v>
      </c>
      <c r="BU3" s="211" t="s">
        <v>443</v>
      </c>
      <c r="BV3" s="212" t="s">
        <v>276</v>
      </c>
    </row>
    <row r="4" spans="2:74" x14ac:dyDescent="0.35">
      <c r="B4" s="211">
        <v>2</v>
      </c>
      <c r="C4" s="211" t="s">
        <v>279</v>
      </c>
      <c r="D4" s="211" t="s">
        <v>14</v>
      </c>
      <c r="E4" s="211" t="s">
        <v>444</v>
      </c>
      <c r="F4" s="211" t="s">
        <v>148</v>
      </c>
      <c r="G4" s="211" t="s">
        <v>445</v>
      </c>
      <c r="I4" s="212" t="s">
        <v>446</v>
      </c>
      <c r="J4" s="212" t="s">
        <v>52</v>
      </c>
      <c r="K4" s="212" t="s">
        <v>439</v>
      </c>
      <c r="N4" s="212" t="s">
        <v>53</v>
      </c>
      <c r="O4" s="212" t="s">
        <v>447</v>
      </c>
      <c r="P4" s="212"/>
      <c r="Q4" s="212"/>
      <c r="R4" s="212"/>
      <c r="S4" s="212"/>
      <c r="T4" s="211" t="s">
        <v>448</v>
      </c>
      <c r="U4" s="211" t="s">
        <v>449</v>
      </c>
      <c r="V4" s="215">
        <v>1</v>
      </c>
      <c r="W4" s="211" t="s">
        <v>450</v>
      </c>
      <c r="X4" s="211" t="s">
        <v>148</v>
      </c>
      <c r="AC4" s="211" t="s">
        <v>226</v>
      </c>
      <c r="AE4" s="214" t="s">
        <v>148</v>
      </c>
      <c r="AF4" s="214" t="s">
        <v>150</v>
      </c>
      <c r="AG4" s="214" t="s">
        <v>152</v>
      </c>
      <c r="AH4" s="214" t="s">
        <v>154</v>
      </c>
      <c r="AI4" s="212"/>
      <c r="AJ4" s="212"/>
      <c r="AK4" s="214" t="s">
        <v>148</v>
      </c>
      <c r="AL4" s="212" t="s">
        <v>125</v>
      </c>
      <c r="AM4" s="214" t="s">
        <v>153</v>
      </c>
      <c r="AN4" s="214" t="s">
        <v>154</v>
      </c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 t="s">
        <v>225</v>
      </c>
      <c r="BC4" s="216">
        <v>42767</v>
      </c>
      <c r="BD4" s="216"/>
      <c r="BE4" s="212">
        <v>2</v>
      </c>
      <c r="BF4" s="212">
        <v>-6</v>
      </c>
      <c r="BG4" s="212">
        <v>3</v>
      </c>
      <c r="BH4" s="212"/>
      <c r="BI4" s="212" t="s">
        <v>451</v>
      </c>
      <c r="BJ4" s="216">
        <v>42826</v>
      </c>
      <c r="BK4" s="216">
        <v>42856</v>
      </c>
      <c r="BL4" s="216">
        <v>42887</v>
      </c>
      <c r="BM4" s="212"/>
      <c r="BN4" s="212" t="s">
        <v>232</v>
      </c>
      <c r="BO4" s="216" t="s">
        <v>442</v>
      </c>
      <c r="BP4" s="212" t="s">
        <v>451</v>
      </c>
      <c r="BQ4" s="211">
        <v>4</v>
      </c>
      <c r="BR4" s="212"/>
      <c r="BS4" s="212">
        <v>3</v>
      </c>
      <c r="BT4" s="212" t="s">
        <v>279</v>
      </c>
      <c r="BU4" s="211" t="s">
        <v>14</v>
      </c>
      <c r="BV4" s="212" t="s">
        <v>279</v>
      </c>
    </row>
    <row r="5" spans="2:74" x14ac:dyDescent="0.35">
      <c r="B5" s="211">
        <v>3</v>
      </c>
      <c r="C5" s="211" t="s">
        <v>285</v>
      </c>
      <c r="D5" s="211" t="s">
        <v>15</v>
      </c>
      <c r="E5" s="211" t="s">
        <v>444</v>
      </c>
      <c r="F5" s="211" t="s">
        <v>148</v>
      </c>
      <c r="G5" s="211" t="s">
        <v>446</v>
      </c>
      <c r="I5" s="212" t="s">
        <v>446</v>
      </c>
      <c r="J5" s="212" t="s">
        <v>95</v>
      </c>
      <c r="K5" s="212" t="s">
        <v>439</v>
      </c>
      <c r="N5" s="212" t="s">
        <v>56</v>
      </c>
      <c r="O5" s="212" t="s">
        <v>432</v>
      </c>
      <c r="P5" s="212"/>
      <c r="Q5" s="212"/>
      <c r="R5" s="212"/>
      <c r="S5" s="212"/>
      <c r="T5" s="211" t="s">
        <v>443</v>
      </c>
      <c r="U5" s="211" t="s">
        <v>449</v>
      </c>
      <c r="V5" s="215">
        <v>1</v>
      </c>
      <c r="W5" s="211" t="s">
        <v>444</v>
      </c>
      <c r="X5" s="211" t="s">
        <v>164</v>
      </c>
      <c r="AA5" s="213" t="s">
        <v>452</v>
      </c>
      <c r="AB5" s="213" t="s">
        <v>162</v>
      </c>
      <c r="AC5" s="211" t="s">
        <v>170</v>
      </c>
      <c r="AE5" s="214"/>
      <c r="AF5" s="214"/>
      <c r="AG5" s="214"/>
      <c r="AH5" s="214"/>
      <c r="AI5" s="212"/>
      <c r="AJ5" s="212"/>
      <c r="AK5" s="214" t="s">
        <v>148</v>
      </c>
      <c r="AL5" s="212" t="s">
        <v>126</v>
      </c>
      <c r="AM5" s="214" t="s">
        <v>155</v>
      </c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 t="s">
        <v>225</v>
      </c>
      <c r="BC5" s="216">
        <v>42795</v>
      </c>
      <c r="BD5" s="216"/>
      <c r="BE5" s="212">
        <v>3</v>
      </c>
      <c r="BF5" s="212">
        <v>-3</v>
      </c>
      <c r="BG5" s="212">
        <v>6</v>
      </c>
      <c r="BH5" s="212"/>
      <c r="BI5" s="212" t="s">
        <v>453</v>
      </c>
      <c r="BJ5" s="216">
        <v>42917</v>
      </c>
      <c r="BK5" s="216">
        <v>42948</v>
      </c>
      <c r="BL5" s="216">
        <v>42979</v>
      </c>
      <c r="BM5" s="212"/>
      <c r="BN5" s="212" t="s">
        <v>235</v>
      </c>
      <c r="BO5" s="216" t="s">
        <v>442</v>
      </c>
      <c r="BP5" s="212" t="s">
        <v>453</v>
      </c>
      <c r="BQ5" s="211">
        <v>7</v>
      </c>
      <c r="BR5" s="212"/>
      <c r="BS5" s="212">
        <v>4</v>
      </c>
      <c r="BT5" s="212" t="s">
        <v>281</v>
      </c>
      <c r="BU5" s="211" t="s">
        <v>448</v>
      </c>
      <c r="BV5" s="212" t="s">
        <v>281</v>
      </c>
    </row>
    <row r="6" spans="2:74" x14ac:dyDescent="0.35">
      <c r="B6" s="211">
        <v>4</v>
      </c>
      <c r="C6" s="211" t="s">
        <v>298</v>
      </c>
      <c r="D6" s="211" t="s">
        <v>16</v>
      </c>
      <c r="E6" s="211" t="s">
        <v>444</v>
      </c>
      <c r="F6" s="211" t="s">
        <v>148</v>
      </c>
      <c r="G6" s="211" t="s">
        <v>454</v>
      </c>
      <c r="I6" s="212" t="s">
        <v>445</v>
      </c>
      <c r="J6" s="212" t="s">
        <v>37</v>
      </c>
      <c r="K6" s="212" t="s">
        <v>433</v>
      </c>
      <c r="N6" s="212" t="s">
        <v>66</v>
      </c>
      <c r="O6" s="212" t="s">
        <v>455</v>
      </c>
      <c r="P6" s="212"/>
      <c r="Q6" s="212"/>
      <c r="R6" s="212"/>
      <c r="S6" s="212"/>
      <c r="T6" s="211" t="s">
        <v>15</v>
      </c>
      <c r="U6" s="211" t="s">
        <v>446</v>
      </c>
      <c r="V6" s="215">
        <v>1</v>
      </c>
      <c r="W6" s="211" t="s">
        <v>444</v>
      </c>
      <c r="X6" s="211" t="s">
        <v>148</v>
      </c>
      <c r="AA6" s="213" t="s">
        <v>456</v>
      </c>
      <c r="AB6" s="213" t="s">
        <v>162</v>
      </c>
      <c r="AC6" s="211" t="s">
        <v>170</v>
      </c>
      <c r="AE6" s="214" t="s">
        <v>156</v>
      </c>
      <c r="AF6" s="214" t="s">
        <v>157</v>
      </c>
      <c r="AG6" s="214" t="s">
        <v>159</v>
      </c>
      <c r="AH6" s="214" t="s">
        <v>159</v>
      </c>
      <c r="AI6" s="214" t="s">
        <v>151</v>
      </c>
      <c r="AJ6" s="212"/>
      <c r="AK6" s="214" t="s">
        <v>148</v>
      </c>
      <c r="AL6" s="212" t="s">
        <v>457</v>
      </c>
      <c r="AM6" s="214" t="s">
        <v>149</v>
      </c>
      <c r="AN6" s="214" t="s">
        <v>150</v>
      </c>
      <c r="AO6" s="214" t="s">
        <v>151</v>
      </c>
      <c r="AP6" s="214" t="s">
        <v>152</v>
      </c>
      <c r="AQ6" s="214" t="s">
        <v>153</v>
      </c>
      <c r="AR6" s="214" t="s">
        <v>154</v>
      </c>
      <c r="AS6" s="214" t="s">
        <v>155</v>
      </c>
      <c r="AT6" s="214"/>
      <c r="AU6" s="214"/>
      <c r="AV6" s="214"/>
      <c r="AW6" s="214"/>
      <c r="AX6" s="214"/>
      <c r="AY6" s="214"/>
      <c r="AZ6" s="212"/>
      <c r="BA6" s="212" t="s">
        <v>458</v>
      </c>
      <c r="BB6" s="212" t="s">
        <v>232</v>
      </c>
      <c r="BC6" s="216">
        <v>42826</v>
      </c>
      <c r="BD6" s="216"/>
      <c r="BE6" s="212">
        <v>4</v>
      </c>
      <c r="BF6" s="212">
        <v>0</v>
      </c>
      <c r="BG6" s="212">
        <v>12</v>
      </c>
      <c r="BH6" s="212"/>
      <c r="BI6" s="212" t="s">
        <v>459</v>
      </c>
      <c r="BJ6" s="216">
        <v>43009</v>
      </c>
      <c r="BK6" s="216">
        <v>43040</v>
      </c>
      <c r="BL6" s="216">
        <v>43070</v>
      </c>
      <c r="BM6" s="212"/>
      <c r="BN6" s="212" t="s">
        <v>236</v>
      </c>
      <c r="BO6" s="216" t="s">
        <v>442</v>
      </c>
      <c r="BP6" s="212" t="s">
        <v>459</v>
      </c>
      <c r="BQ6" s="211">
        <v>10</v>
      </c>
      <c r="BR6" s="212"/>
      <c r="BS6" s="212">
        <v>5</v>
      </c>
      <c r="BT6" s="212" t="s">
        <v>285</v>
      </c>
      <c r="BU6" s="211" t="s">
        <v>15</v>
      </c>
      <c r="BV6" s="212" t="s">
        <v>285</v>
      </c>
    </row>
    <row r="7" spans="2:74" x14ac:dyDescent="0.35">
      <c r="B7" s="211">
        <v>5</v>
      </c>
      <c r="C7" s="211" t="s">
        <v>337</v>
      </c>
      <c r="D7" s="211" t="s">
        <v>17</v>
      </c>
      <c r="E7" s="211" t="s">
        <v>435</v>
      </c>
      <c r="F7" s="211" t="s">
        <v>164</v>
      </c>
      <c r="G7" s="211" t="s">
        <v>445</v>
      </c>
      <c r="I7" s="212" t="s">
        <v>460</v>
      </c>
      <c r="J7" s="212" t="s">
        <v>56</v>
      </c>
      <c r="K7" s="212" t="s">
        <v>432</v>
      </c>
      <c r="N7" s="212" t="s">
        <v>81</v>
      </c>
      <c r="O7" s="212" t="s">
        <v>461</v>
      </c>
      <c r="P7" s="212"/>
      <c r="Q7" s="212"/>
      <c r="R7" s="212"/>
      <c r="S7" s="212"/>
      <c r="T7" s="211" t="s">
        <v>16</v>
      </c>
      <c r="U7" s="211" t="s">
        <v>454</v>
      </c>
      <c r="V7" s="215">
        <v>1</v>
      </c>
      <c r="W7" s="211" t="s">
        <v>444</v>
      </c>
      <c r="X7" s="211" t="s">
        <v>148</v>
      </c>
      <c r="AA7" s="213" t="s">
        <v>462</v>
      </c>
      <c r="AB7" s="213" t="s">
        <v>162</v>
      </c>
      <c r="AC7" s="211" t="s">
        <v>170</v>
      </c>
      <c r="AE7" s="214" t="s">
        <v>156</v>
      </c>
      <c r="AF7" s="214" t="s">
        <v>158</v>
      </c>
      <c r="AG7" s="214" t="s">
        <v>160</v>
      </c>
      <c r="AH7" s="214" t="s">
        <v>160</v>
      </c>
      <c r="AI7" s="212"/>
      <c r="AJ7" s="212"/>
      <c r="AK7" s="214" t="s">
        <v>156</v>
      </c>
      <c r="AL7" s="212" t="s">
        <v>123</v>
      </c>
      <c r="AM7" s="214" t="s">
        <v>157</v>
      </c>
      <c r="AN7" s="214" t="s">
        <v>158</v>
      </c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 t="s">
        <v>232</v>
      </c>
      <c r="BC7" s="216">
        <v>42856</v>
      </c>
      <c r="BD7" s="216"/>
      <c r="BE7" s="212">
        <v>5</v>
      </c>
      <c r="BF7" s="212">
        <v>3</v>
      </c>
      <c r="BG7" s="212">
        <v>15</v>
      </c>
      <c r="BH7" s="212"/>
      <c r="BI7" s="212" t="s">
        <v>463</v>
      </c>
      <c r="BJ7" s="216">
        <v>43101</v>
      </c>
      <c r="BK7" s="216">
        <v>43132</v>
      </c>
      <c r="BL7" s="216">
        <v>43160</v>
      </c>
      <c r="BM7" s="212"/>
      <c r="BN7" s="212" t="s">
        <v>225</v>
      </c>
      <c r="BO7" s="216" t="s">
        <v>464</v>
      </c>
      <c r="BP7" s="212" t="s">
        <v>463</v>
      </c>
      <c r="BR7" s="212"/>
      <c r="BS7" s="212">
        <v>6</v>
      </c>
      <c r="BT7" s="212" t="s">
        <v>298</v>
      </c>
      <c r="BU7" s="211" t="s">
        <v>16</v>
      </c>
      <c r="BV7" s="212" t="s">
        <v>298</v>
      </c>
    </row>
    <row r="8" spans="2:74" x14ac:dyDescent="0.35">
      <c r="B8" s="211">
        <v>6</v>
      </c>
      <c r="C8" s="211" t="s">
        <v>288</v>
      </c>
      <c r="D8" s="211" t="s">
        <v>18</v>
      </c>
      <c r="E8" s="211" t="s">
        <v>444</v>
      </c>
      <c r="F8" s="211" t="s">
        <v>148</v>
      </c>
      <c r="G8" s="211" t="s">
        <v>431</v>
      </c>
      <c r="I8" s="212" t="s">
        <v>465</v>
      </c>
      <c r="J8" s="212" t="s">
        <v>91</v>
      </c>
      <c r="K8" s="212" t="s">
        <v>466</v>
      </c>
      <c r="N8" s="212" t="s">
        <v>102</v>
      </c>
      <c r="O8" s="212" t="s">
        <v>467</v>
      </c>
      <c r="P8" s="212"/>
      <c r="Q8" s="212"/>
      <c r="R8" s="212"/>
      <c r="S8" s="212"/>
      <c r="T8" s="211" t="s">
        <v>17</v>
      </c>
      <c r="U8" s="211" t="s">
        <v>445</v>
      </c>
      <c r="V8" s="215">
        <v>1</v>
      </c>
      <c r="W8" s="211" t="s">
        <v>435</v>
      </c>
      <c r="X8" s="211" t="s">
        <v>164</v>
      </c>
      <c r="AA8" s="213" t="s">
        <v>468</v>
      </c>
      <c r="AC8" s="211" t="s">
        <v>226</v>
      </c>
      <c r="AE8" s="214" t="s">
        <v>156</v>
      </c>
      <c r="AF8" s="212"/>
      <c r="AG8" s="214" t="s">
        <v>161</v>
      </c>
      <c r="AH8" s="214" t="s">
        <v>161</v>
      </c>
      <c r="AI8" s="212"/>
      <c r="AJ8" s="212"/>
      <c r="AK8" s="214" t="s">
        <v>156</v>
      </c>
      <c r="AL8" s="212" t="s">
        <v>124</v>
      </c>
      <c r="AM8" s="214" t="s">
        <v>159</v>
      </c>
      <c r="AN8" s="214" t="s">
        <v>160</v>
      </c>
      <c r="AO8" s="214" t="s">
        <v>161</v>
      </c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 t="s">
        <v>232</v>
      </c>
      <c r="BC8" s="216">
        <v>42887</v>
      </c>
      <c r="BD8" s="216"/>
      <c r="BE8" s="212">
        <v>6</v>
      </c>
      <c r="BF8" s="212">
        <v>6</v>
      </c>
      <c r="BG8" s="212">
        <v>18</v>
      </c>
      <c r="BH8" s="212"/>
      <c r="BI8" s="212" t="s">
        <v>469</v>
      </c>
      <c r="BJ8" s="216">
        <v>43191</v>
      </c>
      <c r="BK8" s="216">
        <v>43221</v>
      </c>
      <c r="BL8" s="216">
        <v>43252</v>
      </c>
      <c r="BM8" s="212"/>
      <c r="BN8" s="212" t="s">
        <v>232</v>
      </c>
      <c r="BO8" s="216" t="s">
        <v>464</v>
      </c>
      <c r="BP8" s="212" t="s">
        <v>469</v>
      </c>
      <c r="BR8" s="212"/>
      <c r="BS8" s="212">
        <v>7</v>
      </c>
      <c r="BT8" s="212" t="s">
        <v>337</v>
      </c>
      <c r="BU8" s="211" t="s">
        <v>17</v>
      </c>
      <c r="BV8" s="212" t="s">
        <v>337</v>
      </c>
    </row>
    <row r="9" spans="2:74" x14ac:dyDescent="0.35">
      <c r="B9" s="211">
        <v>7</v>
      </c>
      <c r="C9" s="211" t="s">
        <v>291</v>
      </c>
      <c r="D9" s="211" t="s">
        <v>19</v>
      </c>
      <c r="E9" s="211" t="s">
        <v>470</v>
      </c>
      <c r="F9" s="211" t="s">
        <v>156</v>
      </c>
      <c r="G9" s="211" t="s">
        <v>471</v>
      </c>
      <c r="I9" s="212" t="s">
        <v>472</v>
      </c>
      <c r="J9" s="212" t="s">
        <v>37</v>
      </c>
      <c r="K9" s="212" t="s">
        <v>433</v>
      </c>
      <c r="N9" s="212" t="s">
        <v>91</v>
      </c>
      <c r="O9" s="212" t="s">
        <v>466</v>
      </c>
      <c r="P9" s="212"/>
      <c r="Q9" s="212"/>
      <c r="R9" s="212"/>
      <c r="S9" s="212"/>
      <c r="T9" s="211" t="s">
        <v>18</v>
      </c>
      <c r="U9" s="211" t="s">
        <v>431</v>
      </c>
      <c r="V9" s="215">
        <v>1</v>
      </c>
      <c r="W9" s="211" t="s">
        <v>444</v>
      </c>
      <c r="X9" s="211" t="s">
        <v>148</v>
      </c>
      <c r="AC9" s="211" t="s">
        <v>226</v>
      </c>
      <c r="AE9" s="214" t="s">
        <v>163</v>
      </c>
      <c r="AF9" s="214" t="s">
        <v>149</v>
      </c>
      <c r="AG9" s="214" t="s">
        <v>159</v>
      </c>
      <c r="AH9" s="214" t="s">
        <v>151</v>
      </c>
      <c r="AI9" s="214" t="s">
        <v>162</v>
      </c>
      <c r="AJ9" s="212"/>
      <c r="AK9" s="214" t="s">
        <v>156</v>
      </c>
      <c r="AL9" s="212" t="s">
        <v>125</v>
      </c>
      <c r="AM9" s="214" t="s">
        <v>151</v>
      </c>
      <c r="AN9" s="214"/>
      <c r="AO9" s="214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 t="s">
        <v>473</v>
      </c>
      <c r="BB9" s="212" t="s">
        <v>235</v>
      </c>
      <c r="BC9" s="216">
        <v>42917</v>
      </c>
      <c r="BD9" s="216"/>
      <c r="BE9" s="212">
        <v>7</v>
      </c>
      <c r="BF9" s="212">
        <v>9</v>
      </c>
      <c r="BG9" s="212">
        <v>24</v>
      </c>
      <c r="BH9" s="212"/>
      <c r="BI9" s="212" t="s">
        <v>474</v>
      </c>
      <c r="BJ9" s="216">
        <v>43282</v>
      </c>
      <c r="BK9" s="216">
        <v>43313</v>
      </c>
      <c r="BL9" s="216">
        <v>43344</v>
      </c>
      <c r="BM9" s="212"/>
      <c r="BN9" s="212" t="s">
        <v>235</v>
      </c>
      <c r="BO9" s="216" t="s">
        <v>464</v>
      </c>
      <c r="BP9" s="212" t="s">
        <v>474</v>
      </c>
      <c r="BR9" s="217"/>
      <c r="BS9" s="212">
        <v>8</v>
      </c>
      <c r="BT9" s="212" t="s">
        <v>288</v>
      </c>
      <c r="BU9" s="211" t="s">
        <v>18</v>
      </c>
      <c r="BV9" s="212" t="s">
        <v>288</v>
      </c>
    </row>
    <row r="10" spans="2:74" x14ac:dyDescent="0.35">
      <c r="B10" s="211">
        <v>8</v>
      </c>
      <c r="C10" s="211" t="s">
        <v>287</v>
      </c>
      <c r="D10" s="218" t="s">
        <v>20</v>
      </c>
      <c r="E10" s="211" t="s">
        <v>450</v>
      </c>
      <c r="F10" s="211" t="s">
        <v>166</v>
      </c>
      <c r="G10" s="211" t="s">
        <v>445</v>
      </c>
      <c r="I10" s="212" t="s">
        <v>436</v>
      </c>
      <c r="J10" s="212" t="s">
        <v>81</v>
      </c>
      <c r="K10" s="212" t="s">
        <v>461</v>
      </c>
      <c r="N10" s="212" t="s">
        <v>95</v>
      </c>
      <c r="O10" s="212" t="s">
        <v>455</v>
      </c>
      <c r="P10" s="212"/>
      <c r="Q10" s="212"/>
      <c r="R10" s="212"/>
      <c r="S10" s="212"/>
      <c r="T10" s="211" t="s">
        <v>19</v>
      </c>
      <c r="U10" s="211" t="s">
        <v>471</v>
      </c>
      <c r="V10" s="215">
        <v>1</v>
      </c>
      <c r="W10" s="211" t="s">
        <v>470</v>
      </c>
      <c r="X10" s="211" t="s">
        <v>156</v>
      </c>
      <c r="AA10" s="213" t="s">
        <v>475</v>
      </c>
      <c r="AC10" s="211" t="s">
        <v>226</v>
      </c>
      <c r="AE10" s="214"/>
      <c r="AF10" s="214"/>
      <c r="AG10" s="214"/>
      <c r="AH10" s="214"/>
      <c r="AI10" s="214"/>
      <c r="AJ10" s="212"/>
      <c r="AK10" s="214" t="s">
        <v>156</v>
      </c>
      <c r="AL10" s="212" t="s">
        <v>126</v>
      </c>
      <c r="AM10" s="214" t="s">
        <v>162</v>
      </c>
      <c r="AN10" s="214" t="s">
        <v>149</v>
      </c>
      <c r="AO10" s="214" t="s">
        <v>150</v>
      </c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 t="s">
        <v>235</v>
      </c>
      <c r="BC10" s="216">
        <v>42948</v>
      </c>
      <c r="BD10" s="216"/>
      <c r="BE10" s="212">
        <v>8</v>
      </c>
      <c r="BF10" s="212">
        <v>12</v>
      </c>
      <c r="BG10" s="212">
        <v>27</v>
      </c>
      <c r="BH10" s="212"/>
      <c r="BI10" s="212" t="s">
        <v>476</v>
      </c>
      <c r="BJ10" s="216">
        <v>43374</v>
      </c>
      <c r="BK10" s="216">
        <v>43405</v>
      </c>
      <c r="BL10" s="216">
        <v>43435</v>
      </c>
      <c r="BM10" s="212"/>
      <c r="BN10" s="212" t="s">
        <v>236</v>
      </c>
      <c r="BO10" s="216" t="s">
        <v>464</v>
      </c>
      <c r="BP10" s="212" t="s">
        <v>476</v>
      </c>
      <c r="BR10" s="212"/>
      <c r="BS10" s="212">
        <v>9</v>
      </c>
      <c r="BT10" s="212" t="s">
        <v>291</v>
      </c>
      <c r="BU10" s="211" t="s">
        <v>19</v>
      </c>
      <c r="BV10" s="212" t="s">
        <v>291</v>
      </c>
    </row>
    <row r="11" spans="2:74" x14ac:dyDescent="0.35">
      <c r="B11" s="211">
        <v>9</v>
      </c>
      <c r="C11" s="211" t="s">
        <v>294</v>
      </c>
      <c r="D11" s="211" t="s">
        <v>22</v>
      </c>
      <c r="E11" s="211" t="s">
        <v>444</v>
      </c>
      <c r="F11" s="211" t="s">
        <v>163</v>
      </c>
      <c r="G11" s="211" t="s">
        <v>446</v>
      </c>
      <c r="I11" s="212" t="s">
        <v>471</v>
      </c>
      <c r="J11" s="212" t="s">
        <v>91</v>
      </c>
      <c r="K11" s="212" t="s">
        <v>466</v>
      </c>
      <c r="N11" s="212" t="s">
        <v>96</v>
      </c>
      <c r="P11" s="212" t="s">
        <v>439</v>
      </c>
      <c r="Q11" s="212"/>
      <c r="R11" s="212"/>
      <c r="S11" s="212"/>
      <c r="T11" s="211" t="s">
        <v>20</v>
      </c>
      <c r="U11" s="211" t="s">
        <v>445</v>
      </c>
      <c r="V11" s="215">
        <v>1</v>
      </c>
      <c r="W11" s="211" t="s">
        <v>450</v>
      </c>
      <c r="X11" s="211" t="s">
        <v>166</v>
      </c>
      <c r="AA11" s="213" t="s">
        <v>477</v>
      </c>
      <c r="AC11" s="211" t="s">
        <v>226</v>
      </c>
      <c r="AE11" s="214" t="s">
        <v>163</v>
      </c>
      <c r="AF11" s="214" t="s">
        <v>150</v>
      </c>
      <c r="AG11" s="214" t="s">
        <v>160</v>
      </c>
      <c r="AH11" s="212"/>
      <c r="AI11" s="212"/>
      <c r="AJ11" s="212"/>
      <c r="AK11" s="214" t="s">
        <v>156</v>
      </c>
      <c r="AL11" s="212" t="s">
        <v>457</v>
      </c>
      <c r="AM11" s="214" t="s">
        <v>157</v>
      </c>
      <c r="AN11" s="214" t="s">
        <v>158</v>
      </c>
      <c r="AO11" s="214" t="s">
        <v>159</v>
      </c>
      <c r="AP11" s="214" t="s">
        <v>160</v>
      </c>
      <c r="AQ11" s="214" t="s">
        <v>161</v>
      </c>
      <c r="AR11" s="214" t="s">
        <v>151</v>
      </c>
      <c r="AS11" s="214" t="s">
        <v>162</v>
      </c>
      <c r="AT11" s="214" t="s">
        <v>149</v>
      </c>
      <c r="AU11" s="214" t="s">
        <v>150</v>
      </c>
      <c r="AV11" s="214"/>
      <c r="AW11" s="214"/>
      <c r="AX11" s="214"/>
      <c r="AY11" s="214"/>
      <c r="AZ11" s="214"/>
      <c r="BA11" s="212"/>
      <c r="BB11" s="212" t="s">
        <v>235</v>
      </c>
      <c r="BC11" s="216">
        <v>42979</v>
      </c>
      <c r="BD11" s="216"/>
      <c r="BE11" s="212">
        <v>9</v>
      </c>
      <c r="BF11" s="212">
        <v>15</v>
      </c>
      <c r="BG11" s="212">
        <v>30</v>
      </c>
      <c r="BH11" s="212"/>
      <c r="BI11" s="212" t="s">
        <v>478</v>
      </c>
      <c r="BJ11" s="216">
        <v>43466</v>
      </c>
      <c r="BK11" s="216">
        <v>43497</v>
      </c>
      <c r="BL11" s="216">
        <v>43525</v>
      </c>
      <c r="BM11" s="212"/>
      <c r="BN11" s="212" t="s">
        <v>225</v>
      </c>
      <c r="BO11" s="216" t="s">
        <v>479</v>
      </c>
      <c r="BP11" s="212" t="s">
        <v>478</v>
      </c>
      <c r="BR11" s="212"/>
      <c r="BS11" s="212">
        <v>10</v>
      </c>
      <c r="BT11" s="212" t="s">
        <v>287</v>
      </c>
      <c r="BU11" s="211" t="s">
        <v>20</v>
      </c>
      <c r="BV11" s="212" t="s">
        <v>287</v>
      </c>
    </row>
    <row r="12" spans="2:74" x14ac:dyDescent="0.35">
      <c r="B12" s="211">
        <v>10</v>
      </c>
      <c r="C12" s="211" t="s">
        <v>297</v>
      </c>
      <c r="D12" s="211" t="s">
        <v>23</v>
      </c>
      <c r="E12" s="211" t="s">
        <v>444</v>
      </c>
      <c r="F12" s="211" t="s">
        <v>156</v>
      </c>
      <c r="G12" s="211" t="s">
        <v>480</v>
      </c>
      <c r="I12" s="212" t="s">
        <v>481</v>
      </c>
      <c r="J12" s="212" t="s">
        <v>81</v>
      </c>
      <c r="K12" s="212" t="s">
        <v>461</v>
      </c>
      <c r="P12" s="212"/>
      <c r="Q12" s="212"/>
      <c r="R12" s="212"/>
      <c r="S12" s="212"/>
      <c r="T12" s="211" t="s">
        <v>22</v>
      </c>
      <c r="U12" s="211" t="s">
        <v>446</v>
      </c>
      <c r="V12" s="215">
        <v>1</v>
      </c>
      <c r="W12" s="211" t="s">
        <v>444</v>
      </c>
      <c r="X12" s="211" t="s">
        <v>163</v>
      </c>
      <c r="AA12" s="213" t="s">
        <v>482</v>
      </c>
      <c r="AC12" s="211" t="s">
        <v>226</v>
      </c>
      <c r="AE12" s="214" t="s">
        <v>163</v>
      </c>
      <c r="AF12" s="212"/>
      <c r="AG12" s="214" t="s">
        <v>161</v>
      </c>
      <c r="AH12" s="212"/>
      <c r="AI12" s="212"/>
      <c r="AJ12" s="212"/>
      <c r="AK12" s="214" t="s">
        <v>163</v>
      </c>
      <c r="AL12" s="212" t="s">
        <v>123</v>
      </c>
      <c r="AM12" s="214" t="s">
        <v>149</v>
      </c>
      <c r="AN12" s="214" t="s">
        <v>150</v>
      </c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  <c r="AY12" s="212"/>
      <c r="AZ12" s="212"/>
      <c r="BA12" s="212" t="s">
        <v>483</v>
      </c>
      <c r="BB12" s="212" t="s">
        <v>236</v>
      </c>
      <c r="BC12" s="216">
        <v>43009</v>
      </c>
      <c r="BD12" s="216"/>
      <c r="BE12" s="212">
        <v>10</v>
      </c>
      <c r="BF12" s="212">
        <v>18</v>
      </c>
      <c r="BG12" s="212">
        <v>36</v>
      </c>
      <c r="BH12" s="212"/>
      <c r="BI12" s="212" t="s">
        <v>484</v>
      </c>
      <c r="BJ12" s="216">
        <v>43556</v>
      </c>
      <c r="BK12" s="216">
        <v>43586</v>
      </c>
      <c r="BL12" s="216">
        <v>43617</v>
      </c>
      <c r="BM12" s="212"/>
      <c r="BN12" s="212" t="s">
        <v>232</v>
      </c>
      <c r="BO12" s="216" t="s">
        <v>479</v>
      </c>
      <c r="BP12" s="212" t="s">
        <v>484</v>
      </c>
      <c r="BR12" s="212"/>
      <c r="BS12" s="212">
        <v>11</v>
      </c>
      <c r="BT12" s="212" t="s">
        <v>294</v>
      </c>
      <c r="BU12" s="211" t="s">
        <v>22</v>
      </c>
      <c r="BV12" s="212" t="s">
        <v>294</v>
      </c>
    </row>
    <row r="13" spans="2:74" x14ac:dyDescent="0.35">
      <c r="B13" s="211">
        <v>11</v>
      </c>
      <c r="C13" s="211" t="s">
        <v>284</v>
      </c>
      <c r="D13" s="218" t="s">
        <v>24</v>
      </c>
      <c r="E13" s="211" t="s">
        <v>444</v>
      </c>
      <c r="F13" s="211" t="s">
        <v>163</v>
      </c>
      <c r="G13" s="211" t="s">
        <v>485</v>
      </c>
      <c r="I13" s="212" t="s">
        <v>454</v>
      </c>
      <c r="J13" s="212" t="s">
        <v>66</v>
      </c>
      <c r="K13" s="212" t="s">
        <v>455</v>
      </c>
      <c r="P13" s="212"/>
      <c r="Q13" s="212"/>
      <c r="R13" s="212"/>
      <c r="S13" s="212"/>
      <c r="T13" s="211" t="s">
        <v>23</v>
      </c>
      <c r="U13" s="211" t="s">
        <v>480</v>
      </c>
      <c r="V13" s="215">
        <v>1</v>
      </c>
      <c r="W13" s="211" t="s">
        <v>444</v>
      </c>
      <c r="X13" s="211" t="s">
        <v>156</v>
      </c>
      <c r="AA13" s="213" t="s">
        <v>486</v>
      </c>
      <c r="AC13" s="211" t="s">
        <v>226</v>
      </c>
      <c r="AE13" s="214" t="s">
        <v>164</v>
      </c>
      <c r="AF13" s="214" t="s">
        <v>157</v>
      </c>
      <c r="AG13" s="214" t="s">
        <v>158</v>
      </c>
      <c r="AH13" s="214" t="s">
        <v>150</v>
      </c>
      <c r="AI13" s="214" t="s">
        <v>149</v>
      </c>
      <c r="AJ13" s="212"/>
      <c r="AK13" s="214" t="s">
        <v>163</v>
      </c>
      <c r="AL13" s="212" t="s">
        <v>124</v>
      </c>
      <c r="AM13" s="214" t="s">
        <v>159</v>
      </c>
      <c r="AN13" s="214" t="s">
        <v>160</v>
      </c>
      <c r="AO13" s="214" t="s">
        <v>161</v>
      </c>
      <c r="AP13" s="214"/>
      <c r="AQ13" s="214"/>
      <c r="AR13" s="214"/>
      <c r="AS13" s="214"/>
      <c r="AT13" s="214"/>
      <c r="AU13" s="214"/>
      <c r="AV13" s="214"/>
      <c r="AW13" s="214"/>
      <c r="AX13" s="214"/>
      <c r="AY13" s="214"/>
      <c r="AZ13" s="214"/>
      <c r="BA13" s="212"/>
      <c r="BB13" s="212" t="s">
        <v>236</v>
      </c>
      <c r="BC13" s="216">
        <v>43040</v>
      </c>
      <c r="BD13" s="216"/>
      <c r="BE13" s="212">
        <v>11</v>
      </c>
      <c r="BF13" s="212">
        <v>21</v>
      </c>
      <c r="BG13" s="212">
        <v>39</v>
      </c>
      <c r="BH13" s="212"/>
      <c r="BI13" s="212" t="s">
        <v>487</v>
      </c>
      <c r="BJ13" s="216">
        <v>43647</v>
      </c>
      <c r="BK13" s="216">
        <v>43678</v>
      </c>
      <c r="BL13" s="216">
        <v>43709</v>
      </c>
      <c r="BM13" s="212"/>
      <c r="BN13" s="212" t="s">
        <v>235</v>
      </c>
      <c r="BO13" s="216" t="s">
        <v>479</v>
      </c>
      <c r="BP13" s="212" t="s">
        <v>487</v>
      </c>
      <c r="BR13" s="212"/>
      <c r="BS13" s="212">
        <v>12</v>
      </c>
      <c r="BT13" s="212" t="s">
        <v>297</v>
      </c>
      <c r="BU13" s="211" t="s">
        <v>23</v>
      </c>
      <c r="BV13" s="212" t="s">
        <v>297</v>
      </c>
    </row>
    <row r="14" spans="2:74" x14ac:dyDescent="0.35">
      <c r="B14" s="211">
        <v>12</v>
      </c>
      <c r="C14" s="211" t="s">
        <v>302</v>
      </c>
      <c r="D14" s="211" t="s">
        <v>25</v>
      </c>
      <c r="E14" s="211" t="s">
        <v>444</v>
      </c>
      <c r="F14" s="211" t="s">
        <v>156</v>
      </c>
      <c r="G14" s="211" t="s">
        <v>488</v>
      </c>
      <c r="I14" s="212" t="s">
        <v>489</v>
      </c>
      <c r="J14" s="212" t="s">
        <v>53</v>
      </c>
      <c r="K14" s="212" t="s">
        <v>447</v>
      </c>
      <c r="P14" s="212"/>
      <c r="Q14" s="212"/>
      <c r="R14" s="212"/>
      <c r="S14" s="212"/>
      <c r="T14" s="211" t="s">
        <v>24</v>
      </c>
      <c r="U14" s="211" t="s">
        <v>485</v>
      </c>
      <c r="V14" s="215">
        <v>1</v>
      </c>
      <c r="W14" s="211" t="s">
        <v>444</v>
      </c>
      <c r="X14" s="211" t="s">
        <v>163</v>
      </c>
      <c r="AC14" s="211" t="s">
        <v>226</v>
      </c>
      <c r="AE14" s="214" t="s">
        <v>164</v>
      </c>
      <c r="AF14" s="212"/>
      <c r="AG14" s="212"/>
      <c r="AH14" s="214" t="s">
        <v>165</v>
      </c>
      <c r="AI14" s="212"/>
      <c r="AJ14" s="212"/>
      <c r="AK14" s="214" t="s">
        <v>163</v>
      </c>
      <c r="AL14" s="212" t="s">
        <v>125</v>
      </c>
      <c r="AM14" s="214" t="s">
        <v>151</v>
      </c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 t="s">
        <v>236</v>
      </c>
      <c r="BC14" s="216">
        <v>43070</v>
      </c>
      <c r="BD14" s="216"/>
      <c r="BE14" s="212">
        <v>12</v>
      </c>
      <c r="BF14" s="212">
        <v>24</v>
      </c>
      <c r="BG14" s="212">
        <v>42</v>
      </c>
      <c r="BH14" s="212"/>
      <c r="BI14" s="212" t="s">
        <v>490</v>
      </c>
      <c r="BJ14" s="216">
        <v>43739</v>
      </c>
      <c r="BK14" s="216">
        <v>43770</v>
      </c>
      <c r="BL14" s="216">
        <v>43800</v>
      </c>
      <c r="BM14" s="212"/>
      <c r="BN14" s="212" t="s">
        <v>236</v>
      </c>
      <c r="BO14" s="216" t="s">
        <v>479</v>
      </c>
      <c r="BP14" s="212" t="s">
        <v>490</v>
      </c>
      <c r="BR14" s="212"/>
      <c r="BS14" s="212">
        <v>13</v>
      </c>
      <c r="BT14" s="212" t="s">
        <v>284</v>
      </c>
      <c r="BU14" s="211" t="s">
        <v>24</v>
      </c>
      <c r="BV14" s="212" t="s">
        <v>284</v>
      </c>
    </row>
    <row r="15" spans="2:74" x14ac:dyDescent="0.35">
      <c r="B15" s="211">
        <v>13</v>
      </c>
      <c r="C15" s="211" t="s">
        <v>305</v>
      </c>
      <c r="D15" s="211" t="s">
        <v>26</v>
      </c>
      <c r="E15" s="211" t="s">
        <v>435</v>
      </c>
      <c r="F15" s="211" t="s">
        <v>164</v>
      </c>
      <c r="G15" s="211" t="s">
        <v>446</v>
      </c>
      <c r="I15" s="212" t="s">
        <v>488</v>
      </c>
      <c r="J15" s="212" t="s">
        <v>81</v>
      </c>
      <c r="K15" s="212" t="s">
        <v>461</v>
      </c>
      <c r="P15" s="212"/>
      <c r="Q15" s="212"/>
      <c r="R15" s="212"/>
      <c r="S15" s="212"/>
      <c r="T15" s="211" t="s">
        <v>25</v>
      </c>
      <c r="U15" s="211" t="s">
        <v>488</v>
      </c>
      <c r="V15" s="215">
        <v>1</v>
      </c>
      <c r="W15" s="211" t="s">
        <v>444</v>
      </c>
      <c r="X15" s="211" t="s">
        <v>156</v>
      </c>
      <c r="AA15" s="213" t="s">
        <v>491</v>
      </c>
      <c r="AB15" s="213" t="s">
        <v>150</v>
      </c>
      <c r="AC15" s="211" t="s">
        <v>168</v>
      </c>
      <c r="AE15" s="214"/>
      <c r="AF15" s="212"/>
      <c r="AG15" s="212"/>
      <c r="AH15" s="214"/>
      <c r="AI15" s="212"/>
      <c r="AJ15" s="212"/>
      <c r="AK15" s="214" t="s">
        <v>163</v>
      </c>
      <c r="AL15" s="212" t="s">
        <v>126</v>
      </c>
      <c r="AM15" s="214" t="s">
        <v>162</v>
      </c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 t="s">
        <v>492</v>
      </c>
      <c r="BB15" s="212"/>
      <c r="BC15" s="212"/>
      <c r="BD15" s="212"/>
      <c r="BE15" s="212"/>
      <c r="BF15" s="212"/>
      <c r="BG15" s="212"/>
      <c r="BH15" s="212"/>
      <c r="BI15" s="212" t="s">
        <v>493</v>
      </c>
      <c r="BJ15" s="216">
        <v>43831</v>
      </c>
      <c r="BK15" s="216">
        <v>43862</v>
      </c>
      <c r="BL15" s="216">
        <v>43891</v>
      </c>
      <c r="BM15" s="212"/>
      <c r="BN15" s="212" t="s">
        <v>225</v>
      </c>
      <c r="BO15" s="216" t="s">
        <v>494</v>
      </c>
      <c r="BP15" s="212" t="s">
        <v>493</v>
      </c>
      <c r="BR15" s="212"/>
      <c r="BS15" s="212">
        <v>14</v>
      </c>
      <c r="BT15" s="212" t="s">
        <v>302</v>
      </c>
      <c r="BU15" s="211" t="s">
        <v>25</v>
      </c>
      <c r="BV15" s="212" t="s">
        <v>302</v>
      </c>
    </row>
    <row r="16" spans="2:74" x14ac:dyDescent="0.35">
      <c r="B16" s="211">
        <v>14</v>
      </c>
      <c r="C16" s="211" t="s">
        <v>306</v>
      </c>
      <c r="D16" s="211" t="s">
        <v>27</v>
      </c>
      <c r="E16" s="211" t="s">
        <v>435</v>
      </c>
      <c r="F16" s="211" t="s">
        <v>163</v>
      </c>
      <c r="G16" s="211" t="s">
        <v>465</v>
      </c>
      <c r="I16" s="212" t="s">
        <v>495</v>
      </c>
      <c r="J16" s="212" t="s">
        <v>66</v>
      </c>
      <c r="K16" s="212" t="s">
        <v>455</v>
      </c>
      <c r="P16" s="212"/>
      <c r="Q16" s="212"/>
      <c r="R16" s="212"/>
      <c r="S16" s="212"/>
      <c r="T16" s="211" t="s">
        <v>26</v>
      </c>
      <c r="U16" s="211" t="s">
        <v>446</v>
      </c>
      <c r="V16" s="215">
        <v>1</v>
      </c>
      <c r="W16" s="211" t="s">
        <v>435</v>
      </c>
      <c r="X16" s="211" t="s">
        <v>164</v>
      </c>
      <c r="AA16" s="213" t="s">
        <v>496</v>
      </c>
      <c r="AB16" s="213" t="s">
        <v>150</v>
      </c>
      <c r="AC16" s="211" t="s">
        <v>168</v>
      </c>
      <c r="AE16" s="214" t="s">
        <v>166</v>
      </c>
      <c r="AF16" s="214" t="s">
        <v>149</v>
      </c>
      <c r="AG16" s="214" t="s">
        <v>150</v>
      </c>
      <c r="AH16" s="214" t="s">
        <v>153</v>
      </c>
      <c r="AI16" s="212"/>
      <c r="AJ16" s="212"/>
      <c r="AK16" s="214" t="s">
        <v>163</v>
      </c>
      <c r="AL16" s="212" t="s">
        <v>457</v>
      </c>
      <c r="AM16" s="214" t="s">
        <v>149</v>
      </c>
      <c r="AN16" s="214" t="s">
        <v>150</v>
      </c>
      <c r="AO16" s="214" t="s">
        <v>159</v>
      </c>
      <c r="AP16" s="214" t="s">
        <v>160</v>
      </c>
      <c r="AQ16" s="214" t="s">
        <v>161</v>
      </c>
      <c r="AR16" s="214" t="s">
        <v>151</v>
      </c>
      <c r="AS16" s="214" t="s">
        <v>162</v>
      </c>
      <c r="AT16" s="214"/>
      <c r="AU16" s="214"/>
      <c r="AV16" s="214"/>
      <c r="AW16" s="214"/>
      <c r="AX16" s="214"/>
      <c r="AY16" s="214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 t="s">
        <v>497</v>
      </c>
      <c r="BJ16" s="216">
        <v>43922</v>
      </c>
      <c r="BK16" s="216">
        <v>43952</v>
      </c>
      <c r="BL16" s="216">
        <v>43983</v>
      </c>
      <c r="BM16" s="212"/>
      <c r="BN16" s="212" t="s">
        <v>232</v>
      </c>
      <c r="BO16" s="216" t="s">
        <v>494</v>
      </c>
      <c r="BP16" s="212" t="s">
        <v>497</v>
      </c>
      <c r="BR16" s="212"/>
      <c r="BS16" s="212">
        <v>15</v>
      </c>
      <c r="BT16" s="212" t="s">
        <v>305</v>
      </c>
      <c r="BU16" s="211" t="s">
        <v>26</v>
      </c>
      <c r="BV16" s="212" t="s">
        <v>305</v>
      </c>
    </row>
    <row r="17" spans="2:74" x14ac:dyDescent="0.35">
      <c r="B17" s="211">
        <v>15</v>
      </c>
      <c r="C17" s="211" t="s">
        <v>309</v>
      </c>
      <c r="D17" s="211" t="s">
        <v>28</v>
      </c>
      <c r="E17" s="211" t="s">
        <v>444</v>
      </c>
      <c r="F17" s="211" t="s">
        <v>164</v>
      </c>
      <c r="G17" s="211" t="s">
        <v>445</v>
      </c>
      <c r="I17" s="212" t="s">
        <v>485</v>
      </c>
      <c r="J17" s="212" t="s">
        <v>102</v>
      </c>
      <c r="K17" s="212" t="s">
        <v>467</v>
      </c>
      <c r="P17" s="212"/>
      <c r="Q17" s="212"/>
      <c r="R17" s="212"/>
      <c r="S17" s="212"/>
      <c r="T17" s="211" t="s">
        <v>27</v>
      </c>
      <c r="U17" s="211" t="s">
        <v>465</v>
      </c>
      <c r="V17" s="215">
        <v>1</v>
      </c>
      <c r="W17" s="211" t="s">
        <v>435</v>
      </c>
      <c r="X17" s="211" t="s">
        <v>163</v>
      </c>
      <c r="AA17" s="213" t="s">
        <v>498</v>
      </c>
      <c r="AB17" s="213" t="s">
        <v>150</v>
      </c>
      <c r="AC17" s="211" t="s">
        <v>168</v>
      </c>
      <c r="AE17" s="214" t="s">
        <v>166</v>
      </c>
      <c r="AF17" s="212"/>
      <c r="AG17" s="212"/>
      <c r="AH17" s="214" t="s">
        <v>154</v>
      </c>
      <c r="AI17" s="212"/>
      <c r="AJ17" s="212"/>
      <c r="AK17" s="214" t="s">
        <v>164</v>
      </c>
      <c r="AL17" s="212" t="s">
        <v>123</v>
      </c>
      <c r="AM17" s="214" t="s">
        <v>157</v>
      </c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 t="s">
        <v>499</v>
      </c>
      <c r="BJ17" s="216">
        <v>44013</v>
      </c>
      <c r="BK17" s="216">
        <v>44044</v>
      </c>
      <c r="BL17" s="216">
        <v>44075</v>
      </c>
      <c r="BM17" s="212"/>
      <c r="BN17" s="212" t="s">
        <v>235</v>
      </c>
      <c r="BO17" s="216" t="s">
        <v>494</v>
      </c>
      <c r="BP17" s="212" t="s">
        <v>499</v>
      </c>
      <c r="BR17" s="212"/>
      <c r="BS17" s="212">
        <v>16</v>
      </c>
      <c r="BT17" s="212" t="s">
        <v>306</v>
      </c>
      <c r="BU17" s="211" t="s">
        <v>27</v>
      </c>
      <c r="BV17" s="212" t="s">
        <v>306</v>
      </c>
    </row>
    <row r="18" spans="2:74" x14ac:dyDescent="0.35">
      <c r="B18" s="211">
        <v>16</v>
      </c>
      <c r="C18" s="211" t="s">
        <v>301</v>
      </c>
      <c r="D18" s="211" t="s">
        <v>29</v>
      </c>
      <c r="E18" s="211" t="s">
        <v>444</v>
      </c>
      <c r="F18" s="211" t="s">
        <v>148</v>
      </c>
      <c r="G18" s="211" t="s">
        <v>445</v>
      </c>
      <c r="I18" s="212" t="s">
        <v>480</v>
      </c>
      <c r="J18" s="212" t="s">
        <v>53</v>
      </c>
      <c r="K18" s="212" t="s">
        <v>447</v>
      </c>
      <c r="P18" s="212"/>
      <c r="Q18" s="212"/>
      <c r="R18" s="212"/>
      <c r="S18" s="212"/>
      <c r="T18" s="211" t="s">
        <v>28</v>
      </c>
      <c r="U18" s="211" t="s">
        <v>445</v>
      </c>
      <c r="V18" s="215">
        <v>1</v>
      </c>
      <c r="W18" s="211" t="s">
        <v>444</v>
      </c>
      <c r="X18" s="211" t="s">
        <v>164</v>
      </c>
      <c r="AA18" s="213" t="s">
        <v>500</v>
      </c>
      <c r="AB18" s="213" t="s">
        <v>150</v>
      </c>
      <c r="AC18" s="211" t="s">
        <v>168</v>
      </c>
      <c r="AE18" s="214" t="s">
        <v>167</v>
      </c>
      <c r="AF18" s="214" t="s">
        <v>168</v>
      </c>
      <c r="AG18" s="214" t="s">
        <v>169</v>
      </c>
      <c r="AH18" s="214" t="s">
        <v>170</v>
      </c>
      <c r="AI18" s="214" t="s">
        <v>171</v>
      </c>
      <c r="AJ18" s="212"/>
      <c r="AK18" s="214" t="s">
        <v>164</v>
      </c>
      <c r="AL18" s="212" t="s">
        <v>124</v>
      </c>
      <c r="AM18" s="214" t="s">
        <v>158</v>
      </c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 t="s">
        <v>501</v>
      </c>
      <c r="BJ18" s="216">
        <v>44105</v>
      </c>
      <c r="BK18" s="216">
        <v>44136</v>
      </c>
      <c r="BL18" s="216">
        <v>44166</v>
      </c>
      <c r="BM18" s="212"/>
      <c r="BN18" s="212" t="s">
        <v>236</v>
      </c>
      <c r="BO18" s="216" t="s">
        <v>494</v>
      </c>
      <c r="BP18" s="212" t="s">
        <v>501</v>
      </c>
      <c r="BR18" s="212"/>
      <c r="BS18" s="212">
        <v>17</v>
      </c>
      <c r="BT18" s="212" t="s">
        <v>309</v>
      </c>
      <c r="BU18" s="211" t="s">
        <v>28</v>
      </c>
      <c r="BV18" s="212" t="s">
        <v>309</v>
      </c>
    </row>
    <row r="19" spans="2:74" x14ac:dyDescent="0.35">
      <c r="B19" s="211">
        <v>17</v>
      </c>
      <c r="C19" s="211" t="s">
        <v>311</v>
      </c>
      <c r="D19" s="211" t="s">
        <v>30</v>
      </c>
      <c r="E19" s="211" t="s">
        <v>444</v>
      </c>
      <c r="F19" s="211" t="s">
        <v>148</v>
      </c>
      <c r="G19" s="211" t="s">
        <v>489</v>
      </c>
      <c r="I19" s="212" t="s">
        <v>502</v>
      </c>
      <c r="J19" s="212" t="s">
        <v>52</v>
      </c>
      <c r="K19" s="212" t="s">
        <v>438</v>
      </c>
      <c r="P19" s="212"/>
      <c r="Q19" s="212"/>
      <c r="R19" s="212"/>
      <c r="S19" s="212"/>
      <c r="T19" s="211" t="s">
        <v>29</v>
      </c>
      <c r="U19" s="211" t="s">
        <v>445</v>
      </c>
      <c r="V19" s="215">
        <v>1</v>
      </c>
      <c r="W19" s="211" t="s">
        <v>444</v>
      </c>
      <c r="X19" s="211" t="s">
        <v>148</v>
      </c>
      <c r="AA19" s="213" t="s">
        <v>503</v>
      </c>
      <c r="AB19" s="213" t="s">
        <v>504</v>
      </c>
      <c r="AC19" s="211" t="s">
        <v>168</v>
      </c>
      <c r="AE19" s="212"/>
      <c r="AF19" s="212"/>
      <c r="AG19" s="212"/>
      <c r="AH19" s="212"/>
      <c r="AI19" s="212"/>
      <c r="AJ19" s="212"/>
      <c r="AK19" s="214" t="s">
        <v>164</v>
      </c>
      <c r="AL19" s="212" t="s">
        <v>125</v>
      </c>
      <c r="AM19" s="214" t="s">
        <v>150</v>
      </c>
      <c r="AN19" s="214" t="s">
        <v>165</v>
      </c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R19" s="212"/>
      <c r="BS19" s="212">
        <v>18</v>
      </c>
      <c r="BT19" s="212" t="s">
        <v>301</v>
      </c>
      <c r="BU19" s="211" t="s">
        <v>29</v>
      </c>
      <c r="BV19" s="212" t="s">
        <v>301</v>
      </c>
    </row>
    <row r="20" spans="2:74" x14ac:dyDescent="0.35">
      <c r="B20" s="211">
        <v>18</v>
      </c>
      <c r="C20" s="211" t="s">
        <v>226</v>
      </c>
      <c r="D20" s="211" t="s">
        <v>31</v>
      </c>
      <c r="E20" s="211" t="s">
        <v>505</v>
      </c>
      <c r="F20" s="211">
        <v>0</v>
      </c>
      <c r="G20" s="211" t="s">
        <v>437</v>
      </c>
      <c r="I20" s="212" t="s">
        <v>506</v>
      </c>
      <c r="J20" s="212" t="s">
        <v>91</v>
      </c>
      <c r="K20" s="212" t="s">
        <v>466</v>
      </c>
      <c r="P20" s="212"/>
      <c r="Q20" s="212"/>
      <c r="R20" s="212"/>
      <c r="S20" s="212"/>
      <c r="T20" s="211" t="s">
        <v>30</v>
      </c>
      <c r="U20" s="211" t="s">
        <v>489</v>
      </c>
      <c r="V20" s="215">
        <v>1</v>
      </c>
      <c r="W20" s="211" t="s">
        <v>444</v>
      </c>
      <c r="X20" s="211" t="s">
        <v>148</v>
      </c>
      <c r="AA20" s="213" t="s">
        <v>507</v>
      </c>
      <c r="AB20" s="213" t="s">
        <v>157</v>
      </c>
      <c r="AC20" s="211" t="s">
        <v>169</v>
      </c>
      <c r="AE20" s="212" t="s">
        <v>149</v>
      </c>
      <c r="AF20" s="212" t="s">
        <v>168</v>
      </c>
      <c r="AG20" s="212"/>
      <c r="AH20" s="212"/>
      <c r="AI20" s="212"/>
      <c r="AJ20" s="212"/>
      <c r="AK20" s="214" t="s">
        <v>164</v>
      </c>
      <c r="AL20" s="212" t="s">
        <v>126</v>
      </c>
      <c r="AM20" s="214" t="s">
        <v>149</v>
      </c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R20" s="212"/>
      <c r="BS20" s="212">
        <v>19</v>
      </c>
      <c r="BT20" s="212" t="s">
        <v>311</v>
      </c>
      <c r="BU20" s="211" t="s">
        <v>30</v>
      </c>
      <c r="BV20" s="212" t="s">
        <v>311</v>
      </c>
    </row>
    <row r="21" spans="2:74" x14ac:dyDescent="0.35">
      <c r="B21" s="211">
        <v>19</v>
      </c>
      <c r="C21" s="211" t="s">
        <v>312</v>
      </c>
      <c r="D21" s="211" t="s">
        <v>32</v>
      </c>
      <c r="E21" s="211" t="s">
        <v>435</v>
      </c>
      <c r="F21" s="211" t="s">
        <v>156</v>
      </c>
      <c r="G21" s="211" t="s">
        <v>502</v>
      </c>
      <c r="P21" s="212"/>
      <c r="Q21" s="212"/>
      <c r="R21" s="212"/>
      <c r="S21" s="212"/>
      <c r="T21" s="211" t="s">
        <v>31</v>
      </c>
      <c r="U21" s="211" t="s">
        <v>437</v>
      </c>
      <c r="V21" s="215">
        <v>1</v>
      </c>
      <c r="W21" s="218" t="s">
        <v>505</v>
      </c>
      <c r="AA21" s="213" t="s">
        <v>508</v>
      </c>
      <c r="AB21" s="213" t="s">
        <v>152</v>
      </c>
      <c r="AC21" s="211" t="s">
        <v>168</v>
      </c>
      <c r="AE21" s="212" t="s">
        <v>157</v>
      </c>
      <c r="AF21" s="212" t="s">
        <v>169</v>
      </c>
      <c r="AG21" s="212"/>
      <c r="AH21" s="212"/>
      <c r="AI21" s="212"/>
      <c r="AJ21" s="212"/>
      <c r="AK21" s="214" t="s">
        <v>164</v>
      </c>
      <c r="AL21" s="212" t="s">
        <v>457</v>
      </c>
      <c r="AM21" s="214" t="s">
        <v>157</v>
      </c>
      <c r="AN21" s="214" t="s">
        <v>158</v>
      </c>
      <c r="AO21" s="214" t="s">
        <v>150</v>
      </c>
      <c r="AP21" s="214" t="s">
        <v>165</v>
      </c>
      <c r="AQ21" s="214" t="s">
        <v>149</v>
      </c>
      <c r="AR21" s="212"/>
      <c r="AS21" s="212"/>
      <c r="AT21" s="212"/>
      <c r="AU21" s="212"/>
      <c r="AV21" s="212"/>
      <c r="AW21" s="212"/>
      <c r="AX21" s="212"/>
      <c r="AY21" s="212"/>
      <c r="AZ21" s="212"/>
      <c r="BE21" s="212"/>
      <c r="BF21" s="212"/>
      <c r="BG21" s="212"/>
      <c r="BH21" s="212"/>
      <c r="BI21" s="212"/>
      <c r="BJ21" s="212"/>
      <c r="BK21" s="212"/>
      <c r="BL21" s="212"/>
      <c r="BM21" s="212"/>
      <c r="BN21" s="212"/>
      <c r="BO21" s="212"/>
      <c r="BP21" s="212"/>
      <c r="BR21" s="212"/>
      <c r="BS21" s="212">
        <v>20</v>
      </c>
      <c r="BU21" s="211" t="s">
        <v>31</v>
      </c>
    </row>
    <row r="22" spans="2:74" x14ac:dyDescent="0.35">
      <c r="B22" s="211">
        <v>20</v>
      </c>
      <c r="C22" s="211" t="s">
        <v>315</v>
      </c>
      <c r="D22" s="218" t="s">
        <v>33</v>
      </c>
      <c r="E22" s="211" t="s">
        <v>444</v>
      </c>
      <c r="F22" s="211" t="s">
        <v>148</v>
      </c>
      <c r="G22" s="211" t="s">
        <v>437</v>
      </c>
      <c r="P22" s="212"/>
      <c r="Q22" s="212"/>
      <c r="R22" s="212"/>
      <c r="S22" s="212"/>
      <c r="T22" s="211" t="s">
        <v>509</v>
      </c>
      <c r="U22" s="211" t="s">
        <v>449</v>
      </c>
      <c r="V22" s="215"/>
      <c r="W22" s="211" t="s">
        <v>167</v>
      </c>
      <c r="X22" s="211" t="s">
        <v>167</v>
      </c>
      <c r="AA22" s="213" t="s">
        <v>510</v>
      </c>
      <c r="AB22" s="213" t="s">
        <v>158</v>
      </c>
      <c r="AC22" s="211" t="s">
        <v>169</v>
      </c>
      <c r="AE22" s="212" t="s">
        <v>159</v>
      </c>
      <c r="AF22" s="212" t="s">
        <v>170</v>
      </c>
      <c r="AG22" s="212"/>
      <c r="AH22" s="212"/>
      <c r="AI22" s="212"/>
      <c r="AJ22" s="212"/>
      <c r="AK22" s="214" t="s">
        <v>166</v>
      </c>
      <c r="AL22" s="212" t="s">
        <v>123</v>
      </c>
      <c r="AM22" s="214" t="s">
        <v>149</v>
      </c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R22" s="212"/>
      <c r="BS22" s="212">
        <v>21</v>
      </c>
      <c r="BT22" s="212" t="s">
        <v>312</v>
      </c>
      <c r="BU22" s="211" t="s">
        <v>32</v>
      </c>
      <c r="BV22" s="212" t="s">
        <v>312</v>
      </c>
    </row>
    <row r="23" spans="2:74" x14ac:dyDescent="0.35">
      <c r="B23" s="211">
        <v>21</v>
      </c>
      <c r="C23" s="211" t="s">
        <v>321</v>
      </c>
      <c r="D23" s="211" t="s">
        <v>34</v>
      </c>
      <c r="E23" s="211" t="s">
        <v>444</v>
      </c>
      <c r="F23" s="211" t="s">
        <v>148</v>
      </c>
      <c r="G23" s="211" t="s">
        <v>446</v>
      </c>
      <c r="P23" s="212"/>
      <c r="Q23" s="212"/>
      <c r="R23" s="212"/>
      <c r="S23" s="212"/>
      <c r="T23" s="211" t="s">
        <v>32</v>
      </c>
      <c r="U23" s="211" t="s">
        <v>502</v>
      </c>
      <c r="V23" s="215">
        <v>1</v>
      </c>
      <c r="W23" s="211" t="s">
        <v>435</v>
      </c>
      <c r="X23" s="211" t="s">
        <v>156</v>
      </c>
      <c r="AA23" s="213" t="s">
        <v>511</v>
      </c>
      <c r="AB23" s="213" t="s">
        <v>158</v>
      </c>
      <c r="AC23" s="211" t="s">
        <v>169</v>
      </c>
      <c r="AE23" s="212" t="s">
        <v>153</v>
      </c>
      <c r="AF23" s="212" t="s">
        <v>171</v>
      </c>
      <c r="AG23" s="212"/>
      <c r="AH23" s="212"/>
      <c r="AI23" s="212"/>
      <c r="AJ23" s="212"/>
      <c r="AK23" s="214" t="s">
        <v>166</v>
      </c>
      <c r="AL23" s="212" t="s">
        <v>124</v>
      </c>
      <c r="AM23" s="214" t="s">
        <v>150</v>
      </c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E23" s="212"/>
      <c r="BF23" s="212"/>
      <c r="BG23" s="212"/>
      <c r="BH23" s="212"/>
      <c r="BI23" s="212"/>
      <c r="BJ23" s="212"/>
      <c r="BK23" s="212"/>
      <c r="BL23" s="212"/>
      <c r="BM23" s="212"/>
      <c r="BN23" s="212"/>
      <c r="BO23" s="212"/>
      <c r="BP23" s="212"/>
      <c r="BR23" s="212"/>
      <c r="BS23" s="212">
        <v>22</v>
      </c>
      <c r="BT23" s="212" t="s">
        <v>315</v>
      </c>
      <c r="BU23" s="211" t="s">
        <v>33</v>
      </c>
      <c r="BV23" s="212" t="s">
        <v>315</v>
      </c>
    </row>
    <row r="24" spans="2:74" x14ac:dyDescent="0.35">
      <c r="B24" s="211">
        <v>22</v>
      </c>
      <c r="C24" s="211" t="s">
        <v>278</v>
      </c>
      <c r="D24" s="211" t="s">
        <v>35</v>
      </c>
      <c r="E24" s="211" t="s">
        <v>450</v>
      </c>
      <c r="F24" s="211" t="s">
        <v>166</v>
      </c>
      <c r="G24" s="211" t="s">
        <v>446</v>
      </c>
      <c r="P24" s="212"/>
      <c r="Q24" s="212"/>
      <c r="R24" s="212"/>
      <c r="S24" s="212"/>
      <c r="T24" s="211" t="s">
        <v>33</v>
      </c>
      <c r="U24" s="211" t="s">
        <v>437</v>
      </c>
      <c r="V24" s="215">
        <v>1</v>
      </c>
      <c r="W24" s="211" t="s">
        <v>444</v>
      </c>
      <c r="X24" s="211" t="s">
        <v>148</v>
      </c>
      <c r="AC24" s="211" t="s">
        <v>226</v>
      </c>
      <c r="AE24" s="212" t="s">
        <v>150</v>
      </c>
      <c r="AF24" s="212" t="s">
        <v>168</v>
      </c>
      <c r="AG24" s="212"/>
      <c r="AH24" s="212"/>
      <c r="AI24" s="212"/>
      <c r="AJ24" s="212"/>
      <c r="AK24" s="214" t="s">
        <v>166</v>
      </c>
      <c r="AL24" s="212" t="s">
        <v>125</v>
      </c>
      <c r="AM24" s="214" t="s">
        <v>153</v>
      </c>
      <c r="AN24" s="214" t="s">
        <v>154</v>
      </c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E24" s="212"/>
      <c r="BF24" s="212"/>
      <c r="BG24" s="212"/>
      <c r="BH24" s="212"/>
      <c r="BI24" s="212"/>
      <c r="BJ24" s="212"/>
      <c r="BK24" s="212"/>
      <c r="BL24" s="212"/>
      <c r="BM24" s="212"/>
      <c r="BN24" s="212"/>
      <c r="BO24" s="212"/>
      <c r="BP24" s="212"/>
      <c r="BR24" s="212"/>
      <c r="BS24" s="212">
        <v>23</v>
      </c>
      <c r="BT24" s="212" t="s">
        <v>321</v>
      </c>
      <c r="BU24" s="211" t="s">
        <v>34</v>
      </c>
      <c r="BV24" s="212" t="s">
        <v>321</v>
      </c>
    </row>
    <row r="25" spans="2:74" x14ac:dyDescent="0.35">
      <c r="B25" s="211">
        <v>23</v>
      </c>
      <c r="C25" s="211" t="s">
        <v>384</v>
      </c>
      <c r="D25" s="219" t="s">
        <v>36</v>
      </c>
      <c r="E25" s="211" t="s">
        <v>444</v>
      </c>
      <c r="F25" s="211" t="s">
        <v>148</v>
      </c>
      <c r="G25" s="211" t="s">
        <v>436</v>
      </c>
      <c r="P25" s="212"/>
      <c r="Q25" s="212"/>
      <c r="R25" s="212"/>
      <c r="S25" s="212"/>
      <c r="T25" s="211" t="s">
        <v>109</v>
      </c>
      <c r="U25" s="211" t="s">
        <v>480</v>
      </c>
      <c r="V25" s="215">
        <v>1</v>
      </c>
      <c r="W25" s="211" t="s">
        <v>444</v>
      </c>
      <c r="X25" s="211" t="s">
        <v>156</v>
      </c>
      <c r="AA25" s="213" t="s">
        <v>512</v>
      </c>
      <c r="AB25" s="213" t="s">
        <v>158</v>
      </c>
      <c r="AC25" s="211" t="s">
        <v>169</v>
      </c>
      <c r="AE25" s="212" t="s">
        <v>158</v>
      </c>
      <c r="AF25" s="212" t="s">
        <v>169</v>
      </c>
      <c r="AG25" s="212"/>
      <c r="AH25" s="212"/>
      <c r="AI25" s="212"/>
      <c r="AJ25" s="212"/>
      <c r="AK25" s="214" t="s">
        <v>166</v>
      </c>
      <c r="AL25" s="212" t="s">
        <v>126</v>
      </c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  <c r="BE25" s="212"/>
      <c r="BF25" s="212"/>
      <c r="BG25" s="212"/>
      <c r="BH25" s="212"/>
      <c r="BI25" s="212"/>
      <c r="BJ25" s="212"/>
      <c r="BK25" s="212"/>
      <c r="BL25" s="212"/>
      <c r="BM25" s="212"/>
      <c r="BN25" s="212"/>
      <c r="BO25" s="212"/>
      <c r="BP25" s="212"/>
      <c r="BR25" s="212"/>
      <c r="BS25" s="212">
        <v>24</v>
      </c>
      <c r="BT25" s="212" t="s">
        <v>278</v>
      </c>
      <c r="BU25" s="211" t="s">
        <v>35</v>
      </c>
      <c r="BV25" s="212" t="s">
        <v>278</v>
      </c>
    </row>
    <row r="26" spans="2:74" x14ac:dyDescent="0.35">
      <c r="B26" s="211">
        <v>24</v>
      </c>
      <c r="C26" s="211" t="s">
        <v>226</v>
      </c>
      <c r="D26" s="211" t="s">
        <v>37</v>
      </c>
      <c r="E26" s="211" t="s">
        <v>513</v>
      </c>
      <c r="F26" s="211" t="s">
        <v>167</v>
      </c>
      <c r="G26" s="211" t="s">
        <v>445</v>
      </c>
      <c r="P26" s="212"/>
      <c r="Q26" s="212"/>
      <c r="R26" s="212"/>
      <c r="S26" s="212"/>
      <c r="T26" s="211" t="s">
        <v>34</v>
      </c>
      <c r="U26" s="211" t="s">
        <v>446</v>
      </c>
      <c r="V26" s="215">
        <v>1</v>
      </c>
      <c r="W26" s="211" t="s">
        <v>444</v>
      </c>
      <c r="X26" s="211" t="s">
        <v>148</v>
      </c>
      <c r="AA26" s="213" t="s">
        <v>514</v>
      </c>
      <c r="AB26" s="213" t="s">
        <v>158</v>
      </c>
      <c r="AC26" s="211"/>
      <c r="AE26" s="212" t="s">
        <v>160</v>
      </c>
      <c r="AF26" s="212" t="s">
        <v>170</v>
      </c>
      <c r="AG26" s="212"/>
      <c r="AH26" s="212"/>
      <c r="AI26" s="212"/>
      <c r="AJ26" s="212"/>
      <c r="AK26" s="214" t="s">
        <v>166</v>
      </c>
      <c r="AL26" s="212" t="s">
        <v>457</v>
      </c>
      <c r="AM26" s="214" t="s">
        <v>149</v>
      </c>
      <c r="AN26" s="214" t="s">
        <v>150</v>
      </c>
      <c r="AO26" s="214" t="s">
        <v>153</v>
      </c>
      <c r="AP26" s="214" t="s">
        <v>154</v>
      </c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  <c r="BE26" s="212"/>
      <c r="BF26" s="212"/>
      <c r="BG26" s="212"/>
      <c r="BH26" s="212"/>
      <c r="BI26" s="212"/>
      <c r="BJ26" s="212"/>
      <c r="BK26" s="212"/>
      <c r="BL26" s="212"/>
      <c r="BM26" s="212"/>
      <c r="BN26" s="212"/>
      <c r="BO26" s="212"/>
      <c r="BP26" s="212"/>
      <c r="BR26" s="212"/>
      <c r="BS26" s="212">
        <v>25</v>
      </c>
      <c r="BT26" s="212" t="s">
        <v>324</v>
      </c>
      <c r="BU26" s="211" t="s">
        <v>110</v>
      </c>
      <c r="BV26" s="212" t="s">
        <v>324</v>
      </c>
    </row>
    <row r="27" spans="2:74" x14ac:dyDescent="0.35">
      <c r="B27" s="211">
        <v>25</v>
      </c>
      <c r="C27" s="211" t="s">
        <v>319</v>
      </c>
      <c r="D27" s="211" t="s">
        <v>39</v>
      </c>
      <c r="E27" s="211" t="s">
        <v>444</v>
      </c>
      <c r="F27" s="211" t="s">
        <v>148</v>
      </c>
      <c r="G27" s="211" t="s">
        <v>465</v>
      </c>
      <c r="P27" s="212"/>
      <c r="Q27" s="212"/>
      <c r="R27" s="212"/>
      <c r="S27" s="212"/>
      <c r="T27" s="211" t="s">
        <v>35</v>
      </c>
      <c r="U27" s="211" t="s">
        <v>446</v>
      </c>
      <c r="V27" s="215">
        <v>1</v>
      </c>
      <c r="W27" s="211" t="s">
        <v>450</v>
      </c>
      <c r="X27" s="211" t="s">
        <v>166</v>
      </c>
      <c r="AA27" s="213" t="s">
        <v>515</v>
      </c>
      <c r="AC27" s="211" t="s">
        <v>226</v>
      </c>
      <c r="AE27" s="212" t="s">
        <v>154</v>
      </c>
      <c r="AF27" s="212" t="s">
        <v>171</v>
      </c>
      <c r="AG27" s="212"/>
      <c r="AH27" s="212"/>
      <c r="AI27" s="212"/>
      <c r="AJ27" s="214" t="s">
        <v>168</v>
      </c>
      <c r="AK27" s="214" t="s">
        <v>167</v>
      </c>
      <c r="AL27" s="212" t="s">
        <v>123</v>
      </c>
      <c r="AM27" s="214" t="s">
        <v>149</v>
      </c>
      <c r="AN27" s="214" t="s">
        <v>150</v>
      </c>
      <c r="AO27" s="214" t="s">
        <v>151</v>
      </c>
      <c r="AP27" s="214" t="s">
        <v>152</v>
      </c>
      <c r="AQ27" s="214" t="s">
        <v>155</v>
      </c>
      <c r="AR27" s="214"/>
      <c r="AS27" s="212"/>
      <c r="AT27" s="212"/>
      <c r="AU27" s="212"/>
      <c r="AV27" s="212"/>
      <c r="AW27" s="212"/>
      <c r="AX27" s="212"/>
      <c r="AY27" s="212"/>
      <c r="AZ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12"/>
      <c r="BO27" s="212"/>
      <c r="BP27" s="212"/>
      <c r="BR27" s="212"/>
      <c r="BS27" s="212">
        <v>26</v>
      </c>
      <c r="BT27" s="212" t="s">
        <v>384</v>
      </c>
      <c r="BU27" s="219" t="s">
        <v>36</v>
      </c>
      <c r="BV27" s="212" t="s">
        <v>384</v>
      </c>
    </row>
    <row r="28" spans="2:74" x14ac:dyDescent="0.35">
      <c r="B28" s="211">
        <v>26</v>
      </c>
      <c r="C28" s="211" t="s">
        <v>338</v>
      </c>
      <c r="D28" s="211" t="s">
        <v>40</v>
      </c>
      <c r="E28" s="211" t="s">
        <v>444</v>
      </c>
      <c r="F28" s="211" t="s">
        <v>148</v>
      </c>
      <c r="G28" s="211" t="s">
        <v>446</v>
      </c>
      <c r="P28" s="212"/>
      <c r="Q28" s="212"/>
      <c r="R28" s="212"/>
      <c r="S28" s="212"/>
      <c r="T28" s="211" t="s">
        <v>110</v>
      </c>
      <c r="U28" s="211" t="s">
        <v>472</v>
      </c>
      <c r="V28" s="215">
        <v>1</v>
      </c>
      <c r="W28" s="211" t="s">
        <v>444</v>
      </c>
      <c r="X28" s="211" t="s">
        <v>156</v>
      </c>
      <c r="AA28" s="213" t="s">
        <v>516</v>
      </c>
      <c r="AB28" s="213" t="s">
        <v>155</v>
      </c>
      <c r="AC28" s="211" t="s">
        <v>168</v>
      </c>
      <c r="AE28" s="212" t="s">
        <v>151</v>
      </c>
      <c r="AF28" s="212" t="s">
        <v>168</v>
      </c>
      <c r="AG28" s="212"/>
      <c r="AH28" s="212"/>
      <c r="AI28" s="212"/>
      <c r="AJ28" s="214" t="s">
        <v>169</v>
      </c>
      <c r="AK28" s="214" t="s">
        <v>167</v>
      </c>
      <c r="AL28" s="212" t="s">
        <v>124</v>
      </c>
      <c r="AM28" s="214" t="s">
        <v>157</v>
      </c>
      <c r="AN28" s="214" t="s">
        <v>158</v>
      </c>
      <c r="AO28" s="214" t="s">
        <v>517</v>
      </c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  <c r="BM28" s="212"/>
      <c r="BN28" s="212"/>
      <c r="BO28" s="212"/>
      <c r="BP28" s="212"/>
      <c r="BR28" s="212"/>
      <c r="BS28" s="212">
        <v>27</v>
      </c>
      <c r="BT28" s="212" t="s">
        <v>318</v>
      </c>
      <c r="BU28" s="211" t="s">
        <v>37</v>
      </c>
    </row>
    <row r="29" spans="2:74" x14ac:dyDescent="0.35">
      <c r="B29" s="211">
        <v>27</v>
      </c>
      <c r="C29" s="211" t="s">
        <v>341</v>
      </c>
      <c r="D29" s="211" t="s">
        <v>41</v>
      </c>
      <c r="E29" s="211" t="s">
        <v>444</v>
      </c>
      <c r="F29" s="211" t="s">
        <v>156</v>
      </c>
      <c r="G29" s="211" t="s">
        <v>495</v>
      </c>
      <c r="P29" s="212"/>
      <c r="Q29" s="212"/>
      <c r="R29" s="212"/>
      <c r="S29" s="212"/>
      <c r="T29" s="211" t="s">
        <v>518</v>
      </c>
      <c r="U29" s="211" t="s">
        <v>436</v>
      </c>
      <c r="V29" s="215">
        <v>0</v>
      </c>
      <c r="W29" s="211" t="s">
        <v>444</v>
      </c>
      <c r="AC29" s="211" t="s">
        <v>226</v>
      </c>
      <c r="AE29" s="212" t="s">
        <v>161</v>
      </c>
      <c r="AF29" s="212" t="s">
        <v>170</v>
      </c>
      <c r="AG29" s="212"/>
      <c r="AH29" s="212"/>
      <c r="AI29" s="212"/>
      <c r="AJ29" s="214"/>
      <c r="AK29" s="214" t="s">
        <v>167</v>
      </c>
      <c r="AL29" s="212" t="s">
        <v>519</v>
      </c>
      <c r="AM29" s="214" t="s">
        <v>162</v>
      </c>
      <c r="AN29" s="214" t="s">
        <v>149</v>
      </c>
      <c r="AO29" s="214" t="s">
        <v>150</v>
      </c>
      <c r="AP29" s="212" t="s">
        <v>157</v>
      </c>
      <c r="AQ29" s="212" t="s">
        <v>152</v>
      </c>
      <c r="AR29" s="212" t="s">
        <v>158</v>
      </c>
      <c r="AS29" s="212" t="s">
        <v>155</v>
      </c>
      <c r="AT29" s="212" t="s">
        <v>151</v>
      </c>
      <c r="AU29" s="212" t="s">
        <v>154</v>
      </c>
      <c r="AV29" s="212" t="s">
        <v>153</v>
      </c>
      <c r="AW29" s="212" t="s">
        <v>161</v>
      </c>
      <c r="AX29" s="212" t="s">
        <v>165</v>
      </c>
      <c r="AY29" s="212" t="s">
        <v>159</v>
      </c>
      <c r="AZ29" s="212" t="s">
        <v>160</v>
      </c>
      <c r="BA29" s="212"/>
      <c r="BB29" s="212"/>
      <c r="BC29" s="212"/>
      <c r="BD29" s="212"/>
      <c r="BE29" s="212"/>
      <c r="BF29" s="212"/>
      <c r="BG29" s="212"/>
      <c r="BH29" s="212"/>
      <c r="BI29" s="212"/>
      <c r="BJ29" s="212"/>
      <c r="BK29" s="212"/>
      <c r="BL29" s="212"/>
      <c r="BM29" s="212"/>
      <c r="BN29" s="212"/>
      <c r="BO29" s="212"/>
      <c r="BP29" s="212"/>
      <c r="BR29" s="212"/>
      <c r="BS29" s="212">
        <v>28</v>
      </c>
      <c r="BT29" s="212" t="s">
        <v>319</v>
      </c>
      <c r="BU29" s="211" t="s">
        <v>39</v>
      </c>
      <c r="BV29" s="212" t="s">
        <v>319</v>
      </c>
    </row>
    <row r="30" spans="2:74" x14ac:dyDescent="0.35">
      <c r="B30" s="211">
        <v>28</v>
      </c>
      <c r="C30" s="211" t="s">
        <v>340</v>
      </c>
      <c r="D30" s="211" t="s">
        <v>42</v>
      </c>
      <c r="E30" s="211" t="s">
        <v>435</v>
      </c>
      <c r="F30" s="211" t="s">
        <v>148</v>
      </c>
      <c r="G30" s="211" t="s">
        <v>446</v>
      </c>
      <c r="P30" s="212"/>
      <c r="Q30" s="212"/>
      <c r="R30" s="212"/>
      <c r="S30" s="212"/>
      <c r="T30" s="211" t="s">
        <v>520</v>
      </c>
      <c r="U30" s="211" t="s">
        <v>521</v>
      </c>
      <c r="V30" s="215">
        <v>1</v>
      </c>
      <c r="W30" s="211" t="s">
        <v>444</v>
      </c>
      <c r="X30" s="211" t="s">
        <v>148</v>
      </c>
      <c r="AA30" s="213" t="s">
        <v>522</v>
      </c>
      <c r="AC30" s="211" t="s">
        <v>226</v>
      </c>
      <c r="AE30" s="212" t="s">
        <v>152</v>
      </c>
      <c r="AF30" s="212" t="s">
        <v>168</v>
      </c>
      <c r="AG30" s="212"/>
      <c r="AH30" s="212"/>
      <c r="AI30" s="212"/>
      <c r="AJ30" s="214" t="s">
        <v>170</v>
      </c>
      <c r="AK30" s="214" t="s">
        <v>167</v>
      </c>
      <c r="AL30" s="212" t="s">
        <v>125</v>
      </c>
      <c r="AM30" s="214" t="s">
        <v>159</v>
      </c>
      <c r="AN30" s="214" t="s">
        <v>160</v>
      </c>
      <c r="AO30" s="214" t="s">
        <v>161</v>
      </c>
      <c r="AP30" s="214" t="s">
        <v>162</v>
      </c>
      <c r="AQ30" s="214"/>
      <c r="AR30" s="212"/>
      <c r="AS30" s="212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2"/>
      <c r="BK30" s="212"/>
      <c r="BL30" s="212"/>
      <c r="BM30" s="212"/>
      <c r="BN30" s="212"/>
      <c r="BO30" s="212"/>
      <c r="BP30" s="212"/>
      <c r="BR30" s="212"/>
      <c r="BS30" s="212">
        <v>29</v>
      </c>
      <c r="BT30" s="212" t="s">
        <v>338</v>
      </c>
      <c r="BU30" s="211" t="s">
        <v>40</v>
      </c>
      <c r="BV30" s="212" t="s">
        <v>338</v>
      </c>
    </row>
    <row r="31" spans="2:74" x14ac:dyDescent="0.35">
      <c r="B31" s="211">
        <v>29</v>
      </c>
      <c r="C31" s="211" t="s">
        <v>226</v>
      </c>
      <c r="P31" s="212"/>
      <c r="Q31" s="212"/>
      <c r="R31" s="212"/>
      <c r="S31" s="212"/>
      <c r="T31" s="211" t="s">
        <v>36</v>
      </c>
      <c r="U31" s="211" t="s">
        <v>436</v>
      </c>
      <c r="V31" s="215">
        <v>1</v>
      </c>
      <c r="W31" s="211" t="s">
        <v>444</v>
      </c>
      <c r="X31" s="211" t="s">
        <v>148</v>
      </c>
      <c r="AA31" s="213" t="s">
        <v>523</v>
      </c>
      <c r="AB31" s="213" t="s">
        <v>151</v>
      </c>
      <c r="AC31" s="211"/>
      <c r="AE31" s="212" t="s">
        <v>517</v>
      </c>
      <c r="AF31" s="212" t="s">
        <v>169</v>
      </c>
      <c r="AG31" s="212"/>
      <c r="AH31" s="212"/>
      <c r="AI31" s="212"/>
      <c r="AJ31" s="214" t="s">
        <v>171</v>
      </c>
      <c r="AK31" s="214" t="s">
        <v>167</v>
      </c>
      <c r="AL31" s="212" t="s">
        <v>126</v>
      </c>
      <c r="AM31" s="214" t="s">
        <v>153</v>
      </c>
      <c r="AN31" s="214" t="s">
        <v>154</v>
      </c>
      <c r="AO31" s="214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  <c r="BM31" s="212"/>
      <c r="BN31" s="212"/>
      <c r="BO31" s="212"/>
      <c r="BP31" s="212"/>
      <c r="BR31" s="212"/>
      <c r="BS31" s="212">
        <v>30</v>
      </c>
      <c r="BT31" s="212" t="s">
        <v>341</v>
      </c>
      <c r="BU31" s="211" t="s">
        <v>41</v>
      </c>
      <c r="BV31" s="212" t="s">
        <v>341</v>
      </c>
    </row>
    <row r="32" spans="2:74" x14ac:dyDescent="0.35">
      <c r="B32" s="211">
        <v>30</v>
      </c>
      <c r="C32" s="211" t="s">
        <v>283</v>
      </c>
      <c r="D32" s="211" t="s">
        <v>43</v>
      </c>
      <c r="E32" s="211" t="s">
        <v>450</v>
      </c>
      <c r="F32" s="211" t="s">
        <v>166</v>
      </c>
      <c r="G32" s="211" t="s">
        <v>446</v>
      </c>
      <c r="P32" s="212"/>
      <c r="Q32" s="212"/>
      <c r="R32" s="212"/>
      <c r="S32" s="212"/>
      <c r="T32" s="211" t="s">
        <v>37</v>
      </c>
      <c r="U32" s="211" t="s">
        <v>445</v>
      </c>
      <c r="V32" s="215"/>
      <c r="W32" s="211" t="s">
        <v>513</v>
      </c>
      <c r="X32" s="211" t="s">
        <v>167</v>
      </c>
      <c r="AA32" s="213" t="s">
        <v>524</v>
      </c>
      <c r="AB32" s="213" t="s">
        <v>151</v>
      </c>
      <c r="AC32" s="211"/>
      <c r="AE32" s="212" t="s">
        <v>162</v>
      </c>
      <c r="AF32" s="212" t="s">
        <v>170</v>
      </c>
      <c r="AG32" s="212"/>
      <c r="AH32" s="212"/>
      <c r="AI32" s="212"/>
      <c r="AJ32" s="212"/>
      <c r="AK32" s="214" t="s">
        <v>167</v>
      </c>
      <c r="AL32" s="212" t="s">
        <v>457</v>
      </c>
      <c r="AM32" s="214" t="s">
        <v>162</v>
      </c>
      <c r="AN32" s="214" t="s">
        <v>149</v>
      </c>
      <c r="AO32" s="214" t="s">
        <v>150</v>
      </c>
      <c r="AP32" s="214" t="s">
        <v>157</v>
      </c>
      <c r="AQ32" s="214" t="s">
        <v>152</v>
      </c>
      <c r="AR32" s="214" t="s">
        <v>158</v>
      </c>
      <c r="AS32" s="214" t="s">
        <v>155</v>
      </c>
      <c r="AT32" s="214" t="s">
        <v>151</v>
      </c>
      <c r="AU32" s="214" t="s">
        <v>154</v>
      </c>
      <c r="AV32" s="214" t="s">
        <v>153</v>
      </c>
      <c r="AW32" s="214" t="s">
        <v>161</v>
      </c>
      <c r="AX32" s="214" t="s">
        <v>159</v>
      </c>
      <c r="AY32" s="214" t="s">
        <v>160</v>
      </c>
      <c r="AZ32" s="214" t="s">
        <v>517</v>
      </c>
      <c r="BA32" s="212"/>
      <c r="BB32" s="212"/>
      <c r="BC32" s="212"/>
      <c r="BD32" s="212"/>
      <c r="BE32" s="212"/>
      <c r="BF32" s="212"/>
      <c r="BG32" s="212"/>
      <c r="BH32" s="212"/>
      <c r="BI32" s="212"/>
      <c r="BJ32" s="212"/>
      <c r="BK32" s="212"/>
      <c r="BL32" s="212"/>
      <c r="BM32" s="212"/>
      <c r="BN32" s="212"/>
      <c r="BO32" s="212"/>
      <c r="BP32" s="212"/>
      <c r="BR32" s="212"/>
      <c r="BS32" s="212">
        <v>31</v>
      </c>
      <c r="BT32" s="212" t="s">
        <v>340</v>
      </c>
      <c r="BU32" s="211" t="s">
        <v>42</v>
      </c>
      <c r="BV32" s="212" t="s">
        <v>340</v>
      </c>
    </row>
    <row r="33" spans="2:74" x14ac:dyDescent="0.35">
      <c r="B33" s="211">
        <v>31</v>
      </c>
      <c r="C33" s="211" t="s">
        <v>342</v>
      </c>
      <c r="D33" s="211" t="s">
        <v>97</v>
      </c>
      <c r="E33" s="211" t="s">
        <v>444</v>
      </c>
      <c r="F33" s="211" t="s">
        <v>156</v>
      </c>
      <c r="G33" s="211" t="s">
        <v>481</v>
      </c>
      <c r="P33" s="212"/>
      <c r="Q33" s="212"/>
      <c r="R33" s="212"/>
      <c r="S33" s="212"/>
      <c r="T33" s="211" t="s">
        <v>39</v>
      </c>
      <c r="U33" s="211" t="s">
        <v>465</v>
      </c>
      <c r="V33" s="215">
        <v>1</v>
      </c>
      <c r="W33" s="211" t="s">
        <v>444</v>
      </c>
      <c r="X33" s="211" t="s">
        <v>148</v>
      </c>
      <c r="AA33" s="213" t="s">
        <v>525</v>
      </c>
      <c r="AB33" s="213" t="s">
        <v>151</v>
      </c>
      <c r="AC33" s="211" t="s">
        <v>168</v>
      </c>
      <c r="AE33" s="212" t="s">
        <v>155</v>
      </c>
      <c r="AF33" s="212" t="s">
        <v>168</v>
      </c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12"/>
      <c r="BO33" s="212"/>
      <c r="BP33" s="212"/>
      <c r="BR33" s="212"/>
      <c r="BS33" s="212">
        <v>32</v>
      </c>
      <c r="BT33" s="212" t="s">
        <v>283</v>
      </c>
      <c r="BU33" s="211" t="s">
        <v>43</v>
      </c>
      <c r="BV33" s="212" t="s">
        <v>283</v>
      </c>
    </row>
    <row r="34" spans="2:74" x14ac:dyDescent="0.35">
      <c r="B34" s="211">
        <v>32</v>
      </c>
      <c r="C34" s="211" t="s">
        <v>343</v>
      </c>
      <c r="D34" s="211" t="s">
        <v>44</v>
      </c>
      <c r="E34" s="211" t="s">
        <v>450</v>
      </c>
      <c r="F34" s="211" t="s">
        <v>163</v>
      </c>
      <c r="G34" s="211" t="s">
        <v>485</v>
      </c>
      <c r="P34" s="212"/>
      <c r="Q34" s="212"/>
      <c r="R34" s="212"/>
      <c r="S34" s="212"/>
      <c r="T34" s="211" t="s">
        <v>40</v>
      </c>
      <c r="U34" s="211" t="s">
        <v>446</v>
      </c>
      <c r="V34" s="215">
        <v>1</v>
      </c>
      <c r="W34" s="211" t="s">
        <v>444</v>
      </c>
      <c r="X34" s="211" t="s">
        <v>148</v>
      </c>
      <c r="AA34" s="213" t="s">
        <v>526</v>
      </c>
      <c r="AB34" s="213" t="s">
        <v>151</v>
      </c>
      <c r="AC34" s="211" t="s">
        <v>168</v>
      </c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2"/>
      <c r="BM34" s="212"/>
      <c r="BN34" s="212"/>
      <c r="BO34" s="212"/>
      <c r="BP34" s="212"/>
      <c r="BR34" s="212"/>
      <c r="BS34" s="212">
        <v>33</v>
      </c>
      <c r="BT34" s="212" t="s">
        <v>342</v>
      </c>
      <c r="BU34" s="211" t="s">
        <v>97</v>
      </c>
      <c r="BV34" s="212" t="s">
        <v>342</v>
      </c>
    </row>
    <row r="35" spans="2:74" x14ac:dyDescent="0.35">
      <c r="B35" s="211">
        <v>33</v>
      </c>
      <c r="C35" s="211" t="s">
        <v>345</v>
      </c>
      <c r="D35" s="211" t="s">
        <v>45</v>
      </c>
      <c r="E35" s="211" t="s">
        <v>444</v>
      </c>
      <c r="F35" s="211" t="s">
        <v>156</v>
      </c>
      <c r="G35" s="211" t="s">
        <v>495</v>
      </c>
      <c r="P35" s="212"/>
      <c r="Q35" s="212"/>
      <c r="R35" s="212"/>
      <c r="S35" s="212"/>
      <c r="T35" s="211" t="s">
        <v>41</v>
      </c>
      <c r="U35" s="211" t="s">
        <v>495</v>
      </c>
      <c r="V35" s="215">
        <v>1</v>
      </c>
      <c r="W35" s="211" t="s">
        <v>444</v>
      </c>
      <c r="X35" s="211" t="s">
        <v>156</v>
      </c>
      <c r="AA35" s="213" t="s">
        <v>527</v>
      </c>
      <c r="AC35" s="211" t="s">
        <v>226</v>
      </c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R35" s="212"/>
      <c r="BS35" s="212">
        <v>34</v>
      </c>
      <c r="BT35" s="212" t="s">
        <v>343</v>
      </c>
      <c r="BU35" s="211" t="s">
        <v>44</v>
      </c>
      <c r="BV35" s="212" t="s">
        <v>343</v>
      </c>
    </row>
    <row r="36" spans="2:74" x14ac:dyDescent="0.35">
      <c r="B36" s="211">
        <v>34</v>
      </c>
      <c r="C36" s="211" t="s">
        <v>351</v>
      </c>
      <c r="D36" s="211" t="s">
        <v>46</v>
      </c>
      <c r="E36" s="211" t="s">
        <v>444</v>
      </c>
      <c r="F36" s="211" t="s">
        <v>148</v>
      </c>
      <c r="G36" s="211" t="s">
        <v>489</v>
      </c>
      <c r="P36" s="212"/>
      <c r="Q36" s="212"/>
      <c r="R36" s="212"/>
      <c r="S36" s="212"/>
      <c r="T36" s="211" t="s">
        <v>42</v>
      </c>
      <c r="U36" s="211" t="s">
        <v>446</v>
      </c>
      <c r="V36" s="215">
        <v>1</v>
      </c>
      <c r="W36" s="211" t="s">
        <v>435</v>
      </c>
      <c r="X36" s="211" t="s">
        <v>148</v>
      </c>
      <c r="AA36" s="213" t="s">
        <v>528</v>
      </c>
      <c r="AC36" s="211" t="s">
        <v>226</v>
      </c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2"/>
      <c r="BK36" s="212"/>
      <c r="BL36" s="212"/>
      <c r="BM36" s="212"/>
      <c r="BN36" s="212"/>
      <c r="BO36" s="212"/>
      <c r="BP36" s="212"/>
      <c r="BR36" s="212"/>
      <c r="BS36" s="212">
        <v>35</v>
      </c>
      <c r="BT36" s="212" t="s">
        <v>345</v>
      </c>
      <c r="BU36" s="211" t="s">
        <v>45</v>
      </c>
      <c r="BV36" s="212" t="s">
        <v>345</v>
      </c>
    </row>
    <row r="37" spans="2:74" x14ac:dyDescent="0.35">
      <c r="B37" s="211">
        <v>35</v>
      </c>
      <c r="C37" s="211" t="s">
        <v>385</v>
      </c>
      <c r="D37" s="211" t="s">
        <v>47</v>
      </c>
      <c r="E37" s="211" t="s">
        <v>444</v>
      </c>
      <c r="F37" s="211" t="s">
        <v>148</v>
      </c>
      <c r="G37" s="211" t="s">
        <v>481</v>
      </c>
      <c r="P37" s="212"/>
      <c r="Q37" s="212"/>
      <c r="R37" s="212"/>
      <c r="S37" s="212"/>
      <c r="T37" s="211" t="s">
        <v>43</v>
      </c>
      <c r="U37" s="211" t="s">
        <v>446</v>
      </c>
      <c r="V37" s="215">
        <v>1</v>
      </c>
      <c r="W37" s="211" t="s">
        <v>450</v>
      </c>
      <c r="X37" s="211" t="s">
        <v>166</v>
      </c>
      <c r="AA37" s="213" t="s">
        <v>529</v>
      </c>
      <c r="AC37" s="211" t="s">
        <v>226</v>
      </c>
      <c r="AE37" s="212"/>
      <c r="AF37" s="212"/>
      <c r="AG37" s="212"/>
      <c r="AH37" s="212"/>
      <c r="AI37" s="212"/>
      <c r="AJ37" s="212"/>
      <c r="AK37" s="214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  <c r="BM37" s="212"/>
      <c r="BN37" s="212"/>
      <c r="BO37" s="212"/>
      <c r="BP37" s="212"/>
      <c r="BR37" s="212"/>
      <c r="BS37" s="212">
        <v>36</v>
      </c>
      <c r="BT37" s="212" t="s">
        <v>347</v>
      </c>
      <c r="BU37" s="211" t="s">
        <v>530</v>
      </c>
      <c r="BV37" s="212" t="s">
        <v>347</v>
      </c>
    </row>
    <row r="38" spans="2:74" x14ac:dyDescent="0.35">
      <c r="B38" s="211">
        <v>36</v>
      </c>
      <c r="C38" s="211" t="s">
        <v>346</v>
      </c>
      <c r="D38" s="211" t="s">
        <v>48</v>
      </c>
      <c r="E38" s="211" t="s">
        <v>444</v>
      </c>
      <c r="F38" s="211" t="s">
        <v>163</v>
      </c>
      <c r="G38" s="211" t="s">
        <v>446</v>
      </c>
      <c r="P38" s="212"/>
      <c r="Q38" s="212"/>
      <c r="R38" s="212"/>
      <c r="S38" s="212"/>
      <c r="T38" s="211" t="s">
        <v>97</v>
      </c>
      <c r="U38" s="211" t="s">
        <v>481</v>
      </c>
      <c r="V38" s="215">
        <v>1</v>
      </c>
      <c r="W38" s="211" t="s">
        <v>444</v>
      </c>
      <c r="X38" s="211" t="s">
        <v>156</v>
      </c>
      <c r="AA38" s="213" t="s">
        <v>531</v>
      </c>
      <c r="AC38" s="211" t="s">
        <v>226</v>
      </c>
      <c r="AE38" s="212"/>
      <c r="AF38" s="212"/>
      <c r="AG38" s="212"/>
      <c r="AH38" s="212"/>
      <c r="AI38" s="212"/>
      <c r="AJ38" s="212"/>
      <c r="AK38" s="214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R38" s="212"/>
      <c r="BS38" s="212">
        <v>37</v>
      </c>
      <c r="BT38" s="212" t="s">
        <v>349</v>
      </c>
      <c r="BU38" s="211" t="s">
        <v>114</v>
      </c>
      <c r="BV38" s="212" t="s">
        <v>349</v>
      </c>
    </row>
    <row r="39" spans="2:74" x14ac:dyDescent="0.35">
      <c r="B39" s="211">
        <v>37</v>
      </c>
      <c r="C39" s="211" t="s">
        <v>352</v>
      </c>
      <c r="D39" s="211" t="s">
        <v>49</v>
      </c>
      <c r="E39" s="211" t="s">
        <v>532</v>
      </c>
      <c r="F39" s="211" t="s">
        <v>163</v>
      </c>
      <c r="G39" s="211" t="s">
        <v>445</v>
      </c>
      <c r="P39" s="212"/>
      <c r="Q39" s="212"/>
      <c r="R39" s="212"/>
      <c r="S39" s="212"/>
      <c r="T39" s="211" t="s">
        <v>44</v>
      </c>
      <c r="U39" s="211" t="s">
        <v>485</v>
      </c>
      <c r="V39" s="215">
        <v>1</v>
      </c>
      <c r="W39" s="211" t="s">
        <v>450</v>
      </c>
      <c r="X39" s="211" t="s">
        <v>163</v>
      </c>
      <c r="AA39" s="213" t="s">
        <v>533</v>
      </c>
      <c r="AB39" s="213" t="s">
        <v>154</v>
      </c>
      <c r="AC39" s="211" t="s">
        <v>171</v>
      </c>
      <c r="AE39" s="212"/>
      <c r="AF39" s="212"/>
      <c r="AG39" s="212"/>
      <c r="AH39" s="212"/>
      <c r="AI39" s="212"/>
      <c r="AJ39" s="212"/>
      <c r="AK39" s="214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212"/>
      <c r="BR39" s="212"/>
      <c r="BS39" s="212">
        <v>38</v>
      </c>
      <c r="BT39" s="212" t="s">
        <v>351</v>
      </c>
      <c r="BU39" s="211" t="s">
        <v>46</v>
      </c>
      <c r="BV39" s="212" t="s">
        <v>351</v>
      </c>
    </row>
    <row r="40" spans="2:74" x14ac:dyDescent="0.35">
      <c r="B40" s="211">
        <v>38</v>
      </c>
      <c r="C40" s="211" t="s">
        <v>354</v>
      </c>
      <c r="D40" s="211" t="s">
        <v>50</v>
      </c>
      <c r="E40" s="211" t="s">
        <v>435</v>
      </c>
      <c r="F40" s="211" t="s">
        <v>163</v>
      </c>
      <c r="G40" s="211" t="s">
        <v>437</v>
      </c>
      <c r="P40" s="212"/>
      <c r="Q40" s="212"/>
      <c r="R40" s="212"/>
      <c r="S40" s="212"/>
      <c r="T40" s="211" t="s">
        <v>111</v>
      </c>
      <c r="U40" s="211" t="s">
        <v>465</v>
      </c>
      <c r="V40" s="215">
        <v>1</v>
      </c>
      <c r="W40" s="211" t="s">
        <v>450</v>
      </c>
      <c r="X40" s="211" t="s">
        <v>166</v>
      </c>
      <c r="AA40" s="213" t="s">
        <v>534</v>
      </c>
      <c r="AC40" s="211" t="s">
        <v>226</v>
      </c>
      <c r="AE40" s="212"/>
      <c r="AF40" s="212"/>
      <c r="AG40" s="212"/>
      <c r="AH40" s="212"/>
      <c r="AI40" s="212"/>
      <c r="AJ40" s="212"/>
      <c r="AK40" s="214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2"/>
      <c r="AZ40" s="212"/>
      <c r="BA40" s="212"/>
      <c r="BB40" s="212"/>
      <c r="BC40" s="212"/>
      <c r="BD40" s="212"/>
      <c r="BE40" s="212"/>
      <c r="BF40" s="212"/>
      <c r="BG40" s="212"/>
      <c r="BH40" s="212"/>
      <c r="BI40" s="212"/>
      <c r="BJ40" s="212"/>
      <c r="BK40" s="212"/>
      <c r="BL40" s="212"/>
      <c r="BM40" s="212"/>
      <c r="BN40" s="212"/>
      <c r="BO40" s="212"/>
      <c r="BP40" s="212"/>
      <c r="BR40" s="212"/>
      <c r="BS40" s="212">
        <v>39</v>
      </c>
      <c r="BT40" s="212"/>
      <c r="BV40" s="212"/>
    </row>
    <row r="41" spans="2:74" x14ac:dyDescent="0.35">
      <c r="B41" s="211">
        <v>39</v>
      </c>
      <c r="C41" s="211" t="s">
        <v>344</v>
      </c>
      <c r="D41" s="211" t="s">
        <v>51</v>
      </c>
      <c r="E41" s="211" t="s">
        <v>444</v>
      </c>
      <c r="F41" s="211" t="s">
        <v>163</v>
      </c>
      <c r="G41" s="211" t="s">
        <v>446</v>
      </c>
      <c r="P41" s="212"/>
      <c r="Q41" s="212"/>
      <c r="R41" s="212"/>
      <c r="S41" s="212"/>
      <c r="T41" s="211" t="s">
        <v>112</v>
      </c>
      <c r="U41" s="211" t="s">
        <v>502</v>
      </c>
      <c r="V41" s="215">
        <v>1</v>
      </c>
      <c r="W41" s="211" t="s">
        <v>444</v>
      </c>
      <c r="AA41" s="213" t="s">
        <v>153</v>
      </c>
      <c r="AB41" s="213" t="s">
        <v>153</v>
      </c>
      <c r="AC41" s="211" t="s">
        <v>171</v>
      </c>
      <c r="AE41" s="212"/>
      <c r="AF41" s="212"/>
      <c r="AG41" s="212"/>
      <c r="AH41" s="212"/>
      <c r="AI41" s="212"/>
      <c r="AJ41" s="212"/>
      <c r="AK41" s="214"/>
      <c r="AL41" s="212"/>
      <c r="AM41" s="212"/>
      <c r="AN41" s="212"/>
      <c r="AO41" s="212"/>
      <c r="AP41" s="212"/>
      <c r="AQ41" s="212"/>
      <c r="AR41" s="212"/>
      <c r="AS41" s="212"/>
      <c r="AT41" s="212"/>
      <c r="AU41" s="212"/>
      <c r="AV41" s="212"/>
      <c r="AW41" s="212"/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2"/>
      <c r="BK41" s="212"/>
      <c r="BL41" s="212"/>
      <c r="BM41" s="212"/>
      <c r="BN41" s="212"/>
      <c r="BO41" s="212"/>
      <c r="BP41" s="212"/>
      <c r="BR41" s="212"/>
      <c r="BS41" s="212">
        <v>40</v>
      </c>
      <c r="BT41" s="212" t="s">
        <v>385</v>
      </c>
      <c r="BU41" s="211" t="s">
        <v>47</v>
      </c>
      <c r="BV41" s="212" t="s">
        <v>385</v>
      </c>
    </row>
    <row r="42" spans="2:74" x14ac:dyDescent="0.35">
      <c r="B42" s="211">
        <v>40</v>
      </c>
      <c r="C42" s="211" t="s">
        <v>327</v>
      </c>
      <c r="D42" s="211" t="s">
        <v>52</v>
      </c>
      <c r="E42" s="211" t="s">
        <v>416</v>
      </c>
      <c r="F42" s="211" t="s">
        <v>167</v>
      </c>
      <c r="G42" s="211" t="s">
        <v>446</v>
      </c>
      <c r="P42" s="212"/>
      <c r="Q42" s="212"/>
      <c r="R42" s="212"/>
      <c r="S42" s="212"/>
      <c r="T42" s="211" t="s">
        <v>535</v>
      </c>
      <c r="U42" s="211" t="s">
        <v>454</v>
      </c>
      <c r="V42" s="215">
        <v>0</v>
      </c>
      <c r="W42" s="211" t="s">
        <v>444</v>
      </c>
      <c r="X42" s="211" t="s">
        <v>156</v>
      </c>
      <c r="AA42" s="213" t="s">
        <v>536</v>
      </c>
      <c r="AC42" s="211" t="s">
        <v>226</v>
      </c>
      <c r="AE42" s="212"/>
      <c r="AF42" s="212"/>
      <c r="AG42" s="212"/>
      <c r="AH42" s="212"/>
      <c r="AI42" s="212"/>
      <c r="AJ42" s="212"/>
      <c r="AK42" s="214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R42" s="212"/>
      <c r="BS42" s="212">
        <v>41</v>
      </c>
      <c r="BU42" s="211" t="s">
        <v>101</v>
      </c>
    </row>
    <row r="43" spans="2:74" x14ac:dyDescent="0.35">
      <c r="B43" s="211">
        <v>41</v>
      </c>
      <c r="C43" s="211" t="s">
        <v>226</v>
      </c>
      <c r="D43" s="218" t="s">
        <v>53</v>
      </c>
      <c r="E43" s="211" t="s">
        <v>537</v>
      </c>
      <c r="F43" s="211" t="s">
        <v>167</v>
      </c>
      <c r="G43" s="211" t="s">
        <v>489</v>
      </c>
      <c r="P43" s="212"/>
      <c r="Q43" s="212"/>
      <c r="R43" s="212"/>
      <c r="S43" s="212"/>
      <c r="T43" s="211" t="s">
        <v>45</v>
      </c>
      <c r="U43" s="211" t="s">
        <v>495</v>
      </c>
      <c r="V43" s="215">
        <v>1</v>
      </c>
      <c r="W43" s="211" t="s">
        <v>444</v>
      </c>
      <c r="X43" s="211" t="s">
        <v>156</v>
      </c>
      <c r="AA43" s="213" t="s">
        <v>538</v>
      </c>
      <c r="AC43" s="211" t="s">
        <v>226</v>
      </c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2"/>
      <c r="BL43" s="212"/>
      <c r="BM43" s="212"/>
      <c r="BN43" s="212"/>
      <c r="BO43" s="212"/>
      <c r="BP43" s="212"/>
      <c r="BR43" s="212"/>
      <c r="BS43" s="212">
        <v>42</v>
      </c>
      <c r="BT43" s="212" t="s">
        <v>346</v>
      </c>
      <c r="BU43" s="211" t="s">
        <v>48</v>
      </c>
      <c r="BV43" s="212" t="s">
        <v>346</v>
      </c>
    </row>
    <row r="44" spans="2:74" x14ac:dyDescent="0.35">
      <c r="B44" s="211">
        <v>42</v>
      </c>
      <c r="C44" s="211" t="s">
        <v>364</v>
      </c>
      <c r="D44" s="211" t="s">
        <v>54</v>
      </c>
      <c r="E44" s="211" t="s">
        <v>444</v>
      </c>
      <c r="F44" s="211" t="s">
        <v>163</v>
      </c>
      <c r="G44" s="211" t="s">
        <v>465</v>
      </c>
      <c r="P44" s="212"/>
      <c r="Q44" s="212"/>
      <c r="R44" s="212"/>
      <c r="S44" s="212"/>
      <c r="T44" s="211" t="s">
        <v>530</v>
      </c>
      <c r="U44" s="211" t="s">
        <v>521</v>
      </c>
      <c r="V44" s="215">
        <v>1</v>
      </c>
      <c r="W44" s="211" t="s">
        <v>444</v>
      </c>
      <c r="X44" s="211" t="s">
        <v>156</v>
      </c>
      <c r="AA44" s="213" t="s">
        <v>539</v>
      </c>
      <c r="AC44" s="211" t="s">
        <v>226</v>
      </c>
      <c r="AE44" s="212"/>
      <c r="AF44" s="212"/>
      <c r="AG44" s="212"/>
      <c r="AH44" s="212"/>
      <c r="BA44" s="213"/>
      <c r="BB44" s="213"/>
      <c r="BC44" s="213"/>
      <c r="BD44" s="212"/>
      <c r="BE44" s="212"/>
      <c r="BF44" s="212"/>
      <c r="BG44" s="212"/>
      <c r="BH44" s="212"/>
      <c r="BI44" s="212"/>
      <c r="BJ44" s="212"/>
      <c r="BK44" s="212"/>
      <c r="BL44" s="212"/>
      <c r="BM44" s="212"/>
      <c r="BN44" s="212"/>
      <c r="BO44" s="212"/>
      <c r="BP44" s="212"/>
      <c r="BR44" s="212"/>
      <c r="BS44" s="212">
        <v>43</v>
      </c>
      <c r="BT44" s="212" t="s">
        <v>353</v>
      </c>
      <c r="BU44" s="212" t="s">
        <v>103</v>
      </c>
      <c r="BV44" s="212" t="s">
        <v>353</v>
      </c>
    </row>
    <row r="45" spans="2:74" x14ac:dyDescent="0.35">
      <c r="B45" s="211">
        <v>43</v>
      </c>
      <c r="C45" s="211" t="s">
        <v>300</v>
      </c>
      <c r="D45" s="211" t="s">
        <v>55</v>
      </c>
      <c r="E45" s="211" t="s">
        <v>450</v>
      </c>
      <c r="F45" s="211" t="s">
        <v>166</v>
      </c>
      <c r="G45" s="211" t="s">
        <v>489</v>
      </c>
      <c r="P45" s="212"/>
      <c r="Q45" s="212"/>
      <c r="R45" s="212"/>
      <c r="S45" s="212"/>
      <c r="T45" s="211" t="s">
        <v>114</v>
      </c>
      <c r="U45" s="211" t="s">
        <v>460</v>
      </c>
      <c r="V45" s="215">
        <v>1</v>
      </c>
      <c r="W45" s="211" t="s">
        <v>444</v>
      </c>
      <c r="X45" s="211" t="s">
        <v>148</v>
      </c>
      <c r="AA45" s="213" t="s">
        <v>540</v>
      </c>
      <c r="AC45" s="211" t="s">
        <v>226</v>
      </c>
      <c r="AE45" s="212"/>
      <c r="AF45" s="212"/>
      <c r="AG45" s="212"/>
      <c r="AH45" s="212"/>
      <c r="BA45" s="213"/>
      <c r="BB45" s="213"/>
      <c r="BC45" s="213"/>
      <c r="BD45" s="212"/>
      <c r="BE45" s="212"/>
      <c r="BF45" s="212"/>
      <c r="BG45" s="212"/>
      <c r="BH45" s="212"/>
      <c r="BI45" s="212"/>
      <c r="BJ45" s="212"/>
      <c r="BK45" s="212"/>
      <c r="BL45" s="212"/>
      <c r="BM45" s="212"/>
      <c r="BN45" s="212"/>
      <c r="BO45" s="212"/>
      <c r="BP45" s="212"/>
      <c r="BR45" s="212"/>
      <c r="BS45" s="212">
        <v>44</v>
      </c>
      <c r="BT45" s="212" t="s">
        <v>352</v>
      </c>
      <c r="BU45" s="211" t="s">
        <v>49</v>
      </c>
      <c r="BV45" s="212" t="s">
        <v>352</v>
      </c>
    </row>
    <row r="46" spans="2:74" x14ac:dyDescent="0.35">
      <c r="B46" s="211">
        <v>44</v>
      </c>
      <c r="C46" s="211" t="s">
        <v>226</v>
      </c>
      <c r="D46" s="211" t="s">
        <v>56</v>
      </c>
      <c r="E46" s="211" t="s">
        <v>541</v>
      </c>
      <c r="F46" s="211" t="s">
        <v>167</v>
      </c>
      <c r="G46" s="211" t="s">
        <v>437</v>
      </c>
      <c r="P46" s="212"/>
      <c r="Q46" s="212"/>
      <c r="R46" s="212"/>
      <c r="S46" s="212"/>
      <c r="T46" s="219" t="s">
        <v>46</v>
      </c>
      <c r="U46" s="211" t="s">
        <v>489</v>
      </c>
      <c r="V46" s="215">
        <v>1</v>
      </c>
      <c r="W46" s="211" t="s">
        <v>444</v>
      </c>
      <c r="X46" s="211" t="s">
        <v>148</v>
      </c>
      <c r="AA46" s="213" t="s">
        <v>542</v>
      </c>
      <c r="AC46" s="211" t="s">
        <v>226</v>
      </c>
      <c r="AE46" s="212"/>
      <c r="AF46" s="212"/>
      <c r="AG46" s="212"/>
      <c r="AH46" s="212"/>
      <c r="BA46" s="213"/>
      <c r="BB46" s="213"/>
      <c r="BC46" s="213"/>
      <c r="BD46" s="212"/>
      <c r="BE46" s="212"/>
      <c r="BF46" s="212"/>
      <c r="BG46" s="212"/>
      <c r="BH46" s="212"/>
      <c r="BI46" s="212"/>
      <c r="BJ46" s="212"/>
      <c r="BK46" s="212"/>
      <c r="BL46" s="212"/>
      <c r="BM46" s="212"/>
      <c r="BN46" s="212"/>
      <c r="BO46" s="212"/>
      <c r="BP46" s="212"/>
      <c r="BR46" s="212"/>
      <c r="BS46" s="212">
        <v>45</v>
      </c>
      <c r="BT46" s="212" t="s">
        <v>354</v>
      </c>
      <c r="BU46" s="211" t="s">
        <v>50</v>
      </c>
      <c r="BV46" s="212" t="s">
        <v>354</v>
      </c>
    </row>
    <row r="47" spans="2:74" x14ac:dyDescent="0.35">
      <c r="B47" s="211">
        <v>45</v>
      </c>
      <c r="C47" s="211" t="s">
        <v>358</v>
      </c>
      <c r="D47" s="211" t="s">
        <v>57</v>
      </c>
      <c r="E47" s="211" t="s">
        <v>435</v>
      </c>
      <c r="F47" s="211" t="s">
        <v>164</v>
      </c>
      <c r="G47" s="211" t="s">
        <v>485</v>
      </c>
      <c r="P47" s="212"/>
      <c r="Q47" s="212"/>
      <c r="R47" s="212"/>
      <c r="S47" s="212"/>
      <c r="T47" s="211" t="s">
        <v>543</v>
      </c>
      <c r="U47" s="211" t="s">
        <v>445</v>
      </c>
      <c r="V47" s="215">
        <v>0</v>
      </c>
      <c r="W47" s="211" t="s">
        <v>444</v>
      </c>
      <c r="AA47" s="213" t="s">
        <v>544</v>
      </c>
      <c r="AC47" s="211" t="s">
        <v>226</v>
      </c>
      <c r="AE47" s="212"/>
      <c r="AF47" s="212"/>
      <c r="AG47" s="212"/>
      <c r="AH47" s="212"/>
      <c r="BA47" s="213"/>
      <c r="BB47" s="213"/>
      <c r="BC47" s="213"/>
      <c r="BD47" s="212"/>
      <c r="BE47" s="212"/>
      <c r="BF47" s="212"/>
      <c r="BG47" s="212"/>
      <c r="BH47" s="212"/>
      <c r="BI47" s="212"/>
      <c r="BJ47" s="212"/>
      <c r="BK47" s="212"/>
      <c r="BL47" s="212"/>
      <c r="BM47" s="212"/>
      <c r="BN47" s="212"/>
      <c r="BO47" s="212"/>
      <c r="BP47" s="212"/>
      <c r="BR47" s="212"/>
      <c r="BS47" s="212">
        <v>46</v>
      </c>
      <c r="BT47" s="212" t="s">
        <v>344</v>
      </c>
      <c r="BU47" s="211" t="s">
        <v>51</v>
      </c>
      <c r="BV47" s="212" t="s">
        <v>344</v>
      </c>
    </row>
    <row r="48" spans="2:74" x14ac:dyDescent="0.35">
      <c r="B48" s="211">
        <v>46</v>
      </c>
      <c r="C48" s="211" t="s">
        <v>359</v>
      </c>
      <c r="D48" s="211" t="s">
        <v>58</v>
      </c>
      <c r="E48" s="211" t="s">
        <v>435</v>
      </c>
      <c r="F48" s="211" t="s">
        <v>148</v>
      </c>
      <c r="G48" s="211" t="s">
        <v>471</v>
      </c>
      <c r="P48" s="212"/>
      <c r="Q48" s="212"/>
      <c r="R48" s="212"/>
      <c r="S48" s="212"/>
      <c r="T48" s="211" t="s">
        <v>116</v>
      </c>
      <c r="U48" s="211" t="s">
        <v>445</v>
      </c>
      <c r="V48" s="215">
        <v>1</v>
      </c>
      <c r="W48" s="211" t="s">
        <v>435</v>
      </c>
      <c r="AA48" s="213" t="s">
        <v>545</v>
      </c>
      <c r="AC48" s="211" t="s">
        <v>226</v>
      </c>
      <c r="AE48" s="212"/>
      <c r="AF48" s="212"/>
      <c r="AG48" s="212"/>
      <c r="AH48" s="212"/>
      <c r="BA48" s="213"/>
      <c r="BB48" s="213"/>
      <c r="BC48" s="213"/>
      <c r="BD48" s="212"/>
      <c r="BE48" s="212"/>
      <c r="BF48" s="212"/>
      <c r="BG48" s="212"/>
      <c r="BH48" s="212"/>
      <c r="BI48" s="212"/>
      <c r="BJ48" s="212"/>
      <c r="BK48" s="212"/>
      <c r="BL48" s="212"/>
      <c r="BM48" s="212"/>
      <c r="BN48" s="212"/>
      <c r="BO48" s="212"/>
      <c r="BP48" s="212"/>
      <c r="BR48" s="212"/>
      <c r="BS48" s="212">
        <v>47</v>
      </c>
      <c r="BT48" s="213" t="s">
        <v>327</v>
      </c>
      <c r="BU48" s="211" t="s">
        <v>52</v>
      </c>
      <c r="BV48" s="211" t="s">
        <v>327</v>
      </c>
    </row>
    <row r="49" spans="2:74" x14ac:dyDescent="0.35">
      <c r="B49" s="211">
        <v>47</v>
      </c>
      <c r="C49" s="211" t="s">
        <v>348</v>
      </c>
      <c r="D49" s="211" t="s">
        <v>59</v>
      </c>
      <c r="E49" s="211" t="s">
        <v>444</v>
      </c>
      <c r="F49" s="211" t="s">
        <v>163</v>
      </c>
      <c r="G49" s="211" t="s">
        <v>446</v>
      </c>
      <c r="P49" s="212"/>
      <c r="Q49" s="212"/>
      <c r="R49" s="212"/>
      <c r="S49" s="212"/>
      <c r="T49" s="211" t="s">
        <v>47</v>
      </c>
      <c r="U49" s="211" t="s">
        <v>481</v>
      </c>
      <c r="V49" s="215">
        <v>1</v>
      </c>
      <c r="W49" s="211" t="s">
        <v>444</v>
      </c>
      <c r="X49" s="211" t="s">
        <v>148</v>
      </c>
      <c r="AA49" s="213" t="s">
        <v>546</v>
      </c>
      <c r="AC49" s="211" t="s">
        <v>226</v>
      </c>
      <c r="AE49" s="212"/>
      <c r="AF49" s="212"/>
      <c r="AG49" s="212"/>
      <c r="AH49" s="212"/>
      <c r="BA49" s="213"/>
      <c r="BB49" s="213"/>
      <c r="BC49" s="213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2"/>
      <c r="BO49" s="212"/>
      <c r="BP49" s="212"/>
      <c r="BR49" s="212"/>
      <c r="BS49" s="212">
        <v>48</v>
      </c>
      <c r="BT49" s="213" t="s">
        <v>325</v>
      </c>
      <c r="BU49" s="211" t="s">
        <v>53</v>
      </c>
    </row>
    <row r="50" spans="2:74" x14ac:dyDescent="0.35">
      <c r="B50" s="211">
        <v>48</v>
      </c>
      <c r="C50" s="211" t="s">
        <v>296</v>
      </c>
      <c r="D50" s="211" t="s">
        <v>60</v>
      </c>
      <c r="E50" s="211" t="s">
        <v>450</v>
      </c>
      <c r="F50" s="211" t="s">
        <v>166</v>
      </c>
      <c r="G50" s="211" t="s">
        <v>454</v>
      </c>
      <c r="P50" s="212"/>
      <c r="Q50" s="212"/>
      <c r="R50" s="212"/>
      <c r="S50" s="212"/>
      <c r="T50" s="211" t="s">
        <v>101</v>
      </c>
      <c r="U50" s="211" t="s">
        <v>495</v>
      </c>
      <c r="V50" s="215">
        <v>1</v>
      </c>
      <c r="W50" s="211" t="s">
        <v>450</v>
      </c>
      <c r="X50" s="211" t="s">
        <v>166</v>
      </c>
      <c r="AA50" s="213" t="s">
        <v>547</v>
      </c>
      <c r="AC50" s="211" t="s">
        <v>226</v>
      </c>
      <c r="AE50" s="212"/>
      <c r="AF50" s="212"/>
      <c r="AG50" s="212"/>
      <c r="AH50" s="212"/>
      <c r="BA50" s="213"/>
      <c r="BB50" s="213"/>
      <c r="BC50" s="213"/>
      <c r="BD50" s="212"/>
      <c r="BE50" s="212"/>
      <c r="BF50" s="212"/>
      <c r="BG50" s="212"/>
      <c r="BH50" s="212"/>
      <c r="BI50" s="212"/>
      <c r="BJ50" s="212"/>
      <c r="BK50" s="212"/>
      <c r="BL50" s="212"/>
      <c r="BM50" s="212"/>
      <c r="BN50" s="212"/>
      <c r="BO50" s="212"/>
      <c r="BP50" s="212"/>
      <c r="BR50" s="212"/>
      <c r="BS50" s="212">
        <v>49</v>
      </c>
      <c r="BT50" s="212" t="s">
        <v>364</v>
      </c>
      <c r="BU50" s="211" t="s">
        <v>54</v>
      </c>
      <c r="BV50" s="212" t="s">
        <v>364</v>
      </c>
    </row>
    <row r="51" spans="2:74" x14ac:dyDescent="0.35">
      <c r="B51" s="211">
        <v>49</v>
      </c>
      <c r="C51" s="211" t="s">
        <v>360</v>
      </c>
      <c r="D51" s="211" t="s">
        <v>61</v>
      </c>
      <c r="E51" s="211" t="s">
        <v>444</v>
      </c>
      <c r="F51" s="211" t="s">
        <v>148</v>
      </c>
      <c r="G51" s="211" t="s">
        <v>485</v>
      </c>
      <c r="P51" s="212"/>
      <c r="Q51" s="212"/>
      <c r="R51" s="212"/>
      <c r="S51" s="212"/>
      <c r="T51" s="211" t="s">
        <v>117</v>
      </c>
      <c r="U51" s="211" t="s">
        <v>472</v>
      </c>
      <c r="V51" s="215">
        <v>1</v>
      </c>
      <c r="W51" s="211" t="s">
        <v>444</v>
      </c>
      <c r="AA51" s="213" t="s">
        <v>548</v>
      </c>
      <c r="AB51" s="213" t="s">
        <v>149</v>
      </c>
      <c r="AC51" s="211" t="s">
        <v>168</v>
      </c>
      <c r="AE51" s="212"/>
      <c r="AF51" s="212"/>
      <c r="AG51" s="212"/>
      <c r="AH51" s="212"/>
      <c r="BA51" s="213"/>
      <c r="BB51" s="213"/>
      <c r="BC51" s="213"/>
      <c r="BD51" s="212"/>
      <c r="BE51" s="212"/>
      <c r="BF51" s="212"/>
      <c r="BG51" s="212"/>
      <c r="BH51" s="212"/>
      <c r="BI51" s="212"/>
      <c r="BJ51" s="212"/>
      <c r="BK51" s="212"/>
      <c r="BL51" s="212"/>
      <c r="BM51" s="212"/>
      <c r="BN51" s="212"/>
      <c r="BO51" s="212"/>
      <c r="BP51" s="212"/>
      <c r="BR51" s="212"/>
      <c r="BS51" s="212">
        <v>50</v>
      </c>
      <c r="BT51" s="212" t="s">
        <v>300</v>
      </c>
      <c r="BU51" s="211" t="s">
        <v>55</v>
      </c>
      <c r="BV51" s="212" t="s">
        <v>300</v>
      </c>
    </row>
    <row r="52" spans="2:74" x14ac:dyDescent="0.35">
      <c r="B52" s="211">
        <v>50</v>
      </c>
      <c r="C52" s="211" t="s">
        <v>317</v>
      </c>
      <c r="D52" s="211" t="s">
        <v>62</v>
      </c>
      <c r="E52" s="211" t="e">
        <v>#N/A</v>
      </c>
      <c r="F52" s="211" t="s">
        <v>549</v>
      </c>
      <c r="G52" s="211" t="s">
        <v>465</v>
      </c>
      <c r="P52" s="212"/>
      <c r="Q52" s="212"/>
      <c r="R52" s="212"/>
      <c r="S52" s="212"/>
      <c r="T52" s="211" t="s">
        <v>48</v>
      </c>
      <c r="U52" s="211" t="s">
        <v>446</v>
      </c>
      <c r="V52" s="215">
        <v>1</v>
      </c>
      <c r="W52" s="211" t="s">
        <v>444</v>
      </c>
      <c r="X52" s="211" t="s">
        <v>163</v>
      </c>
      <c r="AA52" s="213" t="s">
        <v>550</v>
      </c>
      <c r="AB52" s="213" t="s">
        <v>149</v>
      </c>
      <c r="AC52" s="211" t="s">
        <v>168</v>
      </c>
      <c r="AE52" s="212"/>
      <c r="AF52" s="212"/>
      <c r="AG52" s="212"/>
      <c r="AH52" s="212"/>
      <c r="BA52" s="213"/>
      <c r="BB52" s="213"/>
      <c r="BC52" s="213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R52" s="212"/>
      <c r="BS52" s="212">
        <v>51</v>
      </c>
      <c r="BT52" s="213" t="s">
        <v>329</v>
      </c>
      <c r="BU52" s="211" t="s">
        <v>56</v>
      </c>
    </row>
    <row r="53" spans="2:74" x14ac:dyDescent="0.35">
      <c r="B53" s="211">
        <v>51</v>
      </c>
      <c r="C53" s="211" t="s">
        <v>362</v>
      </c>
      <c r="D53" s="211" t="s">
        <v>63</v>
      </c>
      <c r="E53" s="211" t="s">
        <v>435</v>
      </c>
      <c r="F53" s="211" t="s">
        <v>148</v>
      </c>
      <c r="G53" s="211" t="s">
        <v>485</v>
      </c>
      <c r="P53" s="212"/>
      <c r="Q53" s="212"/>
      <c r="R53" s="212"/>
      <c r="S53" s="212"/>
      <c r="T53" s="211" t="s">
        <v>103</v>
      </c>
      <c r="U53" s="211" t="s">
        <v>436</v>
      </c>
      <c r="V53" s="215">
        <v>1</v>
      </c>
      <c r="W53" s="211" t="s">
        <v>444</v>
      </c>
      <c r="X53" s="211" t="s">
        <v>166</v>
      </c>
      <c r="AA53" s="213" t="s">
        <v>551</v>
      </c>
      <c r="AB53" s="213" t="s">
        <v>149</v>
      </c>
      <c r="AC53" s="211"/>
      <c r="AE53" s="212"/>
      <c r="AF53" s="212"/>
      <c r="AG53" s="212"/>
      <c r="AH53" s="212"/>
      <c r="BA53" s="213"/>
      <c r="BB53" s="213"/>
      <c r="BC53" s="213"/>
      <c r="BD53" s="212"/>
      <c r="BE53" s="212"/>
      <c r="BF53" s="212"/>
      <c r="BG53" s="212"/>
      <c r="BH53" s="212"/>
      <c r="BI53" s="212"/>
      <c r="BJ53" s="212"/>
      <c r="BK53" s="212"/>
      <c r="BL53" s="212"/>
      <c r="BM53" s="212"/>
      <c r="BN53" s="212"/>
      <c r="BO53" s="212"/>
      <c r="BP53" s="212"/>
      <c r="BS53" s="212">
        <v>52</v>
      </c>
      <c r="BT53" s="212" t="s">
        <v>356</v>
      </c>
      <c r="BU53" s="211" t="s">
        <v>106</v>
      </c>
      <c r="BV53" s="212" t="s">
        <v>356</v>
      </c>
    </row>
    <row r="54" spans="2:74" x14ac:dyDescent="0.35">
      <c r="B54" s="211">
        <v>52</v>
      </c>
      <c r="C54" s="211" t="s">
        <v>363</v>
      </c>
      <c r="D54" s="211" t="s">
        <v>64</v>
      </c>
      <c r="E54" s="211" t="s">
        <v>532</v>
      </c>
      <c r="F54" s="211" t="s">
        <v>549</v>
      </c>
      <c r="G54" s="211" t="s">
        <v>445</v>
      </c>
      <c r="P54" s="212"/>
      <c r="Q54" s="212"/>
      <c r="R54" s="212"/>
      <c r="S54" s="212"/>
      <c r="T54" s="211" t="s">
        <v>49</v>
      </c>
      <c r="U54" s="211" t="s">
        <v>445</v>
      </c>
      <c r="V54" s="215">
        <v>1</v>
      </c>
      <c r="W54" s="211" t="s">
        <v>532</v>
      </c>
      <c r="X54" s="211" t="s">
        <v>163</v>
      </c>
      <c r="AA54" s="213" t="s">
        <v>552</v>
      </c>
      <c r="AC54" s="211" t="s">
        <v>226</v>
      </c>
      <c r="AE54" s="212"/>
      <c r="AF54" s="212"/>
      <c r="AG54" s="212"/>
      <c r="AH54" s="212"/>
      <c r="BA54" s="213"/>
      <c r="BB54" s="213"/>
      <c r="BC54" s="213"/>
      <c r="BD54" s="212"/>
      <c r="BE54" s="212"/>
      <c r="BF54" s="212"/>
      <c r="BG54" s="212"/>
      <c r="BH54" s="212"/>
      <c r="BI54" s="212"/>
      <c r="BJ54" s="212"/>
      <c r="BK54" s="212"/>
      <c r="BL54" s="212"/>
      <c r="BM54" s="212"/>
      <c r="BN54" s="212"/>
      <c r="BO54" s="212"/>
      <c r="BP54" s="212"/>
      <c r="BS54" s="212">
        <v>53</v>
      </c>
      <c r="BT54" s="212" t="s">
        <v>358</v>
      </c>
      <c r="BU54" s="211" t="s">
        <v>57</v>
      </c>
      <c r="BV54" s="212" t="s">
        <v>358</v>
      </c>
    </row>
    <row r="55" spans="2:74" x14ac:dyDescent="0.35">
      <c r="B55" s="211">
        <v>53</v>
      </c>
      <c r="C55" s="211" t="s">
        <v>350</v>
      </c>
      <c r="D55" s="211" t="s">
        <v>65</v>
      </c>
      <c r="E55" s="211" t="s">
        <v>435</v>
      </c>
      <c r="F55" s="211" t="s">
        <v>164</v>
      </c>
      <c r="G55" s="211" t="s">
        <v>446</v>
      </c>
      <c r="P55" s="212"/>
      <c r="Q55" s="212"/>
      <c r="R55" s="212"/>
      <c r="S55" s="212"/>
      <c r="T55" s="211" t="s">
        <v>50</v>
      </c>
      <c r="U55" s="211" t="s">
        <v>437</v>
      </c>
      <c r="V55" s="215">
        <v>1</v>
      </c>
      <c r="W55" s="211" t="s">
        <v>435</v>
      </c>
      <c r="X55" s="211" t="s">
        <v>163</v>
      </c>
      <c r="AA55" s="213" t="s">
        <v>553</v>
      </c>
      <c r="AC55" s="211" t="s">
        <v>226</v>
      </c>
      <c r="AE55" s="212"/>
      <c r="AF55" s="212"/>
      <c r="AG55" s="212"/>
      <c r="AH55" s="212"/>
      <c r="BA55" s="213"/>
      <c r="BB55" s="213"/>
      <c r="BC55" s="213"/>
      <c r="BD55" s="212"/>
      <c r="BE55" s="212"/>
      <c r="BF55" s="212"/>
      <c r="BG55" s="212"/>
      <c r="BH55" s="212"/>
      <c r="BI55" s="212"/>
      <c r="BJ55" s="212"/>
      <c r="BK55" s="212"/>
      <c r="BL55" s="212"/>
      <c r="BM55" s="212"/>
      <c r="BN55" s="212"/>
      <c r="BO55" s="212"/>
      <c r="BP55" s="212"/>
      <c r="BS55" s="212">
        <v>54</v>
      </c>
      <c r="BT55" s="212" t="s">
        <v>359</v>
      </c>
      <c r="BU55" s="211" t="s">
        <v>58</v>
      </c>
      <c r="BV55" s="212" t="s">
        <v>359</v>
      </c>
    </row>
    <row r="56" spans="2:74" x14ac:dyDescent="0.35">
      <c r="B56" s="211">
        <v>54</v>
      </c>
      <c r="C56" s="211" t="s">
        <v>331</v>
      </c>
      <c r="D56" s="211" t="s">
        <v>66</v>
      </c>
      <c r="E56" s="211" t="s">
        <v>554</v>
      </c>
      <c r="F56" s="211" t="s">
        <v>167</v>
      </c>
      <c r="G56" s="211" t="s">
        <v>454</v>
      </c>
      <c r="P56" s="212"/>
      <c r="Q56" s="212"/>
      <c r="R56" s="212"/>
      <c r="S56" s="212"/>
      <c r="T56" s="211" t="s">
        <v>51</v>
      </c>
      <c r="U56" s="211" t="s">
        <v>446</v>
      </c>
      <c r="V56" s="215">
        <v>1</v>
      </c>
      <c r="W56" s="211" t="s">
        <v>444</v>
      </c>
      <c r="X56" s="211" t="s">
        <v>163</v>
      </c>
      <c r="AA56" s="213" t="s">
        <v>555</v>
      </c>
      <c r="AB56" s="213" t="s">
        <v>161</v>
      </c>
      <c r="AC56" s="211" t="s">
        <v>170</v>
      </c>
      <c r="AE56" s="212"/>
      <c r="AF56" s="212"/>
      <c r="AG56" s="212"/>
      <c r="AH56" s="212"/>
      <c r="BA56" s="213"/>
      <c r="BB56" s="213"/>
      <c r="BC56" s="213"/>
      <c r="BD56" s="212"/>
      <c r="BE56" s="212"/>
      <c r="BF56" s="212"/>
      <c r="BG56" s="212"/>
      <c r="BH56" s="212"/>
      <c r="BI56" s="212"/>
      <c r="BJ56" s="212"/>
      <c r="BK56" s="212"/>
      <c r="BL56" s="212"/>
      <c r="BM56" s="212"/>
      <c r="BN56" s="212"/>
      <c r="BO56" s="212"/>
      <c r="BP56" s="212"/>
      <c r="BS56" s="212">
        <v>55</v>
      </c>
      <c r="BT56" s="212" t="s">
        <v>348</v>
      </c>
      <c r="BU56" s="211" t="s">
        <v>59</v>
      </c>
      <c r="BV56" s="212" t="s">
        <v>348</v>
      </c>
    </row>
    <row r="57" spans="2:74" x14ac:dyDescent="0.35">
      <c r="B57" s="211">
        <v>55</v>
      </c>
      <c r="C57" s="211" t="s">
        <v>367</v>
      </c>
      <c r="D57" s="211" t="s">
        <v>67</v>
      </c>
      <c r="E57" s="211" t="s">
        <v>444</v>
      </c>
      <c r="F57" s="211" t="s">
        <v>148</v>
      </c>
      <c r="G57" s="211" t="s">
        <v>480</v>
      </c>
      <c r="P57" s="212"/>
      <c r="Q57" s="212"/>
      <c r="R57" s="212"/>
      <c r="S57" s="212"/>
      <c r="T57" s="211" t="s">
        <v>52</v>
      </c>
      <c r="U57" s="211" t="s">
        <v>446</v>
      </c>
      <c r="V57" s="215"/>
      <c r="W57" s="211" t="s">
        <v>416</v>
      </c>
      <c r="X57" s="211" t="s">
        <v>167</v>
      </c>
      <c r="AA57" s="213" t="s">
        <v>556</v>
      </c>
      <c r="AB57" s="213" t="s">
        <v>165</v>
      </c>
      <c r="AC57" s="211" t="s">
        <v>169</v>
      </c>
      <c r="AE57" s="212"/>
      <c r="AF57" s="212"/>
      <c r="AG57" s="212"/>
      <c r="AH57" s="212"/>
      <c r="BA57" s="213"/>
      <c r="BB57" s="213"/>
      <c r="BC57" s="213"/>
      <c r="BD57" s="212"/>
      <c r="BE57" s="212"/>
      <c r="BF57" s="212"/>
      <c r="BG57" s="212"/>
      <c r="BH57" s="212"/>
      <c r="BI57" s="212"/>
      <c r="BJ57" s="212"/>
      <c r="BK57" s="212"/>
      <c r="BL57" s="212"/>
      <c r="BM57" s="212"/>
      <c r="BN57" s="212"/>
      <c r="BO57" s="212"/>
      <c r="BP57" s="212"/>
      <c r="BS57" s="212">
        <v>56</v>
      </c>
      <c r="BT57" s="212" t="s">
        <v>296</v>
      </c>
      <c r="BU57" s="211" t="s">
        <v>60</v>
      </c>
      <c r="BV57" s="212" t="s">
        <v>296</v>
      </c>
    </row>
    <row r="58" spans="2:74" x14ac:dyDescent="0.35">
      <c r="B58" s="211">
        <v>56</v>
      </c>
      <c r="C58" s="211" t="s">
        <v>226</v>
      </c>
      <c r="D58" s="211" t="s">
        <v>96</v>
      </c>
      <c r="E58" s="211" t="e">
        <v>#N/A</v>
      </c>
      <c r="F58" s="211" t="s">
        <v>549</v>
      </c>
      <c r="G58" s="211" t="s">
        <v>446</v>
      </c>
      <c r="P58" s="212"/>
      <c r="Q58" s="212"/>
      <c r="R58" s="212"/>
      <c r="S58" s="212"/>
      <c r="T58" s="211" t="s">
        <v>53</v>
      </c>
      <c r="U58" s="211" t="s">
        <v>489</v>
      </c>
      <c r="V58" s="215"/>
      <c r="W58" s="211" t="s">
        <v>537</v>
      </c>
      <c r="X58" s="211" t="s">
        <v>167</v>
      </c>
      <c r="AA58" s="213" t="s">
        <v>557</v>
      </c>
      <c r="AB58" s="213" t="s">
        <v>159</v>
      </c>
      <c r="AC58" s="211" t="s">
        <v>170</v>
      </c>
      <c r="AE58" s="212"/>
      <c r="AF58" s="212"/>
      <c r="AG58" s="212"/>
      <c r="AH58" s="212"/>
      <c r="BA58" s="213"/>
      <c r="BB58" s="213"/>
      <c r="BC58" s="213"/>
      <c r="BD58" s="212"/>
      <c r="BE58" s="212"/>
      <c r="BF58" s="212"/>
      <c r="BG58" s="212"/>
      <c r="BH58" s="212"/>
      <c r="BI58" s="212"/>
      <c r="BJ58" s="212"/>
      <c r="BK58" s="212"/>
      <c r="BL58" s="212"/>
      <c r="BM58" s="212"/>
      <c r="BN58" s="212"/>
      <c r="BO58" s="212"/>
      <c r="BP58" s="212"/>
      <c r="BS58" s="212">
        <v>57</v>
      </c>
      <c r="BT58" s="212" t="s">
        <v>360</v>
      </c>
      <c r="BU58" s="211" t="s">
        <v>61</v>
      </c>
      <c r="BV58" s="212" t="s">
        <v>360</v>
      </c>
    </row>
    <row r="59" spans="2:74" x14ac:dyDescent="0.35">
      <c r="B59" s="211">
        <v>57</v>
      </c>
      <c r="C59" s="211" t="s">
        <v>368</v>
      </c>
      <c r="D59" s="211" t="s">
        <v>68</v>
      </c>
      <c r="E59" s="211" t="s">
        <v>444</v>
      </c>
      <c r="F59" s="211" t="s">
        <v>156</v>
      </c>
      <c r="G59" s="211" t="s">
        <v>489</v>
      </c>
      <c r="P59" s="212"/>
      <c r="Q59" s="212"/>
      <c r="R59" s="212"/>
      <c r="S59" s="212"/>
      <c r="T59" s="211" t="s">
        <v>54</v>
      </c>
      <c r="U59" s="211" t="s">
        <v>465</v>
      </c>
      <c r="V59" s="215">
        <v>1</v>
      </c>
      <c r="W59" s="211" t="s">
        <v>444</v>
      </c>
      <c r="X59" s="211" t="s">
        <v>163</v>
      </c>
      <c r="AA59" s="213" t="s">
        <v>558</v>
      </c>
      <c r="AB59" s="213" t="s">
        <v>159</v>
      </c>
      <c r="AC59" s="211" t="s">
        <v>170</v>
      </c>
      <c r="AE59" s="212"/>
      <c r="AF59" s="212"/>
      <c r="AG59" s="212"/>
      <c r="AH59" s="212"/>
      <c r="BA59" s="213"/>
      <c r="BB59" s="213"/>
      <c r="BC59" s="213"/>
      <c r="BD59" s="212"/>
      <c r="BE59" s="212"/>
      <c r="BF59" s="212"/>
      <c r="BG59" s="212"/>
      <c r="BH59" s="212"/>
      <c r="BI59" s="212"/>
      <c r="BJ59" s="212"/>
      <c r="BK59" s="212"/>
      <c r="BL59" s="212"/>
      <c r="BM59" s="212"/>
      <c r="BN59" s="212"/>
      <c r="BO59" s="212"/>
      <c r="BP59" s="212"/>
      <c r="BS59" s="212">
        <v>58</v>
      </c>
      <c r="BT59" s="212" t="s">
        <v>361</v>
      </c>
      <c r="BV59" s="212" t="s">
        <v>361</v>
      </c>
    </row>
    <row r="60" spans="2:74" x14ac:dyDescent="0.35">
      <c r="B60" s="211">
        <v>58</v>
      </c>
      <c r="C60" s="211" t="s">
        <v>369</v>
      </c>
      <c r="D60" s="211" t="s">
        <v>98</v>
      </c>
      <c r="E60" s="211" t="s">
        <v>444</v>
      </c>
      <c r="F60" s="211" t="s">
        <v>156</v>
      </c>
      <c r="G60" s="211" t="s">
        <v>436</v>
      </c>
      <c r="P60" s="212"/>
      <c r="Q60" s="212"/>
      <c r="R60" s="212"/>
      <c r="S60" s="212"/>
      <c r="T60" s="211" t="s">
        <v>55</v>
      </c>
      <c r="U60" s="211" t="s">
        <v>489</v>
      </c>
      <c r="V60" s="215">
        <v>1</v>
      </c>
      <c r="W60" s="211" t="s">
        <v>450</v>
      </c>
      <c r="X60" s="211" t="s">
        <v>166</v>
      </c>
      <c r="AA60" s="213" t="s">
        <v>559</v>
      </c>
      <c r="AB60" s="213" t="s">
        <v>159</v>
      </c>
      <c r="AC60" s="211" t="s">
        <v>170</v>
      </c>
      <c r="AE60" s="212"/>
      <c r="AF60" s="212"/>
      <c r="AG60" s="212"/>
      <c r="AH60" s="212"/>
      <c r="BA60" s="213"/>
      <c r="BB60" s="213"/>
      <c r="BC60" s="213"/>
      <c r="BD60" s="212"/>
      <c r="BE60" s="212"/>
      <c r="BF60" s="212"/>
      <c r="BG60" s="212"/>
      <c r="BH60" s="212"/>
      <c r="BI60" s="212"/>
      <c r="BJ60" s="212"/>
      <c r="BK60" s="212"/>
      <c r="BL60" s="212"/>
      <c r="BM60" s="212"/>
      <c r="BN60" s="212"/>
      <c r="BO60" s="212"/>
      <c r="BP60" s="212"/>
      <c r="BS60" s="212">
        <v>59</v>
      </c>
      <c r="BT60" s="212" t="s">
        <v>317</v>
      </c>
      <c r="BU60" s="211" t="s">
        <v>62</v>
      </c>
      <c r="BV60" s="212" t="s">
        <v>317</v>
      </c>
    </row>
    <row r="61" spans="2:74" x14ac:dyDescent="0.35">
      <c r="B61" s="211">
        <v>59</v>
      </c>
      <c r="C61" s="211" t="s">
        <v>293</v>
      </c>
      <c r="D61" s="211" t="s">
        <v>69</v>
      </c>
      <c r="E61" s="211" t="s">
        <v>450</v>
      </c>
      <c r="F61" s="211" t="s">
        <v>166</v>
      </c>
      <c r="G61" s="211" t="s">
        <v>465</v>
      </c>
      <c r="P61" s="212"/>
      <c r="Q61" s="212"/>
      <c r="R61" s="212"/>
      <c r="S61" s="212"/>
      <c r="T61" s="211" t="s">
        <v>56</v>
      </c>
      <c r="U61" s="211" t="s">
        <v>437</v>
      </c>
      <c r="V61" s="215"/>
      <c r="W61" s="211" t="s">
        <v>541</v>
      </c>
      <c r="X61" s="211" t="s">
        <v>167</v>
      </c>
      <c r="AA61" s="213" t="s">
        <v>560</v>
      </c>
      <c r="AB61" s="213" t="s">
        <v>159</v>
      </c>
      <c r="AC61" s="211" t="s">
        <v>170</v>
      </c>
      <c r="AE61" s="212"/>
      <c r="AF61" s="212"/>
      <c r="AG61" s="212"/>
      <c r="AH61" s="212"/>
      <c r="BA61" s="213"/>
      <c r="BB61" s="213"/>
      <c r="BC61" s="213"/>
      <c r="BD61" s="212"/>
      <c r="BE61" s="212"/>
      <c r="BF61" s="212"/>
      <c r="BG61" s="212"/>
      <c r="BH61" s="212"/>
      <c r="BI61" s="212"/>
      <c r="BJ61" s="212"/>
      <c r="BK61" s="212"/>
      <c r="BL61" s="212"/>
      <c r="BM61" s="212"/>
      <c r="BN61" s="212"/>
      <c r="BO61" s="212"/>
      <c r="BP61" s="212"/>
      <c r="BS61" s="212">
        <v>60</v>
      </c>
      <c r="BT61" s="212" t="s">
        <v>362</v>
      </c>
      <c r="BU61" s="211" t="s">
        <v>63</v>
      </c>
      <c r="BV61" s="212" t="s">
        <v>362</v>
      </c>
    </row>
    <row r="62" spans="2:74" x14ac:dyDescent="0.35">
      <c r="B62" s="211">
        <v>60</v>
      </c>
      <c r="C62" s="211" t="s">
        <v>370</v>
      </c>
      <c r="D62" s="211" t="s">
        <v>70</v>
      </c>
      <c r="E62" s="211" t="s">
        <v>532</v>
      </c>
      <c r="F62" s="211" t="s">
        <v>148</v>
      </c>
      <c r="G62" s="211" t="s">
        <v>488</v>
      </c>
      <c r="P62" s="212"/>
      <c r="Q62" s="212"/>
      <c r="R62" s="212"/>
      <c r="S62" s="212"/>
      <c r="T62" s="211" t="s">
        <v>106</v>
      </c>
      <c r="U62" s="211" t="s">
        <v>465</v>
      </c>
      <c r="V62" s="215">
        <v>1</v>
      </c>
      <c r="W62" s="211" t="s">
        <v>444</v>
      </c>
      <c r="X62" s="211" t="s">
        <v>164</v>
      </c>
      <c r="AA62" s="213" t="s">
        <v>561</v>
      </c>
      <c r="AC62" s="211" t="s">
        <v>226</v>
      </c>
      <c r="AE62" s="212"/>
      <c r="AF62" s="212"/>
      <c r="AG62" s="212"/>
      <c r="AH62" s="212"/>
      <c r="BA62" s="213"/>
      <c r="BB62" s="213"/>
      <c r="BC62" s="213"/>
      <c r="BD62" s="212"/>
      <c r="BE62" s="212"/>
      <c r="BF62" s="212"/>
      <c r="BG62" s="212"/>
      <c r="BH62" s="212"/>
      <c r="BI62" s="212"/>
      <c r="BJ62" s="212"/>
      <c r="BK62" s="212"/>
      <c r="BL62" s="212"/>
      <c r="BM62" s="212"/>
      <c r="BN62" s="212"/>
      <c r="BO62" s="212"/>
      <c r="BP62" s="212"/>
      <c r="BS62" s="212">
        <v>61</v>
      </c>
      <c r="BT62" s="212" t="s">
        <v>363</v>
      </c>
      <c r="BU62" s="211" t="s">
        <v>64</v>
      </c>
      <c r="BV62" s="212" t="s">
        <v>363</v>
      </c>
    </row>
    <row r="63" spans="2:74" x14ac:dyDescent="0.35">
      <c r="B63" s="211">
        <v>61</v>
      </c>
      <c r="C63" s="211" t="s">
        <v>371</v>
      </c>
      <c r="D63" s="211" t="s">
        <v>71</v>
      </c>
      <c r="E63" s="211" t="s">
        <v>444</v>
      </c>
      <c r="F63" s="211" t="s">
        <v>148</v>
      </c>
      <c r="G63" s="211" t="s">
        <v>436</v>
      </c>
      <c r="P63" s="212"/>
      <c r="Q63" s="212"/>
      <c r="R63" s="212"/>
      <c r="S63" s="212"/>
      <c r="T63" s="211" t="s">
        <v>57</v>
      </c>
      <c r="U63" s="211" t="s">
        <v>485</v>
      </c>
      <c r="V63" s="215">
        <v>1</v>
      </c>
      <c r="W63" s="211" t="s">
        <v>435</v>
      </c>
      <c r="X63" s="211" t="s">
        <v>164</v>
      </c>
      <c r="AA63" s="213" t="s">
        <v>562</v>
      </c>
      <c r="AC63" s="211" t="s">
        <v>226</v>
      </c>
      <c r="AE63" s="212"/>
      <c r="AF63" s="212"/>
      <c r="AG63" s="212"/>
      <c r="AH63" s="212"/>
      <c r="BA63" s="213"/>
      <c r="BB63" s="213"/>
      <c r="BC63" s="213"/>
      <c r="BD63" s="212"/>
      <c r="BE63" s="212"/>
      <c r="BF63" s="212"/>
      <c r="BG63" s="212"/>
      <c r="BH63" s="212"/>
      <c r="BI63" s="212"/>
      <c r="BJ63" s="212"/>
      <c r="BK63" s="212"/>
      <c r="BL63" s="212"/>
      <c r="BM63" s="212"/>
      <c r="BN63" s="212"/>
      <c r="BO63" s="212"/>
      <c r="BP63" s="212"/>
      <c r="BS63" s="212">
        <v>62</v>
      </c>
      <c r="BT63" s="212" t="s">
        <v>350</v>
      </c>
      <c r="BU63" s="211" t="s">
        <v>65</v>
      </c>
      <c r="BV63" s="212" t="s">
        <v>350</v>
      </c>
    </row>
    <row r="64" spans="2:74" x14ac:dyDescent="0.35">
      <c r="B64" s="211">
        <v>62</v>
      </c>
      <c r="C64" s="211" t="s">
        <v>289</v>
      </c>
      <c r="D64" s="211" t="s">
        <v>72</v>
      </c>
      <c r="E64" s="211" t="s">
        <v>563</v>
      </c>
      <c r="F64" s="211" t="s">
        <v>166</v>
      </c>
      <c r="G64" s="211" t="s">
        <v>445</v>
      </c>
      <c r="P64" s="212"/>
      <c r="Q64" s="212"/>
      <c r="R64" s="212"/>
      <c r="S64" s="212"/>
      <c r="T64" s="211" t="s">
        <v>58</v>
      </c>
      <c r="U64" s="211" t="s">
        <v>471</v>
      </c>
      <c r="V64" s="215">
        <v>1</v>
      </c>
      <c r="W64" s="211" t="s">
        <v>435</v>
      </c>
      <c r="X64" s="211" t="s">
        <v>148</v>
      </c>
      <c r="AA64" s="213" t="s">
        <v>564</v>
      </c>
      <c r="AC64" s="211" t="s">
        <v>226</v>
      </c>
      <c r="AE64" s="212"/>
      <c r="AF64" s="212"/>
      <c r="AG64" s="212"/>
      <c r="AH64" s="212"/>
      <c r="BA64" s="213"/>
      <c r="BB64" s="213"/>
      <c r="BC64" s="213"/>
      <c r="BD64" s="212"/>
      <c r="BE64" s="212"/>
      <c r="BF64" s="212"/>
      <c r="BG64" s="212"/>
      <c r="BH64" s="212"/>
      <c r="BI64" s="212"/>
      <c r="BJ64" s="212"/>
      <c r="BK64" s="212"/>
      <c r="BL64" s="212"/>
      <c r="BM64" s="212"/>
      <c r="BN64" s="212"/>
      <c r="BO64" s="212"/>
      <c r="BP64" s="212"/>
      <c r="BS64" s="212">
        <v>63</v>
      </c>
      <c r="BT64" s="212" t="s">
        <v>331</v>
      </c>
      <c r="BU64" s="211" t="s">
        <v>66</v>
      </c>
      <c r="BV64" s="212" t="s">
        <v>331</v>
      </c>
    </row>
    <row r="65" spans="1:75" x14ac:dyDescent="0.35">
      <c r="B65" s="211">
        <v>63</v>
      </c>
      <c r="C65" s="211" t="s">
        <v>314</v>
      </c>
      <c r="D65" s="211" t="s">
        <v>73</v>
      </c>
      <c r="E65" s="211" t="s">
        <v>450</v>
      </c>
      <c r="F65" s="211" t="s">
        <v>166</v>
      </c>
      <c r="G65" s="211" t="s">
        <v>437</v>
      </c>
      <c r="P65" s="212"/>
      <c r="Q65" s="212"/>
      <c r="R65" s="212"/>
      <c r="S65" s="212"/>
      <c r="T65" s="211" t="s">
        <v>59</v>
      </c>
      <c r="U65" s="211" t="s">
        <v>446</v>
      </c>
      <c r="V65" s="215">
        <v>1</v>
      </c>
      <c r="W65" s="211" t="s">
        <v>444</v>
      </c>
      <c r="X65" s="211" t="s">
        <v>163</v>
      </c>
      <c r="AA65" s="213" t="s">
        <v>565</v>
      </c>
      <c r="AC65" s="211" t="s">
        <v>226</v>
      </c>
      <c r="AE65" s="212"/>
      <c r="AF65" s="212"/>
      <c r="AG65" s="212"/>
      <c r="AH65" s="212"/>
      <c r="BA65" s="213"/>
      <c r="BB65" s="213"/>
      <c r="BC65" s="213"/>
      <c r="BD65" s="212"/>
      <c r="BE65" s="212"/>
      <c r="BF65" s="212"/>
      <c r="BG65" s="212"/>
      <c r="BH65" s="212"/>
      <c r="BI65" s="212"/>
      <c r="BJ65" s="212"/>
      <c r="BK65" s="212"/>
      <c r="BL65" s="212"/>
      <c r="BM65" s="212"/>
      <c r="BN65" s="212"/>
      <c r="BO65" s="212"/>
      <c r="BP65" s="212"/>
      <c r="BS65" s="212">
        <v>64</v>
      </c>
      <c r="BT65" s="212" t="s">
        <v>366</v>
      </c>
      <c r="BV65" s="212" t="s">
        <v>366</v>
      </c>
    </row>
    <row r="66" spans="1:75" x14ac:dyDescent="0.35">
      <c r="B66" s="211">
        <v>64</v>
      </c>
      <c r="C66" s="211" t="s">
        <v>373</v>
      </c>
      <c r="D66" s="211" t="s">
        <v>74</v>
      </c>
      <c r="E66" s="211" t="s">
        <v>444</v>
      </c>
      <c r="F66" s="211" t="s">
        <v>156</v>
      </c>
      <c r="G66" s="211" t="s">
        <v>454</v>
      </c>
      <c r="P66" s="212"/>
      <c r="Q66" s="212"/>
      <c r="R66" s="212"/>
      <c r="S66" s="212"/>
      <c r="T66" s="211" t="s">
        <v>60</v>
      </c>
      <c r="U66" s="211" t="s">
        <v>454</v>
      </c>
      <c r="V66" s="215">
        <v>1</v>
      </c>
      <c r="W66" s="211" t="s">
        <v>450</v>
      </c>
      <c r="X66" s="211" t="s">
        <v>166</v>
      </c>
      <c r="AA66" s="213" t="s">
        <v>566</v>
      </c>
      <c r="AC66" s="211" t="s">
        <v>226</v>
      </c>
      <c r="AE66" s="212"/>
      <c r="AF66" s="212"/>
      <c r="AG66" s="212"/>
      <c r="AH66" s="212"/>
      <c r="BA66" s="213"/>
      <c r="BB66" s="213"/>
      <c r="BC66" s="213"/>
      <c r="BD66" s="212"/>
      <c r="BE66" s="212"/>
      <c r="BF66" s="212"/>
      <c r="BG66" s="212"/>
      <c r="BH66" s="212"/>
      <c r="BI66" s="212"/>
      <c r="BJ66" s="212"/>
      <c r="BK66" s="212"/>
      <c r="BL66" s="212"/>
      <c r="BM66" s="212"/>
      <c r="BN66" s="212"/>
      <c r="BO66" s="212"/>
      <c r="BP66" s="212"/>
      <c r="BS66" s="212">
        <v>65</v>
      </c>
      <c r="BT66" s="212" t="s">
        <v>367</v>
      </c>
      <c r="BU66" s="211" t="s">
        <v>67</v>
      </c>
      <c r="BV66" s="212" t="s">
        <v>367</v>
      </c>
    </row>
    <row r="67" spans="1:75" x14ac:dyDescent="0.35">
      <c r="B67" s="211">
        <v>65</v>
      </c>
      <c r="C67" s="211" t="s">
        <v>308</v>
      </c>
      <c r="D67" s="211" t="s">
        <v>75</v>
      </c>
      <c r="E67" s="211" t="s">
        <v>444</v>
      </c>
      <c r="F67" s="211" t="s">
        <v>166</v>
      </c>
      <c r="G67" s="211" t="s">
        <v>485</v>
      </c>
      <c r="P67" s="212"/>
      <c r="Q67" s="212"/>
      <c r="R67" s="212"/>
      <c r="S67" s="212"/>
      <c r="T67" s="211" t="s">
        <v>61</v>
      </c>
      <c r="U67" s="211" t="s">
        <v>485</v>
      </c>
      <c r="V67" s="215">
        <v>1</v>
      </c>
      <c r="W67" s="211" t="s">
        <v>444</v>
      </c>
      <c r="X67" s="211" t="s">
        <v>148</v>
      </c>
      <c r="AA67" s="213" t="s">
        <v>567</v>
      </c>
      <c r="AC67" s="211" t="s">
        <v>226</v>
      </c>
      <c r="AE67" s="212"/>
      <c r="AF67" s="212"/>
      <c r="AG67" s="212"/>
      <c r="AH67" s="212"/>
      <c r="BA67" s="213"/>
      <c r="BB67" s="213"/>
      <c r="BC67" s="213"/>
      <c r="BD67" s="212"/>
      <c r="BE67" s="212"/>
      <c r="BF67" s="212"/>
      <c r="BG67" s="212"/>
      <c r="BH67" s="212"/>
      <c r="BI67" s="212"/>
      <c r="BJ67" s="212"/>
      <c r="BK67" s="212"/>
      <c r="BL67" s="212"/>
      <c r="BM67" s="212"/>
      <c r="BN67" s="212"/>
      <c r="BO67" s="212"/>
      <c r="BP67" s="212"/>
      <c r="BS67" s="212">
        <v>66</v>
      </c>
      <c r="BU67" s="211" t="s">
        <v>96</v>
      </c>
    </row>
    <row r="68" spans="1:75" x14ac:dyDescent="0.35">
      <c r="B68" s="211">
        <v>65</v>
      </c>
      <c r="C68" s="211" t="s">
        <v>308</v>
      </c>
      <c r="D68" s="211" t="s">
        <v>107</v>
      </c>
      <c r="E68" s="211" t="s">
        <v>444</v>
      </c>
      <c r="F68" s="211" t="s">
        <v>163</v>
      </c>
      <c r="G68" s="211" t="s">
        <v>445</v>
      </c>
      <c r="P68" s="212"/>
      <c r="Q68" s="212"/>
      <c r="R68" s="212"/>
      <c r="S68" s="212"/>
      <c r="T68" s="211" t="s">
        <v>568</v>
      </c>
      <c r="U68" s="211" t="s">
        <v>449</v>
      </c>
      <c r="V68" s="215">
        <v>1</v>
      </c>
      <c r="W68" s="211" t="s">
        <v>444</v>
      </c>
      <c r="X68" s="211" t="s">
        <v>163</v>
      </c>
      <c r="AA68" s="213" t="s">
        <v>569</v>
      </c>
      <c r="AB68" s="213" t="s">
        <v>160</v>
      </c>
      <c r="AC68" s="211" t="s">
        <v>170</v>
      </c>
      <c r="AE68" s="212"/>
      <c r="AF68" s="212"/>
      <c r="AG68" s="212"/>
      <c r="AH68" s="212"/>
      <c r="BA68" s="213"/>
      <c r="BB68" s="213"/>
      <c r="BC68" s="213"/>
      <c r="BD68" s="212"/>
      <c r="BE68" s="212"/>
      <c r="BF68" s="212"/>
      <c r="BG68" s="212"/>
      <c r="BH68" s="212"/>
      <c r="BI68" s="212"/>
      <c r="BJ68" s="212"/>
      <c r="BK68" s="212"/>
      <c r="BL68" s="212"/>
      <c r="BM68" s="212"/>
      <c r="BN68" s="212"/>
      <c r="BO68" s="212"/>
      <c r="BP68" s="212"/>
      <c r="BS68" s="212">
        <v>67</v>
      </c>
      <c r="BT68" s="212" t="s">
        <v>368</v>
      </c>
      <c r="BU68" s="211" t="s">
        <v>68</v>
      </c>
      <c r="BV68" s="212" t="s">
        <v>368</v>
      </c>
    </row>
    <row r="69" spans="1:75" x14ac:dyDescent="0.35">
      <c r="B69" s="211">
        <v>66</v>
      </c>
      <c r="C69" s="211" t="s">
        <v>310</v>
      </c>
      <c r="D69" s="211" t="s">
        <v>76</v>
      </c>
      <c r="E69" s="211" t="s">
        <v>450</v>
      </c>
      <c r="F69" s="211" t="s">
        <v>166</v>
      </c>
      <c r="G69" s="211" t="s">
        <v>485</v>
      </c>
      <c r="P69" s="212"/>
      <c r="Q69" s="212"/>
      <c r="R69" s="212"/>
      <c r="S69" s="212"/>
      <c r="T69" s="211" t="s">
        <v>570</v>
      </c>
      <c r="U69" s="211" t="s">
        <v>465</v>
      </c>
      <c r="V69" s="215">
        <v>1</v>
      </c>
      <c r="W69" s="211" t="s">
        <v>532</v>
      </c>
      <c r="AA69" s="213" t="s">
        <v>571</v>
      </c>
      <c r="AB69" s="213" t="s">
        <v>517</v>
      </c>
      <c r="AC69" s="211"/>
      <c r="AE69" s="212"/>
      <c r="AF69" s="212"/>
      <c r="AG69" s="212"/>
      <c r="AH69" s="212"/>
      <c r="BA69" s="213"/>
      <c r="BB69" s="213"/>
      <c r="BC69" s="213"/>
      <c r="BD69" s="212"/>
      <c r="BE69" s="212"/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S69" s="212">
        <v>68</v>
      </c>
      <c r="BT69" s="212" t="s">
        <v>369</v>
      </c>
      <c r="BU69" s="211" t="s">
        <v>98</v>
      </c>
      <c r="BV69" s="212" t="s">
        <v>369</v>
      </c>
    </row>
    <row r="70" spans="1:75" x14ac:dyDescent="0.35">
      <c r="B70" s="211">
        <v>67</v>
      </c>
      <c r="C70" s="211" t="s">
        <v>365</v>
      </c>
      <c r="D70" s="211" t="s">
        <v>77</v>
      </c>
      <c r="E70" s="211" t="s">
        <v>444</v>
      </c>
      <c r="F70" s="211" t="s">
        <v>148</v>
      </c>
      <c r="G70" s="211" t="s">
        <v>445</v>
      </c>
      <c r="P70" s="212"/>
      <c r="Q70" s="212"/>
      <c r="R70" s="212"/>
      <c r="S70" s="212"/>
      <c r="T70" s="211" t="s">
        <v>63</v>
      </c>
      <c r="U70" s="211" t="s">
        <v>485</v>
      </c>
      <c r="V70" s="215">
        <v>1</v>
      </c>
      <c r="W70" s="211" t="s">
        <v>435</v>
      </c>
      <c r="X70" s="211" t="s">
        <v>148</v>
      </c>
      <c r="AC70" s="211" t="s">
        <v>226</v>
      </c>
      <c r="AE70" s="212"/>
      <c r="AF70" s="212"/>
      <c r="AG70" s="212"/>
      <c r="AH70" s="212"/>
      <c r="BA70" s="213"/>
      <c r="BB70" s="213"/>
      <c r="BC70" s="213"/>
      <c r="BD70" s="212"/>
      <c r="BE70" s="212"/>
      <c r="BF70" s="212"/>
      <c r="BG70" s="212"/>
      <c r="BH70" s="212"/>
      <c r="BI70" s="212"/>
      <c r="BJ70" s="212"/>
      <c r="BK70" s="212"/>
      <c r="BL70" s="212"/>
      <c r="BM70" s="212"/>
      <c r="BN70" s="212"/>
      <c r="BO70" s="212"/>
      <c r="BP70" s="212"/>
      <c r="BS70" s="212">
        <v>69</v>
      </c>
      <c r="BT70" s="211" t="s">
        <v>293</v>
      </c>
      <c r="BU70" s="211" t="s">
        <v>69</v>
      </c>
      <c r="BV70" s="211" t="s">
        <v>293</v>
      </c>
    </row>
    <row r="71" spans="1:75" x14ac:dyDescent="0.35">
      <c r="B71" s="211">
        <v>68</v>
      </c>
      <c r="C71" s="211" t="s">
        <v>375</v>
      </c>
      <c r="D71" s="211" t="s">
        <v>78</v>
      </c>
      <c r="E71" s="211" t="s">
        <v>444</v>
      </c>
      <c r="F71" s="211" t="s">
        <v>148</v>
      </c>
      <c r="G71" s="211" t="s">
        <v>454</v>
      </c>
      <c r="P71" s="212"/>
      <c r="Q71" s="212"/>
      <c r="R71" s="212"/>
      <c r="S71" s="212"/>
      <c r="T71" s="211" t="s">
        <v>118</v>
      </c>
      <c r="U71" s="211" t="s">
        <v>446</v>
      </c>
      <c r="V71" s="215">
        <v>1</v>
      </c>
      <c r="W71" s="211" t="s">
        <v>450</v>
      </c>
      <c r="X71" s="211" t="s">
        <v>166</v>
      </c>
      <c r="AE71" s="212"/>
      <c r="AF71" s="212"/>
      <c r="AG71" s="212"/>
      <c r="AH71" s="212"/>
      <c r="BA71" s="213"/>
      <c r="BB71" s="213"/>
      <c r="BC71" s="213"/>
      <c r="BD71" s="212"/>
      <c r="BE71" s="212"/>
      <c r="BF71" s="212"/>
      <c r="BG71" s="212"/>
      <c r="BH71" s="212"/>
      <c r="BI71" s="212"/>
      <c r="BJ71" s="212"/>
      <c r="BK71" s="212"/>
      <c r="BL71" s="212"/>
      <c r="BM71" s="212"/>
      <c r="BN71" s="212"/>
      <c r="BO71" s="212"/>
      <c r="BP71" s="212"/>
      <c r="BS71" s="212">
        <v>70</v>
      </c>
      <c r="BT71" s="212" t="s">
        <v>370</v>
      </c>
      <c r="BU71" s="211" t="s">
        <v>70</v>
      </c>
      <c r="BV71" s="212" t="s">
        <v>370</v>
      </c>
    </row>
    <row r="72" spans="1:75" x14ac:dyDescent="0.35">
      <c r="B72" s="211">
        <v>69</v>
      </c>
      <c r="C72" s="211" t="s">
        <v>304</v>
      </c>
      <c r="D72" s="211" t="s">
        <v>79</v>
      </c>
      <c r="E72" s="211" t="s">
        <v>450</v>
      </c>
      <c r="F72" s="211" t="s">
        <v>166</v>
      </c>
      <c r="G72" s="211" t="s">
        <v>436</v>
      </c>
      <c r="P72" s="212"/>
      <c r="Q72" s="212"/>
      <c r="R72" s="212"/>
      <c r="S72" s="212"/>
      <c r="T72" s="211" t="s">
        <v>65</v>
      </c>
      <c r="U72" s="211" t="s">
        <v>446</v>
      </c>
      <c r="V72" s="215">
        <v>1</v>
      </c>
      <c r="W72" s="211" t="s">
        <v>435</v>
      </c>
      <c r="X72" s="211" t="s">
        <v>164</v>
      </c>
      <c r="AE72" s="212"/>
      <c r="AF72" s="212"/>
      <c r="AG72" s="212"/>
      <c r="AH72" s="212"/>
      <c r="BA72" s="213"/>
      <c r="BB72" s="213"/>
      <c r="BC72" s="213"/>
      <c r="BD72" s="212"/>
      <c r="BE72" s="212"/>
      <c r="BF72" s="212"/>
      <c r="BG72" s="212"/>
      <c r="BH72" s="212"/>
      <c r="BI72" s="212"/>
      <c r="BJ72" s="212"/>
      <c r="BK72" s="212"/>
      <c r="BL72" s="212"/>
      <c r="BM72" s="212"/>
      <c r="BN72" s="212"/>
      <c r="BO72" s="212"/>
      <c r="BP72" s="212"/>
      <c r="BS72" s="212">
        <v>71</v>
      </c>
      <c r="BT72" s="212" t="s">
        <v>371</v>
      </c>
      <c r="BU72" s="211" t="s">
        <v>71</v>
      </c>
      <c r="BV72" s="212" t="s">
        <v>371</v>
      </c>
    </row>
    <row r="73" spans="1:75" x14ac:dyDescent="0.35">
      <c r="B73" s="211">
        <v>70</v>
      </c>
      <c r="C73" s="211" t="s">
        <v>355</v>
      </c>
      <c r="D73" s="211" t="s">
        <v>80</v>
      </c>
      <c r="E73" s="211" t="s">
        <v>444</v>
      </c>
      <c r="F73" s="211" t="s">
        <v>163</v>
      </c>
      <c r="G73" s="211" t="s">
        <v>446</v>
      </c>
      <c r="P73" s="212"/>
      <c r="Q73" s="212"/>
      <c r="R73" s="212"/>
      <c r="S73" s="212"/>
      <c r="T73" s="211" t="s">
        <v>572</v>
      </c>
      <c r="U73" s="211" t="s">
        <v>449</v>
      </c>
      <c r="V73" s="215">
        <v>1</v>
      </c>
      <c r="W73" s="211" t="s">
        <v>444</v>
      </c>
      <c r="X73" s="211" t="s">
        <v>148</v>
      </c>
      <c r="AE73" s="212"/>
      <c r="AF73" s="212"/>
      <c r="AG73" s="212"/>
      <c r="AH73" s="212"/>
      <c r="BA73" s="213"/>
      <c r="BB73" s="213"/>
      <c r="BC73" s="213"/>
      <c r="BD73" s="212"/>
      <c r="BE73" s="212"/>
      <c r="BF73" s="212"/>
      <c r="BG73" s="212"/>
      <c r="BH73" s="212"/>
      <c r="BI73" s="212"/>
      <c r="BJ73" s="212"/>
      <c r="BK73" s="212"/>
      <c r="BL73" s="212"/>
      <c r="BM73" s="212"/>
      <c r="BN73" s="212"/>
      <c r="BO73" s="212"/>
      <c r="BP73" s="212"/>
      <c r="BS73" s="212">
        <v>72</v>
      </c>
      <c r="BT73" s="212" t="s">
        <v>289</v>
      </c>
      <c r="BU73" s="211" t="s">
        <v>72</v>
      </c>
      <c r="BV73" s="212" t="s">
        <v>289</v>
      </c>
    </row>
    <row r="74" spans="1:75" x14ac:dyDescent="0.35">
      <c r="B74" s="211">
        <v>71</v>
      </c>
      <c r="C74" s="211" t="s">
        <v>226</v>
      </c>
      <c r="D74" s="211" t="s">
        <v>81</v>
      </c>
      <c r="E74" s="211" t="s">
        <v>573</v>
      </c>
      <c r="F74" s="211" t="s">
        <v>167</v>
      </c>
      <c r="G74" s="211" t="s">
        <v>436</v>
      </c>
      <c r="P74" s="212"/>
      <c r="Q74" s="212"/>
      <c r="R74" s="212"/>
      <c r="S74" s="212"/>
      <c r="T74" s="211" t="s">
        <v>66</v>
      </c>
      <c r="U74" s="211" t="s">
        <v>454</v>
      </c>
      <c r="V74" s="215">
        <v>1</v>
      </c>
      <c r="W74" s="211" t="s">
        <v>554</v>
      </c>
      <c r="X74" s="211" t="s">
        <v>167</v>
      </c>
      <c r="AE74" s="212"/>
      <c r="AF74" s="212"/>
      <c r="AG74" s="212"/>
      <c r="AH74" s="212"/>
      <c r="BA74" s="213"/>
      <c r="BB74" s="213"/>
      <c r="BC74" s="213"/>
      <c r="BD74" s="212"/>
      <c r="BE74" s="212"/>
      <c r="BF74" s="212"/>
      <c r="BG74" s="212"/>
      <c r="BH74" s="212"/>
      <c r="BI74" s="212"/>
      <c r="BJ74" s="212"/>
      <c r="BK74" s="212"/>
      <c r="BL74" s="212"/>
      <c r="BM74" s="212"/>
      <c r="BN74" s="212"/>
      <c r="BO74" s="212"/>
      <c r="BP74" s="212"/>
      <c r="BS74" s="212">
        <v>73</v>
      </c>
      <c r="BT74" s="212" t="s">
        <v>314</v>
      </c>
      <c r="BU74" s="211" t="s">
        <v>73</v>
      </c>
      <c r="BV74" s="212" t="s">
        <v>314</v>
      </c>
    </row>
    <row r="75" spans="1:75" x14ac:dyDescent="0.35">
      <c r="B75" s="211">
        <v>72</v>
      </c>
      <c r="C75" s="211" t="s">
        <v>377</v>
      </c>
      <c r="D75" s="211" t="s">
        <v>82</v>
      </c>
      <c r="E75" s="211" t="s">
        <v>444</v>
      </c>
      <c r="F75" s="211" t="s">
        <v>156</v>
      </c>
      <c r="G75" s="211" t="s">
        <v>488</v>
      </c>
      <c r="P75" s="212"/>
      <c r="Q75" s="212"/>
      <c r="R75" s="212"/>
      <c r="S75" s="212"/>
      <c r="T75" s="211" t="s">
        <v>67</v>
      </c>
      <c r="U75" s="211" t="s">
        <v>480</v>
      </c>
      <c r="V75" s="215">
        <v>1</v>
      </c>
      <c r="W75" s="211" t="s">
        <v>444</v>
      </c>
      <c r="X75" s="211" t="s">
        <v>148</v>
      </c>
      <c r="AE75" s="212"/>
      <c r="AF75" s="212"/>
      <c r="AG75" s="212"/>
      <c r="AH75" s="212"/>
      <c r="BA75" s="213"/>
      <c r="BB75" s="213"/>
      <c r="BC75" s="213"/>
      <c r="BD75" s="212"/>
      <c r="BE75" s="212"/>
      <c r="BF75" s="212"/>
      <c r="BG75" s="212"/>
      <c r="BH75" s="212"/>
      <c r="BI75" s="212"/>
      <c r="BJ75" s="212"/>
      <c r="BK75" s="212"/>
      <c r="BL75" s="212"/>
      <c r="BM75" s="212"/>
      <c r="BN75" s="212"/>
      <c r="BO75" s="212"/>
      <c r="BP75" s="212"/>
      <c r="BS75" s="212">
        <v>74</v>
      </c>
      <c r="BT75" s="212" t="s">
        <v>373</v>
      </c>
      <c r="BU75" s="211" t="s">
        <v>74</v>
      </c>
      <c r="BV75" s="212" t="s">
        <v>373</v>
      </c>
    </row>
    <row r="76" spans="1:75" x14ac:dyDescent="0.35">
      <c r="B76" s="211">
        <v>73</v>
      </c>
      <c r="C76" s="211" t="s">
        <v>378</v>
      </c>
      <c r="D76" s="211" t="s">
        <v>83</v>
      </c>
      <c r="E76" s="211" t="s">
        <v>444</v>
      </c>
      <c r="F76" s="211" t="s">
        <v>148</v>
      </c>
      <c r="G76" s="211" t="s">
        <v>485</v>
      </c>
      <c r="P76" s="212"/>
      <c r="Q76" s="212"/>
      <c r="R76" s="212"/>
      <c r="S76" s="212"/>
      <c r="T76" s="211" t="s">
        <v>68</v>
      </c>
      <c r="U76" s="211" t="s">
        <v>489</v>
      </c>
      <c r="V76" s="215">
        <v>1</v>
      </c>
      <c r="W76" s="211" t="s">
        <v>444</v>
      </c>
      <c r="X76" s="211" t="s">
        <v>156</v>
      </c>
      <c r="AE76" s="212"/>
      <c r="AF76" s="212"/>
      <c r="AG76" s="212"/>
      <c r="AH76" s="212"/>
      <c r="BA76" s="213"/>
      <c r="BB76" s="213"/>
      <c r="BC76" s="213"/>
      <c r="BD76" s="212"/>
      <c r="BE76" s="212"/>
      <c r="BF76" s="212"/>
      <c r="BG76" s="212"/>
      <c r="BH76" s="212"/>
      <c r="BI76" s="212"/>
      <c r="BJ76" s="212"/>
      <c r="BK76" s="212"/>
      <c r="BL76" s="212"/>
      <c r="BM76" s="212"/>
      <c r="BN76" s="212"/>
      <c r="BO76" s="212"/>
      <c r="BP76" s="212"/>
      <c r="BS76" s="212">
        <v>75</v>
      </c>
      <c r="BT76" s="212" t="s">
        <v>374</v>
      </c>
      <c r="BU76" s="212" t="s">
        <v>104</v>
      </c>
      <c r="BV76" s="212" t="s">
        <v>374</v>
      </c>
    </row>
    <row r="77" spans="1:75" x14ac:dyDescent="0.35">
      <c r="B77" s="211">
        <v>74</v>
      </c>
      <c r="C77" s="211" t="s">
        <v>290</v>
      </c>
      <c r="D77" s="211" t="s">
        <v>84</v>
      </c>
      <c r="E77" s="211" t="s">
        <v>574</v>
      </c>
      <c r="F77" s="211" t="s">
        <v>148</v>
      </c>
      <c r="G77" s="211" t="s">
        <v>485</v>
      </c>
      <c r="P77" s="212"/>
      <c r="Q77" s="212"/>
      <c r="R77" s="212"/>
      <c r="S77" s="212"/>
      <c r="T77" s="211" t="s">
        <v>98</v>
      </c>
      <c r="U77" s="211" t="s">
        <v>436</v>
      </c>
      <c r="V77" s="215">
        <v>0</v>
      </c>
      <c r="W77" s="211" t="s">
        <v>444</v>
      </c>
      <c r="X77" s="211" t="s">
        <v>156</v>
      </c>
      <c r="AE77" s="212"/>
      <c r="AF77" s="212"/>
      <c r="AG77" s="212"/>
      <c r="AH77" s="212"/>
      <c r="BA77" s="213"/>
      <c r="BB77" s="213"/>
      <c r="BC77" s="213"/>
      <c r="BD77" s="212"/>
      <c r="BE77" s="212"/>
      <c r="BF77" s="212"/>
      <c r="BG77" s="212"/>
      <c r="BH77" s="212"/>
      <c r="BI77" s="212"/>
      <c r="BJ77" s="212"/>
      <c r="BK77" s="212"/>
      <c r="BL77" s="212"/>
      <c r="BM77" s="212"/>
      <c r="BN77" s="212"/>
      <c r="BO77" s="212"/>
      <c r="BP77" s="212"/>
      <c r="BS77" s="212">
        <v>76</v>
      </c>
      <c r="BT77" s="212" t="s">
        <v>308</v>
      </c>
      <c r="BU77" s="211" t="s">
        <v>107</v>
      </c>
      <c r="BV77" s="212" t="s">
        <v>308</v>
      </c>
    </row>
    <row r="78" spans="1:75" x14ac:dyDescent="0.35">
      <c r="B78" s="211">
        <v>75</v>
      </c>
      <c r="C78" s="211" t="s">
        <v>379</v>
      </c>
      <c r="D78" s="211" t="s">
        <v>85</v>
      </c>
      <c r="E78" s="211" t="s">
        <v>444</v>
      </c>
      <c r="F78" s="211" t="s">
        <v>156</v>
      </c>
      <c r="G78" s="211" t="s">
        <v>489</v>
      </c>
      <c r="P78" s="212"/>
      <c r="Q78" s="212"/>
      <c r="R78" s="212"/>
      <c r="S78" s="212"/>
      <c r="T78" s="211" t="s">
        <v>69</v>
      </c>
      <c r="U78" s="211" t="s">
        <v>465</v>
      </c>
      <c r="V78" s="215">
        <v>1</v>
      </c>
      <c r="W78" s="211" t="s">
        <v>450</v>
      </c>
      <c r="X78" s="211" t="s">
        <v>166</v>
      </c>
      <c r="AE78" s="212"/>
      <c r="AF78" s="212"/>
      <c r="AG78" s="212"/>
      <c r="AH78" s="212"/>
      <c r="BA78" s="213"/>
      <c r="BB78" s="213"/>
      <c r="BC78" s="213"/>
      <c r="BD78" s="212"/>
      <c r="BE78" s="212"/>
      <c r="BF78" s="212"/>
      <c r="BG78" s="212"/>
      <c r="BH78" s="212"/>
      <c r="BI78" s="212"/>
      <c r="BJ78" s="212"/>
      <c r="BK78" s="212"/>
      <c r="BL78" s="212"/>
      <c r="BM78" s="212"/>
      <c r="BN78" s="212"/>
      <c r="BO78" s="212"/>
      <c r="BP78" s="212"/>
      <c r="BS78" s="212">
        <v>77</v>
      </c>
      <c r="BT78" s="212" t="s">
        <v>308</v>
      </c>
      <c r="BU78" s="211" t="s">
        <v>75</v>
      </c>
      <c r="BV78" s="212" t="s">
        <v>308</v>
      </c>
    </row>
    <row r="79" spans="1:75" s="213" customFormat="1" x14ac:dyDescent="0.35">
      <c r="A79" s="211"/>
      <c r="B79" s="211">
        <v>76</v>
      </c>
      <c r="C79" s="211" t="s">
        <v>226</v>
      </c>
      <c r="D79" s="211" t="s">
        <v>86</v>
      </c>
      <c r="E79" s="211" t="s">
        <v>444</v>
      </c>
      <c r="F79" s="211" t="s">
        <v>156</v>
      </c>
      <c r="G79" s="211" t="s">
        <v>431</v>
      </c>
      <c r="H79" s="211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1" t="s">
        <v>70</v>
      </c>
      <c r="U79" s="211" t="s">
        <v>488</v>
      </c>
      <c r="V79" s="215">
        <v>1</v>
      </c>
      <c r="W79" s="211" t="s">
        <v>532</v>
      </c>
      <c r="X79" s="211" t="s">
        <v>148</v>
      </c>
      <c r="Y79" s="211"/>
      <c r="Z79" s="211"/>
      <c r="AD79" s="211"/>
      <c r="AE79" s="212"/>
      <c r="AF79" s="212"/>
      <c r="AG79" s="212"/>
      <c r="AH79" s="212"/>
      <c r="AI79" s="211"/>
      <c r="AJ79" s="211"/>
      <c r="AK79" s="211"/>
      <c r="AL79" s="211"/>
      <c r="AM79" s="211"/>
      <c r="AN79" s="211"/>
      <c r="AO79" s="211"/>
      <c r="AP79" s="211"/>
      <c r="AQ79" s="211"/>
      <c r="AR79" s="211"/>
      <c r="AS79" s="211"/>
      <c r="AT79" s="211"/>
      <c r="AU79" s="211"/>
      <c r="AV79" s="211"/>
      <c r="AW79" s="211"/>
      <c r="AX79" s="211"/>
      <c r="AY79" s="211"/>
      <c r="AZ79" s="211"/>
      <c r="BD79" s="212"/>
      <c r="BE79" s="212"/>
      <c r="BF79" s="212"/>
      <c r="BG79" s="212"/>
      <c r="BH79" s="212"/>
      <c r="BI79" s="212"/>
      <c r="BJ79" s="212"/>
      <c r="BK79" s="212"/>
      <c r="BL79" s="212"/>
      <c r="BM79" s="212"/>
      <c r="BN79" s="212"/>
      <c r="BO79" s="212"/>
      <c r="BP79" s="212"/>
      <c r="BS79" s="212">
        <v>78</v>
      </c>
      <c r="BT79" s="212" t="s">
        <v>310</v>
      </c>
      <c r="BU79" s="211" t="s">
        <v>76</v>
      </c>
      <c r="BV79" s="212" t="s">
        <v>310</v>
      </c>
      <c r="BW79" s="211"/>
    </row>
    <row r="80" spans="1:75" s="213" customFormat="1" x14ac:dyDescent="0.35">
      <c r="A80" s="211"/>
      <c r="B80" s="211">
        <v>77</v>
      </c>
      <c r="C80" s="211" t="s">
        <v>381</v>
      </c>
      <c r="D80" s="211" t="s">
        <v>87</v>
      </c>
      <c r="E80" s="211" t="s">
        <v>444</v>
      </c>
      <c r="F80" s="211" t="s">
        <v>164</v>
      </c>
      <c r="G80" s="211" t="s">
        <v>437</v>
      </c>
      <c r="H80" s="211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1" t="s">
        <v>71</v>
      </c>
      <c r="U80" s="211" t="s">
        <v>436</v>
      </c>
      <c r="V80" s="215">
        <v>1</v>
      </c>
      <c r="W80" s="211" t="s">
        <v>444</v>
      </c>
      <c r="X80" s="211" t="s">
        <v>148</v>
      </c>
      <c r="Y80" s="211"/>
      <c r="Z80" s="211"/>
      <c r="AD80" s="211"/>
      <c r="AE80" s="212"/>
      <c r="AF80" s="212"/>
      <c r="AG80" s="212"/>
      <c r="AH80" s="212"/>
      <c r="AI80" s="211"/>
      <c r="AJ80" s="211"/>
      <c r="AK80" s="211"/>
      <c r="AL80" s="211"/>
      <c r="AM80" s="211"/>
      <c r="AN80" s="211"/>
      <c r="AO80" s="211"/>
      <c r="AP80" s="211"/>
      <c r="AQ80" s="211"/>
      <c r="AR80" s="211"/>
      <c r="AS80" s="211"/>
      <c r="AT80" s="211"/>
      <c r="AU80" s="211"/>
      <c r="AV80" s="211"/>
      <c r="AW80" s="211"/>
      <c r="AX80" s="211"/>
      <c r="AY80" s="211"/>
      <c r="AZ80" s="211"/>
      <c r="BD80" s="212"/>
      <c r="BE80" s="212"/>
      <c r="BF80" s="212"/>
      <c r="BG80" s="212"/>
      <c r="BH80" s="212"/>
      <c r="BI80" s="212"/>
      <c r="BJ80" s="212"/>
      <c r="BK80" s="212"/>
      <c r="BL80" s="212"/>
      <c r="BM80" s="212"/>
      <c r="BN80" s="212"/>
      <c r="BO80" s="212"/>
      <c r="BP80" s="212"/>
      <c r="BS80" s="212">
        <v>79</v>
      </c>
      <c r="BT80" s="212" t="s">
        <v>365</v>
      </c>
      <c r="BU80" s="211" t="s">
        <v>77</v>
      </c>
      <c r="BV80" s="212" t="s">
        <v>365</v>
      </c>
    </row>
    <row r="81" spans="1:74" s="213" customFormat="1" x14ac:dyDescent="0.35">
      <c r="A81" s="211"/>
      <c r="B81" s="211">
        <v>78</v>
      </c>
      <c r="C81" s="211" t="s">
        <v>226</v>
      </c>
      <c r="D81" s="211" t="s">
        <v>99</v>
      </c>
      <c r="E81" s="211" t="e">
        <v>#N/A</v>
      </c>
      <c r="F81" s="211" t="s">
        <v>549</v>
      </c>
      <c r="G81" s="211" t="s">
        <v>465</v>
      </c>
      <c r="H81" s="211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1" t="s">
        <v>72</v>
      </c>
      <c r="U81" s="211" t="s">
        <v>445</v>
      </c>
      <c r="V81" s="215">
        <v>1</v>
      </c>
      <c r="W81" s="211" t="s">
        <v>563</v>
      </c>
      <c r="X81" s="211" t="s">
        <v>166</v>
      </c>
      <c r="Y81" s="211"/>
      <c r="Z81" s="211"/>
      <c r="AD81" s="211"/>
      <c r="AE81" s="212"/>
      <c r="AF81" s="212"/>
      <c r="AG81" s="212"/>
      <c r="AH81" s="212"/>
      <c r="AI81" s="211"/>
      <c r="AJ81" s="211"/>
      <c r="AK81" s="211"/>
      <c r="AL81" s="211"/>
      <c r="AM81" s="211"/>
      <c r="AN81" s="211"/>
      <c r="AO81" s="211"/>
      <c r="AP81" s="211"/>
      <c r="AQ81" s="211"/>
      <c r="AR81" s="211"/>
      <c r="AS81" s="211"/>
      <c r="AT81" s="211"/>
      <c r="AU81" s="211"/>
      <c r="AV81" s="211"/>
      <c r="AW81" s="211"/>
      <c r="AX81" s="211"/>
      <c r="AY81" s="211"/>
      <c r="AZ81" s="211"/>
      <c r="BD81" s="212"/>
      <c r="BE81" s="212"/>
      <c r="BF81" s="212"/>
      <c r="BG81" s="212"/>
      <c r="BH81" s="212"/>
      <c r="BI81" s="212"/>
      <c r="BJ81" s="212"/>
      <c r="BK81" s="212"/>
      <c r="BL81" s="212"/>
      <c r="BM81" s="212"/>
      <c r="BN81" s="212"/>
      <c r="BO81" s="212"/>
      <c r="BP81" s="212"/>
      <c r="BS81" s="212">
        <v>80</v>
      </c>
      <c r="BT81" s="212" t="s">
        <v>375</v>
      </c>
      <c r="BU81" s="211" t="s">
        <v>78</v>
      </c>
      <c r="BV81" s="212" t="s">
        <v>375</v>
      </c>
    </row>
    <row r="82" spans="1:74" s="213" customFormat="1" x14ac:dyDescent="0.35">
      <c r="A82" s="211"/>
      <c r="B82" s="211">
        <v>79</v>
      </c>
      <c r="C82" s="211" t="s">
        <v>326</v>
      </c>
      <c r="D82" s="211" t="s">
        <v>88</v>
      </c>
      <c r="E82" s="211" t="s">
        <v>435</v>
      </c>
      <c r="F82" s="211" t="s">
        <v>163</v>
      </c>
      <c r="G82" s="211" t="s">
        <v>485</v>
      </c>
      <c r="H82" s="211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1" t="s">
        <v>73</v>
      </c>
      <c r="U82" s="211" t="s">
        <v>437</v>
      </c>
      <c r="V82" s="215">
        <v>1</v>
      </c>
      <c r="W82" s="211" t="s">
        <v>450</v>
      </c>
      <c r="X82" s="211" t="s">
        <v>166</v>
      </c>
      <c r="Y82" s="211"/>
      <c r="Z82" s="211"/>
      <c r="AD82" s="211"/>
      <c r="AE82" s="212"/>
      <c r="AF82" s="212"/>
      <c r="AG82" s="212"/>
      <c r="AH82" s="212"/>
      <c r="AI82" s="211"/>
      <c r="AJ82" s="211"/>
      <c r="AK82" s="211"/>
      <c r="AL82" s="211"/>
      <c r="AM82" s="211"/>
      <c r="AN82" s="211"/>
      <c r="AO82" s="211"/>
      <c r="AP82" s="211"/>
      <c r="AQ82" s="211"/>
      <c r="AR82" s="211"/>
      <c r="AS82" s="211"/>
      <c r="AT82" s="211"/>
      <c r="AU82" s="211"/>
      <c r="AV82" s="211"/>
      <c r="AW82" s="211"/>
      <c r="AX82" s="211"/>
      <c r="AY82" s="211"/>
      <c r="AZ82" s="211"/>
      <c r="BD82" s="212"/>
      <c r="BE82" s="212"/>
      <c r="BF82" s="212"/>
      <c r="BG82" s="212"/>
      <c r="BH82" s="212"/>
      <c r="BI82" s="212"/>
      <c r="BJ82" s="212"/>
      <c r="BK82" s="212"/>
      <c r="BL82" s="212"/>
      <c r="BM82" s="212"/>
      <c r="BN82" s="212"/>
      <c r="BO82" s="212"/>
      <c r="BP82" s="212"/>
      <c r="BS82" s="212">
        <v>81</v>
      </c>
      <c r="BT82" s="212" t="s">
        <v>304</v>
      </c>
      <c r="BU82" s="211" t="s">
        <v>79</v>
      </c>
      <c r="BV82" s="212" t="s">
        <v>304</v>
      </c>
    </row>
    <row r="83" spans="1:74" s="213" customFormat="1" x14ac:dyDescent="0.35">
      <c r="A83" s="211"/>
      <c r="B83" s="211">
        <v>80</v>
      </c>
      <c r="C83" s="211" t="s">
        <v>328</v>
      </c>
      <c r="D83" s="211" t="s">
        <v>89</v>
      </c>
      <c r="E83" s="211" t="s">
        <v>444</v>
      </c>
      <c r="F83" s="211" t="s">
        <v>148</v>
      </c>
      <c r="G83" s="211" t="s">
        <v>446</v>
      </c>
      <c r="H83" s="211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1" t="s">
        <v>74</v>
      </c>
      <c r="U83" s="211" t="s">
        <v>454</v>
      </c>
      <c r="V83" s="215">
        <v>1</v>
      </c>
      <c r="W83" s="211" t="s">
        <v>444</v>
      </c>
      <c r="X83" s="211" t="s">
        <v>156</v>
      </c>
      <c r="Y83" s="211"/>
      <c r="Z83" s="211"/>
      <c r="AD83" s="211"/>
      <c r="AE83" s="212"/>
      <c r="AF83" s="212"/>
      <c r="AG83" s="212"/>
      <c r="AH83" s="212"/>
      <c r="AI83" s="211"/>
      <c r="AJ83" s="211"/>
      <c r="AK83" s="211"/>
      <c r="AL83" s="211"/>
      <c r="AM83" s="211"/>
      <c r="AN83" s="211"/>
      <c r="AO83" s="211"/>
      <c r="AP83" s="211"/>
      <c r="AQ83" s="211"/>
      <c r="AR83" s="211"/>
      <c r="AS83" s="211"/>
      <c r="AT83" s="211"/>
      <c r="AU83" s="211"/>
      <c r="AV83" s="211"/>
      <c r="AW83" s="211"/>
      <c r="AX83" s="211"/>
      <c r="AY83" s="211"/>
      <c r="AZ83" s="211"/>
      <c r="BD83" s="212"/>
      <c r="BE83" s="212"/>
      <c r="BF83" s="212"/>
      <c r="BG83" s="212"/>
      <c r="BH83" s="212"/>
      <c r="BI83" s="212"/>
      <c r="BJ83" s="212"/>
      <c r="BK83" s="212"/>
      <c r="BL83" s="212"/>
      <c r="BM83" s="212"/>
      <c r="BN83" s="212"/>
      <c r="BO83" s="212"/>
      <c r="BP83" s="212"/>
      <c r="BS83" s="212">
        <v>82</v>
      </c>
      <c r="BT83" s="212" t="s">
        <v>355</v>
      </c>
      <c r="BU83" s="211" t="s">
        <v>80</v>
      </c>
      <c r="BV83" s="212" t="s">
        <v>355</v>
      </c>
    </row>
    <row r="84" spans="1:74" s="213" customFormat="1" x14ac:dyDescent="0.35">
      <c r="A84" s="211"/>
      <c r="B84" s="211">
        <v>81</v>
      </c>
      <c r="C84" s="211" t="s">
        <v>330</v>
      </c>
      <c r="D84" s="211" t="s">
        <v>90</v>
      </c>
      <c r="E84" s="211" t="s">
        <v>444</v>
      </c>
      <c r="F84" s="211" t="s">
        <v>148</v>
      </c>
      <c r="G84" s="211" t="s">
        <v>446</v>
      </c>
      <c r="H84" s="211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1" t="s">
        <v>104</v>
      </c>
      <c r="U84" s="211" t="s">
        <v>481</v>
      </c>
      <c r="V84" s="215">
        <v>1</v>
      </c>
      <c r="W84" s="211" t="s">
        <v>444</v>
      </c>
      <c r="X84" s="211" t="s">
        <v>156</v>
      </c>
      <c r="Y84" s="211"/>
      <c r="Z84" s="211"/>
      <c r="AD84" s="211"/>
      <c r="AE84" s="212"/>
      <c r="AF84" s="212"/>
      <c r="AG84" s="212"/>
      <c r="AH84" s="212"/>
      <c r="AI84" s="211"/>
      <c r="AJ84" s="211"/>
      <c r="AK84" s="211"/>
      <c r="AL84" s="211"/>
      <c r="AM84" s="211"/>
      <c r="AN84" s="211"/>
      <c r="AO84" s="211"/>
      <c r="AP84" s="211"/>
      <c r="AQ84" s="211"/>
      <c r="AR84" s="211"/>
      <c r="AS84" s="211"/>
      <c r="AT84" s="211"/>
      <c r="AU84" s="211"/>
      <c r="AV84" s="211"/>
      <c r="AW84" s="211"/>
      <c r="AX84" s="211"/>
      <c r="AY84" s="211"/>
      <c r="AZ84" s="211"/>
      <c r="BD84" s="212"/>
      <c r="BE84" s="212"/>
      <c r="BF84" s="212"/>
      <c r="BG84" s="212"/>
      <c r="BH84" s="212"/>
      <c r="BI84" s="212"/>
      <c r="BJ84" s="212"/>
      <c r="BK84" s="212"/>
      <c r="BL84" s="212"/>
      <c r="BM84" s="212"/>
      <c r="BN84" s="212"/>
      <c r="BO84" s="212"/>
      <c r="BP84" s="212"/>
      <c r="BS84" s="212">
        <v>83</v>
      </c>
      <c r="BT84" s="213" t="s">
        <v>333</v>
      </c>
      <c r="BU84" s="211" t="s">
        <v>81</v>
      </c>
      <c r="BV84" s="211"/>
    </row>
    <row r="85" spans="1:74" s="213" customFormat="1" x14ac:dyDescent="0.35">
      <c r="A85" s="211"/>
      <c r="B85" s="211">
        <v>82</v>
      </c>
      <c r="C85" s="211" t="s">
        <v>226</v>
      </c>
      <c r="D85" s="211" t="s">
        <v>91</v>
      </c>
      <c r="E85" s="211" t="s">
        <v>575</v>
      </c>
      <c r="F85" s="211" t="s">
        <v>167</v>
      </c>
      <c r="G85" s="211" t="s">
        <v>465</v>
      </c>
      <c r="H85" s="211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1" t="s">
        <v>107</v>
      </c>
      <c r="U85" s="211" t="s">
        <v>445</v>
      </c>
      <c r="V85" s="215">
        <v>0</v>
      </c>
      <c r="W85" s="211" t="s">
        <v>444</v>
      </c>
      <c r="X85" s="211" t="s">
        <v>163</v>
      </c>
      <c r="Y85" s="211"/>
      <c r="Z85" s="211"/>
      <c r="AD85" s="211"/>
      <c r="AE85" s="212"/>
      <c r="AF85" s="212"/>
      <c r="AG85" s="212"/>
      <c r="AH85" s="212"/>
      <c r="AI85" s="211"/>
      <c r="AJ85" s="211"/>
      <c r="AK85" s="211"/>
      <c r="AL85" s="211"/>
      <c r="AM85" s="211"/>
      <c r="AN85" s="211"/>
      <c r="AO85" s="211"/>
      <c r="AP85" s="211"/>
      <c r="AQ85" s="211"/>
      <c r="AR85" s="211"/>
      <c r="AS85" s="211"/>
      <c r="AT85" s="211"/>
      <c r="AU85" s="211"/>
      <c r="AV85" s="211"/>
      <c r="AW85" s="211"/>
      <c r="AX85" s="211"/>
      <c r="AY85" s="211"/>
      <c r="AZ85" s="211"/>
      <c r="BD85" s="212"/>
      <c r="BE85" s="212"/>
      <c r="BF85" s="212"/>
      <c r="BG85" s="212"/>
      <c r="BH85" s="212"/>
      <c r="BI85" s="212"/>
      <c r="BJ85" s="212"/>
      <c r="BK85" s="212"/>
      <c r="BL85" s="212"/>
      <c r="BM85" s="212"/>
      <c r="BN85" s="212"/>
      <c r="BO85" s="212"/>
      <c r="BP85" s="212"/>
      <c r="BS85" s="212">
        <v>84</v>
      </c>
      <c r="BT85" s="212" t="s">
        <v>377</v>
      </c>
      <c r="BU85" s="211" t="s">
        <v>82</v>
      </c>
      <c r="BV85" s="212" t="s">
        <v>377</v>
      </c>
    </row>
    <row r="86" spans="1:74" s="213" customFormat="1" x14ac:dyDescent="0.35">
      <c r="A86" s="211"/>
      <c r="B86" s="211">
        <v>83</v>
      </c>
      <c r="C86" s="211" t="s">
        <v>357</v>
      </c>
      <c r="D86" s="211" t="s">
        <v>92</v>
      </c>
      <c r="E86" s="211" t="s">
        <v>444</v>
      </c>
      <c r="F86" s="211" t="s">
        <v>163</v>
      </c>
      <c r="G86" s="211" t="s">
        <v>446</v>
      </c>
      <c r="H86" s="211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1" t="s">
        <v>75</v>
      </c>
      <c r="U86" s="211" t="s">
        <v>485</v>
      </c>
      <c r="V86" s="215">
        <v>0</v>
      </c>
      <c r="W86" s="211" t="s">
        <v>444</v>
      </c>
      <c r="X86" s="211" t="s">
        <v>166</v>
      </c>
      <c r="Y86" s="211"/>
      <c r="Z86" s="211"/>
      <c r="AD86" s="211"/>
      <c r="AE86" s="212"/>
      <c r="AF86" s="212"/>
      <c r="AG86" s="212"/>
      <c r="AH86" s="212"/>
      <c r="AI86" s="211"/>
      <c r="AJ86" s="211"/>
      <c r="AK86" s="211"/>
      <c r="AL86" s="211"/>
      <c r="AM86" s="211"/>
      <c r="AN86" s="211"/>
      <c r="AO86" s="211"/>
      <c r="AP86" s="211"/>
      <c r="AQ86" s="211"/>
      <c r="AR86" s="211"/>
      <c r="AS86" s="211"/>
      <c r="AT86" s="211"/>
      <c r="AU86" s="211"/>
      <c r="AV86" s="211"/>
      <c r="AW86" s="211"/>
      <c r="AX86" s="211"/>
      <c r="AY86" s="211"/>
      <c r="AZ86" s="211"/>
      <c r="BD86" s="212"/>
      <c r="BE86" s="212"/>
      <c r="BF86" s="212"/>
      <c r="BG86" s="212"/>
      <c r="BH86" s="212"/>
      <c r="BI86" s="212"/>
      <c r="BJ86" s="212"/>
      <c r="BK86" s="212"/>
      <c r="BL86" s="212"/>
      <c r="BM86" s="212"/>
      <c r="BN86" s="212"/>
      <c r="BO86" s="212"/>
      <c r="BP86" s="212"/>
      <c r="BS86" s="212">
        <v>85</v>
      </c>
      <c r="BT86" s="212" t="s">
        <v>378</v>
      </c>
      <c r="BU86" s="211" t="s">
        <v>83</v>
      </c>
      <c r="BV86" s="212" t="s">
        <v>378</v>
      </c>
    </row>
    <row r="87" spans="1:74" s="213" customFormat="1" x14ac:dyDescent="0.35">
      <c r="A87" s="211"/>
      <c r="B87" s="211">
        <v>84</v>
      </c>
      <c r="C87" s="211" t="s">
        <v>335</v>
      </c>
      <c r="D87" s="211" t="s">
        <v>93</v>
      </c>
      <c r="E87" s="211" t="s">
        <v>435</v>
      </c>
      <c r="F87" s="211" t="s">
        <v>148</v>
      </c>
      <c r="G87" s="211" t="s">
        <v>495</v>
      </c>
      <c r="H87" s="211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1" t="s">
        <v>76</v>
      </c>
      <c r="U87" s="211" t="s">
        <v>485</v>
      </c>
      <c r="V87" s="215">
        <v>1</v>
      </c>
      <c r="W87" s="211" t="s">
        <v>450</v>
      </c>
      <c r="X87" s="211" t="s">
        <v>166</v>
      </c>
      <c r="Y87" s="211"/>
      <c r="Z87" s="211"/>
      <c r="AD87" s="211"/>
      <c r="AE87" s="212"/>
      <c r="AF87" s="212"/>
      <c r="AG87" s="212"/>
      <c r="AH87" s="212"/>
      <c r="AI87" s="211"/>
      <c r="AJ87" s="211"/>
      <c r="AK87" s="211"/>
      <c r="AL87" s="211"/>
      <c r="AM87" s="211"/>
      <c r="AN87" s="211"/>
      <c r="AO87" s="211"/>
      <c r="AP87" s="211"/>
      <c r="AQ87" s="211"/>
      <c r="AR87" s="211"/>
      <c r="AS87" s="211"/>
      <c r="AT87" s="211"/>
      <c r="AU87" s="211"/>
      <c r="AV87" s="211"/>
      <c r="AW87" s="211"/>
      <c r="AX87" s="211"/>
      <c r="AY87" s="211"/>
      <c r="AZ87" s="211"/>
      <c r="BD87" s="212"/>
      <c r="BE87" s="212"/>
      <c r="BF87" s="212"/>
      <c r="BG87" s="212"/>
      <c r="BH87" s="212"/>
      <c r="BI87" s="212"/>
      <c r="BJ87" s="212"/>
      <c r="BK87" s="212"/>
      <c r="BL87" s="212"/>
      <c r="BM87" s="212"/>
      <c r="BN87" s="212"/>
      <c r="BO87" s="212"/>
      <c r="BP87" s="212"/>
      <c r="BS87" s="212">
        <v>86</v>
      </c>
      <c r="BT87" s="212" t="s">
        <v>290</v>
      </c>
      <c r="BU87" s="211" t="s">
        <v>84</v>
      </c>
      <c r="BV87" s="212" t="s">
        <v>290</v>
      </c>
    </row>
    <row r="88" spans="1:74" s="213" customFormat="1" x14ac:dyDescent="0.35">
      <c r="A88" s="211"/>
      <c r="B88" s="211">
        <v>85</v>
      </c>
      <c r="C88" s="211" t="s">
        <v>332</v>
      </c>
      <c r="D88" s="211" t="s">
        <v>94</v>
      </c>
      <c r="E88" s="211" t="s">
        <v>444</v>
      </c>
      <c r="F88" s="211" t="s">
        <v>164</v>
      </c>
      <c r="G88" s="211" t="s">
        <v>446</v>
      </c>
      <c r="H88" s="211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1" t="s">
        <v>77</v>
      </c>
      <c r="U88" s="211" t="s">
        <v>445</v>
      </c>
      <c r="V88" s="215">
        <v>1</v>
      </c>
      <c r="W88" s="211" t="s">
        <v>444</v>
      </c>
      <c r="X88" s="211" t="s">
        <v>148</v>
      </c>
      <c r="Y88" s="211"/>
      <c r="Z88" s="211"/>
      <c r="AD88" s="211"/>
      <c r="AE88" s="212"/>
      <c r="AF88" s="212"/>
      <c r="AG88" s="212"/>
      <c r="AH88" s="212"/>
      <c r="AI88" s="211"/>
      <c r="AJ88" s="211"/>
      <c r="AK88" s="211"/>
      <c r="AL88" s="211"/>
      <c r="AM88" s="211"/>
      <c r="AN88" s="211"/>
      <c r="AO88" s="211"/>
      <c r="AP88" s="211"/>
      <c r="AQ88" s="211"/>
      <c r="AR88" s="211"/>
      <c r="AS88" s="211"/>
      <c r="AT88" s="211"/>
      <c r="AU88" s="211"/>
      <c r="AV88" s="211"/>
      <c r="AW88" s="211"/>
      <c r="AX88" s="211"/>
      <c r="AY88" s="211"/>
      <c r="AZ88" s="211"/>
      <c r="BD88" s="212"/>
      <c r="BE88" s="212"/>
      <c r="BF88" s="212"/>
      <c r="BG88" s="212"/>
      <c r="BH88" s="212"/>
      <c r="BI88" s="212"/>
      <c r="BJ88" s="212"/>
      <c r="BK88" s="212"/>
      <c r="BL88" s="212"/>
      <c r="BM88" s="212"/>
      <c r="BN88" s="212"/>
      <c r="BO88" s="212"/>
      <c r="BP88" s="212"/>
      <c r="BS88" s="212">
        <v>87</v>
      </c>
      <c r="BT88" s="212" t="s">
        <v>290</v>
      </c>
      <c r="BU88" s="211"/>
      <c r="BV88" s="212" t="s">
        <v>290</v>
      </c>
    </row>
    <row r="89" spans="1:74" s="213" customFormat="1" x14ac:dyDescent="0.35">
      <c r="A89" s="211"/>
      <c r="B89" s="211">
        <v>86</v>
      </c>
      <c r="C89" s="211" t="s">
        <v>226</v>
      </c>
      <c r="D89" s="211" t="s">
        <v>95</v>
      </c>
      <c r="E89" s="211" t="s">
        <v>417</v>
      </c>
      <c r="F89" s="211" t="s">
        <v>167</v>
      </c>
      <c r="G89" s="211" t="s">
        <v>446</v>
      </c>
      <c r="H89" s="211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1" t="s">
        <v>119</v>
      </c>
      <c r="U89" s="211" t="s">
        <v>454</v>
      </c>
      <c r="V89" s="215">
        <v>1</v>
      </c>
      <c r="W89" s="218" t="s">
        <v>505</v>
      </c>
      <c r="X89" s="211"/>
      <c r="Y89" s="211"/>
      <c r="Z89" s="211"/>
      <c r="AD89" s="211"/>
      <c r="AE89" s="212"/>
      <c r="AF89" s="212"/>
      <c r="AG89" s="212"/>
      <c r="AH89" s="212"/>
      <c r="AI89" s="211"/>
      <c r="AJ89" s="211"/>
      <c r="AK89" s="211"/>
      <c r="AL89" s="211"/>
      <c r="AM89" s="211"/>
      <c r="AN89" s="211"/>
      <c r="AO89" s="211"/>
      <c r="AP89" s="211"/>
      <c r="AQ89" s="211"/>
      <c r="AR89" s="211"/>
      <c r="AS89" s="211"/>
      <c r="AT89" s="211"/>
      <c r="AU89" s="211"/>
      <c r="AV89" s="211"/>
      <c r="AW89" s="211"/>
      <c r="AX89" s="211"/>
      <c r="AY89" s="211"/>
      <c r="AZ89" s="211"/>
      <c r="BD89" s="212"/>
      <c r="BE89" s="212"/>
      <c r="BF89" s="212"/>
      <c r="BG89" s="212"/>
      <c r="BH89" s="212"/>
      <c r="BI89" s="212"/>
      <c r="BJ89" s="212"/>
      <c r="BK89" s="212"/>
      <c r="BL89" s="212"/>
      <c r="BM89" s="212"/>
      <c r="BN89" s="212"/>
      <c r="BO89" s="212"/>
      <c r="BP89" s="212"/>
      <c r="BS89" s="212">
        <v>88</v>
      </c>
      <c r="BT89" s="212" t="s">
        <v>379</v>
      </c>
      <c r="BU89" s="211" t="s">
        <v>85</v>
      </c>
      <c r="BV89" s="212" t="s">
        <v>379</v>
      </c>
    </row>
    <row r="90" spans="1:74" s="213" customFormat="1" x14ac:dyDescent="0.35">
      <c r="A90" s="212"/>
      <c r="B90" s="212"/>
      <c r="C90" s="211" t="s">
        <v>324</v>
      </c>
      <c r="D90" s="211" t="s">
        <v>110</v>
      </c>
      <c r="E90" s="211" t="s">
        <v>444</v>
      </c>
      <c r="F90" s="211" t="s">
        <v>156</v>
      </c>
      <c r="G90" s="211" t="s">
        <v>472</v>
      </c>
      <c r="H90" s="211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1" t="s">
        <v>78</v>
      </c>
      <c r="U90" s="211" t="s">
        <v>454</v>
      </c>
      <c r="V90" s="215">
        <v>1</v>
      </c>
      <c r="W90" s="211" t="s">
        <v>444</v>
      </c>
      <c r="X90" s="211" t="s">
        <v>148</v>
      </c>
      <c r="Y90" s="211"/>
      <c r="Z90" s="211"/>
      <c r="AD90" s="211"/>
      <c r="AE90" s="212"/>
      <c r="AF90" s="212"/>
      <c r="AG90" s="212"/>
      <c r="AH90" s="212"/>
      <c r="AI90" s="211"/>
      <c r="AJ90" s="211"/>
      <c r="AK90" s="211"/>
      <c r="AL90" s="211"/>
      <c r="AM90" s="211"/>
      <c r="AN90" s="211"/>
      <c r="AO90" s="211"/>
      <c r="AP90" s="211"/>
      <c r="AQ90" s="211"/>
      <c r="AR90" s="211"/>
      <c r="AS90" s="211"/>
      <c r="AT90" s="211"/>
      <c r="AU90" s="211"/>
      <c r="AV90" s="211"/>
      <c r="AW90" s="211"/>
      <c r="AX90" s="211"/>
      <c r="AY90" s="211"/>
      <c r="AZ90" s="211"/>
      <c r="BD90" s="212"/>
      <c r="BE90" s="212"/>
      <c r="BF90" s="212"/>
      <c r="BG90" s="212"/>
      <c r="BH90" s="212"/>
      <c r="BI90" s="212"/>
      <c r="BJ90" s="212"/>
      <c r="BK90" s="212"/>
      <c r="BL90" s="212"/>
      <c r="BM90" s="212"/>
      <c r="BN90" s="212"/>
      <c r="BO90" s="212"/>
      <c r="BP90" s="212"/>
      <c r="BS90" s="212">
        <v>89</v>
      </c>
      <c r="BT90" s="212" t="s">
        <v>386</v>
      </c>
      <c r="BU90" s="211"/>
      <c r="BV90" s="212" t="s">
        <v>386</v>
      </c>
    </row>
    <row r="91" spans="1:74" s="213" customFormat="1" x14ac:dyDescent="0.35">
      <c r="A91" s="212"/>
      <c r="B91" s="212"/>
      <c r="C91" s="211" t="s">
        <v>226</v>
      </c>
      <c r="D91" s="212" t="s">
        <v>576</v>
      </c>
      <c r="E91" s="212" t="s">
        <v>444</v>
      </c>
      <c r="F91" s="212" t="s">
        <v>148</v>
      </c>
      <c r="G91" s="212" t="s">
        <v>465</v>
      </c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1" t="s">
        <v>79</v>
      </c>
      <c r="U91" s="211" t="s">
        <v>436</v>
      </c>
      <c r="V91" s="215">
        <v>1</v>
      </c>
      <c r="W91" s="211" t="s">
        <v>450</v>
      </c>
      <c r="X91" s="211" t="s">
        <v>166</v>
      </c>
      <c r="Y91" s="211"/>
      <c r="Z91" s="211"/>
      <c r="AD91" s="211"/>
      <c r="AE91" s="212"/>
      <c r="AF91" s="212"/>
      <c r="AG91" s="212"/>
      <c r="AH91" s="212"/>
      <c r="AI91" s="211"/>
      <c r="AJ91" s="211"/>
      <c r="AK91" s="211"/>
      <c r="AL91" s="211"/>
      <c r="AM91" s="211"/>
      <c r="AN91" s="211"/>
      <c r="AO91" s="211"/>
      <c r="AP91" s="211"/>
      <c r="AQ91" s="211"/>
      <c r="AR91" s="211"/>
      <c r="AS91" s="211"/>
      <c r="AT91" s="211"/>
      <c r="AU91" s="211"/>
      <c r="AV91" s="211"/>
      <c r="AW91" s="211"/>
      <c r="AX91" s="211"/>
      <c r="AY91" s="211"/>
      <c r="AZ91" s="211"/>
      <c r="BD91" s="212"/>
      <c r="BE91" s="212"/>
      <c r="BF91" s="212"/>
      <c r="BG91" s="212"/>
      <c r="BH91" s="212"/>
      <c r="BI91" s="212"/>
      <c r="BJ91" s="212"/>
      <c r="BK91" s="212"/>
      <c r="BL91" s="212"/>
      <c r="BM91" s="212"/>
      <c r="BN91" s="212"/>
      <c r="BO91" s="212"/>
      <c r="BP91" s="212"/>
      <c r="BS91" s="212">
        <v>90</v>
      </c>
      <c r="BT91" s="212" t="s">
        <v>380</v>
      </c>
      <c r="BU91" s="211"/>
      <c r="BV91" s="212" t="s">
        <v>380</v>
      </c>
    </row>
    <row r="92" spans="1:74" s="213" customFormat="1" x14ac:dyDescent="0.35">
      <c r="A92" s="212"/>
      <c r="B92" s="212"/>
      <c r="C92" s="211" t="s">
        <v>226</v>
      </c>
      <c r="D92" s="211" t="s">
        <v>100</v>
      </c>
      <c r="E92" s="211" t="s">
        <v>444</v>
      </c>
      <c r="F92" s="211" t="s">
        <v>148</v>
      </c>
      <c r="G92" s="211" t="s">
        <v>437</v>
      </c>
      <c r="H92" s="211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1" t="s">
        <v>80</v>
      </c>
      <c r="U92" s="211" t="s">
        <v>446</v>
      </c>
      <c r="V92" s="215">
        <v>1</v>
      </c>
      <c r="W92" s="211" t="s">
        <v>444</v>
      </c>
      <c r="X92" s="211" t="s">
        <v>163</v>
      </c>
      <c r="Y92" s="211"/>
      <c r="Z92" s="211"/>
      <c r="AD92" s="211"/>
      <c r="AE92" s="212"/>
      <c r="AF92" s="212"/>
      <c r="AG92" s="212"/>
      <c r="AH92" s="212"/>
      <c r="AI92" s="211"/>
      <c r="AJ92" s="211"/>
      <c r="AK92" s="211"/>
      <c r="AL92" s="211"/>
      <c r="AM92" s="211"/>
      <c r="AN92" s="211"/>
      <c r="AO92" s="211"/>
      <c r="AP92" s="211"/>
      <c r="AQ92" s="211"/>
      <c r="AR92" s="211"/>
      <c r="AS92" s="211"/>
      <c r="AT92" s="211"/>
      <c r="AU92" s="211"/>
      <c r="AV92" s="211"/>
      <c r="AW92" s="211"/>
      <c r="AX92" s="211"/>
      <c r="AY92" s="211"/>
      <c r="AZ92" s="211"/>
      <c r="BD92" s="212"/>
      <c r="BE92" s="212"/>
      <c r="BF92" s="212"/>
      <c r="BG92" s="212"/>
      <c r="BH92" s="212"/>
      <c r="BI92" s="212"/>
      <c r="BJ92" s="212"/>
      <c r="BK92" s="212"/>
      <c r="BL92" s="212"/>
      <c r="BM92" s="212"/>
      <c r="BN92" s="212"/>
      <c r="BO92" s="212"/>
      <c r="BP92" s="212"/>
      <c r="BS92" s="212">
        <v>91</v>
      </c>
      <c r="BT92" s="211"/>
      <c r="BU92" s="211" t="s">
        <v>86</v>
      </c>
      <c r="BV92" s="211"/>
    </row>
    <row r="93" spans="1:74" s="213" customFormat="1" x14ac:dyDescent="0.35">
      <c r="A93" s="212"/>
      <c r="B93" s="212"/>
      <c r="C93" s="211" t="s">
        <v>356</v>
      </c>
      <c r="D93" s="211" t="s">
        <v>106</v>
      </c>
      <c r="E93" s="211" t="s">
        <v>444</v>
      </c>
      <c r="F93" s="211" t="s">
        <v>164</v>
      </c>
      <c r="G93" s="211" t="s">
        <v>465</v>
      </c>
      <c r="H93" s="211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1" t="s">
        <v>81</v>
      </c>
      <c r="U93" s="211" t="s">
        <v>436</v>
      </c>
      <c r="V93" s="215"/>
      <c r="W93" s="211" t="s">
        <v>573</v>
      </c>
      <c r="X93" s="211" t="s">
        <v>167</v>
      </c>
      <c r="Y93" s="211"/>
      <c r="Z93" s="211"/>
      <c r="AD93" s="211"/>
      <c r="AE93" s="212"/>
      <c r="AF93" s="212"/>
      <c r="AG93" s="211"/>
      <c r="AH93" s="211"/>
      <c r="AI93" s="211"/>
      <c r="AJ93" s="211"/>
      <c r="AK93" s="211"/>
      <c r="AL93" s="211"/>
      <c r="AM93" s="211"/>
      <c r="AN93" s="211"/>
      <c r="AO93" s="211"/>
      <c r="AP93" s="211"/>
      <c r="AQ93" s="211"/>
      <c r="AR93" s="211"/>
      <c r="AS93" s="211"/>
      <c r="AT93" s="211"/>
      <c r="AU93" s="211"/>
      <c r="AV93" s="211"/>
      <c r="AW93" s="211"/>
      <c r="AX93" s="211"/>
      <c r="AY93" s="211"/>
      <c r="AZ93" s="211"/>
      <c r="BS93" s="212">
        <v>92</v>
      </c>
      <c r="BT93" s="211"/>
      <c r="BU93" s="212" t="s">
        <v>102</v>
      </c>
      <c r="BV93" s="211"/>
    </row>
    <row r="94" spans="1:74" s="213" customFormat="1" x14ac:dyDescent="0.35">
      <c r="A94" s="212"/>
      <c r="B94" s="212"/>
      <c r="C94" s="211" t="s">
        <v>226</v>
      </c>
      <c r="D94" s="211" t="s">
        <v>101</v>
      </c>
      <c r="E94" s="211" t="s">
        <v>450</v>
      </c>
      <c r="F94" s="211" t="s">
        <v>166</v>
      </c>
      <c r="G94" s="211" t="s">
        <v>495</v>
      </c>
      <c r="H94" s="211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1" t="s">
        <v>82</v>
      </c>
      <c r="U94" s="211" t="s">
        <v>488</v>
      </c>
      <c r="V94" s="215">
        <v>1</v>
      </c>
      <c r="W94" s="211" t="s">
        <v>444</v>
      </c>
      <c r="X94" s="211" t="s">
        <v>156</v>
      </c>
      <c r="Y94" s="211"/>
      <c r="Z94" s="211"/>
      <c r="AD94" s="211"/>
      <c r="AE94" s="211"/>
      <c r="AF94" s="211"/>
      <c r="AG94" s="211"/>
      <c r="AH94" s="211"/>
      <c r="AI94" s="211"/>
      <c r="AJ94" s="211"/>
      <c r="AK94" s="211"/>
      <c r="AL94" s="211"/>
      <c r="AM94" s="211"/>
      <c r="AN94" s="211"/>
      <c r="AO94" s="211"/>
      <c r="AP94" s="211"/>
      <c r="AQ94" s="211"/>
      <c r="AR94" s="211"/>
      <c r="AS94" s="211"/>
      <c r="AT94" s="211"/>
      <c r="AU94" s="211"/>
      <c r="AV94" s="211"/>
      <c r="AW94" s="211"/>
      <c r="AX94" s="211"/>
      <c r="AY94" s="211"/>
      <c r="AZ94" s="211"/>
      <c r="BS94" s="212">
        <v>93</v>
      </c>
      <c r="BT94" s="211"/>
      <c r="BU94" s="212" t="s">
        <v>105</v>
      </c>
      <c r="BV94" s="211"/>
    </row>
    <row r="95" spans="1:74" s="213" customFormat="1" x14ac:dyDescent="0.35">
      <c r="A95" s="212"/>
      <c r="B95" s="212"/>
      <c r="C95" s="211" t="s">
        <v>226</v>
      </c>
      <c r="D95" s="212" t="s">
        <v>102</v>
      </c>
      <c r="E95" s="212" t="s">
        <v>167</v>
      </c>
      <c r="F95" s="212" t="s">
        <v>167</v>
      </c>
      <c r="G95" s="212" t="s">
        <v>485</v>
      </c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1" t="s">
        <v>83</v>
      </c>
      <c r="U95" s="211" t="s">
        <v>485</v>
      </c>
      <c r="V95" s="215">
        <v>1</v>
      </c>
      <c r="W95" s="211" t="s">
        <v>444</v>
      </c>
      <c r="X95" s="211" t="s">
        <v>148</v>
      </c>
      <c r="Y95" s="211"/>
      <c r="Z95" s="211"/>
      <c r="AD95" s="211"/>
      <c r="AE95" s="211"/>
      <c r="AF95" s="211"/>
      <c r="AG95" s="211"/>
      <c r="AH95" s="211"/>
      <c r="AI95" s="211"/>
      <c r="AJ95" s="211"/>
      <c r="AK95" s="211"/>
      <c r="AL95" s="211"/>
      <c r="AM95" s="211"/>
      <c r="AN95" s="211"/>
      <c r="AO95" s="211"/>
      <c r="AP95" s="211"/>
      <c r="AQ95" s="211"/>
      <c r="AR95" s="211"/>
      <c r="AS95" s="211"/>
      <c r="AT95" s="211"/>
      <c r="AU95" s="211"/>
      <c r="AV95" s="211"/>
      <c r="AW95" s="211"/>
      <c r="AX95" s="211"/>
      <c r="AY95" s="211"/>
      <c r="AZ95" s="211"/>
      <c r="BS95" s="212">
        <v>94</v>
      </c>
      <c r="BT95" s="212" t="s">
        <v>381</v>
      </c>
      <c r="BU95" s="211" t="s">
        <v>87</v>
      </c>
      <c r="BV95" s="212" t="s">
        <v>381</v>
      </c>
    </row>
    <row r="96" spans="1:74" s="213" customFormat="1" x14ac:dyDescent="0.35">
      <c r="A96" s="212"/>
      <c r="B96" s="212"/>
      <c r="C96" s="211" t="s">
        <v>353</v>
      </c>
      <c r="D96" s="212" t="s">
        <v>103</v>
      </c>
      <c r="E96" s="212" t="s">
        <v>444</v>
      </c>
      <c r="F96" s="212" t="s">
        <v>166</v>
      </c>
      <c r="G96" s="212" t="s">
        <v>436</v>
      </c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1" t="s">
        <v>84</v>
      </c>
      <c r="U96" s="211" t="s">
        <v>485</v>
      </c>
      <c r="V96" s="215">
        <v>1</v>
      </c>
      <c r="W96" s="211" t="s">
        <v>574</v>
      </c>
      <c r="X96" s="211" t="s">
        <v>148</v>
      </c>
      <c r="Y96" s="211"/>
      <c r="Z96" s="211"/>
      <c r="AD96" s="211"/>
      <c r="AE96" s="211"/>
      <c r="AF96" s="211"/>
      <c r="AG96" s="211"/>
      <c r="AH96" s="211"/>
      <c r="AI96" s="211"/>
      <c r="AJ96" s="211"/>
      <c r="AK96" s="211"/>
      <c r="AL96" s="211"/>
      <c r="AM96" s="211"/>
      <c r="AN96" s="211"/>
      <c r="AO96" s="211"/>
      <c r="AP96" s="211"/>
      <c r="AQ96" s="211"/>
      <c r="AR96" s="211"/>
      <c r="AS96" s="211"/>
      <c r="AT96" s="211"/>
      <c r="AU96" s="211"/>
      <c r="AV96" s="211"/>
      <c r="AW96" s="211"/>
      <c r="AX96" s="211"/>
      <c r="AY96" s="211"/>
      <c r="AZ96" s="211"/>
      <c r="BS96" s="212">
        <v>95</v>
      </c>
      <c r="BT96" s="212" t="s">
        <v>383</v>
      </c>
      <c r="BU96" s="211"/>
      <c r="BV96" s="212" t="s">
        <v>383</v>
      </c>
    </row>
    <row r="97" spans="1:74" s="213" customFormat="1" x14ac:dyDescent="0.35">
      <c r="A97" s="212"/>
      <c r="B97" s="212"/>
      <c r="C97" s="211" t="s">
        <v>374</v>
      </c>
      <c r="D97" s="212" t="s">
        <v>104</v>
      </c>
      <c r="E97" s="212" t="s">
        <v>444</v>
      </c>
      <c r="F97" s="212" t="s">
        <v>156</v>
      </c>
      <c r="G97" s="212" t="s">
        <v>481</v>
      </c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1" t="s">
        <v>85</v>
      </c>
      <c r="U97" s="211" t="s">
        <v>489</v>
      </c>
      <c r="V97" s="215">
        <v>1</v>
      </c>
      <c r="W97" s="211" t="s">
        <v>444</v>
      </c>
      <c r="X97" s="211" t="s">
        <v>156</v>
      </c>
      <c r="Y97" s="211"/>
      <c r="Z97" s="211"/>
      <c r="AD97" s="211"/>
      <c r="AE97" s="211"/>
      <c r="AF97" s="211"/>
      <c r="AG97" s="211"/>
      <c r="AH97" s="211"/>
      <c r="AI97" s="211"/>
      <c r="AJ97" s="211"/>
      <c r="AK97" s="211"/>
      <c r="AL97" s="211"/>
      <c r="AM97" s="211"/>
      <c r="AN97" s="211"/>
      <c r="AO97" s="211"/>
      <c r="AP97" s="211"/>
      <c r="AQ97" s="211"/>
      <c r="AR97" s="211"/>
      <c r="AS97" s="211"/>
      <c r="AT97" s="211"/>
      <c r="AU97" s="211"/>
      <c r="AV97" s="211"/>
      <c r="AW97" s="211"/>
      <c r="AX97" s="211"/>
      <c r="AY97" s="211"/>
      <c r="AZ97" s="211"/>
      <c r="BS97" s="212">
        <v>96</v>
      </c>
      <c r="BT97" s="211"/>
      <c r="BU97" s="212" t="s">
        <v>576</v>
      </c>
      <c r="BV97" s="211"/>
    </row>
    <row r="98" spans="1:74" s="213" customFormat="1" x14ac:dyDescent="0.35">
      <c r="A98" s="212"/>
      <c r="B98" s="212"/>
      <c r="C98" s="211" t="s">
        <v>226</v>
      </c>
      <c r="D98" s="212" t="s">
        <v>105</v>
      </c>
      <c r="E98" s="212" t="s">
        <v>444</v>
      </c>
      <c r="F98" s="212" t="s">
        <v>164</v>
      </c>
      <c r="G98" s="212" t="s">
        <v>485</v>
      </c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1" t="s">
        <v>577</v>
      </c>
      <c r="U98" s="211" t="s">
        <v>449</v>
      </c>
      <c r="V98" s="215">
        <v>1</v>
      </c>
      <c r="W98" s="211" t="s">
        <v>444</v>
      </c>
      <c r="X98" s="211" t="s">
        <v>148</v>
      </c>
      <c r="Y98" s="211"/>
      <c r="Z98" s="211"/>
      <c r="AD98" s="211"/>
      <c r="AE98" s="211"/>
      <c r="AF98" s="211"/>
      <c r="AG98" s="211"/>
      <c r="AH98" s="211"/>
      <c r="AI98" s="211"/>
      <c r="AJ98" s="211"/>
      <c r="AK98" s="211"/>
      <c r="AL98" s="211"/>
      <c r="AM98" s="211"/>
      <c r="AN98" s="211"/>
      <c r="AO98" s="211"/>
      <c r="AP98" s="211"/>
      <c r="AQ98" s="211"/>
      <c r="AR98" s="211"/>
      <c r="AS98" s="211"/>
      <c r="AT98" s="211"/>
      <c r="AU98" s="211"/>
      <c r="AV98" s="211"/>
      <c r="AW98" s="211"/>
      <c r="AX98" s="211"/>
      <c r="AY98" s="211"/>
      <c r="AZ98" s="211"/>
      <c r="BS98" s="212">
        <v>97</v>
      </c>
      <c r="BT98" s="211"/>
      <c r="BU98" s="211" t="s">
        <v>99</v>
      </c>
      <c r="BV98" s="211"/>
    </row>
    <row r="99" spans="1:74" s="213" customFormat="1" x14ac:dyDescent="0.35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1" t="s">
        <v>86</v>
      </c>
      <c r="U99" s="211" t="s">
        <v>431</v>
      </c>
      <c r="V99" s="215">
        <v>1</v>
      </c>
      <c r="W99" s="211" t="s">
        <v>444</v>
      </c>
      <c r="X99" s="211" t="s">
        <v>156</v>
      </c>
      <c r="Y99" s="211"/>
      <c r="Z99" s="211"/>
      <c r="AD99" s="211"/>
      <c r="AE99" s="211"/>
      <c r="AF99" s="211"/>
      <c r="AG99" s="211"/>
      <c r="AH99" s="211"/>
      <c r="AI99" s="211"/>
      <c r="AJ99" s="211"/>
      <c r="AK99" s="211"/>
      <c r="AL99" s="211"/>
      <c r="AM99" s="211"/>
      <c r="AN99" s="211"/>
      <c r="AO99" s="211"/>
      <c r="AP99" s="211"/>
      <c r="AQ99" s="211"/>
      <c r="AR99" s="211"/>
      <c r="AS99" s="211"/>
      <c r="AT99" s="211"/>
      <c r="AU99" s="211"/>
      <c r="AV99" s="211"/>
      <c r="AW99" s="211"/>
      <c r="AX99" s="211"/>
      <c r="AY99" s="211"/>
      <c r="AZ99" s="211"/>
      <c r="BS99" s="212">
        <v>98</v>
      </c>
      <c r="BT99" s="212" t="s">
        <v>326</v>
      </c>
      <c r="BU99" s="211" t="s">
        <v>88</v>
      </c>
      <c r="BV99" s="212" t="s">
        <v>326</v>
      </c>
    </row>
    <row r="100" spans="1:74" s="213" customFormat="1" x14ac:dyDescent="0.35">
      <c r="A100" s="212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1" t="s">
        <v>105</v>
      </c>
      <c r="U100" s="211" t="s">
        <v>485</v>
      </c>
      <c r="V100" s="215">
        <v>1</v>
      </c>
      <c r="W100" s="211" t="s">
        <v>444</v>
      </c>
      <c r="X100" s="211" t="s">
        <v>164</v>
      </c>
      <c r="Y100" s="211"/>
      <c r="Z100" s="211"/>
      <c r="AD100" s="211"/>
      <c r="AE100" s="211"/>
      <c r="AF100" s="211"/>
      <c r="AG100" s="211"/>
      <c r="AH100" s="211"/>
      <c r="AI100" s="211"/>
      <c r="AJ100" s="211"/>
      <c r="AK100" s="211"/>
      <c r="AL100" s="211"/>
      <c r="AM100" s="211"/>
      <c r="AN100" s="211"/>
      <c r="AO100" s="211"/>
      <c r="AP100" s="211"/>
      <c r="AQ100" s="211"/>
      <c r="AR100" s="211"/>
      <c r="AS100" s="211"/>
      <c r="AT100" s="211"/>
      <c r="AU100" s="211"/>
      <c r="AV100" s="211"/>
      <c r="AW100" s="211"/>
      <c r="AX100" s="211"/>
      <c r="AY100" s="211"/>
      <c r="AZ100" s="211"/>
      <c r="BS100" s="212">
        <v>99</v>
      </c>
      <c r="BT100" s="212" t="s">
        <v>328</v>
      </c>
      <c r="BU100" s="211" t="s">
        <v>89</v>
      </c>
      <c r="BV100" s="212" t="s">
        <v>328</v>
      </c>
    </row>
    <row r="101" spans="1:74" s="213" customFormat="1" x14ac:dyDescent="0.35">
      <c r="A101" s="212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1" t="s">
        <v>578</v>
      </c>
      <c r="U101" s="211" t="s">
        <v>449</v>
      </c>
      <c r="V101" s="215">
        <v>1</v>
      </c>
      <c r="W101" s="211" t="s">
        <v>435</v>
      </c>
      <c r="X101" s="211" t="s">
        <v>163</v>
      </c>
      <c r="Y101" s="211"/>
      <c r="Z101" s="211"/>
      <c r="AD101" s="211"/>
      <c r="AE101" s="211"/>
      <c r="AF101" s="211"/>
      <c r="AG101" s="211"/>
      <c r="AH101" s="211"/>
      <c r="AI101" s="211"/>
      <c r="AJ101" s="211"/>
      <c r="AK101" s="211"/>
      <c r="AL101" s="211"/>
      <c r="AM101" s="211"/>
      <c r="AN101" s="211"/>
      <c r="AO101" s="211"/>
      <c r="AP101" s="211"/>
      <c r="AQ101" s="211"/>
      <c r="AR101" s="211"/>
      <c r="AS101" s="211"/>
      <c r="AT101" s="211"/>
      <c r="AU101" s="211"/>
      <c r="AV101" s="211"/>
      <c r="AW101" s="211"/>
      <c r="AX101" s="211"/>
      <c r="AY101" s="211"/>
      <c r="AZ101" s="211"/>
      <c r="BS101" s="212">
        <v>100</v>
      </c>
      <c r="BT101" s="212" t="s">
        <v>330</v>
      </c>
      <c r="BU101" s="211" t="s">
        <v>90</v>
      </c>
      <c r="BV101" s="212" t="s">
        <v>330</v>
      </c>
    </row>
    <row r="102" spans="1:74" s="213" customFormat="1" x14ac:dyDescent="0.35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1" t="s">
        <v>87</v>
      </c>
      <c r="U102" s="211" t="s">
        <v>437</v>
      </c>
      <c r="V102" s="215">
        <v>1</v>
      </c>
      <c r="W102" s="211" t="s">
        <v>444</v>
      </c>
      <c r="X102" s="211" t="s">
        <v>164</v>
      </c>
      <c r="Y102" s="211"/>
      <c r="Z102" s="211"/>
      <c r="AD102" s="211"/>
      <c r="AE102" s="211"/>
      <c r="AF102" s="211"/>
      <c r="AG102" s="211"/>
      <c r="AH102" s="211"/>
      <c r="AI102" s="211"/>
      <c r="AJ102" s="211"/>
      <c r="AK102" s="211"/>
      <c r="AL102" s="211"/>
      <c r="AM102" s="211"/>
      <c r="AN102" s="211"/>
      <c r="AO102" s="211"/>
      <c r="AP102" s="211"/>
      <c r="AQ102" s="211"/>
      <c r="AR102" s="211"/>
      <c r="AS102" s="211"/>
      <c r="AT102" s="211"/>
      <c r="AU102" s="211"/>
      <c r="AV102" s="211"/>
      <c r="AW102" s="211"/>
      <c r="AX102" s="211"/>
      <c r="AY102" s="211"/>
      <c r="AZ102" s="211"/>
      <c r="BS102" s="212">
        <v>101</v>
      </c>
      <c r="BT102" s="212" t="s">
        <v>320</v>
      </c>
      <c r="BU102" s="211" t="s">
        <v>91</v>
      </c>
      <c r="BV102" s="212"/>
    </row>
    <row r="103" spans="1:74" s="213" customFormat="1" x14ac:dyDescent="0.35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8" t="s">
        <v>579</v>
      </c>
      <c r="U103" s="211" t="s">
        <v>445</v>
      </c>
      <c r="V103" s="220">
        <v>1</v>
      </c>
      <c r="W103" s="218" t="s">
        <v>444</v>
      </c>
      <c r="X103" s="218" t="s">
        <v>148</v>
      </c>
      <c r="Y103" s="218"/>
      <c r="Z103" s="211"/>
      <c r="AD103" s="211"/>
      <c r="AE103" s="211"/>
      <c r="AF103" s="211"/>
      <c r="AG103" s="211"/>
      <c r="AH103" s="211"/>
      <c r="AI103" s="211"/>
      <c r="AJ103" s="211"/>
      <c r="AK103" s="211"/>
      <c r="AL103" s="211"/>
      <c r="AM103" s="211"/>
      <c r="AN103" s="211"/>
      <c r="AO103" s="211"/>
      <c r="AP103" s="211"/>
      <c r="AQ103" s="211"/>
      <c r="AR103" s="211"/>
      <c r="AS103" s="211"/>
      <c r="AT103" s="211"/>
      <c r="AU103" s="211"/>
      <c r="AV103" s="211"/>
      <c r="AW103" s="211"/>
      <c r="AX103" s="211"/>
      <c r="AY103" s="211"/>
      <c r="AZ103" s="211"/>
      <c r="BS103" s="212">
        <v>102</v>
      </c>
      <c r="BT103" s="212" t="s">
        <v>357</v>
      </c>
      <c r="BU103" s="211" t="s">
        <v>92</v>
      </c>
      <c r="BV103" s="212" t="s">
        <v>357</v>
      </c>
    </row>
    <row r="104" spans="1:74" s="213" customFormat="1" x14ac:dyDescent="0.35">
      <c r="A104" s="212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21" t="s">
        <v>579</v>
      </c>
      <c r="U104" s="218" t="s">
        <v>485</v>
      </c>
      <c r="V104" s="220"/>
      <c r="W104" s="218" t="s">
        <v>580</v>
      </c>
      <c r="X104" s="218" t="s">
        <v>167</v>
      </c>
      <c r="Y104" s="218"/>
      <c r="Z104" s="211"/>
      <c r="AD104" s="211"/>
      <c r="AE104" s="211"/>
      <c r="AF104" s="211"/>
      <c r="AG104" s="211"/>
      <c r="AH104" s="211"/>
      <c r="AI104" s="211"/>
      <c r="AJ104" s="211"/>
      <c r="AK104" s="211"/>
      <c r="AL104" s="211"/>
      <c r="AM104" s="211"/>
      <c r="AN104" s="211"/>
      <c r="AO104" s="211"/>
      <c r="AP104" s="211"/>
      <c r="AQ104" s="211"/>
      <c r="AR104" s="211"/>
      <c r="AS104" s="211"/>
      <c r="AT104" s="211"/>
      <c r="AU104" s="211"/>
      <c r="AV104" s="211"/>
      <c r="AW104" s="211"/>
      <c r="AX104" s="211"/>
      <c r="AY104" s="211"/>
      <c r="AZ104" s="211"/>
      <c r="BS104" s="212">
        <v>103</v>
      </c>
      <c r="BT104" s="212" t="s">
        <v>334</v>
      </c>
      <c r="BU104" s="211" t="s">
        <v>108</v>
      </c>
      <c r="BV104" s="212" t="s">
        <v>334</v>
      </c>
    </row>
    <row r="105" spans="1:74" s="213" customFormat="1" x14ac:dyDescent="0.35">
      <c r="A105" s="212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8" t="s">
        <v>581</v>
      </c>
      <c r="U105" s="218" t="s">
        <v>485</v>
      </c>
      <c r="V105" s="220">
        <v>0</v>
      </c>
      <c r="W105" s="218" t="s">
        <v>450</v>
      </c>
      <c r="X105" s="218" t="s">
        <v>166</v>
      </c>
      <c r="Y105" s="218"/>
      <c r="Z105" s="211"/>
      <c r="AD105" s="211"/>
      <c r="AE105" s="211"/>
      <c r="AF105" s="211"/>
      <c r="AG105" s="211"/>
      <c r="AH105" s="211"/>
      <c r="AI105" s="211"/>
      <c r="AJ105" s="211"/>
      <c r="AK105" s="211"/>
      <c r="AL105" s="211"/>
      <c r="AM105" s="211"/>
      <c r="AN105" s="211"/>
      <c r="AO105" s="211"/>
      <c r="AP105" s="211"/>
      <c r="AQ105" s="211"/>
      <c r="AR105" s="211"/>
      <c r="AS105" s="211"/>
      <c r="AT105" s="211"/>
      <c r="AU105" s="211"/>
      <c r="AV105" s="211"/>
      <c r="AW105" s="211"/>
      <c r="AX105" s="211"/>
      <c r="AY105" s="211"/>
      <c r="AZ105" s="211"/>
      <c r="BS105" s="212">
        <v>104</v>
      </c>
      <c r="BT105" s="212" t="s">
        <v>335</v>
      </c>
      <c r="BU105" s="211" t="s">
        <v>93</v>
      </c>
      <c r="BV105" s="212" t="s">
        <v>335</v>
      </c>
    </row>
    <row r="106" spans="1:74" s="213" customFormat="1" x14ac:dyDescent="0.35">
      <c r="A106" s="212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8" t="s">
        <v>582</v>
      </c>
      <c r="U106" s="218" t="s">
        <v>472</v>
      </c>
      <c r="V106" s="220">
        <v>0</v>
      </c>
      <c r="W106" s="218" t="s">
        <v>444</v>
      </c>
      <c r="X106" s="218" t="s">
        <v>148</v>
      </c>
      <c r="Y106" s="218"/>
      <c r="Z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/>
      <c r="AN106" s="211"/>
      <c r="AO106" s="211"/>
      <c r="AP106" s="211"/>
      <c r="AQ106" s="211"/>
      <c r="AR106" s="211"/>
      <c r="AS106" s="211"/>
      <c r="AT106" s="211"/>
      <c r="AU106" s="211"/>
      <c r="AV106" s="211"/>
      <c r="AW106" s="211"/>
      <c r="AX106" s="211"/>
      <c r="AY106" s="211"/>
      <c r="AZ106" s="211"/>
      <c r="BS106" s="212">
        <v>105</v>
      </c>
      <c r="BT106" s="212"/>
      <c r="BU106" s="211" t="s">
        <v>100</v>
      </c>
      <c r="BV106" s="212"/>
    </row>
    <row r="107" spans="1:74" s="213" customFormat="1" x14ac:dyDescent="0.35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8" t="s">
        <v>583</v>
      </c>
      <c r="U107" s="218" t="s">
        <v>454</v>
      </c>
      <c r="V107" s="220">
        <v>0</v>
      </c>
      <c r="W107" s="218" t="s">
        <v>444</v>
      </c>
      <c r="X107" s="218" t="s">
        <v>148</v>
      </c>
      <c r="Y107" s="218"/>
      <c r="Z107" s="211"/>
      <c r="AD107" s="211"/>
      <c r="AE107" s="211"/>
      <c r="AF107" s="211"/>
      <c r="AG107" s="211"/>
      <c r="AH107" s="211"/>
      <c r="AI107" s="211"/>
      <c r="AJ107" s="211"/>
      <c r="AK107" s="211"/>
      <c r="AL107" s="211"/>
      <c r="AM107" s="211"/>
      <c r="AN107" s="211"/>
      <c r="AO107" s="211"/>
      <c r="AP107" s="211"/>
      <c r="AQ107" s="211"/>
      <c r="AR107" s="211"/>
      <c r="AS107" s="211"/>
      <c r="AT107" s="211"/>
      <c r="AU107" s="211"/>
      <c r="AV107" s="211"/>
      <c r="AW107" s="211"/>
      <c r="AX107" s="211"/>
      <c r="AY107" s="211"/>
      <c r="AZ107" s="211"/>
      <c r="BS107" s="212">
        <v>106</v>
      </c>
      <c r="BT107" s="212" t="s">
        <v>332</v>
      </c>
      <c r="BU107" s="211" t="s">
        <v>94</v>
      </c>
      <c r="BV107" s="212" t="s">
        <v>332</v>
      </c>
    </row>
    <row r="108" spans="1:74" s="213" customFormat="1" x14ac:dyDescent="0.35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8" t="s">
        <v>584</v>
      </c>
      <c r="U108" s="211" t="s">
        <v>431</v>
      </c>
      <c r="V108" s="215">
        <v>0</v>
      </c>
      <c r="W108" s="218" t="s">
        <v>444</v>
      </c>
      <c r="X108" s="218" t="s">
        <v>156</v>
      </c>
      <c r="Y108" s="218"/>
      <c r="Z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  <c r="AO108" s="211"/>
      <c r="AP108" s="211"/>
      <c r="AQ108" s="211"/>
      <c r="AR108" s="211"/>
      <c r="AS108" s="211"/>
      <c r="AT108" s="211"/>
      <c r="AU108" s="211"/>
      <c r="AV108" s="211"/>
      <c r="AW108" s="211"/>
      <c r="AX108" s="211"/>
      <c r="AY108" s="211"/>
      <c r="AZ108" s="211"/>
      <c r="BS108" s="212">
        <v>107</v>
      </c>
      <c r="BT108" s="212" t="s">
        <v>322</v>
      </c>
      <c r="BU108" s="211" t="s">
        <v>95</v>
      </c>
      <c r="BV108" s="212"/>
    </row>
    <row r="109" spans="1:74" s="213" customFormat="1" x14ac:dyDescent="0.35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1" t="s">
        <v>576</v>
      </c>
      <c r="U109" s="211" t="s">
        <v>465</v>
      </c>
      <c r="V109" s="215">
        <v>0</v>
      </c>
      <c r="W109" s="211" t="s">
        <v>444</v>
      </c>
      <c r="X109" s="211" t="s">
        <v>148</v>
      </c>
      <c r="Y109" s="211"/>
      <c r="Z109" s="211"/>
      <c r="AD109" s="211"/>
      <c r="AE109" s="211"/>
      <c r="AF109" s="211"/>
      <c r="AG109" s="211"/>
      <c r="AH109" s="211"/>
      <c r="AI109" s="211"/>
      <c r="AJ109" s="211"/>
      <c r="AK109" s="211"/>
      <c r="AL109" s="211"/>
      <c r="AM109" s="211"/>
      <c r="AN109" s="211"/>
      <c r="AO109" s="211"/>
      <c r="AP109" s="211"/>
      <c r="AQ109" s="211"/>
      <c r="AR109" s="211"/>
      <c r="AS109" s="211"/>
      <c r="AT109" s="211"/>
      <c r="AU109" s="211"/>
      <c r="AV109" s="211"/>
      <c r="AW109" s="211"/>
      <c r="AX109" s="211"/>
      <c r="AY109" s="211"/>
      <c r="AZ109" s="211"/>
      <c r="BS109" s="212">
        <v>108</v>
      </c>
      <c r="BT109" s="212" t="s">
        <v>387</v>
      </c>
      <c r="BU109" s="212" t="s">
        <v>520</v>
      </c>
      <c r="BV109" s="212" t="s">
        <v>387</v>
      </c>
    </row>
    <row r="110" spans="1:74" s="213" customFormat="1" x14ac:dyDescent="0.35">
      <c r="A110" s="21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1" t="s">
        <v>585</v>
      </c>
      <c r="U110" s="211" t="s">
        <v>485</v>
      </c>
      <c r="V110" s="215">
        <v>1</v>
      </c>
      <c r="W110" s="211" t="s">
        <v>450</v>
      </c>
      <c r="X110" s="211"/>
      <c r="Y110" s="211"/>
      <c r="Z110" s="211"/>
      <c r="AD110" s="211"/>
      <c r="AE110" s="211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S110" s="212">
        <v>109</v>
      </c>
      <c r="BT110" s="212" t="s">
        <v>316</v>
      </c>
      <c r="BU110" s="212" t="s">
        <v>509</v>
      </c>
      <c r="BV110" s="212"/>
    </row>
    <row r="111" spans="1:74" s="213" customFormat="1" x14ac:dyDescent="0.35">
      <c r="A111" s="212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1" t="s">
        <v>88</v>
      </c>
      <c r="U111" s="211" t="s">
        <v>485</v>
      </c>
      <c r="V111" s="215">
        <v>1</v>
      </c>
      <c r="W111" s="211" t="s">
        <v>435</v>
      </c>
      <c r="X111" s="211" t="s">
        <v>163</v>
      </c>
      <c r="Y111" s="211"/>
      <c r="Z111" s="211"/>
      <c r="AD111" s="211"/>
      <c r="AE111" s="211"/>
      <c r="AF111" s="211"/>
      <c r="AG111" s="211"/>
      <c r="AH111" s="211"/>
      <c r="AI111" s="211"/>
      <c r="AJ111" s="211"/>
      <c r="AK111" s="211"/>
      <c r="AL111" s="211"/>
      <c r="AM111" s="211"/>
      <c r="AN111" s="211"/>
      <c r="AO111" s="211"/>
      <c r="AP111" s="211"/>
      <c r="AQ111" s="211"/>
      <c r="AR111" s="211"/>
      <c r="AS111" s="211"/>
      <c r="AT111" s="211"/>
      <c r="AU111" s="211"/>
      <c r="AV111" s="211"/>
      <c r="AW111" s="211"/>
      <c r="AX111" s="211"/>
      <c r="AY111" s="211"/>
      <c r="AZ111" s="211"/>
      <c r="BS111" s="212">
        <v>110</v>
      </c>
      <c r="BT111" s="212" t="s">
        <v>323</v>
      </c>
      <c r="BU111" s="212" t="s">
        <v>586</v>
      </c>
      <c r="BV111" s="212"/>
    </row>
    <row r="112" spans="1:74" s="213" customFormat="1" x14ac:dyDescent="0.35">
      <c r="A112" s="212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1" t="s">
        <v>89</v>
      </c>
      <c r="U112" s="211" t="s">
        <v>446</v>
      </c>
      <c r="V112" s="215">
        <v>1</v>
      </c>
      <c r="W112" s="211" t="s">
        <v>444</v>
      </c>
      <c r="X112" s="211" t="s">
        <v>148</v>
      </c>
      <c r="Y112" s="211"/>
      <c r="Z112" s="211"/>
      <c r="AD112" s="211"/>
      <c r="AE112" s="211"/>
      <c r="AF112" s="211"/>
      <c r="AG112" s="211"/>
      <c r="AH112" s="211"/>
      <c r="AI112" s="211"/>
      <c r="AJ112" s="211"/>
      <c r="AK112" s="211"/>
      <c r="AL112" s="211"/>
      <c r="AM112" s="211"/>
      <c r="AN112" s="211"/>
      <c r="AO112" s="211"/>
      <c r="AP112" s="211"/>
      <c r="AQ112" s="211"/>
      <c r="AR112" s="211"/>
      <c r="AS112" s="211"/>
      <c r="AT112" s="211"/>
      <c r="AU112" s="211"/>
      <c r="AV112" s="211"/>
      <c r="AW112" s="211"/>
      <c r="AX112" s="211"/>
      <c r="AY112" s="211"/>
      <c r="AZ112" s="211"/>
      <c r="BS112" s="212">
        <v>111</v>
      </c>
      <c r="BU112" s="212"/>
      <c r="BV112" s="212"/>
    </row>
    <row r="113" spans="1:74" s="213" customFormat="1" x14ac:dyDescent="0.35">
      <c r="A113" s="212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1" t="s">
        <v>90</v>
      </c>
      <c r="U113" s="211" t="s">
        <v>446</v>
      </c>
      <c r="V113" s="215">
        <v>1</v>
      </c>
      <c r="W113" s="211" t="s">
        <v>444</v>
      </c>
      <c r="X113" s="211" t="s">
        <v>148</v>
      </c>
      <c r="Y113" s="211"/>
      <c r="Z113" s="211"/>
      <c r="AD113" s="211"/>
      <c r="AE113" s="211"/>
      <c r="AF113" s="211"/>
      <c r="AG113" s="211"/>
      <c r="AH113" s="211"/>
      <c r="AI113" s="211"/>
      <c r="AJ113" s="211"/>
      <c r="AK113" s="211"/>
      <c r="AL113" s="211"/>
      <c r="AM113" s="211"/>
      <c r="AN113" s="211"/>
      <c r="AO113" s="211"/>
      <c r="AP113" s="211"/>
      <c r="AQ113" s="211"/>
      <c r="AR113" s="211"/>
      <c r="AS113" s="211"/>
      <c r="AT113" s="211"/>
      <c r="AU113" s="211"/>
      <c r="AV113" s="211"/>
      <c r="AW113" s="211"/>
      <c r="AX113" s="211"/>
      <c r="AY113" s="211"/>
      <c r="AZ113" s="211"/>
      <c r="BS113" s="212">
        <v>112</v>
      </c>
      <c r="BT113" s="213" t="s">
        <v>587</v>
      </c>
      <c r="BU113" s="212"/>
      <c r="BV113" s="212"/>
    </row>
    <row r="114" spans="1:74" s="213" customFormat="1" x14ac:dyDescent="0.35">
      <c r="A114" s="212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1" t="s">
        <v>91</v>
      </c>
      <c r="U114" s="211" t="s">
        <v>465</v>
      </c>
      <c r="V114" s="215"/>
      <c r="W114" s="211" t="s">
        <v>575</v>
      </c>
      <c r="X114" s="211" t="s">
        <v>167</v>
      </c>
      <c r="Y114" s="211"/>
      <c r="Z114" s="211"/>
      <c r="AD114" s="211"/>
      <c r="AE114" s="211"/>
      <c r="AF114" s="211"/>
      <c r="AG114" s="211"/>
      <c r="AH114" s="211"/>
      <c r="AI114" s="211"/>
      <c r="AJ114" s="211"/>
      <c r="AK114" s="211"/>
      <c r="AL114" s="211"/>
      <c r="AM114" s="211"/>
      <c r="AN114" s="211"/>
      <c r="AO114" s="211"/>
      <c r="AP114" s="211"/>
      <c r="AQ114" s="211"/>
      <c r="AR114" s="211"/>
      <c r="AS114" s="211"/>
      <c r="AT114" s="211"/>
      <c r="AU114" s="211"/>
      <c r="AV114" s="211"/>
      <c r="AW114" s="211"/>
      <c r="AX114" s="211"/>
      <c r="AY114" s="211"/>
      <c r="AZ114" s="211"/>
      <c r="BS114" s="212">
        <v>113</v>
      </c>
      <c r="BT114" s="213" t="s">
        <v>588</v>
      </c>
      <c r="BU114" s="212"/>
      <c r="BV114" s="212"/>
    </row>
    <row r="115" spans="1:74" s="213" customFormat="1" x14ac:dyDescent="0.35">
      <c r="A115" s="212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1" t="s">
        <v>92</v>
      </c>
      <c r="U115" s="211" t="s">
        <v>446</v>
      </c>
      <c r="V115" s="215">
        <v>1</v>
      </c>
      <c r="W115" s="211" t="s">
        <v>444</v>
      </c>
      <c r="X115" s="211" t="s">
        <v>163</v>
      </c>
      <c r="Y115" s="211"/>
      <c r="Z115" s="211"/>
      <c r="AD115" s="211"/>
      <c r="AE115" s="211"/>
      <c r="AF115" s="211"/>
      <c r="AG115" s="211"/>
      <c r="AH115" s="211"/>
      <c r="AI115" s="211"/>
      <c r="AJ115" s="211"/>
      <c r="AK115" s="211"/>
      <c r="AL115" s="211"/>
      <c r="AM115" s="211"/>
      <c r="AN115" s="211"/>
      <c r="AO115" s="211"/>
      <c r="AP115" s="211"/>
      <c r="AQ115" s="211"/>
      <c r="AR115" s="211"/>
      <c r="AS115" s="211"/>
      <c r="AT115" s="211"/>
      <c r="AU115" s="211"/>
      <c r="AV115" s="211"/>
      <c r="AW115" s="211"/>
      <c r="AX115" s="211"/>
      <c r="AY115" s="211"/>
      <c r="AZ115" s="211"/>
      <c r="BS115" s="212">
        <v>114</v>
      </c>
      <c r="BT115" s="213" t="s">
        <v>589</v>
      </c>
    </row>
    <row r="116" spans="1:74" s="213" customFormat="1" x14ac:dyDescent="0.35">
      <c r="A116" s="212"/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1" t="s">
        <v>108</v>
      </c>
      <c r="U116" s="211" t="s">
        <v>502</v>
      </c>
      <c r="V116" s="215">
        <v>0</v>
      </c>
      <c r="W116" s="211" t="s">
        <v>444</v>
      </c>
      <c r="X116" s="211" t="s">
        <v>148</v>
      </c>
      <c r="Y116" s="211"/>
      <c r="Z116" s="211"/>
      <c r="AD116" s="211"/>
      <c r="AE116" s="211"/>
      <c r="AF116" s="211"/>
      <c r="AG116" s="211"/>
      <c r="AH116" s="211"/>
      <c r="AI116" s="211"/>
      <c r="AJ116" s="211"/>
      <c r="AK116" s="211"/>
      <c r="AL116" s="211"/>
      <c r="AM116" s="211"/>
      <c r="AN116" s="211"/>
      <c r="AO116" s="211"/>
      <c r="AP116" s="211"/>
      <c r="AQ116" s="211"/>
      <c r="AR116" s="211"/>
      <c r="AS116" s="211"/>
      <c r="AT116" s="211"/>
      <c r="AU116" s="211"/>
      <c r="AV116" s="211"/>
      <c r="AW116" s="211"/>
      <c r="AX116" s="211"/>
      <c r="AY116" s="211"/>
      <c r="AZ116" s="211"/>
      <c r="BS116" s="212">
        <v>115</v>
      </c>
      <c r="BT116" s="213" t="s">
        <v>590</v>
      </c>
    </row>
    <row r="117" spans="1:74" s="213" customFormat="1" x14ac:dyDescent="0.35">
      <c r="A117" s="212"/>
      <c r="B117" s="212"/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1" t="s">
        <v>93</v>
      </c>
      <c r="U117" s="211" t="s">
        <v>495</v>
      </c>
      <c r="V117" s="215">
        <v>1</v>
      </c>
      <c r="W117" s="211" t="s">
        <v>435</v>
      </c>
      <c r="X117" s="211" t="s">
        <v>148</v>
      </c>
      <c r="Y117" s="211"/>
      <c r="Z117" s="211"/>
      <c r="AD117" s="211"/>
      <c r="AE117" s="211"/>
      <c r="AF117" s="211"/>
      <c r="AG117" s="211"/>
      <c r="AH117" s="211"/>
      <c r="AI117" s="211"/>
      <c r="AJ117" s="211"/>
      <c r="AK117" s="211"/>
      <c r="AL117" s="211"/>
      <c r="AM117" s="211"/>
      <c r="AN117" s="211"/>
      <c r="AO117" s="211"/>
      <c r="AP117" s="211"/>
      <c r="AQ117" s="211"/>
      <c r="AR117" s="211"/>
      <c r="AS117" s="211"/>
      <c r="AT117" s="211"/>
      <c r="AU117" s="211"/>
      <c r="AV117" s="211"/>
      <c r="AW117" s="211"/>
      <c r="AX117" s="211"/>
      <c r="AY117" s="211"/>
      <c r="AZ117" s="211"/>
      <c r="BS117" s="212">
        <v>116</v>
      </c>
      <c r="BT117" s="213" t="s">
        <v>591</v>
      </c>
    </row>
    <row r="118" spans="1:74" s="213" customFormat="1" x14ac:dyDescent="0.35">
      <c r="A118" s="212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1" t="s">
        <v>100</v>
      </c>
      <c r="U118" s="211" t="s">
        <v>437</v>
      </c>
      <c r="V118" s="215">
        <v>1</v>
      </c>
      <c r="W118" s="211" t="s">
        <v>444</v>
      </c>
      <c r="X118" s="211" t="s">
        <v>148</v>
      </c>
      <c r="Y118" s="211"/>
      <c r="Z118" s="211"/>
      <c r="AD118" s="211"/>
      <c r="AE118" s="211"/>
      <c r="AF118" s="211"/>
      <c r="AG118" s="211"/>
      <c r="AH118" s="211"/>
      <c r="AI118" s="211"/>
      <c r="AJ118" s="211"/>
      <c r="AK118" s="211"/>
      <c r="AL118" s="211"/>
      <c r="AM118" s="211"/>
      <c r="AN118" s="211"/>
      <c r="AO118" s="211"/>
      <c r="AP118" s="211"/>
      <c r="AQ118" s="211"/>
      <c r="AR118" s="211"/>
      <c r="AS118" s="211"/>
      <c r="AT118" s="211"/>
      <c r="AU118" s="211"/>
      <c r="AV118" s="211"/>
      <c r="AW118" s="211"/>
      <c r="AX118" s="211"/>
      <c r="AY118" s="211"/>
      <c r="AZ118" s="211"/>
      <c r="BS118" s="212">
        <v>117</v>
      </c>
      <c r="BT118" s="213" t="s">
        <v>592</v>
      </c>
    </row>
    <row r="119" spans="1:74" s="213" customFormat="1" x14ac:dyDescent="0.35">
      <c r="A119" s="212"/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1" t="s">
        <v>94</v>
      </c>
      <c r="U119" s="211" t="s">
        <v>446</v>
      </c>
      <c r="V119" s="215">
        <v>1</v>
      </c>
      <c r="W119" s="211" t="s">
        <v>444</v>
      </c>
      <c r="X119" s="211" t="s">
        <v>164</v>
      </c>
      <c r="Y119" s="211"/>
      <c r="Z119" s="211"/>
      <c r="AD119" s="211"/>
      <c r="AE119" s="211"/>
      <c r="AF119" s="211"/>
      <c r="AG119" s="211"/>
      <c r="AH119" s="211"/>
      <c r="AI119" s="211"/>
      <c r="AJ119" s="211"/>
      <c r="AK119" s="211"/>
      <c r="AL119" s="211"/>
      <c r="AM119" s="211"/>
      <c r="AN119" s="211"/>
      <c r="AO119" s="211"/>
      <c r="AP119" s="211"/>
      <c r="AQ119" s="211"/>
      <c r="AR119" s="211"/>
      <c r="AS119" s="211"/>
      <c r="AT119" s="211"/>
      <c r="AU119" s="211"/>
      <c r="AV119" s="211"/>
      <c r="AW119" s="211"/>
      <c r="AX119" s="211"/>
      <c r="AY119" s="211"/>
      <c r="AZ119" s="211"/>
      <c r="BS119" s="212">
        <v>118</v>
      </c>
    </row>
    <row r="120" spans="1:74" s="213" customFormat="1" x14ac:dyDescent="0.35">
      <c r="A120" s="212"/>
      <c r="B120" s="212"/>
      <c r="C120" s="212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1"/>
      <c r="Q120" s="211"/>
      <c r="R120" s="211"/>
      <c r="S120" s="211"/>
      <c r="T120" s="211" t="s">
        <v>95</v>
      </c>
      <c r="U120" s="211" t="s">
        <v>446</v>
      </c>
      <c r="V120" s="215"/>
      <c r="W120" s="211" t="s">
        <v>417</v>
      </c>
      <c r="X120" s="211" t="s">
        <v>167</v>
      </c>
      <c r="Y120" s="211"/>
      <c r="Z120" s="211"/>
      <c r="AD120" s="211"/>
      <c r="AE120" s="211"/>
      <c r="AF120" s="211"/>
      <c r="AG120" s="211"/>
      <c r="AH120" s="211"/>
      <c r="AI120" s="211"/>
      <c r="AJ120" s="211"/>
      <c r="AK120" s="211"/>
      <c r="AL120" s="211"/>
      <c r="AM120" s="211"/>
      <c r="AN120" s="211"/>
      <c r="AO120" s="211"/>
      <c r="AP120" s="211"/>
      <c r="AQ120" s="211"/>
      <c r="AR120" s="211"/>
      <c r="AS120" s="211"/>
      <c r="AT120" s="211"/>
      <c r="AU120" s="211"/>
      <c r="AV120" s="211"/>
      <c r="AW120" s="211"/>
      <c r="AX120" s="211"/>
      <c r="AY120" s="211"/>
      <c r="AZ120" s="211"/>
      <c r="BS120" s="212">
        <v>119</v>
      </c>
    </row>
    <row r="121" spans="1:74" s="213" customFormat="1" x14ac:dyDescent="0.35">
      <c r="A121" s="211"/>
      <c r="B121" s="211"/>
      <c r="C121" s="211"/>
      <c r="D121" s="211"/>
      <c r="E121" s="211"/>
      <c r="F121" s="211"/>
      <c r="G121" s="211"/>
      <c r="H121" s="211"/>
      <c r="I121" s="212"/>
      <c r="J121" s="212"/>
      <c r="K121" s="212"/>
      <c r="L121" s="212"/>
      <c r="M121" s="212"/>
      <c r="N121" s="212"/>
      <c r="O121" s="212"/>
      <c r="P121" s="211"/>
      <c r="Q121" s="211"/>
      <c r="R121" s="211"/>
      <c r="S121" s="211"/>
      <c r="T121" s="211" t="s">
        <v>102</v>
      </c>
      <c r="U121" s="211" t="s">
        <v>593</v>
      </c>
      <c r="V121" s="211" t="s">
        <v>102</v>
      </c>
      <c r="W121" s="211" t="s">
        <v>580</v>
      </c>
      <c r="X121" s="211" t="s">
        <v>167</v>
      </c>
      <c r="Y121" s="211"/>
      <c r="Z121" s="211"/>
      <c r="AD121" s="211"/>
      <c r="AE121" s="211"/>
      <c r="AF121" s="211"/>
      <c r="AG121" s="211"/>
      <c r="AH121" s="211"/>
      <c r="AI121" s="211"/>
      <c r="AJ121" s="211"/>
      <c r="AK121" s="211"/>
      <c r="AL121" s="211"/>
      <c r="AM121" s="211"/>
      <c r="AN121" s="211"/>
      <c r="AO121" s="211"/>
      <c r="AP121" s="211"/>
      <c r="AQ121" s="211"/>
      <c r="AR121" s="211"/>
      <c r="AS121" s="211"/>
      <c r="AT121" s="211"/>
      <c r="AU121" s="211"/>
      <c r="AV121" s="211"/>
      <c r="AW121" s="211"/>
      <c r="AX121" s="211"/>
      <c r="AY121" s="211"/>
      <c r="AZ121" s="211"/>
      <c r="BS121" s="212">
        <v>120</v>
      </c>
      <c r="BT121" s="213" t="s">
        <v>410</v>
      </c>
    </row>
    <row r="122" spans="1:74" s="213" customFormat="1" x14ac:dyDescent="0.35">
      <c r="A122" s="211"/>
      <c r="B122" s="211"/>
      <c r="C122" s="211"/>
      <c r="D122" s="211"/>
      <c r="E122" s="211"/>
      <c r="F122" s="211"/>
      <c r="G122" s="211"/>
      <c r="H122" s="211"/>
      <c r="I122" s="212"/>
      <c r="J122" s="212"/>
      <c r="K122" s="212"/>
      <c r="L122" s="212"/>
      <c r="M122" s="212"/>
      <c r="N122" s="212"/>
      <c r="O122" s="212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D122" s="211"/>
      <c r="AE122" s="211"/>
      <c r="AF122" s="211"/>
      <c r="AG122" s="211"/>
      <c r="AH122" s="211"/>
      <c r="AI122" s="211"/>
      <c r="AJ122" s="211"/>
      <c r="AK122" s="211"/>
      <c r="AL122" s="211"/>
      <c r="AM122" s="211"/>
      <c r="AN122" s="211"/>
      <c r="AO122" s="211"/>
      <c r="AP122" s="211"/>
      <c r="AQ122" s="211"/>
      <c r="AR122" s="211"/>
      <c r="AS122" s="211"/>
      <c r="AT122" s="211"/>
      <c r="AU122" s="211"/>
      <c r="AV122" s="211"/>
      <c r="AW122" s="211"/>
      <c r="AX122" s="211"/>
      <c r="AY122" s="211"/>
      <c r="AZ122" s="211"/>
      <c r="BS122" s="212">
        <v>121</v>
      </c>
      <c r="BT122" s="213" t="s">
        <v>415</v>
      </c>
    </row>
    <row r="123" spans="1:74" s="213" customFormat="1" x14ac:dyDescent="0.35">
      <c r="A123" s="211"/>
      <c r="B123" s="211"/>
      <c r="C123" s="211"/>
      <c r="D123" s="211"/>
      <c r="E123" s="211"/>
      <c r="F123" s="211"/>
      <c r="G123" s="211"/>
      <c r="H123" s="211"/>
      <c r="I123" s="212"/>
      <c r="J123" s="212"/>
      <c r="K123" s="212"/>
      <c r="L123" s="212"/>
      <c r="M123" s="212"/>
      <c r="N123" s="212"/>
      <c r="O123" s="212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D123" s="211"/>
      <c r="AE123" s="211"/>
      <c r="AF123" s="211"/>
      <c r="AG123" s="211"/>
      <c r="AH123" s="211"/>
      <c r="AI123" s="211"/>
      <c r="AJ123" s="211"/>
      <c r="AK123" s="211"/>
      <c r="AL123" s="211"/>
      <c r="AM123" s="211"/>
      <c r="AN123" s="211"/>
      <c r="AO123" s="211"/>
      <c r="AP123" s="211"/>
      <c r="AQ123" s="211"/>
      <c r="AR123" s="211"/>
      <c r="AS123" s="211"/>
      <c r="AT123" s="211"/>
      <c r="AU123" s="211"/>
      <c r="AV123" s="211"/>
      <c r="AW123" s="211"/>
      <c r="AX123" s="211"/>
      <c r="AY123" s="211"/>
      <c r="AZ123" s="211"/>
      <c r="BS123" s="212">
        <v>122</v>
      </c>
    </row>
    <row r="124" spans="1:74" s="213" customFormat="1" x14ac:dyDescent="0.35">
      <c r="A124" s="211"/>
      <c r="B124" s="211"/>
      <c r="C124" s="211"/>
      <c r="D124" s="211"/>
      <c r="E124" s="211"/>
      <c r="F124" s="211"/>
      <c r="G124" s="211"/>
      <c r="H124" s="211"/>
      <c r="I124" s="212"/>
      <c r="J124" s="212"/>
      <c r="K124" s="212"/>
      <c r="L124" s="212"/>
      <c r="M124" s="212"/>
      <c r="N124" s="212"/>
      <c r="O124" s="212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D124" s="211"/>
      <c r="AE124" s="211"/>
      <c r="AF124" s="211"/>
      <c r="AG124" s="211"/>
      <c r="AH124" s="211"/>
      <c r="AI124" s="211"/>
      <c r="AJ124" s="211"/>
      <c r="AK124" s="211"/>
      <c r="AL124" s="211"/>
      <c r="AM124" s="211"/>
      <c r="AN124" s="211"/>
      <c r="AO124" s="211"/>
      <c r="AP124" s="211"/>
      <c r="AQ124" s="211"/>
      <c r="AR124" s="211"/>
      <c r="AS124" s="211"/>
      <c r="AT124" s="211"/>
      <c r="AU124" s="211"/>
      <c r="AV124" s="211"/>
      <c r="AW124" s="211"/>
      <c r="AX124" s="211"/>
      <c r="AY124" s="211"/>
      <c r="AZ124" s="211"/>
      <c r="BS124" s="212">
        <v>123</v>
      </c>
    </row>
    <row r="125" spans="1:74" s="213" customFormat="1" x14ac:dyDescent="0.35">
      <c r="A125" s="211"/>
      <c r="B125" s="211"/>
      <c r="C125" s="211"/>
      <c r="D125" s="211"/>
      <c r="E125" s="211"/>
      <c r="F125" s="211"/>
      <c r="G125" s="211"/>
      <c r="H125" s="211"/>
      <c r="I125" s="212"/>
      <c r="J125" s="212"/>
      <c r="K125" s="212"/>
      <c r="L125" s="212"/>
      <c r="M125" s="212"/>
      <c r="N125" s="212"/>
      <c r="O125" s="212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D125" s="211"/>
      <c r="AE125" s="211"/>
      <c r="AF125" s="211"/>
      <c r="AG125" s="211"/>
      <c r="AH125" s="211"/>
      <c r="AI125" s="211"/>
      <c r="AJ125" s="211"/>
      <c r="AK125" s="211"/>
      <c r="AL125" s="211"/>
      <c r="AM125" s="211"/>
      <c r="AN125" s="211"/>
      <c r="AO125" s="211"/>
      <c r="AP125" s="211"/>
      <c r="AQ125" s="211"/>
      <c r="AR125" s="211"/>
      <c r="AS125" s="211"/>
      <c r="AT125" s="211"/>
      <c r="AU125" s="211"/>
      <c r="AV125" s="211"/>
      <c r="AW125" s="211"/>
      <c r="AX125" s="211"/>
      <c r="AY125" s="211"/>
      <c r="AZ125" s="211"/>
      <c r="BS125" s="212">
        <v>124</v>
      </c>
    </row>
    <row r="126" spans="1:74" s="213" customFormat="1" x14ac:dyDescent="0.35">
      <c r="A126" s="211"/>
      <c r="B126" s="211"/>
      <c r="C126" s="211"/>
      <c r="D126" s="211"/>
      <c r="E126" s="211"/>
      <c r="F126" s="211"/>
      <c r="G126" s="211"/>
      <c r="H126" s="211"/>
      <c r="I126" s="212"/>
      <c r="J126" s="212"/>
      <c r="K126" s="212"/>
      <c r="L126" s="212"/>
      <c r="M126" s="212"/>
      <c r="N126" s="212"/>
      <c r="O126" s="212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D126" s="211"/>
      <c r="AE126" s="211"/>
      <c r="AF126" s="211"/>
      <c r="AG126" s="211"/>
      <c r="AH126" s="211"/>
      <c r="AI126" s="211"/>
      <c r="AJ126" s="211"/>
      <c r="AK126" s="211"/>
      <c r="AL126" s="211"/>
      <c r="AM126" s="211"/>
      <c r="AN126" s="211"/>
      <c r="AO126" s="211"/>
      <c r="AP126" s="211"/>
      <c r="AQ126" s="211"/>
      <c r="AR126" s="211"/>
      <c r="AS126" s="211"/>
      <c r="AT126" s="211"/>
      <c r="AU126" s="211"/>
      <c r="AV126" s="211"/>
      <c r="AW126" s="211"/>
      <c r="AX126" s="211"/>
      <c r="AY126" s="211"/>
      <c r="AZ126" s="211"/>
      <c r="BS126" s="212">
        <v>125</v>
      </c>
    </row>
    <row r="127" spans="1:74" s="213" customFormat="1" x14ac:dyDescent="0.35">
      <c r="A127" s="211"/>
      <c r="B127" s="211"/>
      <c r="C127" s="211"/>
      <c r="D127" s="211"/>
      <c r="E127" s="211"/>
      <c r="F127" s="211"/>
      <c r="G127" s="211"/>
      <c r="H127" s="211"/>
      <c r="I127" s="212"/>
      <c r="J127" s="212"/>
      <c r="K127" s="212"/>
      <c r="L127" s="212"/>
      <c r="M127" s="212"/>
      <c r="N127" s="212"/>
      <c r="O127" s="212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D127" s="211"/>
      <c r="AE127" s="211"/>
      <c r="AF127" s="211"/>
      <c r="AG127" s="211"/>
      <c r="AH127" s="211"/>
      <c r="AI127" s="211"/>
      <c r="AJ127" s="211"/>
      <c r="AK127" s="211"/>
      <c r="AL127" s="211"/>
      <c r="AM127" s="211"/>
      <c r="AN127" s="211"/>
      <c r="AO127" s="211"/>
      <c r="AP127" s="211"/>
      <c r="AQ127" s="211"/>
      <c r="AR127" s="211"/>
      <c r="AS127" s="211"/>
      <c r="AT127" s="211"/>
      <c r="AU127" s="211"/>
      <c r="AV127" s="211"/>
      <c r="AW127" s="211"/>
      <c r="AX127" s="211"/>
      <c r="AY127" s="211"/>
      <c r="AZ127" s="211"/>
      <c r="BS127" s="212">
        <v>126</v>
      </c>
    </row>
    <row r="128" spans="1:74" s="213" customFormat="1" x14ac:dyDescent="0.35">
      <c r="A128" s="211"/>
      <c r="B128" s="211"/>
      <c r="C128" s="211"/>
      <c r="D128" s="211"/>
      <c r="E128" s="211"/>
      <c r="F128" s="211"/>
      <c r="G128" s="211"/>
      <c r="H128" s="211"/>
      <c r="I128" s="212"/>
      <c r="J128" s="212"/>
      <c r="K128" s="212"/>
      <c r="L128" s="212"/>
      <c r="M128" s="212"/>
      <c r="N128" s="212"/>
      <c r="O128" s="212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D128" s="211"/>
      <c r="AE128" s="211"/>
      <c r="AF128" s="211"/>
      <c r="AG128" s="211"/>
      <c r="AH128" s="211"/>
      <c r="AI128" s="211"/>
      <c r="AJ128" s="211"/>
      <c r="AK128" s="211"/>
      <c r="AL128" s="211"/>
      <c r="AM128" s="211"/>
      <c r="AN128" s="211"/>
      <c r="AO128" s="211"/>
      <c r="AP128" s="211"/>
      <c r="AQ128" s="211"/>
      <c r="AR128" s="211"/>
      <c r="AS128" s="211"/>
      <c r="AT128" s="211"/>
      <c r="AU128" s="211"/>
      <c r="AV128" s="211"/>
      <c r="AW128" s="211"/>
      <c r="AX128" s="211"/>
      <c r="AY128" s="211"/>
      <c r="AZ128" s="211"/>
    </row>
    <row r="129" spans="1:52" s="213" customFormat="1" x14ac:dyDescent="0.35">
      <c r="A129" s="211"/>
      <c r="B129" s="211"/>
      <c r="C129" s="211"/>
      <c r="D129" s="211"/>
      <c r="E129" s="211"/>
      <c r="F129" s="211"/>
      <c r="G129" s="211"/>
      <c r="H129" s="211"/>
      <c r="I129" s="212"/>
      <c r="J129" s="212"/>
      <c r="K129" s="212"/>
      <c r="L129" s="212"/>
      <c r="M129" s="212"/>
      <c r="N129" s="212"/>
      <c r="O129" s="212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D129" s="211"/>
      <c r="AE129" s="211"/>
      <c r="AF129" s="211"/>
      <c r="AG129" s="211"/>
      <c r="AH129" s="211"/>
      <c r="AI129" s="211"/>
      <c r="AJ129" s="211"/>
      <c r="AK129" s="211"/>
      <c r="AL129" s="211"/>
      <c r="AM129" s="211"/>
      <c r="AN129" s="211"/>
      <c r="AO129" s="211"/>
      <c r="AP129" s="211"/>
      <c r="AQ129" s="211"/>
      <c r="AR129" s="211"/>
      <c r="AS129" s="211"/>
      <c r="AT129" s="211"/>
      <c r="AU129" s="211"/>
      <c r="AV129" s="211"/>
      <c r="AW129" s="211"/>
      <c r="AX129" s="211"/>
      <c r="AY129" s="211"/>
      <c r="AZ129" s="211"/>
    </row>
    <row r="130" spans="1:52" s="213" customFormat="1" x14ac:dyDescent="0.35">
      <c r="A130" s="211"/>
      <c r="B130" s="211"/>
      <c r="C130" s="211"/>
      <c r="D130" s="211"/>
      <c r="E130" s="211"/>
      <c r="F130" s="211"/>
      <c r="G130" s="211"/>
      <c r="H130" s="211"/>
      <c r="I130" s="212"/>
      <c r="J130" s="212"/>
      <c r="K130" s="212"/>
      <c r="L130" s="212"/>
      <c r="M130" s="212"/>
      <c r="N130" s="212"/>
      <c r="O130" s="212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D130" s="211"/>
      <c r="AE130" s="211"/>
      <c r="AF130" s="211"/>
      <c r="AG130" s="211"/>
      <c r="AH130" s="211"/>
      <c r="AI130" s="211"/>
      <c r="AJ130" s="211"/>
      <c r="AK130" s="211"/>
      <c r="AL130" s="211"/>
      <c r="AM130" s="211"/>
      <c r="AN130" s="211"/>
      <c r="AO130" s="211"/>
      <c r="AP130" s="211"/>
      <c r="AQ130" s="211"/>
      <c r="AR130" s="211"/>
      <c r="AS130" s="211"/>
      <c r="AT130" s="211"/>
      <c r="AU130" s="211"/>
      <c r="AV130" s="211"/>
      <c r="AW130" s="211"/>
      <c r="AX130" s="211"/>
      <c r="AY130" s="211"/>
      <c r="AZ130" s="211"/>
    </row>
    <row r="131" spans="1:52" s="213" customFormat="1" x14ac:dyDescent="0.35">
      <c r="A131" s="211"/>
      <c r="B131" s="211"/>
      <c r="C131" s="211"/>
      <c r="D131" s="211"/>
      <c r="E131" s="211"/>
      <c r="F131" s="211"/>
      <c r="G131" s="211"/>
      <c r="H131" s="211"/>
      <c r="I131" s="212"/>
      <c r="J131" s="212"/>
      <c r="K131" s="212"/>
      <c r="L131" s="212"/>
      <c r="M131" s="212"/>
      <c r="N131" s="212"/>
      <c r="O131" s="212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  <c r="AD131" s="211"/>
      <c r="AE131" s="211"/>
      <c r="AF131" s="211"/>
      <c r="AG131" s="211"/>
      <c r="AH131" s="211"/>
      <c r="AI131" s="211"/>
      <c r="AJ131" s="211"/>
      <c r="AK131" s="211"/>
      <c r="AL131" s="211"/>
      <c r="AM131" s="211"/>
      <c r="AN131" s="211"/>
      <c r="AO131" s="211"/>
      <c r="AP131" s="211"/>
      <c r="AQ131" s="211"/>
      <c r="AR131" s="211"/>
      <c r="AS131" s="211"/>
      <c r="AT131" s="211"/>
      <c r="AU131" s="211"/>
      <c r="AV131" s="211"/>
      <c r="AW131" s="211"/>
      <c r="AX131" s="211"/>
      <c r="AY131" s="211"/>
      <c r="AZ131" s="211"/>
    </row>
    <row r="132" spans="1:52" s="213" customFormat="1" x14ac:dyDescent="0.35">
      <c r="A132" s="211"/>
      <c r="B132" s="211"/>
      <c r="C132" s="211"/>
      <c r="D132" s="211"/>
      <c r="E132" s="211"/>
      <c r="F132" s="211"/>
      <c r="G132" s="211"/>
      <c r="H132" s="211"/>
      <c r="I132" s="212"/>
      <c r="J132" s="212"/>
      <c r="K132" s="212"/>
      <c r="L132" s="212"/>
      <c r="M132" s="212"/>
      <c r="N132" s="212"/>
      <c r="O132" s="212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  <c r="Z132" s="211"/>
      <c r="AD132" s="211"/>
      <c r="AE132" s="211"/>
      <c r="AF132" s="211"/>
      <c r="AG132" s="211"/>
      <c r="AH132" s="211"/>
      <c r="AI132" s="211"/>
      <c r="AJ132" s="211"/>
      <c r="AK132" s="211"/>
      <c r="AL132" s="211"/>
      <c r="AM132" s="211"/>
      <c r="AN132" s="211"/>
      <c r="AO132" s="211"/>
      <c r="AP132" s="211"/>
      <c r="AQ132" s="211"/>
      <c r="AR132" s="211"/>
      <c r="AS132" s="211"/>
      <c r="AT132" s="211"/>
      <c r="AU132" s="211"/>
      <c r="AV132" s="211"/>
      <c r="AW132" s="211"/>
      <c r="AX132" s="211"/>
      <c r="AY132" s="211"/>
      <c r="AZ132" s="211"/>
    </row>
    <row r="133" spans="1:52" s="213" customFormat="1" x14ac:dyDescent="0.35">
      <c r="A133" s="211"/>
      <c r="B133" s="211"/>
      <c r="C133" s="211"/>
      <c r="D133" s="211"/>
      <c r="E133" s="211"/>
      <c r="F133" s="211"/>
      <c r="G133" s="211"/>
      <c r="H133" s="211"/>
      <c r="I133" s="212"/>
      <c r="J133" s="212"/>
      <c r="K133" s="212"/>
      <c r="L133" s="212"/>
      <c r="M133" s="212"/>
      <c r="N133" s="212"/>
      <c r="O133" s="212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  <c r="Z133" s="211"/>
      <c r="AD133" s="211"/>
      <c r="AE133" s="211"/>
      <c r="AF133" s="211"/>
      <c r="AG133" s="211"/>
      <c r="AH133" s="211"/>
      <c r="AI133" s="211"/>
      <c r="AJ133" s="211"/>
      <c r="AK133" s="211"/>
      <c r="AL133" s="211"/>
      <c r="AM133" s="211"/>
      <c r="AN133" s="211"/>
      <c r="AO133" s="211"/>
      <c r="AP133" s="211"/>
      <c r="AQ133" s="211"/>
      <c r="AR133" s="211"/>
      <c r="AS133" s="211"/>
      <c r="AT133" s="211"/>
      <c r="AU133" s="211"/>
      <c r="AV133" s="211"/>
      <c r="AW133" s="211"/>
      <c r="AX133" s="211"/>
      <c r="AY133" s="211"/>
      <c r="AZ133" s="211"/>
    </row>
    <row r="134" spans="1:52" s="213" customFormat="1" x14ac:dyDescent="0.35">
      <c r="A134" s="211"/>
      <c r="B134" s="211"/>
      <c r="C134" s="211"/>
      <c r="D134" s="211"/>
      <c r="E134" s="211"/>
      <c r="F134" s="211"/>
      <c r="G134" s="211"/>
      <c r="H134" s="211"/>
      <c r="I134" s="212"/>
      <c r="J134" s="212"/>
      <c r="K134" s="212"/>
      <c r="L134" s="212"/>
      <c r="M134" s="212"/>
      <c r="N134" s="212"/>
      <c r="O134" s="212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  <c r="Z134" s="211"/>
      <c r="AD134" s="211"/>
      <c r="AE134" s="211"/>
      <c r="AF134" s="211"/>
      <c r="AG134" s="211"/>
      <c r="AH134" s="211"/>
      <c r="AI134" s="211"/>
      <c r="AJ134" s="211"/>
      <c r="AK134" s="211"/>
      <c r="AL134" s="211"/>
      <c r="AM134" s="211"/>
      <c r="AN134" s="211"/>
      <c r="AO134" s="211"/>
      <c r="AP134" s="211"/>
      <c r="AQ134" s="211"/>
      <c r="AR134" s="211"/>
      <c r="AS134" s="211"/>
      <c r="AT134" s="211"/>
      <c r="AU134" s="211"/>
      <c r="AV134" s="211"/>
      <c r="AW134" s="211"/>
      <c r="AX134" s="211"/>
      <c r="AY134" s="211"/>
      <c r="AZ134" s="211"/>
    </row>
    <row r="135" spans="1:52" s="213" customFormat="1" x14ac:dyDescent="0.35">
      <c r="A135" s="211"/>
      <c r="B135" s="211"/>
      <c r="C135" s="211"/>
      <c r="D135" s="211"/>
      <c r="E135" s="211"/>
      <c r="F135" s="211"/>
      <c r="G135" s="211"/>
      <c r="H135" s="211"/>
      <c r="I135" s="212"/>
      <c r="J135" s="212"/>
      <c r="K135" s="212"/>
      <c r="L135" s="212"/>
      <c r="M135" s="212"/>
      <c r="N135" s="212"/>
      <c r="O135" s="212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  <c r="Z135" s="211"/>
      <c r="AD135" s="211"/>
      <c r="AE135" s="211"/>
      <c r="AF135" s="211"/>
      <c r="AG135" s="211"/>
      <c r="AH135" s="211"/>
      <c r="AI135" s="211"/>
      <c r="AJ135" s="211"/>
      <c r="AK135" s="211"/>
      <c r="AL135" s="211"/>
      <c r="AM135" s="211"/>
      <c r="AN135" s="211"/>
      <c r="AO135" s="211"/>
      <c r="AP135" s="211"/>
      <c r="AQ135" s="211"/>
      <c r="AR135" s="211"/>
      <c r="AS135" s="211"/>
      <c r="AT135" s="211"/>
      <c r="AU135" s="211"/>
      <c r="AV135" s="211"/>
      <c r="AW135" s="211"/>
      <c r="AX135" s="211"/>
      <c r="AY135" s="211"/>
      <c r="AZ135" s="211"/>
    </row>
    <row r="136" spans="1:52" s="213" customFormat="1" x14ac:dyDescent="0.35">
      <c r="A136" s="211"/>
      <c r="B136" s="211"/>
      <c r="C136" s="211"/>
      <c r="D136" s="211"/>
      <c r="E136" s="211"/>
      <c r="F136" s="211"/>
      <c r="G136" s="211"/>
      <c r="H136" s="211"/>
      <c r="I136" s="212"/>
      <c r="J136" s="212"/>
      <c r="K136" s="212"/>
      <c r="L136" s="212"/>
      <c r="M136" s="212"/>
      <c r="N136" s="212"/>
      <c r="O136" s="212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  <c r="Z136" s="211"/>
      <c r="AD136" s="211"/>
      <c r="AE136" s="211"/>
      <c r="AF136" s="211"/>
      <c r="AG136" s="211"/>
      <c r="AH136" s="211"/>
      <c r="AI136" s="211"/>
      <c r="AJ136" s="211"/>
      <c r="AK136" s="211"/>
      <c r="AL136" s="211"/>
      <c r="AM136" s="211"/>
      <c r="AN136" s="211"/>
      <c r="AO136" s="211"/>
      <c r="AP136" s="211"/>
      <c r="AQ136" s="211"/>
      <c r="AR136" s="211"/>
      <c r="AS136" s="211"/>
      <c r="AT136" s="211"/>
      <c r="AU136" s="211"/>
      <c r="AV136" s="211"/>
      <c r="AW136" s="211"/>
      <c r="AX136" s="211"/>
      <c r="AY136" s="211"/>
      <c r="AZ136" s="211"/>
    </row>
    <row r="137" spans="1:52" s="213" customFormat="1" x14ac:dyDescent="0.35">
      <c r="A137" s="211"/>
      <c r="B137" s="211"/>
      <c r="C137" s="211"/>
      <c r="D137" s="211"/>
      <c r="E137" s="211"/>
      <c r="F137" s="211"/>
      <c r="G137" s="211"/>
      <c r="H137" s="211"/>
      <c r="I137" s="212"/>
      <c r="J137" s="212"/>
      <c r="K137" s="212"/>
      <c r="L137" s="212"/>
      <c r="M137" s="212"/>
      <c r="N137" s="212"/>
      <c r="O137" s="212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  <c r="Z137" s="211"/>
      <c r="AD137" s="211"/>
      <c r="AE137" s="211"/>
      <c r="AF137" s="211"/>
      <c r="AG137" s="211"/>
      <c r="AH137" s="211"/>
      <c r="AI137" s="211"/>
      <c r="AJ137" s="211"/>
      <c r="AK137" s="211"/>
      <c r="AL137" s="211"/>
      <c r="AM137" s="211"/>
      <c r="AN137" s="211"/>
      <c r="AO137" s="211"/>
      <c r="AP137" s="211"/>
      <c r="AQ137" s="211"/>
      <c r="AR137" s="211"/>
      <c r="AS137" s="211"/>
      <c r="AT137" s="211"/>
      <c r="AU137" s="211"/>
      <c r="AV137" s="211"/>
      <c r="AW137" s="211"/>
      <c r="AX137" s="211"/>
      <c r="AY137" s="211"/>
      <c r="AZ137" s="211"/>
    </row>
    <row r="138" spans="1:52" s="213" customFormat="1" x14ac:dyDescent="0.35">
      <c r="A138" s="211"/>
      <c r="B138" s="211"/>
      <c r="C138" s="211"/>
      <c r="D138" s="211"/>
      <c r="E138" s="211"/>
      <c r="F138" s="211"/>
      <c r="G138" s="211"/>
      <c r="H138" s="211"/>
      <c r="I138" s="212"/>
      <c r="J138" s="212"/>
      <c r="K138" s="212"/>
      <c r="L138" s="212"/>
      <c r="M138" s="212"/>
      <c r="N138" s="212"/>
      <c r="O138" s="212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  <c r="Z138" s="211"/>
      <c r="AD138" s="211"/>
      <c r="AE138" s="211"/>
      <c r="AF138" s="211"/>
      <c r="AG138" s="211"/>
      <c r="AH138" s="211"/>
      <c r="AI138" s="211"/>
      <c r="AJ138" s="211"/>
      <c r="AK138" s="211"/>
      <c r="AL138" s="211"/>
      <c r="AM138" s="211"/>
      <c r="AN138" s="211"/>
      <c r="AO138" s="211"/>
      <c r="AP138" s="211"/>
      <c r="AQ138" s="211"/>
      <c r="AR138" s="211"/>
      <c r="AS138" s="211"/>
      <c r="AT138" s="211"/>
      <c r="AU138" s="211"/>
      <c r="AV138" s="211"/>
      <c r="AW138" s="211"/>
      <c r="AX138" s="211"/>
      <c r="AY138" s="211"/>
      <c r="AZ138" s="211"/>
    </row>
    <row r="139" spans="1:52" s="213" customFormat="1" x14ac:dyDescent="0.35">
      <c r="A139" s="211"/>
      <c r="B139" s="211"/>
      <c r="C139" s="211"/>
      <c r="D139" s="211"/>
      <c r="E139" s="211"/>
      <c r="F139" s="211"/>
      <c r="G139" s="211"/>
      <c r="H139" s="211"/>
      <c r="I139" s="212"/>
      <c r="J139" s="212"/>
      <c r="K139" s="212"/>
      <c r="L139" s="212"/>
      <c r="M139" s="212"/>
      <c r="N139" s="212"/>
      <c r="O139" s="212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  <c r="Z139" s="211"/>
      <c r="AD139" s="211"/>
      <c r="AE139" s="211"/>
      <c r="AF139" s="211"/>
      <c r="AG139" s="211"/>
      <c r="AH139" s="211"/>
      <c r="AI139" s="211"/>
      <c r="AJ139" s="211"/>
      <c r="AK139" s="211"/>
      <c r="AL139" s="211"/>
      <c r="AM139" s="211"/>
      <c r="AN139" s="211"/>
      <c r="AO139" s="211"/>
      <c r="AP139" s="211"/>
      <c r="AQ139" s="211"/>
      <c r="AR139" s="211"/>
      <c r="AS139" s="211"/>
      <c r="AT139" s="211"/>
      <c r="AU139" s="211"/>
      <c r="AV139" s="211"/>
      <c r="AW139" s="211"/>
      <c r="AX139" s="211"/>
      <c r="AY139" s="211"/>
      <c r="AZ139" s="211"/>
    </row>
    <row r="140" spans="1:52" s="213" customFormat="1" x14ac:dyDescent="0.35">
      <c r="A140" s="211"/>
      <c r="B140" s="211"/>
      <c r="C140" s="211"/>
      <c r="D140" s="211"/>
      <c r="E140" s="211"/>
      <c r="F140" s="211"/>
      <c r="G140" s="211"/>
      <c r="H140" s="211"/>
      <c r="I140" s="212"/>
      <c r="J140" s="212"/>
      <c r="K140" s="212"/>
      <c r="L140" s="212"/>
      <c r="M140" s="212"/>
      <c r="N140" s="212"/>
      <c r="O140" s="212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  <c r="Z140" s="211"/>
      <c r="AD140" s="211"/>
      <c r="AE140" s="211"/>
      <c r="AF140" s="211"/>
      <c r="AG140" s="211"/>
      <c r="AH140" s="211"/>
      <c r="AI140" s="211"/>
      <c r="AJ140" s="211"/>
      <c r="AK140" s="211"/>
      <c r="AL140" s="211"/>
      <c r="AM140" s="211"/>
      <c r="AN140" s="211"/>
      <c r="AO140" s="211"/>
      <c r="AP140" s="211"/>
      <c r="AQ140" s="211"/>
      <c r="AR140" s="211"/>
      <c r="AS140" s="211"/>
      <c r="AT140" s="211"/>
      <c r="AU140" s="211"/>
      <c r="AV140" s="211"/>
      <c r="AW140" s="211"/>
      <c r="AX140" s="211"/>
      <c r="AY140" s="211"/>
      <c r="AZ140" s="211"/>
    </row>
    <row r="141" spans="1:52" s="213" customFormat="1" x14ac:dyDescent="0.35">
      <c r="A141" s="211"/>
      <c r="B141" s="211"/>
      <c r="C141" s="211"/>
      <c r="D141" s="211"/>
      <c r="E141" s="211"/>
      <c r="F141" s="211"/>
      <c r="G141" s="211"/>
      <c r="H141" s="211"/>
      <c r="I141" s="212"/>
      <c r="J141" s="212"/>
      <c r="K141" s="212"/>
      <c r="L141" s="212"/>
      <c r="M141" s="212"/>
      <c r="N141" s="212"/>
      <c r="O141" s="212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  <c r="Z141" s="211"/>
      <c r="AD141" s="211"/>
      <c r="AE141" s="211"/>
      <c r="AF141" s="211"/>
      <c r="AG141" s="211"/>
      <c r="AH141" s="211"/>
      <c r="AI141" s="211"/>
      <c r="AJ141" s="211"/>
      <c r="AK141" s="211"/>
      <c r="AL141" s="211"/>
      <c r="AM141" s="211"/>
      <c r="AN141" s="211"/>
      <c r="AO141" s="211"/>
      <c r="AP141" s="211"/>
      <c r="AQ141" s="211"/>
      <c r="AR141" s="211"/>
      <c r="AS141" s="211"/>
      <c r="AT141" s="211"/>
      <c r="AU141" s="211"/>
      <c r="AV141" s="211"/>
      <c r="AW141" s="211"/>
      <c r="AX141" s="211"/>
      <c r="AY141" s="211"/>
      <c r="AZ141" s="211"/>
    </row>
    <row r="142" spans="1:52" s="213" customFormat="1" x14ac:dyDescent="0.35">
      <c r="A142" s="211"/>
      <c r="B142" s="211"/>
      <c r="C142" s="211"/>
      <c r="D142" s="211"/>
      <c r="E142" s="211"/>
      <c r="F142" s="211"/>
      <c r="G142" s="211"/>
      <c r="H142" s="211"/>
      <c r="I142" s="212"/>
      <c r="J142" s="212"/>
      <c r="K142" s="212"/>
      <c r="L142" s="212"/>
      <c r="M142" s="212"/>
      <c r="N142" s="212"/>
      <c r="O142" s="212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  <c r="AD142" s="211"/>
      <c r="AE142" s="211"/>
      <c r="AF142" s="211"/>
      <c r="AG142" s="211"/>
      <c r="AH142" s="211"/>
      <c r="AI142" s="211"/>
      <c r="AJ142" s="211"/>
      <c r="AK142" s="211"/>
      <c r="AL142" s="211"/>
      <c r="AM142" s="211"/>
      <c r="AN142" s="211"/>
      <c r="AO142" s="211"/>
      <c r="AP142" s="211"/>
      <c r="AQ142" s="211"/>
      <c r="AR142" s="211"/>
      <c r="AS142" s="211"/>
      <c r="AT142" s="211"/>
      <c r="AU142" s="211"/>
      <c r="AV142" s="211"/>
      <c r="AW142" s="211"/>
      <c r="AX142" s="211"/>
      <c r="AY142" s="211"/>
      <c r="AZ142" s="211"/>
    </row>
    <row r="143" spans="1:52" s="213" customFormat="1" x14ac:dyDescent="0.35">
      <c r="A143" s="211"/>
      <c r="B143" s="211"/>
      <c r="C143" s="211"/>
      <c r="D143" s="211"/>
      <c r="E143" s="211"/>
      <c r="F143" s="211"/>
      <c r="G143" s="211"/>
      <c r="H143" s="211"/>
      <c r="I143" s="212"/>
      <c r="J143" s="212"/>
      <c r="K143" s="212"/>
      <c r="L143" s="212"/>
      <c r="M143" s="212"/>
      <c r="N143" s="212"/>
      <c r="O143" s="212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  <c r="Z143" s="211"/>
      <c r="AD143" s="211"/>
      <c r="AE143" s="211"/>
      <c r="AF143" s="211"/>
      <c r="AG143" s="211"/>
      <c r="AH143" s="211"/>
      <c r="AI143" s="211"/>
      <c r="AJ143" s="211"/>
      <c r="AK143" s="211"/>
      <c r="AL143" s="211"/>
      <c r="AM143" s="211"/>
      <c r="AN143" s="211"/>
      <c r="AO143" s="211"/>
      <c r="AP143" s="211"/>
      <c r="AQ143" s="211"/>
      <c r="AR143" s="211"/>
      <c r="AS143" s="211"/>
      <c r="AT143" s="211"/>
      <c r="AU143" s="211"/>
      <c r="AV143" s="211"/>
      <c r="AW143" s="211"/>
      <c r="AX143" s="211"/>
      <c r="AY143" s="211"/>
      <c r="AZ143" s="211"/>
    </row>
    <row r="144" spans="1:52" s="213" customFormat="1" x14ac:dyDescent="0.35">
      <c r="A144" s="211"/>
      <c r="B144" s="211"/>
      <c r="C144" s="211"/>
      <c r="D144" s="211"/>
      <c r="E144" s="211"/>
      <c r="F144" s="211"/>
      <c r="G144" s="211"/>
      <c r="H144" s="211"/>
      <c r="I144" s="212"/>
      <c r="J144" s="212"/>
      <c r="K144" s="212"/>
      <c r="L144" s="212"/>
      <c r="M144" s="212"/>
      <c r="N144" s="212"/>
      <c r="O144" s="212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D144" s="211"/>
      <c r="AE144" s="211"/>
      <c r="AF144" s="211"/>
      <c r="AG144" s="211"/>
      <c r="AH144" s="211"/>
      <c r="AI144" s="211"/>
      <c r="AJ144" s="211"/>
      <c r="AK144" s="211"/>
      <c r="AL144" s="211"/>
      <c r="AM144" s="211"/>
      <c r="AN144" s="211"/>
      <c r="AO144" s="211"/>
      <c r="AP144" s="211"/>
      <c r="AQ144" s="211"/>
      <c r="AR144" s="211"/>
      <c r="AS144" s="211"/>
      <c r="AT144" s="211"/>
      <c r="AU144" s="211"/>
      <c r="AV144" s="211"/>
      <c r="AW144" s="211"/>
      <c r="AX144" s="211"/>
      <c r="AY144" s="211"/>
      <c r="AZ144" s="211"/>
    </row>
    <row r="145" spans="1:52" s="213" customFormat="1" x14ac:dyDescent="0.35">
      <c r="A145" s="211"/>
      <c r="B145" s="211"/>
      <c r="C145" s="211"/>
      <c r="D145" s="211"/>
      <c r="E145" s="211"/>
      <c r="F145" s="211"/>
      <c r="G145" s="211"/>
      <c r="H145" s="211"/>
      <c r="I145" s="212"/>
      <c r="J145" s="212"/>
      <c r="K145" s="212"/>
      <c r="L145" s="212"/>
      <c r="M145" s="212"/>
      <c r="N145" s="212"/>
      <c r="O145" s="212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D145" s="211"/>
      <c r="AE145" s="211"/>
      <c r="AF145" s="211"/>
      <c r="AG145" s="211"/>
      <c r="AH145" s="211"/>
      <c r="AI145" s="211"/>
      <c r="AJ145" s="211"/>
      <c r="AK145" s="211"/>
      <c r="AL145" s="211"/>
      <c r="AM145" s="211"/>
      <c r="AN145" s="211"/>
      <c r="AO145" s="211"/>
      <c r="AP145" s="211"/>
      <c r="AQ145" s="211"/>
      <c r="AR145" s="211"/>
      <c r="AS145" s="211"/>
      <c r="AT145" s="211"/>
      <c r="AU145" s="211"/>
      <c r="AV145" s="211"/>
      <c r="AW145" s="211"/>
      <c r="AX145" s="211"/>
      <c r="AY145" s="211"/>
      <c r="AZ145" s="211"/>
    </row>
    <row r="146" spans="1:52" s="213" customFormat="1" x14ac:dyDescent="0.35">
      <c r="A146" s="211"/>
      <c r="B146" s="211"/>
      <c r="C146" s="211"/>
      <c r="D146" s="211"/>
      <c r="E146" s="211"/>
      <c r="F146" s="211"/>
      <c r="G146" s="211"/>
      <c r="H146" s="211"/>
      <c r="I146" s="212"/>
      <c r="J146" s="212"/>
      <c r="K146" s="212"/>
      <c r="L146" s="212"/>
      <c r="M146" s="212"/>
      <c r="N146" s="212"/>
      <c r="O146" s="212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D146" s="211"/>
      <c r="AE146" s="211"/>
      <c r="AF146" s="211"/>
      <c r="AG146" s="211"/>
      <c r="AH146" s="211"/>
      <c r="AI146" s="211"/>
      <c r="AJ146" s="211"/>
      <c r="AK146" s="211"/>
      <c r="AL146" s="211"/>
      <c r="AM146" s="211"/>
      <c r="AN146" s="211"/>
      <c r="AO146" s="211"/>
      <c r="AP146" s="211"/>
      <c r="AQ146" s="211"/>
      <c r="AR146" s="211"/>
      <c r="AS146" s="211"/>
      <c r="AT146" s="211"/>
      <c r="AU146" s="211"/>
      <c r="AV146" s="211"/>
      <c r="AW146" s="211"/>
      <c r="AX146" s="211"/>
      <c r="AY146" s="211"/>
      <c r="AZ146" s="211"/>
    </row>
    <row r="147" spans="1:52" s="213" customFormat="1" x14ac:dyDescent="0.35">
      <c r="A147" s="211"/>
      <c r="B147" s="211"/>
      <c r="C147" s="211"/>
      <c r="D147" s="211"/>
      <c r="E147" s="211"/>
      <c r="F147" s="211"/>
      <c r="G147" s="211"/>
      <c r="H147" s="211"/>
      <c r="I147" s="212"/>
      <c r="J147" s="212"/>
      <c r="K147" s="212"/>
      <c r="L147" s="212"/>
      <c r="M147" s="212"/>
      <c r="N147" s="212"/>
      <c r="O147" s="212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  <c r="Z147" s="211"/>
      <c r="AD147" s="211"/>
      <c r="AE147" s="211"/>
      <c r="AF147" s="211"/>
      <c r="AG147" s="211"/>
      <c r="AH147" s="211"/>
      <c r="AI147" s="211"/>
      <c r="AJ147" s="211"/>
      <c r="AK147" s="211"/>
      <c r="AL147" s="211"/>
      <c r="AM147" s="211"/>
      <c r="AN147" s="211"/>
      <c r="AO147" s="211"/>
      <c r="AP147" s="211"/>
      <c r="AQ147" s="211"/>
      <c r="AR147" s="211"/>
      <c r="AS147" s="211"/>
      <c r="AT147" s="211"/>
      <c r="AU147" s="211"/>
      <c r="AV147" s="211"/>
      <c r="AW147" s="211"/>
      <c r="AX147" s="211"/>
      <c r="AY147" s="211"/>
      <c r="AZ147" s="211"/>
    </row>
    <row r="148" spans="1:52" s="213" customFormat="1" x14ac:dyDescent="0.35">
      <c r="A148" s="211"/>
      <c r="B148" s="211"/>
      <c r="C148" s="211"/>
      <c r="D148" s="211"/>
      <c r="E148" s="211"/>
      <c r="F148" s="211"/>
      <c r="G148" s="211"/>
      <c r="H148" s="211"/>
      <c r="I148" s="212"/>
      <c r="J148" s="212"/>
      <c r="K148" s="212"/>
      <c r="L148" s="212"/>
      <c r="M148" s="212"/>
      <c r="N148" s="212"/>
      <c r="O148" s="212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  <c r="Z148" s="211"/>
      <c r="AD148" s="211"/>
      <c r="AE148" s="211"/>
      <c r="AF148" s="211"/>
      <c r="AG148" s="211"/>
      <c r="AH148" s="211"/>
      <c r="AI148" s="211"/>
      <c r="AJ148" s="211"/>
      <c r="AK148" s="211"/>
      <c r="AL148" s="211"/>
      <c r="AM148" s="211"/>
      <c r="AN148" s="211"/>
      <c r="AO148" s="211"/>
      <c r="AP148" s="211"/>
      <c r="AQ148" s="211"/>
      <c r="AR148" s="211"/>
      <c r="AS148" s="211"/>
      <c r="AT148" s="211"/>
      <c r="AU148" s="211"/>
      <c r="AV148" s="211"/>
      <c r="AW148" s="211"/>
      <c r="AX148" s="211"/>
      <c r="AY148" s="211"/>
      <c r="AZ148" s="211"/>
    </row>
    <row r="149" spans="1:52" s="213" customFormat="1" x14ac:dyDescent="0.35">
      <c r="A149" s="211"/>
      <c r="B149" s="211"/>
      <c r="C149" s="211"/>
      <c r="D149" s="211"/>
      <c r="E149" s="211"/>
      <c r="F149" s="211"/>
      <c r="G149" s="211"/>
      <c r="H149" s="211"/>
      <c r="I149" s="212"/>
      <c r="J149" s="212"/>
      <c r="K149" s="212"/>
      <c r="L149" s="212"/>
      <c r="M149" s="212"/>
      <c r="N149" s="212"/>
      <c r="O149" s="212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  <c r="Z149" s="211"/>
      <c r="AD149" s="211"/>
      <c r="AE149" s="211"/>
      <c r="AF149" s="211"/>
      <c r="AG149" s="211"/>
      <c r="AH149" s="211"/>
      <c r="AI149" s="211"/>
      <c r="AJ149" s="211"/>
      <c r="AK149" s="211"/>
      <c r="AL149" s="211"/>
      <c r="AM149" s="211"/>
      <c r="AN149" s="211"/>
      <c r="AO149" s="211"/>
      <c r="AP149" s="211"/>
      <c r="AQ149" s="211"/>
      <c r="AR149" s="211"/>
      <c r="AS149" s="211"/>
      <c r="AT149" s="211"/>
      <c r="AU149" s="211"/>
      <c r="AV149" s="211"/>
      <c r="AW149" s="211"/>
      <c r="AX149" s="211"/>
      <c r="AY149" s="211"/>
      <c r="AZ149" s="211"/>
    </row>
    <row r="150" spans="1:52" s="213" customFormat="1" x14ac:dyDescent="0.35">
      <c r="A150" s="211"/>
      <c r="B150" s="211"/>
      <c r="C150" s="211"/>
      <c r="D150" s="211"/>
      <c r="E150" s="211"/>
      <c r="F150" s="211"/>
      <c r="G150" s="211"/>
      <c r="H150" s="211"/>
      <c r="I150" s="212"/>
      <c r="J150" s="212"/>
      <c r="K150" s="212"/>
      <c r="L150" s="212"/>
      <c r="M150" s="212"/>
      <c r="N150" s="212"/>
      <c r="O150" s="212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  <c r="Z150" s="211"/>
      <c r="AD150" s="211"/>
      <c r="AE150" s="211"/>
      <c r="AF150" s="211"/>
      <c r="AG150" s="211"/>
      <c r="AH150" s="211"/>
      <c r="AI150" s="211"/>
      <c r="AJ150" s="211"/>
      <c r="AK150" s="211"/>
      <c r="AL150" s="211"/>
      <c r="AM150" s="211"/>
      <c r="AN150" s="211"/>
      <c r="AO150" s="211"/>
      <c r="AP150" s="211"/>
      <c r="AQ150" s="211"/>
      <c r="AR150" s="211"/>
      <c r="AS150" s="211"/>
      <c r="AT150" s="211"/>
      <c r="AU150" s="211"/>
      <c r="AV150" s="211"/>
      <c r="AW150" s="211"/>
      <c r="AX150" s="211"/>
      <c r="AY150" s="211"/>
      <c r="AZ150" s="211"/>
    </row>
    <row r="151" spans="1:52" s="213" customFormat="1" x14ac:dyDescent="0.35">
      <c r="A151" s="211"/>
      <c r="B151" s="211"/>
      <c r="C151" s="211"/>
      <c r="D151" s="211"/>
      <c r="E151" s="211"/>
      <c r="F151" s="211"/>
      <c r="G151" s="211"/>
      <c r="H151" s="211"/>
      <c r="I151" s="212"/>
      <c r="J151" s="212"/>
      <c r="K151" s="212"/>
      <c r="L151" s="212"/>
      <c r="M151" s="212"/>
      <c r="N151" s="212"/>
      <c r="O151" s="212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  <c r="Z151" s="211"/>
      <c r="AD151" s="211"/>
      <c r="AE151" s="211"/>
      <c r="AF151" s="211"/>
      <c r="AG151" s="211"/>
      <c r="AH151" s="211"/>
      <c r="AI151" s="211"/>
      <c r="AJ151" s="211"/>
      <c r="AK151" s="211"/>
      <c r="AL151" s="211"/>
      <c r="AM151" s="211"/>
      <c r="AN151" s="211"/>
      <c r="AO151" s="211"/>
      <c r="AP151" s="211"/>
      <c r="AQ151" s="211"/>
      <c r="AR151" s="211"/>
      <c r="AS151" s="211"/>
      <c r="AT151" s="211"/>
      <c r="AU151" s="211"/>
      <c r="AV151" s="211"/>
      <c r="AW151" s="211"/>
      <c r="AX151" s="211"/>
      <c r="AY151" s="211"/>
      <c r="AZ151" s="211"/>
    </row>
    <row r="152" spans="1:52" s="213" customFormat="1" x14ac:dyDescent="0.35">
      <c r="A152" s="211"/>
      <c r="B152" s="211"/>
      <c r="C152" s="211"/>
      <c r="D152" s="211"/>
      <c r="E152" s="211"/>
      <c r="F152" s="211"/>
      <c r="G152" s="211"/>
      <c r="H152" s="211"/>
      <c r="I152" s="212"/>
      <c r="J152" s="212"/>
      <c r="K152" s="212"/>
      <c r="L152" s="212"/>
      <c r="M152" s="212"/>
      <c r="N152" s="212"/>
      <c r="O152" s="212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  <c r="Z152" s="211"/>
      <c r="AD152" s="211"/>
      <c r="AE152" s="211"/>
      <c r="AF152" s="211"/>
      <c r="AG152" s="211"/>
      <c r="AH152" s="211"/>
      <c r="AI152" s="211"/>
      <c r="AJ152" s="211"/>
      <c r="AK152" s="211"/>
      <c r="AL152" s="211"/>
      <c r="AM152" s="211"/>
      <c r="AN152" s="211"/>
      <c r="AO152" s="211"/>
      <c r="AP152" s="211"/>
      <c r="AQ152" s="211"/>
      <c r="AR152" s="211"/>
      <c r="AS152" s="211"/>
      <c r="AT152" s="211"/>
      <c r="AU152" s="211"/>
      <c r="AV152" s="211"/>
      <c r="AW152" s="211"/>
      <c r="AX152" s="211"/>
      <c r="AY152" s="211"/>
      <c r="AZ152" s="211"/>
    </row>
    <row r="153" spans="1:52" s="213" customFormat="1" x14ac:dyDescent="0.35">
      <c r="A153" s="211"/>
      <c r="B153" s="211"/>
      <c r="C153" s="211"/>
      <c r="D153" s="211"/>
      <c r="E153" s="211"/>
      <c r="F153" s="211"/>
      <c r="G153" s="211"/>
      <c r="H153" s="211"/>
      <c r="I153" s="212"/>
      <c r="J153" s="212"/>
      <c r="K153" s="212"/>
      <c r="L153" s="212"/>
      <c r="M153" s="212"/>
      <c r="N153" s="212"/>
      <c r="O153" s="212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  <c r="Z153" s="211"/>
      <c r="AD153" s="211"/>
      <c r="AE153" s="211"/>
      <c r="AF153" s="211"/>
      <c r="AG153" s="211"/>
      <c r="AH153" s="211"/>
      <c r="AI153" s="211"/>
      <c r="AJ153" s="211"/>
      <c r="AK153" s="211"/>
      <c r="AL153" s="211"/>
      <c r="AM153" s="211"/>
      <c r="AN153" s="211"/>
      <c r="AO153" s="211"/>
      <c r="AP153" s="211"/>
      <c r="AQ153" s="211"/>
      <c r="AR153" s="211"/>
      <c r="AS153" s="211"/>
      <c r="AT153" s="211"/>
      <c r="AU153" s="211"/>
      <c r="AV153" s="211"/>
      <c r="AW153" s="211"/>
      <c r="AX153" s="211"/>
      <c r="AY153" s="211"/>
      <c r="AZ153" s="211"/>
    </row>
    <row r="154" spans="1:52" s="213" customFormat="1" x14ac:dyDescent="0.35">
      <c r="A154" s="211"/>
      <c r="B154" s="211"/>
      <c r="C154" s="211"/>
      <c r="D154" s="211"/>
      <c r="E154" s="211"/>
      <c r="F154" s="211"/>
      <c r="G154" s="211"/>
      <c r="H154" s="211"/>
      <c r="I154" s="212"/>
      <c r="J154" s="212"/>
      <c r="K154" s="212"/>
      <c r="L154" s="212"/>
      <c r="M154" s="212"/>
      <c r="N154" s="212"/>
      <c r="O154" s="212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  <c r="Z154" s="211"/>
      <c r="AD154" s="211"/>
      <c r="AE154" s="211"/>
      <c r="AF154" s="211"/>
      <c r="AG154" s="211"/>
      <c r="AH154" s="211"/>
      <c r="AI154" s="211"/>
      <c r="AJ154" s="211"/>
      <c r="AK154" s="211"/>
      <c r="AL154" s="211"/>
      <c r="AM154" s="211"/>
      <c r="AN154" s="211"/>
      <c r="AO154" s="211"/>
      <c r="AP154" s="211"/>
      <c r="AQ154" s="211"/>
      <c r="AR154" s="211"/>
      <c r="AS154" s="211"/>
      <c r="AT154" s="211"/>
      <c r="AU154" s="211"/>
      <c r="AV154" s="211"/>
      <c r="AW154" s="211"/>
      <c r="AX154" s="211"/>
      <c r="AY154" s="211"/>
      <c r="AZ154" s="211"/>
    </row>
    <row r="155" spans="1:52" s="213" customFormat="1" x14ac:dyDescent="0.35">
      <c r="A155" s="211"/>
      <c r="B155" s="211"/>
      <c r="C155" s="211"/>
      <c r="D155" s="211"/>
      <c r="E155" s="211"/>
      <c r="F155" s="211"/>
      <c r="G155" s="211"/>
      <c r="H155" s="211"/>
      <c r="I155" s="212"/>
      <c r="J155" s="212"/>
      <c r="K155" s="212"/>
      <c r="L155" s="212"/>
      <c r="M155" s="212"/>
      <c r="N155" s="212"/>
      <c r="O155" s="212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  <c r="Z155" s="211"/>
      <c r="AD155" s="211"/>
      <c r="AE155" s="211"/>
      <c r="AF155" s="211"/>
      <c r="AG155" s="211"/>
      <c r="AH155" s="211"/>
      <c r="AI155" s="211"/>
      <c r="AJ155" s="211"/>
      <c r="AK155" s="211"/>
      <c r="AL155" s="211"/>
      <c r="AM155" s="211"/>
      <c r="AN155" s="211"/>
      <c r="AO155" s="211"/>
      <c r="AP155" s="211"/>
      <c r="AQ155" s="211"/>
      <c r="AR155" s="211"/>
      <c r="AS155" s="211"/>
      <c r="AT155" s="211"/>
      <c r="AU155" s="211"/>
      <c r="AV155" s="211"/>
      <c r="AW155" s="211"/>
      <c r="AX155" s="211"/>
      <c r="AY155" s="211"/>
      <c r="AZ155" s="211"/>
    </row>
    <row r="156" spans="1:52" s="213" customFormat="1" x14ac:dyDescent="0.35">
      <c r="A156" s="211"/>
      <c r="B156" s="211"/>
      <c r="C156" s="211"/>
      <c r="D156" s="211"/>
      <c r="E156" s="211"/>
      <c r="F156" s="211"/>
      <c r="G156" s="211"/>
      <c r="H156" s="211"/>
      <c r="I156" s="212"/>
      <c r="J156" s="212"/>
      <c r="K156" s="212"/>
      <c r="L156" s="212"/>
      <c r="M156" s="212"/>
      <c r="N156" s="212"/>
      <c r="O156" s="212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  <c r="Z156" s="211"/>
      <c r="AD156" s="211"/>
      <c r="AE156" s="211"/>
      <c r="AF156" s="211"/>
      <c r="AG156" s="211"/>
      <c r="AH156" s="211"/>
      <c r="AI156" s="211"/>
      <c r="AJ156" s="211"/>
      <c r="AK156" s="211"/>
      <c r="AL156" s="211"/>
      <c r="AM156" s="211"/>
      <c r="AN156" s="211"/>
      <c r="AO156" s="211"/>
      <c r="AP156" s="211"/>
      <c r="AQ156" s="211"/>
      <c r="AR156" s="211"/>
      <c r="AS156" s="211"/>
      <c r="AT156" s="211"/>
      <c r="AU156" s="211"/>
      <c r="AV156" s="211"/>
      <c r="AW156" s="211"/>
      <c r="AX156" s="211"/>
      <c r="AY156" s="211"/>
      <c r="AZ156" s="211"/>
    </row>
    <row r="157" spans="1:52" s="213" customFormat="1" x14ac:dyDescent="0.35">
      <c r="A157" s="211"/>
      <c r="B157" s="211"/>
      <c r="C157" s="211"/>
      <c r="D157" s="211"/>
      <c r="E157" s="211"/>
      <c r="F157" s="211"/>
      <c r="G157" s="211"/>
      <c r="H157" s="211"/>
      <c r="I157" s="212"/>
      <c r="J157" s="212"/>
      <c r="K157" s="212"/>
      <c r="L157" s="212"/>
      <c r="M157" s="212"/>
      <c r="N157" s="212"/>
      <c r="O157" s="212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  <c r="Z157" s="211"/>
      <c r="AD157" s="211"/>
      <c r="AE157" s="211"/>
      <c r="AF157" s="211"/>
      <c r="AG157" s="211"/>
      <c r="AH157" s="211"/>
      <c r="AI157" s="211"/>
      <c r="AJ157" s="211"/>
      <c r="AK157" s="211"/>
      <c r="AL157" s="211"/>
      <c r="AM157" s="211"/>
      <c r="AN157" s="211"/>
      <c r="AO157" s="211"/>
      <c r="AP157" s="211"/>
      <c r="AQ157" s="211"/>
      <c r="AR157" s="211"/>
      <c r="AS157" s="211"/>
      <c r="AT157" s="211"/>
      <c r="AU157" s="211"/>
      <c r="AV157" s="211"/>
      <c r="AW157" s="211"/>
      <c r="AX157" s="211"/>
      <c r="AY157" s="211"/>
      <c r="AZ157" s="211"/>
    </row>
    <row r="158" spans="1:52" s="213" customFormat="1" x14ac:dyDescent="0.35">
      <c r="A158" s="211"/>
      <c r="B158" s="211"/>
      <c r="C158" s="211"/>
      <c r="D158" s="211"/>
      <c r="E158" s="211"/>
      <c r="F158" s="211"/>
      <c r="G158" s="211"/>
      <c r="H158" s="211"/>
      <c r="I158" s="212"/>
      <c r="J158" s="212"/>
      <c r="K158" s="212"/>
      <c r="L158" s="212"/>
      <c r="M158" s="212"/>
      <c r="N158" s="212"/>
      <c r="O158" s="212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  <c r="Z158" s="211"/>
      <c r="AD158" s="211"/>
      <c r="AE158" s="211"/>
      <c r="AF158" s="211"/>
      <c r="AG158" s="211"/>
      <c r="AH158" s="211"/>
      <c r="AI158" s="211"/>
      <c r="AJ158" s="211"/>
      <c r="AK158" s="211"/>
      <c r="AL158" s="211"/>
      <c r="AM158" s="211"/>
      <c r="AN158" s="211"/>
      <c r="AO158" s="211"/>
      <c r="AP158" s="211"/>
      <c r="AQ158" s="211"/>
      <c r="AR158" s="211"/>
      <c r="AS158" s="211"/>
      <c r="AT158" s="211"/>
      <c r="AU158" s="211"/>
      <c r="AV158" s="211"/>
      <c r="AW158" s="211"/>
      <c r="AX158" s="211"/>
      <c r="AY158" s="211"/>
      <c r="AZ158" s="211"/>
    </row>
    <row r="159" spans="1:52" s="213" customFormat="1" x14ac:dyDescent="0.35">
      <c r="A159" s="211"/>
      <c r="B159" s="211"/>
      <c r="C159" s="211"/>
      <c r="D159" s="211"/>
      <c r="E159" s="211"/>
      <c r="F159" s="211"/>
      <c r="G159" s="211"/>
      <c r="H159" s="211"/>
      <c r="I159" s="212"/>
      <c r="J159" s="212"/>
      <c r="K159" s="212"/>
      <c r="L159" s="212"/>
      <c r="M159" s="212"/>
      <c r="N159" s="212"/>
      <c r="O159" s="212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  <c r="Z159" s="211"/>
      <c r="AD159" s="211"/>
      <c r="AE159" s="211"/>
      <c r="AF159" s="211"/>
      <c r="AG159" s="211"/>
      <c r="AH159" s="211"/>
      <c r="AI159" s="211"/>
      <c r="AJ159" s="211"/>
      <c r="AK159" s="211"/>
      <c r="AL159" s="211"/>
      <c r="AM159" s="211"/>
      <c r="AN159" s="211"/>
      <c r="AO159" s="211"/>
      <c r="AP159" s="211"/>
      <c r="AQ159" s="211"/>
      <c r="AR159" s="211"/>
      <c r="AS159" s="211"/>
      <c r="AT159" s="211"/>
      <c r="AU159" s="211"/>
      <c r="AV159" s="211"/>
      <c r="AW159" s="211"/>
      <c r="AX159" s="211"/>
      <c r="AY159" s="211"/>
      <c r="AZ159" s="211"/>
    </row>
    <row r="160" spans="1:52" s="213" customFormat="1" x14ac:dyDescent="0.35">
      <c r="A160" s="211"/>
      <c r="B160" s="211"/>
      <c r="C160" s="211"/>
      <c r="D160" s="211"/>
      <c r="E160" s="211"/>
      <c r="F160" s="211"/>
      <c r="G160" s="211"/>
      <c r="H160" s="211"/>
      <c r="I160" s="212"/>
      <c r="J160" s="212"/>
      <c r="K160" s="212"/>
      <c r="L160" s="212"/>
      <c r="M160" s="212"/>
      <c r="N160" s="212"/>
      <c r="O160" s="212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  <c r="Z160" s="211"/>
      <c r="AD160" s="211"/>
      <c r="AE160" s="211"/>
      <c r="AF160" s="211"/>
      <c r="AG160" s="211"/>
      <c r="AH160" s="211"/>
      <c r="AI160" s="211"/>
      <c r="AJ160" s="211"/>
      <c r="AK160" s="211"/>
      <c r="AL160" s="211"/>
      <c r="AM160" s="211"/>
      <c r="AN160" s="211"/>
      <c r="AO160" s="211"/>
      <c r="AP160" s="211"/>
      <c r="AQ160" s="211"/>
      <c r="AR160" s="211"/>
      <c r="AS160" s="211"/>
      <c r="AT160" s="211"/>
      <c r="AU160" s="211"/>
      <c r="AV160" s="211"/>
      <c r="AW160" s="211"/>
      <c r="AX160" s="211"/>
      <c r="AY160" s="211"/>
      <c r="AZ160" s="211"/>
    </row>
    <row r="161" spans="1:52" s="213" customFormat="1" x14ac:dyDescent="0.35">
      <c r="A161" s="211"/>
      <c r="B161" s="211"/>
      <c r="C161" s="211"/>
      <c r="D161" s="211"/>
      <c r="E161" s="211"/>
      <c r="F161" s="211"/>
      <c r="G161" s="211"/>
      <c r="H161" s="211"/>
      <c r="I161" s="212"/>
      <c r="J161" s="212"/>
      <c r="K161" s="212"/>
      <c r="L161" s="212"/>
      <c r="M161" s="212"/>
      <c r="N161" s="212"/>
      <c r="O161" s="212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  <c r="Z161" s="211"/>
      <c r="AD161" s="211"/>
      <c r="AE161" s="211"/>
      <c r="AF161" s="211"/>
      <c r="AG161" s="211"/>
      <c r="AH161" s="211"/>
      <c r="AI161" s="211"/>
      <c r="AJ161" s="211"/>
      <c r="AK161" s="211"/>
      <c r="AL161" s="211"/>
      <c r="AM161" s="211"/>
      <c r="AN161" s="211"/>
      <c r="AO161" s="211"/>
      <c r="AP161" s="211"/>
      <c r="AQ161" s="211"/>
      <c r="AR161" s="211"/>
      <c r="AS161" s="211"/>
      <c r="AT161" s="211"/>
      <c r="AU161" s="211"/>
      <c r="AV161" s="211"/>
      <c r="AW161" s="211"/>
      <c r="AX161" s="211"/>
      <c r="AY161" s="211"/>
      <c r="AZ161" s="211"/>
    </row>
    <row r="162" spans="1:52" s="213" customFormat="1" x14ac:dyDescent="0.35">
      <c r="A162" s="211"/>
      <c r="B162" s="211"/>
      <c r="C162" s="211"/>
      <c r="D162" s="211"/>
      <c r="E162" s="211"/>
      <c r="F162" s="211"/>
      <c r="G162" s="211"/>
      <c r="H162" s="211"/>
      <c r="I162" s="212"/>
      <c r="J162" s="212"/>
      <c r="K162" s="212"/>
      <c r="L162" s="212"/>
      <c r="M162" s="212"/>
      <c r="N162" s="212"/>
      <c r="O162" s="212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  <c r="Z162" s="211"/>
      <c r="AD162" s="211"/>
      <c r="AE162" s="211"/>
      <c r="AF162" s="211"/>
      <c r="AG162" s="211"/>
      <c r="AH162" s="211"/>
      <c r="AI162" s="211"/>
      <c r="AJ162" s="211"/>
      <c r="AK162" s="211"/>
      <c r="AL162" s="211"/>
      <c r="AM162" s="211"/>
      <c r="AN162" s="211"/>
      <c r="AO162" s="211"/>
      <c r="AP162" s="211"/>
      <c r="AQ162" s="211"/>
      <c r="AR162" s="211"/>
      <c r="AS162" s="211"/>
      <c r="AT162" s="211"/>
      <c r="AU162" s="211"/>
      <c r="AV162" s="211"/>
      <c r="AW162" s="211"/>
      <c r="AX162" s="211"/>
      <c r="AY162" s="211"/>
      <c r="AZ162" s="211"/>
    </row>
    <row r="163" spans="1:52" s="213" customFormat="1" x14ac:dyDescent="0.35">
      <c r="A163" s="211"/>
      <c r="B163" s="211"/>
      <c r="C163" s="211"/>
      <c r="D163" s="211"/>
      <c r="E163" s="211"/>
      <c r="F163" s="211"/>
      <c r="G163" s="211"/>
      <c r="H163" s="211"/>
      <c r="I163" s="212"/>
      <c r="J163" s="212"/>
      <c r="K163" s="212"/>
      <c r="L163" s="212"/>
      <c r="M163" s="212"/>
      <c r="N163" s="212"/>
      <c r="O163" s="212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  <c r="Z163" s="211"/>
      <c r="AD163" s="211"/>
      <c r="AE163" s="211"/>
      <c r="AF163" s="211"/>
      <c r="AG163" s="211"/>
      <c r="AH163" s="211"/>
      <c r="AI163" s="211"/>
      <c r="AJ163" s="211"/>
      <c r="AK163" s="211"/>
      <c r="AL163" s="211"/>
      <c r="AM163" s="211"/>
      <c r="AN163" s="211"/>
      <c r="AO163" s="211"/>
      <c r="AP163" s="211"/>
      <c r="AQ163" s="211"/>
      <c r="AR163" s="211"/>
      <c r="AS163" s="211"/>
      <c r="AT163" s="211"/>
      <c r="AU163" s="211"/>
      <c r="AV163" s="211"/>
      <c r="AW163" s="211"/>
      <c r="AX163" s="211"/>
      <c r="AY163" s="211"/>
      <c r="AZ163" s="211"/>
    </row>
    <row r="164" spans="1:52" s="213" customFormat="1" x14ac:dyDescent="0.35">
      <c r="A164" s="211"/>
      <c r="B164" s="211"/>
      <c r="C164" s="211"/>
      <c r="D164" s="211"/>
      <c r="E164" s="211"/>
      <c r="F164" s="211"/>
      <c r="G164" s="211"/>
      <c r="H164" s="211"/>
      <c r="I164" s="212"/>
      <c r="J164" s="212"/>
      <c r="K164" s="212"/>
      <c r="L164" s="212"/>
      <c r="M164" s="212"/>
      <c r="N164" s="212"/>
      <c r="O164" s="212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  <c r="Z164" s="211"/>
      <c r="AD164" s="211"/>
      <c r="AE164" s="211"/>
      <c r="AF164" s="211"/>
      <c r="AG164" s="211"/>
      <c r="AH164" s="211"/>
      <c r="AI164" s="211"/>
      <c r="AJ164" s="211"/>
      <c r="AK164" s="211"/>
      <c r="AL164" s="211"/>
      <c r="AM164" s="211"/>
      <c r="AN164" s="211"/>
      <c r="AO164" s="211"/>
      <c r="AP164" s="211"/>
      <c r="AQ164" s="211"/>
      <c r="AR164" s="211"/>
      <c r="AS164" s="211"/>
      <c r="AT164" s="211"/>
      <c r="AU164" s="211"/>
      <c r="AV164" s="211"/>
      <c r="AW164" s="211"/>
      <c r="AX164" s="211"/>
      <c r="AY164" s="211"/>
      <c r="AZ164" s="211"/>
    </row>
    <row r="165" spans="1:52" s="213" customFormat="1" x14ac:dyDescent="0.35">
      <c r="A165" s="211"/>
      <c r="B165" s="211"/>
      <c r="C165" s="211"/>
      <c r="D165" s="211"/>
      <c r="E165" s="211"/>
      <c r="F165" s="211"/>
      <c r="G165" s="211"/>
      <c r="H165" s="211"/>
      <c r="I165" s="212"/>
      <c r="J165" s="212"/>
      <c r="K165" s="212"/>
      <c r="L165" s="212"/>
      <c r="M165" s="212"/>
      <c r="N165" s="212"/>
      <c r="O165" s="212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  <c r="Z165" s="211"/>
      <c r="AD165" s="211"/>
      <c r="AE165" s="211"/>
      <c r="AF165" s="211"/>
      <c r="AG165" s="211"/>
      <c r="AH165" s="211"/>
      <c r="AI165" s="211"/>
      <c r="AJ165" s="211"/>
      <c r="AK165" s="211"/>
      <c r="AL165" s="211"/>
      <c r="AM165" s="211"/>
      <c r="AN165" s="211"/>
      <c r="AO165" s="211"/>
      <c r="AP165" s="211"/>
      <c r="AQ165" s="211"/>
      <c r="AR165" s="211"/>
      <c r="AS165" s="211"/>
      <c r="AT165" s="211"/>
      <c r="AU165" s="211"/>
      <c r="AV165" s="211"/>
      <c r="AW165" s="211"/>
      <c r="AX165" s="211"/>
      <c r="AY165" s="211"/>
      <c r="AZ165" s="211"/>
    </row>
    <row r="166" spans="1:52" s="213" customFormat="1" x14ac:dyDescent="0.35">
      <c r="A166" s="211"/>
      <c r="B166" s="211"/>
      <c r="C166" s="211"/>
      <c r="D166" s="211"/>
      <c r="E166" s="211"/>
      <c r="F166" s="211"/>
      <c r="G166" s="211"/>
      <c r="H166" s="211"/>
      <c r="I166" s="212"/>
      <c r="J166" s="212"/>
      <c r="K166" s="212"/>
      <c r="L166" s="212"/>
      <c r="M166" s="212"/>
      <c r="N166" s="212"/>
      <c r="O166" s="212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  <c r="Z166" s="211"/>
      <c r="AD166" s="211"/>
      <c r="AE166" s="211"/>
      <c r="AF166" s="211"/>
      <c r="AG166" s="211"/>
      <c r="AH166" s="211"/>
      <c r="AI166" s="211"/>
      <c r="AJ166" s="211"/>
      <c r="AK166" s="211"/>
      <c r="AL166" s="211"/>
      <c r="AM166" s="211"/>
      <c r="AN166" s="211"/>
      <c r="AO166" s="211"/>
      <c r="AP166" s="211"/>
      <c r="AQ166" s="211"/>
      <c r="AR166" s="211"/>
      <c r="AS166" s="211"/>
      <c r="AT166" s="211"/>
      <c r="AU166" s="211"/>
      <c r="AV166" s="211"/>
      <c r="AW166" s="211"/>
      <c r="AX166" s="211"/>
      <c r="AY166" s="211"/>
      <c r="AZ166" s="211"/>
    </row>
    <row r="167" spans="1:52" s="213" customFormat="1" x14ac:dyDescent="0.35">
      <c r="A167" s="211"/>
      <c r="B167" s="211"/>
      <c r="C167" s="211"/>
      <c r="D167" s="211"/>
      <c r="E167" s="211"/>
      <c r="F167" s="211"/>
      <c r="G167" s="211"/>
      <c r="H167" s="211"/>
      <c r="I167" s="212"/>
      <c r="J167" s="212"/>
      <c r="K167" s="212"/>
      <c r="L167" s="212"/>
      <c r="M167" s="212"/>
      <c r="N167" s="212"/>
      <c r="O167" s="212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  <c r="Z167" s="211"/>
      <c r="AD167" s="211"/>
      <c r="AE167" s="211"/>
      <c r="AF167" s="211"/>
      <c r="AG167" s="211"/>
      <c r="AH167" s="211"/>
      <c r="AI167" s="211"/>
      <c r="AJ167" s="211"/>
      <c r="AK167" s="211"/>
      <c r="AL167" s="211"/>
      <c r="AM167" s="211"/>
      <c r="AN167" s="211"/>
      <c r="AO167" s="211"/>
      <c r="AP167" s="211"/>
      <c r="AQ167" s="211"/>
      <c r="AR167" s="211"/>
      <c r="AS167" s="211"/>
      <c r="AT167" s="211"/>
      <c r="AU167" s="211"/>
      <c r="AV167" s="211"/>
      <c r="AW167" s="211"/>
      <c r="AX167" s="211"/>
      <c r="AY167" s="211"/>
      <c r="AZ167" s="211"/>
    </row>
    <row r="168" spans="1:52" s="213" customFormat="1" x14ac:dyDescent="0.35">
      <c r="A168" s="211"/>
      <c r="B168" s="211"/>
      <c r="C168" s="211"/>
      <c r="D168" s="211"/>
      <c r="E168" s="211"/>
      <c r="F168" s="211"/>
      <c r="G168" s="211"/>
      <c r="H168" s="211"/>
      <c r="I168" s="212"/>
      <c r="J168" s="212"/>
      <c r="K168" s="212"/>
      <c r="L168" s="212"/>
      <c r="M168" s="212"/>
      <c r="N168" s="212"/>
      <c r="O168" s="212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  <c r="Z168" s="211"/>
      <c r="AD168" s="211"/>
      <c r="AE168" s="211"/>
      <c r="AF168" s="211"/>
      <c r="AG168" s="211"/>
      <c r="AH168" s="211"/>
      <c r="AI168" s="211"/>
      <c r="AJ168" s="211"/>
      <c r="AK168" s="211"/>
      <c r="AL168" s="211"/>
      <c r="AM168" s="211"/>
      <c r="AN168" s="211"/>
      <c r="AO168" s="211"/>
      <c r="AP168" s="211"/>
      <c r="AQ168" s="211"/>
      <c r="AR168" s="211"/>
      <c r="AS168" s="211"/>
      <c r="AT168" s="211"/>
      <c r="AU168" s="211"/>
      <c r="AV168" s="211"/>
      <c r="AW168" s="211"/>
      <c r="AX168" s="211"/>
      <c r="AY168" s="211"/>
      <c r="AZ168" s="211"/>
    </row>
    <row r="169" spans="1:52" s="213" customFormat="1" x14ac:dyDescent="0.35">
      <c r="A169" s="211"/>
      <c r="B169" s="211"/>
      <c r="C169" s="211"/>
      <c r="D169" s="211"/>
      <c r="E169" s="211"/>
      <c r="F169" s="211"/>
      <c r="G169" s="211"/>
      <c r="H169" s="211"/>
      <c r="I169" s="212"/>
      <c r="J169" s="212"/>
      <c r="K169" s="212"/>
      <c r="L169" s="212"/>
      <c r="M169" s="212"/>
      <c r="N169" s="212"/>
      <c r="O169" s="212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  <c r="Z169" s="211"/>
      <c r="AD169" s="211"/>
      <c r="AE169" s="211"/>
      <c r="AF169" s="211"/>
      <c r="AG169" s="211"/>
      <c r="AH169" s="211"/>
      <c r="AI169" s="211"/>
      <c r="AJ169" s="211"/>
      <c r="AK169" s="211"/>
      <c r="AL169" s="211"/>
      <c r="AM169" s="211"/>
      <c r="AN169" s="211"/>
      <c r="AO169" s="211"/>
      <c r="AP169" s="211"/>
      <c r="AQ169" s="211"/>
      <c r="AR169" s="211"/>
      <c r="AS169" s="211"/>
      <c r="AT169" s="211"/>
      <c r="AU169" s="211"/>
      <c r="AV169" s="211"/>
      <c r="AW169" s="211"/>
      <c r="AX169" s="211"/>
      <c r="AY169" s="211"/>
      <c r="AZ169" s="211"/>
    </row>
    <row r="170" spans="1:52" s="213" customFormat="1" x14ac:dyDescent="0.35">
      <c r="A170" s="211"/>
      <c r="B170" s="211"/>
      <c r="C170" s="211"/>
      <c r="D170" s="211"/>
      <c r="E170" s="211"/>
      <c r="F170" s="211"/>
      <c r="G170" s="211"/>
      <c r="H170" s="211"/>
      <c r="I170" s="212"/>
      <c r="J170" s="212"/>
      <c r="K170" s="212"/>
      <c r="L170" s="212"/>
      <c r="M170" s="212"/>
      <c r="N170" s="212"/>
      <c r="O170" s="212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  <c r="AD170" s="211"/>
      <c r="AE170" s="211"/>
      <c r="AF170" s="211"/>
      <c r="AG170" s="211"/>
      <c r="AH170" s="211"/>
      <c r="AI170" s="211"/>
      <c r="AJ170" s="211"/>
      <c r="AK170" s="211"/>
      <c r="AL170" s="211"/>
      <c r="AM170" s="211"/>
      <c r="AN170" s="211"/>
      <c r="AO170" s="211"/>
      <c r="AP170" s="211"/>
      <c r="AQ170" s="211"/>
      <c r="AR170" s="211"/>
      <c r="AS170" s="211"/>
      <c r="AT170" s="211"/>
      <c r="AU170" s="211"/>
      <c r="AV170" s="211"/>
      <c r="AW170" s="211"/>
      <c r="AX170" s="211"/>
      <c r="AY170" s="211"/>
      <c r="AZ170" s="211"/>
    </row>
    <row r="171" spans="1:52" s="213" customFormat="1" x14ac:dyDescent="0.35">
      <c r="A171" s="211"/>
      <c r="B171" s="211"/>
      <c r="C171" s="211"/>
      <c r="D171" s="211"/>
      <c r="E171" s="211"/>
      <c r="F171" s="211"/>
      <c r="G171" s="211"/>
      <c r="H171" s="211"/>
      <c r="I171" s="212"/>
      <c r="J171" s="212"/>
      <c r="K171" s="212"/>
      <c r="L171" s="212"/>
      <c r="M171" s="212"/>
      <c r="N171" s="212"/>
      <c r="O171" s="212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D171" s="211"/>
      <c r="AE171" s="211"/>
      <c r="AF171" s="211"/>
      <c r="AG171" s="211"/>
      <c r="AH171" s="211"/>
      <c r="AI171" s="211"/>
      <c r="AJ171" s="211"/>
      <c r="AK171" s="211"/>
      <c r="AL171" s="211"/>
      <c r="AM171" s="211"/>
      <c r="AN171" s="211"/>
      <c r="AO171" s="211"/>
      <c r="AP171" s="211"/>
      <c r="AQ171" s="211"/>
      <c r="AR171" s="211"/>
      <c r="AS171" s="211"/>
      <c r="AT171" s="211"/>
      <c r="AU171" s="211"/>
      <c r="AV171" s="211"/>
      <c r="AW171" s="211"/>
      <c r="AX171" s="211"/>
      <c r="AY171" s="211"/>
      <c r="AZ171" s="211"/>
    </row>
    <row r="172" spans="1:52" s="213" customFormat="1" x14ac:dyDescent="0.35">
      <c r="A172" s="211"/>
      <c r="B172" s="211"/>
      <c r="C172" s="211"/>
      <c r="D172" s="211"/>
      <c r="E172" s="211"/>
      <c r="F172" s="211"/>
      <c r="G172" s="211"/>
      <c r="H172" s="211"/>
      <c r="I172" s="212"/>
      <c r="J172" s="212"/>
      <c r="K172" s="212"/>
      <c r="L172" s="212"/>
      <c r="M172" s="212"/>
      <c r="N172" s="212"/>
      <c r="O172" s="212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D172" s="211"/>
      <c r="AE172" s="211"/>
      <c r="AF172" s="211"/>
      <c r="AG172" s="211"/>
      <c r="AH172" s="211"/>
      <c r="AI172" s="211"/>
      <c r="AJ172" s="211"/>
      <c r="AK172" s="211"/>
      <c r="AL172" s="211"/>
      <c r="AM172" s="211"/>
      <c r="AN172" s="211"/>
      <c r="AO172" s="211"/>
      <c r="AP172" s="211"/>
      <c r="AQ172" s="211"/>
      <c r="AR172" s="211"/>
      <c r="AS172" s="211"/>
      <c r="AT172" s="211"/>
      <c r="AU172" s="211"/>
      <c r="AV172" s="211"/>
      <c r="AW172" s="211"/>
      <c r="AX172" s="211"/>
      <c r="AY172" s="211"/>
      <c r="AZ172" s="211"/>
    </row>
    <row r="173" spans="1:52" s="213" customFormat="1" x14ac:dyDescent="0.35">
      <c r="A173" s="211"/>
      <c r="B173" s="211"/>
      <c r="C173" s="211"/>
      <c r="D173" s="211"/>
      <c r="E173" s="211"/>
      <c r="F173" s="211"/>
      <c r="G173" s="211"/>
      <c r="H173" s="211"/>
      <c r="I173" s="212"/>
      <c r="J173" s="212"/>
      <c r="K173" s="212"/>
      <c r="L173" s="212"/>
      <c r="M173" s="212"/>
      <c r="N173" s="212"/>
      <c r="O173" s="212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D173" s="211"/>
      <c r="AE173" s="211"/>
      <c r="AF173" s="211"/>
      <c r="AG173" s="211"/>
      <c r="AH173" s="211"/>
      <c r="AI173" s="211"/>
      <c r="AJ173" s="211"/>
      <c r="AK173" s="211"/>
      <c r="AL173" s="211"/>
      <c r="AM173" s="211"/>
      <c r="AN173" s="211"/>
      <c r="AO173" s="211"/>
      <c r="AP173" s="211"/>
      <c r="AQ173" s="211"/>
      <c r="AR173" s="211"/>
      <c r="AS173" s="211"/>
      <c r="AT173" s="211"/>
      <c r="AU173" s="211"/>
      <c r="AV173" s="211"/>
      <c r="AW173" s="211"/>
      <c r="AX173" s="211"/>
      <c r="AY173" s="211"/>
      <c r="AZ173" s="211"/>
    </row>
    <row r="174" spans="1:52" s="213" customFormat="1" x14ac:dyDescent="0.35">
      <c r="A174" s="211"/>
      <c r="B174" s="211"/>
      <c r="C174" s="211"/>
      <c r="D174" s="211"/>
      <c r="E174" s="211"/>
      <c r="F174" s="211"/>
      <c r="G174" s="211"/>
      <c r="H174" s="211"/>
      <c r="I174" s="212"/>
      <c r="J174" s="212"/>
      <c r="K174" s="212"/>
      <c r="L174" s="212"/>
      <c r="M174" s="212"/>
      <c r="N174" s="212"/>
      <c r="O174" s="212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D174" s="211"/>
      <c r="AE174" s="211"/>
      <c r="AF174" s="211"/>
      <c r="AG174" s="211"/>
      <c r="AH174" s="211"/>
      <c r="AI174" s="211"/>
      <c r="AJ174" s="211"/>
      <c r="AK174" s="211"/>
      <c r="AL174" s="211"/>
      <c r="AM174" s="211"/>
      <c r="AN174" s="211"/>
      <c r="AO174" s="211"/>
      <c r="AP174" s="211"/>
      <c r="AQ174" s="211"/>
      <c r="AR174" s="211"/>
      <c r="AS174" s="211"/>
      <c r="AT174" s="211"/>
      <c r="AU174" s="211"/>
      <c r="AV174" s="211"/>
      <c r="AW174" s="211"/>
      <c r="AX174" s="211"/>
      <c r="AY174" s="211"/>
      <c r="AZ174" s="211"/>
    </row>
    <row r="175" spans="1:52" s="213" customFormat="1" x14ac:dyDescent="0.35">
      <c r="A175" s="211"/>
      <c r="B175" s="211"/>
      <c r="C175" s="211"/>
      <c r="D175" s="211"/>
      <c r="E175" s="211"/>
      <c r="F175" s="211"/>
      <c r="G175" s="211"/>
      <c r="H175" s="211"/>
      <c r="I175" s="212"/>
      <c r="J175" s="212"/>
      <c r="K175" s="212"/>
      <c r="L175" s="212"/>
      <c r="M175" s="212"/>
      <c r="N175" s="212"/>
      <c r="O175" s="212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D175" s="211"/>
      <c r="AE175" s="211"/>
      <c r="AF175" s="211"/>
      <c r="AG175" s="211"/>
      <c r="AH175" s="211"/>
      <c r="AI175" s="211"/>
      <c r="AJ175" s="211"/>
      <c r="AK175" s="211"/>
      <c r="AL175" s="211"/>
      <c r="AM175" s="211"/>
      <c r="AN175" s="211"/>
      <c r="AO175" s="211"/>
      <c r="AP175" s="211"/>
      <c r="AQ175" s="211"/>
      <c r="AR175" s="211"/>
      <c r="AS175" s="211"/>
      <c r="AT175" s="211"/>
      <c r="AU175" s="211"/>
      <c r="AV175" s="211"/>
      <c r="AW175" s="211"/>
      <c r="AX175" s="211"/>
      <c r="AY175" s="211"/>
      <c r="AZ175" s="211"/>
    </row>
    <row r="176" spans="1:52" s="213" customFormat="1" x14ac:dyDescent="0.35">
      <c r="A176" s="211"/>
      <c r="B176" s="211"/>
      <c r="C176" s="211"/>
      <c r="D176" s="211"/>
      <c r="E176" s="211"/>
      <c r="F176" s="211"/>
      <c r="G176" s="211"/>
      <c r="H176" s="211"/>
      <c r="I176" s="212"/>
      <c r="J176" s="212"/>
      <c r="K176" s="212"/>
      <c r="L176" s="212"/>
      <c r="M176" s="212"/>
      <c r="N176" s="212"/>
      <c r="O176" s="212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D176" s="211"/>
      <c r="AE176" s="211"/>
      <c r="AF176" s="211"/>
      <c r="AG176" s="211"/>
      <c r="AH176" s="211"/>
      <c r="AI176" s="211"/>
      <c r="AJ176" s="211"/>
      <c r="AK176" s="211"/>
      <c r="AL176" s="211"/>
      <c r="AM176" s="211"/>
      <c r="AN176" s="211"/>
      <c r="AO176" s="211"/>
      <c r="AP176" s="211"/>
      <c r="AQ176" s="211"/>
      <c r="AR176" s="211"/>
      <c r="AS176" s="211"/>
      <c r="AT176" s="211"/>
      <c r="AU176" s="211"/>
      <c r="AV176" s="211"/>
      <c r="AW176" s="211"/>
      <c r="AX176" s="211"/>
      <c r="AY176" s="211"/>
      <c r="AZ176" s="211"/>
    </row>
    <row r="177" spans="1:52" s="213" customFormat="1" x14ac:dyDescent="0.35">
      <c r="A177" s="211"/>
      <c r="B177" s="211"/>
      <c r="C177" s="211"/>
      <c r="D177" s="211"/>
      <c r="E177" s="211"/>
      <c r="F177" s="211"/>
      <c r="G177" s="211"/>
      <c r="H177" s="211"/>
      <c r="I177" s="212"/>
      <c r="J177" s="212"/>
      <c r="K177" s="212"/>
      <c r="L177" s="212"/>
      <c r="M177" s="212"/>
      <c r="N177" s="212"/>
      <c r="O177" s="212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D177" s="211"/>
      <c r="AE177" s="211"/>
      <c r="AF177" s="211"/>
      <c r="AG177" s="211"/>
      <c r="AH177" s="211"/>
      <c r="AI177" s="211"/>
      <c r="AJ177" s="211"/>
      <c r="AK177" s="211"/>
      <c r="AL177" s="211"/>
      <c r="AM177" s="211"/>
      <c r="AN177" s="211"/>
      <c r="AO177" s="211"/>
      <c r="AP177" s="211"/>
      <c r="AQ177" s="211"/>
      <c r="AR177" s="211"/>
      <c r="AS177" s="211"/>
      <c r="AT177" s="211"/>
      <c r="AU177" s="211"/>
      <c r="AV177" s="211"/>
      <c r="AW177" s="211"/>
      <c r="AX177" s="211"/>
      <c r="AY177" s="211"/>
      <c r="AZ177" s="211"/>
    </row>
    <row r="178" spans="1:52" s="213" customFormat="1" x14ac:dyDescent="0.35">
      <c r="A178" s="211"/>
      <c r="B178" s="211"/>
      <c r="C178" s="211"/>
      <c r="D178" s="211"/>
      <c r="E178" s="211"/>
      <c r="F178" s="211"/>
      <c r="G178" s="211"/>
      <c r="H178" s="211"/>
      <c r="I178" s="212"/>
      <c r="J178" s="212"/>
      <c r="K178" s="212"/>
      <c r="L178" s="212"/>
      <c r="M178" s="212"/>
      <c r="N178" s="212"/>
      <c r="O178" s="212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D178" s="211"/>
      <c r="AE178" s="211"/>
      <c r="AF178" s="211"/>
      <c r="AG178" s="211"/>
      <c r="AH178" s="211"/>
      <c r="AI178" s="211"/>
      <c r="AJ178" s="211"/>
      <c r="AK178" s="211"/>
      <c r="AL178" s="211"/>
      <c r="AM178" s="211"/>
      <c r="AN178" s="211"/>
      <c r="AO178" s="211"/>
      <c r="AP178" s="211"/>
      <c r="AQ178" s="211"/>
      <c r="AR178" s="211"/>
      <c r="AS178" s="211"/>
      <c r="AT178" s="211"/>
      <c r="AU178" s="211"/>
      <c r="AV178" s="211"/>
      <c r="AW178" s="211"/>
      <c r="AX178" s="211"/>
      <c r="AY178" s="211"/>
      <c r="AZ178" s="211"/>
    </row>
    <row r="179" spans="1:52" s="213" customFormat="1" x14ac:dyDescent="0.35">
      <c r="A179" s="211"/>
      <c r="B179" s="211"/>
      <c r="C179" s="211"/>
      <c r="D179" s="211"/>
      <c r="E179" s="211"/>
      <c r="F179" s="211"/>
      <c r="G179" s="211"/>
      <c r="H179" s="211"/>
      <c r="I179" s="212"/>
      <c r="J179" s="212"/>
      <c r="K179" s="212"/>
      <c r="L179" s="212"/>
      <c r="M179" s="212"/>
      <c r="N179" s="212"/>
      <c r="O179" s="212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D179" s="211"/>
      <c r="AE179" s="211"/>
      <c r="AF179" s="211"/>
      <c r="AG179" s="211"/>
      <c r="AH179" s="211"/>
      <c r="AI179" s="211"/>
      <c r="AJ179" s="211"/>
      <c r="AK179" s="211"/>
      <c r="AL179" s="211"/>
      <c r="AM179" s="211"/>
      <c r="AN179" s="211"/>
      <c r="AO179" s="211"/>
      <c r="AP179" s="211"/>
      <c r="AQ179" s="211"/>
      <c r="AR179" s="211"/>
      <c r="AS179" s="211"/>
      <c r="AT179" s="211"/>
      <c r="AU179" s="211"/>
      <c r="AV179" s="211"/>
      <c r="AW179" s="211"/>
      <c r="AX179" s="211"/>
      <c r="AY179" s="211"/>
      <c r="AZ179" s="211"/>
    </row>
    <row r="180" spans="1:52" s="213" customFormat="1" x14ac:dyDescent="0.35">
      <c r="A180" s="211"/>
      <c r="B180" s="211"/>
      <c r="C180" s="211"/>
      <c r="D180" s="211"/>
      <c r="E180" s="211"/>
      <c r="F180" s="211"/>
      <c r="G180" s="211"/>
      <c r="H180" s="211"/>
      <c r="I180" s="212"/>
      <c r="J180" s="212"/>
      <c r="K180" s="212"/>
      <c r="L180" s="212"/>
      <c r="M180" s="212"/>
      <c r="N180" s="212"/>
      <c r="O180" s="212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D180" s="211"/>
      <c r="AE180" s="211"/>
      <c r="AF180" s="211"/>
      <c r="AG180" s="211"/>
      <c r="AH180" s="211"/>
      <c r="AI180" s="211"/>
      <c r="AJ180" s="211"/>
      <c r="AK180" s="211"/>
      <c r="AL180" s="211"/>
      <c r="AM180" s="211"/>
      <c r="AN180" s="211"/>
      <c r="AO180" s="211"/>
      <c r="AP180" s="211"/>
      <c r="AQ180" s="211"/>
      <c r="AR180" s="211"/>
      <c r="AS180" s="211"/>
      <c r="AT180" s="211"/>
      <c r="AU180" s="211"/>
      <c r="AV180" s="211"/>
      <c r="AW180" s="211"/>
      <c r="AX180" s="211"/>
      <c r="AY180" s="211"/>
      <c r="AZ180" s="211"/>
    </row>
    <row r="181" spans="1:52" s="213" customFormat="1" x14ac:dyDescent="0.35">
      <c r="A181" s="211"/>
      <c r="B181" s="211"/>
      <c r="C181" s="211"/>
      <c r="D181" s="211"/>
      <c r="E181" s="211"/>
      <c r="F181" s="211"/>
      <c r="G181" s="211"/>
      <c r="H181" s="211"/>
      <c r="I181" s="212"/>
      <c r="J181" s="212"/>
      <c r="K181" s="212"/>
      <c r="L181" s="212"/>
      <c r="M181" s="212"/>
      <c r="N181" s="212"/>
      <c r="O181" s="212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D181" s="211"/>
      <c r="AE181" s="211"/>
      <c r="AF181" s="211"/>
      <c r="AG181" s="211"/>
      <c r="AH181" s="211"/>
      <c r="AI181" s="211"/>
      <c r="AJ181" s="211"/>
      <c r="AK181" s="211"/>
      <c r="AL181" s="211"/>
      <c r="AM181" s="211"/>
      <c r="AN181" s="211"/>
      <c r="AO181" s="211"/>
      <c r="AP181" s="211"/>
      <c r="AQ181" s="211"/>
      <c r="AR181" s="211"/>
      <c r="AS181" s="211"/>
      <c r="AT181" s="211"/>
      <c r="AU181" s="211"/>
      <c r="AV181" s="211"/>
      <c r="AW181" s="211"/>
      <c r="AX181" s="211"/>
      <c r="AY181" s="211"/>
      <c r="AZ181" s="211"/>
    </row>
    <row r="182" spans="1:52" s="213" customFormat="1" x14ac:dyDescent="0.35">
      <c r="A182" s="211"/>
      <c r="B182" s="211"/>
      <c r="C182" s="211"/>
      <c r="D182" s="211"/>
      <c r="E182" s="211"/>
      <c r="F182" s="211"/>
      <c r="G182" s="211"/>
      <c r="H182" s="211"/>
      <c r="I182" s="212"/>
      <c r="J182" s="212"/>
      <c r="K182" s="212"/>
      <c r="L182" s="212"/>
      <c r="M182" s="212"/>
      <c r="N182" s="212"/>
      <c r="O182" s="212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D182" s="211"/>
      <c r="AE182" s="211"/>
      <c r="AF182" s="211"/>
      <c r="AG182" s="211"/>
      <c r="AH182" s="211"/>
      <c r="AI182" s="211"/>
      <c r="AJ182" s="211"/>
      <c r="AK182" s="211"/>
      <c r="AL182" s="211"/>
      <c r="AM182" s="211"/>
      <c r="AN182" s="211"/>
      <c r="AO182" s="211"/>
      <c r="AP182" s="211"/>
      <c r="AQ182" s="211"/>
      <c r="AR182" s="211"/>
      <c r="AS182" s="211"/>
      <c r="AT182" s="211"/>
      <c r="AU182" s="211"/>
      <c r="AV182" s="211"/>
      <c r="AW182" s="211"/>
      <c r="AX182" s="211"/>
      <c r="AY182" s="211"/>
      <c r="AZ182" s="211"/>
    </row>
    <row r="183" spans="1:52" s="213" customFormat="1" x14ac:dyDescent="0.35">
      <c r="A183" s="211"/>
      <c r="B183" s="211"/>
      <c r="C183" s="211"/>
      <c r="D183" s="211"/>
      <c r="E183" s="211"/>
      <c r="F183" s="211"/>
      <c r="G183" s="211"/>
      <c r="H183" s="211"/>
      <c r="I183" s="212"/>
      <c r="J183" s="212"/>
      <c r="K183" s="212"/>
      <c r="L183" s="212"/>
      <c r="M183" s="212"/>
      <c r="N183" s="212"/>
      <c r="O183" s="212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D183" s="211"/>
      <c r="AE183" s="211"/>
      <c r="AF183" s="211"/>
      <c r="AG183" s="211"/>
      <c r="AH183" s="211"/>
      <c r="AI183" s="211"/>
      <c r="AJ183" s="211"/>
      <c r="AK183" s="211"/>
      <c r="AL183" s="211"/>
      <c r="AM183" s="211"/>
      <c r="AN183" s="211"/>
      <c r="AO183" s="211"/>
      <c r="AP183" s="211"/>
      <c r="AQ183" s="211"/>
      <c r="AR183" s="211"/>
      <c r="AS183" s="211"/>
      <c r="AT183" s="211"/>
      <c r="AU183" s="211"/>
      <c r="AV183" s="211"/>
      <c r="AW183" s="211"/>
      <c r="AX183" s="211"/>
      <c r="AY183" s="211"/>
      <c r="AZ183" s="211"/>
    </row>
    <row r="184" spans="1:52" s="213" customFormat="1" x14ac:dyDescent="0.35">
      <c r="A184" s="211"/>
      <c r="B184" s="211"/>
      <c r="C184" s="211"/>
      <c r="D184" s="211"/>
      <c r="E184" s="211"/>
      <c r="F184" s="211"/>
      <c r="G184" s="211"/>
      <c r="H184" s="211"/>
      <c r="I184" s="212"/>
      <c r="J184" s="212"/>
      <c r="K184" s="212"/>
      <c r="L184" s="212"/>
      <c r="M184" s="212"/>
      <c r="N184" s="212"/>
      <c r="O184" s="212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D184" s="211"/>
      <c r="AE184" s="211"/>
      <c r="AF184" s="211"/>
      <c r="AG184" s="211"/>
      <c r="AH184" s="211"/>
      <c r="AI184" s="211"/>
      <c r="AJ184" s="211"/>
      <c r="AK184" s="211"/>
      <c r="AL184" s="211"/>
      <c r="AM184" s="211"/>
      <c r="AN184" s="211"/>
      <c r="AO184" s="211"/>
      <c r="AP184" s="211"/>
      <c r="AQ184" s="211"/>
      <c r="AR184" s="211"/>
      <c r="AS184" s="211"/>
      <c r="AT184" s="211"/>
      <c r="AU184" s="211"/>
      <c r="AV184" s="211"/>
      <c r="AW184" s="211"/>
      <c r="AX184" s="211"/>
      <c r="AY184" s="211"/>
      <c r="AZ184" s="211"/>
    </row>
    <row r="185" spans="1:52" s="213" customFormat="1" x14ac:dyDescent="0.35">
      <c r="A185" s="211"/>
      <c r="B185" s="211"/>
      <c r="C185" s="211"/>
      <c r="D185" s="211"/>
      <c r="E185" s="211"/>
      <c r="F185" s="211"/>
      <c r="G185" s="211"/>
      <c r="H185" s="211"/>
      <c r="I185" s="212"/>
      <c r="J185" s="212"/>
      <c r="K185" s="212"/>
      <c r="L185" s="212"/>
      <c r="M185" s="212"/>
      <c r="N185" s="212"/>
      <c r="O185" s="212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D185" s="211"/>
      <c r="AE185" s="211"/>
      <c r="AF185" s="211"/>
      <c r="AG185" s="211"/>
      <c r="AH185" s="211"/>
      <c r="AI185" s="211"/>
      <c r="AJ185" s="211"/>
      <c r="AK185" s="211"/>
      <c r="AL185" s="211"/>
      <c r="AM185" s="211"/>
      <c r="AN185" s="211"/>
      <c r="AO185" s="211"/>
      <c r="AP185" s="211"/>
      <c r="AQ185" s="211"/>
      <c r="AR185" s="211"/>
      <c r="AS185" s="211"/>
      <c r="AT185" s="211"/>
      <c r="AU185" s="211"/>
      <c r="AV185" s="211"/>
      <c r="AW185" s="211"/>
      <c r="AX185" s="211"/>
      <c r="AY185" s="211"/>
      <c r="AZ185" s="211"/>
    </row>
    <row r="186" spans="1:52" s="213" customFormat="1" x14ac:dyDescent="0.35">
      <c r="A186" s="211"/>
      <c r="B186" s="211"/>
      <c r="C186" s="211"/>
      <c r="D186" s="211"/>
      <c r="E186" s="211"/>
      <c r="F186" s="211"/>
      <c r="G186" s="211"/>
      <c r="H186" s="211"/>
      <c r="I186" s="212"/>
      <c r="J186" s="212"/>
      <c r="K186" s="212"/>
      <c r="L186" s="212"/>
      <c r="M186" s="212"/>
      <c r="N186" s="212"/>
      <c r="O186" s="212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  <c r="Z186" s="211"/>
      <c r="AD186" s="211"/>
      <c r="AE186" s="211"/>
      <c r="AF186" s="211"/>
      <c r="AG186" s="211"/>
      <c r="AH186" s="211"/>
      <c r="AI186" s="211"/>
      <c r="AJ186" s="211"/>
      <c r="AK186" s="211"/>
      <c r="AL186" s="211"/>
      <c r="AM186" s="211"/>
      <c r="AN186" s="211"/>
      <c r="AO186" s="211"/>
      <c r="AP186" s="211"/>
      <c r="AQ186" s="211"/>
      <c r="AR186" s="211"/>
      <c r="AS186" s="211"/>
      <c r="AT186" s="211"/>
      <c r="AU186" s="211"/>
      <c r="AV186" s="211"/>
      <c r="AW186" s="211"/>
      <c r="AX186" s="211"/>
      <c r="AY186" s="211"/>
      <c r="AZ186" s="211"/>
    </row>
    <row r="187" spans="1:52" s="213" customFormat="1" x14ac:dyDescent="0.35">
      <c r="A187" s="211"/>
      <c r="B187" s="211"/>
      <c r="C187" s="211"/>
      <c r="D187" s="211"/>
      <c r="E187" s="211"/>
      <c r="F187" s="211"/>
      <c r="G187" s="211"/>
      <c r="H187" s="211"/>
      <c r="I187" s="212"/>
      <c r="J187" s="212"/>
      <c r="K187" s="212"/>
      <c r="L187" s="212"/>
      <c r="M187" s="212"/>
      <c r="N187" s="212"/>
      <c r="O187" s="212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  <c r="Z187" s="211"/>
      <c r="AD187" s="211"/>
      <c r="AE187" s="211"/>
      <c r="AF187" s="211"/>
      <c r="AG187" s="211"/>
      <c r="AH187" s="211"/>
      <c r="AI187" s="211"/>
      <c r="AJ187" s="211"/>
      <c r="AK187" s="211"/>
      <c r="AL187" s="211"/>
      <c r="AM187" s="211"/>
      <c r="AN187" s="211"/>
      <c r="AO187" s="211"/>
      <c r="AP187" s="211"/>
      <c r="AQ187" s="211"/>
      <c r="AR187" s="211"/>
      <c r="AS187" s="211"/>
      <c r="AT187" s="211"/>
      <c r="AU187" s="211"/>
      <c r="AV187" s="211"/>
      <c r="AW187" s="211"/>
      <c r="AX187" s="211"/>
      <c r="AY187" s="211"/>
      <c r="AZ187" s="211"/>
    </row>
    <row r="188" spans="1:52" s="213" customFormat="1" x14ac:dyDescent="0.35">
      <c r="A188" s="211"/>
      <c r="B188" s="211"/>
      <c r="C188" s="211"/>
      <c r="D188" s="211"/>
      <c r="E188" s="211"/>
      <c r="F188" s="211"/>
      <c r="G188" s="211"/>
      <c r="H188" s="211"/>
      <c r="I188" s="212"/>
      <c r="J188" s="212"/>
      <c r="K188" s="212"/>
      <c r="L188" s="212"/>
      <c r="M188" s="212"/>
      <c r="N188" s="212"/>
      <c r="O188" s="212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  <c r="Z188" s="211"/>
      <c r="AD188" s="211"/>
      <c r="AE188" s="211"/>
      <c r="AF188" s="211"/>
      <c r="AG188" s="211"/>
      <c r="AH188" s="211"/>
      <c r="AI188" s="211"/>
      <c r="AJ188" s="211"/>
      <c r="AK188" s="211"/>
      <c r="AL188" s="211"/>
      <c r="AM188" s="211"/>
      <c r="AN188" s="211"/>
      <c r="AO188" s="211"/>
      <c r="AP188" s="211"/>
      <c r="AQ188" s="211"/>
      <c r="AR188" s="211"/>
      <c r="AS188" s="211"/>
      <c r="AT188" s="211"/>
      <c r="AU188" s="211"/>
      <c r="AV188" s="211"/>
      <c r="AW188" s="211"/>
      <c r="AX188" s="211"/>
      <c r="AY188" s="211"/>
      <c r="AZ188" s="211"/>
    </row>
    <row r="189" spans="1:52" s="213" customFormat="1" x14ac:dyDescent="0.35">
      <c r="A189" s="211"/>
      <c r="B189" s="211"/>
      <c r="C189" s="211"/>
      <c r="D189" s="211"/>
      <c r="E189" s="211"/>
      <c r="F189" s="211"/>
      <c r="G189" s="211"/>
      <c r="H189" s="211"/>
      <c r="I189" s="212"/>
      <c r="J189" s="212"/>
      <c r="K189" s="212"/>
      <c r="L189" s="212"/>
      <c r="M189" s="212"/>
      <c r="N189" s="212"/>
      <c r="O189" s="212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  <c r="Z189" s="211"/>
      <c r="AD189" s="211"/>
      <c r="AE189" s="211"/>
      <c r="AF189" s="211"/>
      <c r="AG189" s="211"/>
      <c r="AH189" s="211"/>
      <c r="AI189" s="211"/>
      <c r="AJ189" s="211"/>
      <c r="AK189" s="211"/>
      <c r="AL189" s="211"/>
      <c r="AM189" s="211"/>
      <c r="AN189" s="211"/>
      <c r="AO189" s="211"/>
      <c r="AP189" s="211"/>
      <c r="AQ189" s="211"/>
      <c r="AR189" s="211"/>
      <c r="AS189" s="211"/>
      <c r="AT189" s="211"/>
      <c r="AU189" s="211"/>
      <c r="AV189" s="211"/>
      <c r="AW189" s="211"/>
      <c r="AX189" s="211"/>
      <c r="AY189" s="211"/>
      <c r="AZ189" s="211"/>
    </row>
    <row r="190" spans="1:52" s="213" customFormat="1" x14ac:dyDescent="0.35">
      <c r="A190" s="211"/>
      <c r="B190" s="211"/>
      <c r="C190" s="211"/>
      <c r="D190" s="211"/>
      <c r="E190" s="211"/>
      <c r="F190" s="211"/>
      <c r="G190" s="211"/>
      <c r="H190" s="211"/>
      <c r="I190" s="212"/>
      <c r="J190" s="212"/>
      <c r="K190" s="212"/>
      <c r="L190" s="212"/>
      <c r="M190" s="212"/>
      <c r="N190" s="212"/>
      <c r="O190" s="212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  <c r="AD190" s="211"/>
      <c r="AE190" s="211"/>
      <c r="AF190" s="211"/>
      <c r="AG190" s="211"/>
      <c r="AH190" s="211"/>
      <c r="AI190" s="211"/>
      <c r="AJ190" s="211"/>
      <c r="AK190" s="211"/>
      <c r="AL190" s="211"/>
      <c r="AM190" s="211"/>
      <c r="AN190" s="211"/>
      <c r="AO190" s="211"/>
      <c r="AP190" s="211"/>
      <c r="AQ190" s="211"/>
      <c r="AR190" s="211"/>
      <c r="AS190" s="211"/>
      <c r="AT190" s="211"/>
      <c r="AU190" s="211"/>
      <c r="AV190" s="211"/>
      <c r="AW190" s="211"/>
      <c r="AX190" s="211"/>
      <c r="AY190" s="211"/>
      <c r="AZ190" s="211"/>
    </row>
    <row r="191" spans="1:52" s="213" customFormat="1" x14ac:dyDescent="0.35">
      <c r="A191" s="211"/>
      <c r="B191" s="211"/>
      <c r="C191" s="211"/>
      <c r="D191" s="211"/>
      <c r="E191" s="211"/>
      <c r="F191" s="211"/>
      <c r="G191" s="211"/>
      <c r="H191" s="211"/>
      <c r="I191" s="212"/>
      <c r="J191" s="212"/>
      <c r="K191" s="212"/>
      <c r="L191" s="212"/>
      <c r="M191" s="212"/>
      <c r="N191" s="212"/>
      <c r="O191" s="212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  <c r="Z191" s="211"/>
      <c r="AD191" s="211"/>
      <c r="AE191" s="211"/>
      <c r="AF191" s="211"/>
      <c r="AG191" s="211"/>
      <c r="AH191" s="211"/>
      <c r="AI191" s="211"/>
      <c r="AJ191" s="211"/>
      <c r="AK191" s="211"/>
      <c r="AL191" s="211"/>
      <c r="AM191" s="211"/>
      <c r="AN191" s="211"/>
      <c r="AO191" s="211"/>
      <c r="AP191" s="211"/>
      <c r="AQ191" s="211"/>
      <c r="AR191" s="211"/>
      <c r="AS191" s="211"/>
      <c r="AT191" s="211"/>
      <c r="AU191" s="211"/>
      <c r="AV191" s="211"/>
      <c r="AW191" s="211"/>
      <c r="AX191" s="211"/>
      <c r="AY191" s="211"/>
      <c r="AZ191" s="211"/>
    </row>
    <row r="192" spans="1:52" s="213" customFormat="1" x14ac:dyDescent="0.35">
      <c r="A192" s="211"/>
      <c r="B192" s="211"/>
      <c r="C192" s="211"/>
      <c r="D192" s="211"/>
      <c r="E192" s="211"/>
      <c r="F192" s="211"/>
      <c r="G192" s="211"/>
      <c r="H192" s="211"/>
      <c r="I192" s="212"/>
      <c r="J192" s="212"/>
      <c r="K192" s="212"/>
      <c r="L192" s="212"/>
      <c r="M192" s="212"/>
      <c r="N192" s="212"/>
      <c r="O192" s="212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  <c r="Z192" s="211"/>
      <c r="AD192" s="211"/>
      <c r="AE192" s="211"/>
      <c r="AF192" s="211"/>
      <c r="AG192" s="211"/>
      <c r="AH192" s="211"/>
      <c r="AI192" s="211"/>
      <c r="AJ192" s="211"/>
      <c r="AK192" s="211"/>
      <c r="AL192" s="211"/>
      <c r="AM192" s="211"/>
      <c r="AN192" s="211"/>
      <c r="AO192" s="211"/>
      <c r="AP192" s="211"/>
      <c r="AQ192" s="211"/>
      <c r="AR192" s="211"/>
      <c r="AS192" s="211"/>
      <c r="AT192" s="211"/>
      <c r="AU192" s="211"/>
      <c r="AV192" s="211"/>
      <c r="AW192" s="211"/>
      <c r="AX192" s="211"/>
      <c r="AY192" s="211"/>
      <c r="AZ192" s="211"/>
    </row>
    <row r="193" spans="1:52" s="213" customFormat="1" x14ac:dyDescent="0.35">
      <c r="A193" s="211"/>
      <c r="B193" s="211"/>
      <c r="C193" s="211"/>
      <c r="D193" s="211"/>
      <c r="E193" s="211"/>
      <c r="F193" s="211"/>
      <c r="G193" s="211"/>
      <c r="H193" s="211"/>
      <c r="I193" s="212"/>
      <c r="J193" s="212"/>
      <c r="K193" s="212"/>
      <c r="L193" s="212"/>
      <c r="M193" s="212"/>
      <c r="N193" s="212"/>
      <c r="O193" s="212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  <c r="Z193" s="211"/>
      <c r="AD193" s="211"/>
      <c r="AE193" s="211"/>
      <c r="AF193" s="211"/>
      <c r="AG193" s="211"/>
      <c r="AH193" s="211"/>
      <c r="AI193" s="211"/>
      <c r="AJ193" s="211"/>
      <c r="AK193" s="211"/>
      <c r="AL193" s="211"/>
      <c r="AM193" s="211"/>
      <c r="AN193" s="211"/>
      <c r="AO193" s="211"/>
      <c r="AP193" s="211"/>
      <c r="AQ193" s="211"/>
      <c r="AR193" s="211"/>
      <c r="AS193" s="211"/>
      <c r="AT193" s="211"/>
      <c r="AU193" s="211"/>
      <c r="AV193" s="211"/>
      <c r="AW193" s="211"/>
      <c r="AX193" s="211"/>
      <c r="AY193" s="211"/>
      <c r="AZ193" s="211"/>
    </row>
    <row r="194" spans="1:52" s="213" customFormat="1" x14ac:dyDescent="0.35">
      <c r="A194" s="211"/>
      <c r="B194" s="211"/>
      <c r="C194" s="211"/>
      <c r="D194" s="211"/>
      <c r="E194" s="211"/>
      <c r="F194" s="211"/>
      <c r="G194" s="211"/>
      <c r="H194" s="211"/>
      <c r="I194" s="212"/>
      <c r="J194" s="212"/>
      <c r="K194" s="212"/>
      <c r="L194" s="212"/>
      <c r="M194" s="212"/>
      <c r="N194" s="212"/>
      <c r="O194" s="212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  <c r="AD194" s="211"/>
      <c r="AE194" s="211"/>
      <c r="AF194" s="211"/>
      <c r="AG194" s="211"/>
      <c r="AH194" s="211"/>
      <c r="AI194" s="211"/>
      <c r="AJ194" s="211"/>
      <c r="AK194" s="211"/>
      <c r="AL194" s="211"/>
      <c r="AM194" s="211"/>
      <c r="AN194" s="211"/>
      <c r="AO194" s="211"/>
      <c r="AP194" s="211"/>
      <c r="AQ194" s="211"/>
      <c r="AR194" s="211"/>
      <c r="AS194" s="211"/>
      <c r="AT194" s="211"/>
      <c r="AU194" s="211"/>
      <c r="AV194" s="211"/>
      <c r="AW194" s="211"/>
      <c r="AX194" s="211"/>
      <c r="AY194" s="211"/>
      <c r="AZ194" s="211"/>
    </row>
    <row r="195" spans="1:52" s="213" customFormat="1" x14ac:dyDescent="0.35">
      <c r="A195" s="211"/>
      <c r="B195" s="211"/>
      <c r="C195" s="211"/>
      <c r="D195" s="211"/>
      <c r="E195" s="211"/>
      <c r="F195" s="211"/>
      <c r="G195" s="211"/>
      <c r="H195" s="211"/>
      <c r="I195" s="212"/>
      <c r="J195" s="212"/>
      <c r="K195" s="212"/>
      <c r="L195" s="212"/>
      <c r="M195" s="212"/>
      <c r="N195" s="212"/>
      <c r="O195" s="212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  <c r="AD195" s="211"/>
      <c r="AE195" s="211"/>
      <c r="AF195" s="211"/>
      <c r="AG195" s="211"/>
      <c r="AH195" s="211"/>
      <c r="AI195" s="211"/>
      <c r="AJ195" s="211"/>
      <c r="AK195" s="211"/>
      <c r="AL195" s="211"/>
      <c r="AM195" s="211"/>
      <c r="AN195" s="211"/>
      <c r="AO195" s="211"/>
      <c r="AP195" s="211"/>
      <c r="AQ195" s="211"/>
      <c r="AR195" s="211"/>
      <c r="AS195" s="211"/>
      <c r="AT195" s="211"/>
      <c r="AU195" s="211"/>
      <c r="AV195" s="211"/>
      <c r="AW195" s="211"/>
      <c r="AX195" s="211"/>
      <c r="AY195" s="211"/>
      <c r="AZ195" s="211"/>
    </row>
    <row r="196" spans="1:52" s="213" customFormat="1" x14ac:dyDescent="0.35">
      <c r="A196" s="211"/>
      <c r="B196" s="211"/>
      <c r="C196" s="211"/>
      <c r="D196" s="211"/>
      <c r="E196" s="211"/>
      <c r="F196" s="211"/>
      <c r="G196" s="211"/>
      <c r="H196" s="211"/>
      <c r="I196" s="212"/>
      <c r="J196" s="212"/>
      <c r="K196" s="212"/>
      <c r="L196" s="212"/>
      <c r="M196" s="212"/>
      <c r="N196" s="212"/>
      <c r="O196" s="212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  <c r="AD196" s="211"/>
      <c r="AE196" s="211"/>
      <c r="AF196" s="211"/>
      <c r="AG196" s="211"/>
      <c r="AH196" s="211"/>
      <c r="AI196" s="211"/>
      <c r="AJ196" s="211"/>
      <c r="AK196" s="211"/>
      <c r="AL196" s="211"/>
      <c r="AM196" s="211"/>
      <c r="AN196" s="211"/>
      <c r="AO196" s="211"/>
      <c r="AP196" s="211"/>
      <c r="AQ196" s="211"/>
      <c r="AR196" s="211"/>
      <c r="AS196" s="211"/>
      <c r="AT196" s="211"/>
      <c r="AU196" s="211"/>
      <c r="AV196" s="211"/>
      <c r="AW196" s="211"/>
      <c r="AX196" s="211"/>
      <c r="AY196" s="211"/>
      <c r="AZ196" s="211"/>
    </row>
    <row r="197" spans="1:52" s="213" customFormat="1" x14ac:dyDescent="0.35">
      <c r="A197" s="211"/>
      <c r="B197" s="211"/>
      <c r="C197" s="211"/>
      <c r="D197" s="211"/>
      <c r="E197" s="211"/>
      <c r="F197" s="211"/>
      <c r="G197" s="211"/>
      <c r="H197" s="211"/>
      <c r="I197" s="212"/>
      <c r="J197" s="212"/>
      <c r="K197" s="212"/>
      <c r="L197" s="212"/>
      <c r="M197" s="212"/>
      <c r="N197" s="212"/>
      <c r="O197" s="212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  <c r="AD197" s="211"/>
      <c r="AE197" s="211"/>
      <c r="AF197" s="211"/>
      <c r="AG197" s="211"/>
      <c r="AH197" s="211"/>
      <c r="AI197" s="211"/>
      <c r="AJ197" s="211"/>
      <c r="AK197" s="211"/>
      <c r="AL197" s="211"/>
      <c r="AM197" s="211"/>
      <c r="AN197" s="211"/>
      <c r="AO197" s="211"/>
      <c r="AP197" s="211"/>
      <c r="AQ197" s="211"/>
      <c r="AR197" s="211"/>
      <c r="AS197" s="211"/>
      <c r="AT197" s="211"/>
      <c r="AU197" s="211"/>
      <c r="AV197" s="211"/>
      <c r="AW197" s="211"/>
      <c r="AX197" s="211"/>
      <c r="AY197" s="211"/>
      <c r="AZ197" s="211"/>
    </row>
    <row r="198" spans="1:52" s="213" customFormat="1" x14ac:dyDescent="0.35">
      <c r="A198" s="211"/>
      <c r="B198" s="211"/>
      <c r="C198" s="211"/>
      <c r="D198" s="211"/>
      <c r="E198" s="211"/>
      <c r="F198" s="211"/>
      <c r="G198" s="211"/>
      <c r="H198" s="211"/>
      <c r="I198" s="212"/>
      <c r="J198" s="212"/>
      <c r="K198" s="212"/>
      <c r="L198" s="212"/>
      <c r="M198" s="212"/>
      <c r="N198" s="212"/>
      <c r="O198" s="212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  <c r="AD198" s="211"/>
      <c r="AE198" s="211"/>
      <c r="AF198" s="211"/>
      <c r="AG198" s="211"/>
      <c r="AH198" s="211"/>
      <c r="AI198" s="211"/>
      <c r="AJ198" s="211"/>
      <c r="AK198" s="211"/>
      <c r="AL198" s="211"/>
      <c r="AM198" s="211"/>
      <c r="AN198" s="211"/>
      <c r="AO198" s="211"/>
      <c r="AP198" s="211"/>
      <c r="AQ198" s="211"/>
      <c r="AR198" s="211"/>
      <c r="AS198" s="211"/>
      <c r="AT198" s="211"/>
      <c r="AU198" s="211"/>
      <c r="AV198" s="211"/>
      <c r="AW198" s="211"/>
      <c r="AX198" s="211"/>
      <c r="AY198" s="211"/>
      <c r="AZ198" s="211"/>
    </row>
    <row r="199" spans="1:52" s="213" customFormat="1" x14ac:dyDescent="0.35">
      <c r="A199" s="211"/>
      <c r="B199" s="211"/>
      <c r="C199" s="211"/>
      <c r="D199" s="211"/>
      <c r="E199" s="211"/>
      <c r="F199" s="211"/>
      <c r="G199" s="211"/>
      <c r="H199" s="211"/>
      <c r="I199" s="212"/>
      <c r="J199" s="212"/>
      <c r="K199" s="212"/>
      <c r="L199" s="212"/>
      <c r="M199" s="212"/>
      <c r="N199" s="212"/>
      <c r="O199" s="212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  <c r="AD199" s="211"/>
      <c r="AE199" s="211"/>
      <c r="AF199" s="211"/>
      <c r="AG199" s="211"/>
      <c r="AH199" s="211"/>
      <c r="AI199" s="211"/>
      <c r="AJ199" s="211"/>
      <c r="AK199" s="211"/>
      <c r="AL199" s="211"/>
      <c r="AM199" s="211"/>
      <c r="AN199" s="211"/>
      <c r="AO199" s="211"/>
      <c r="AP199" s="211"/>
      <c r="AQ199" s="211"/>
      <c r="AR199" s="211"/>
      <c r="AS199" s="211"/>
      <c r="AT199" s="211"/>
      <c r="AU199" s="211"/>
      <c r="AV199" s="211"/>
      <c r="AW199" s="211"/>
      <c r="AX199" s="211"/>
      <c r="AY199" s="211"/>
      <c r="AZ199" s="211"/>
    </row>
    <row r="200" spans="1:52" s="213" customFormat="1" x14ac:dyDescent="0.35">
      <c r="A200" s="211"/>
      <c r="B200" s="211"/>
      <c r="C200" s="211"/>
      <c r="D200" s="211"/>
      <c r="E200" s="211"/>
      <c r="F200" s="211"/>
      <c r="G200" s="211"/>
      <c r="H200" s="211"/>
      <c r="I200" s="212"/>
      <c r="J200" s="212"/>
      <c r="K200" s="212"/>
      <c r="L200" s="212"/>
      <c r="M200" s="212"/>
      <c r="N200" s="212"/>
      <c r="O200" s="212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D200" s="211"/>
      <c r="AE200" s="211"/>
      <c r="AF200" s="211"/>
      <c r="AG200" s="211"/>
      <c r="AH200" s="211"/>
      <c r="AI200" s="211"/>
      <c r="AJ200" s="211"/>
      <c r="AK200" s="211"/>
      <c r="AL200" s="211"/>
      <c r="AM200" s="211"/>
      <c r="AN200" s="211"/>
      <c r="AO200" s="211"/>
      <c r="AP200" s="211"/>
      <c r="AQ200" s="211"/>
      <c r="AR200" s="211"/>
      <c r="AS200" s="211"/>
      <c r="AT200" s="211"/>
      <c r="AU200" s="211"/>
      <c r="AV200" s="211"/>
      <c r="AW200" s="211"/>
      <c r="AX200" s="211"/>
      <c r="AY200" s="211"/>
      <c r="AZ200" s="211"/>
    </row>
    <row r="201" spans="1:52" s="213" customFormat="1" x14ac:dyDescent="0.35">
      <c r="A201" s="211"/>
      <c r="B201" s="211"/>
      <c r="C201" s="211"/>
      <c r="D201" s="211"/>
      <c r="E201" s="211"/>
      <c r="F201" s="211"/>
      <c r="G201" s="211"/>
      <c r="H201" s="211"/>
      <c r="I201" s="212"/>
      <c r="J201" s="212"/>
      <c r="K201" s="212"/>
      <c r="L201" s="212"/>
      <c r="M201" s="212"/>
      <c r="N201" s="212"/>
      <c r="O201" s="212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D201" s="211"/>
      <c r="AE201" s="211"/>
      <c r="AF201" s="211"/>
      <c r="AG201" s="211"/>
      <c r="AH201" s="211"/>
      <c r="AI201" s="211"/>
      <c r="AJ201" s="211"/>
      <c r="AK201" s="211"/>
      <c r="AL201" s="211"/>
      <c r="AM201" s="211"/>
      <c r="AN201" s="211"/>
      <c r="AO201" s="211"/>
      <c r="AP201" s="211"/>
      <c r="AQ201" s="211"/>
      <c r="AR201" s="211"/>
      <c r="AS201" s="211"/>
      <c r="AT201" s="211"/>
      <c r="AU201" s="211"/>
      <c r="AV201" s="211"/>
      <c r="AW201" s="211"/>
      <c r="AX201" s="211"/>
      <c r="AY201" s="211"/>
      <c r="AZ201" s="211"/>
    </row>
    <row r="202" spans="1:52" s="213" customFormat="1" x14ac:dyDescent="0.35">
      <c r="A202" s="211"/>
      <c r="B202" s="211"/>
      <c r="C202" s="211"/>
      <c r="D202" s="211"/>
      <c r="E202" s="211"/>
      <c r="F202" s="211"/>
      <c r="G202" s="211"/>
      <c r="H202" s="211"/>
      <c r="I202" s="212"/>
      <c r="J202" s="212"/>
      <c r="K202" s="212"/>
      <c r="L202" s="212"/>
      <c r="M202" s="212"/>
      <c r="N202" s="212"/>
      <c r="O202" s="212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D202" s="211"/>
      <c r="AE202" s="211"/>
      <c r="AF202" s="211"/>
      <c r="AG202" s="211"/>
      <c r="AH202" s="211"/>
      <c r="AI202" s="211"/>
      <c r="AJ202" s="211"/>
      <c r="AK202" s="211"/>
      <c r="AL202" s="211"/>
      <c r="AM202" s="211"/>
      <c r="AN202" s="211"/>
      <c r="AO202" s="211"/>
      <c r="AP202" s="211"/>
      <c r="AQ202" s="211"/>
      <c r="AR202" s="211"/>
      <c r="AS202" s="211"/>
      <c r="AT202" s="211"/>
      <c r="AU202" s="211"/>
      <c r="AV202" s="211"/>
      <c r="AW202" s="211"/>
      <c r="AX202" s="211"/>
      <c r="AY202" s="211"/>
      <c r="AZ202" s="211"/>
    </row>
    <row r="203" spans="1:52" s="213" customFormat="1" x14ac:dyDescent="0.35">
      <c r="A203" s="211"/>
      <c r="B203" s="211"/>
      <c r="C203" s="211"/>
      <c r="D203" s="211"/>
      <c r="E203" s="211"/>
      <c r="F203" s="211"/>
      <c r="G203" s="211"/>
      <c r="H203" s="211"/>
      <c r="I203" s="212"/>
      <c r="J203" s="212"/>
      <c r="K203" s="212"/>
      <c r="L203" s="212"/>
      <c r="M203" s="212"/>
      <c r="N203" s="212"/>
      <c r="O203" s="212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  <c r="AD203" s="211"/>
      <c r="AE203" s="211"/>
      <c r="AF203" s="211"/>
      <c r="AG203" s="211"/>
      <c r="AH203" s="211"/>
      <c r="AI203" s="211"/>
      <c r="AJ203" s="211"/>
      <c r="AK203" s="211"/>
      <c r="AL203" s="211"/>
      <c r="AM203" s="211"/>
      <c r="AN203" s="211"/>
      <c r="AO203" s="211"/>
      <c r="AP203" s="211"/>
      <c r="AQ203" s="211"/>
      <c r="AR203" s="211"/>
      <c r="AS203" s="211"/>
      <c r="AT203" s="211"/>
      <c r="AU203" s="211"/>
      <c r="AV203" s="211"/>
      <c r="AW203" s="211"/>
      <c r="AX203" s="211"/>
      <c r="AY203" s="211"/>
      <c r="AZ203" s="211"/>
    </row>
    <row r="204" spans="1:52" s="213" customFormat="1" x14ac:dyDescent="0.35">
      <c r="A204" s="211"/>
      <c r="B204" s="211"/>
      <c r="C204" s="211"/>
      <c r="D204" s="211"/>
      <c r="E204" s="211"/>
      <c r="F204" s="211"/>
      <c r="G204" s="211"/>
      <c r="H204" s="211"/>
      <c r="I204" s="212"/>
      <c r="J204" s="212"/>
      <c r="K204" s="212"/>
      <c r="L204" s="212"/>
      <c r="M204" s="212"/>
      <c r="N204" s="212"/>
      <c r="O204" s="212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  <c r="AD204" s="211"/>
      <c r="AE204" s="211"/>
      <c r="AF204" s="211"/>
      <c r="AG204" s="211"/>
      <c r="AH204" s="211"/>
      <c r="AI204" s="211"/>
      <c r="AJ204" s="211"/>
      <c r="AK204" s="211"/>
      <c r="AL204" s="211"/>
      <c r="AM204" s="211"/>
      <c r="AN204" s="211"/>
      <c r="AO204" s="211"/>
      <c r="AP204" s="211"/>
      <c r="AQ204" s="211"/>
      <c r="AR204" s="211"/>
      <c r="AS204" s="211"/>
      <c r="AT204" s="211"/>
      <c r="AU204" s="211"/>
      <c r="AV204" s="211"/>
      <c r="AW204" s="211"/>
      <c r="AX204" s="211"/>
      <c r="AY204" s="211"/>
      <c r="AZ204" s="211"/>
    </row>
    <row r="205" spans="1:52" s="213" customFormat="1" x14ac:dyDescent="0.35">
      <c r="A205" s="211"/>
      <c r="B205" s="211"/>
      <c r="C205" s="211"/>
      <c r="D205" s="211"/>
      <c r="E205" s="211"/>
      <c r="F205" s="211"/>
      <c r="G205" s="211"/>
      <c r="H205" s="211"/>
      <c r="I205" s="212"/>
      <c r="J205" s="212"/>
      <c r="K205" s="212"/>
      <c r="L205" s="212"/>
      <c r="M205" s="212"/>
      <c r="N205" s="212"/>
      <c r="O205" s="212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  <c r="AD205" s="211"/>
      <c r="AE205" s="211"/>
      <c r="AF205" s="211"/>
      <c r="AG205" s="211"/>
      <c r="AH205" s="211"/>
      <c r="AI205" s="211"/>
      <c r="AJ205" s="211"/>
      <c r="AK205" s="211"/>
      <c r="AL205" s="211"/>
      <c r="AM205" s="211"/>
      <c r="AN205" s="211"/>
      <c r="AO205" s="211"/>
      <c r="AP205" s="211"/>
      <c r="AQ205" s="211"/>
      <c r="AR205" s="211"/>
      <c r="AS205" s="211"/>
      <c r="AT205" s="211"/>
      <c r="AU205" s="211"/>
      <c r="AV205" s="211"/>
      <c r="AW205" s="211"/>
      <c r="AX205" s="211"/>
      <c r="AY205" s="211"/>
      <c r="AZ205" s="211"/>
    </row>
    <row r="206" spans="1:52" s="213" customFormat="1" x14ac:dyDescent="0.35">
      <c r="A206" s="211"/>
      <c r="B206" s="211"/>
      <c r="C206" s="211"/>
      <c r="D206" s="211"/>
      <c r="E206" s="211"/>
      <c r="F206" s="211"/>
      <c r="G206" s="211"/>
      <c r="H206" s="211"/>
      <c r="I206" s="212"/>
      <c r="J206" s="212"/>
      <c r="K206" s="212"/>
      <c r="L206" s="212"/>
      <c r="M206" s="212"/>
      <c r="N206" s="212"/>
      <c r="O206" s="212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  <c r="Z206" s="211"/>
      <c r="AD206" s="211"/>
      <c r="AE206" s="211"/>
      <c r="AF206" s="211"/>
      <c r="AG206" s="211"/>
      <c r="AH206" s="211"/>
      <c r="AI206" s="211"/>
      <c r="AJ206" s="211"/>
      <c r="AK206" s="211"/>
      <c r="AL206" s="211"/>
      <c r="AM206" s="211"/>
      <c r="AN206" s="211"/>
      <c r="AO206" s="211"/>
      <c r="AP206" s="211"/>
      <c r="AQ206" s="211"/>
      <c r="AR206" s="211"/>
      <c r="AS206" s="211"/>
      <c r="AT206" s="211"/>
      <c r="AU206" s="211"/>
      <c r="AV206" s="211"/>
      <c r="AW206" s="211"/>
      <c r="AX206" s="211"/>
      <c r="AY206" s="211"/>
      <c r="AZ206" s="211"/>
    </row>
    <row r="207" spans="1:52" s="213" customFormat="1" x14ac:dyDescent="0.35">
      <c r="A207" s="211"/>
      <c r="B207" s="211"/>
      <c r="C207" s="211"/>
      <c r="D207" s="211"/>
      <c r="E207" s="211"/>
      <c r="F207" s="211"/>
      <c r="G207" s="211"/>
      <c r="H207" s="211"/>
      <c r="I207" s="212"/>
      <c r="J207" s="212"/>
      <c r="K207" s="212"/>
      <c r="L207" s="212"/>
      <c r="M207" s="212"/>
      <c r="N207" s="212"/>
      <c r="O207" s="212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  <c r="Z207" s="211"/>
      <c r="AD207" s="211"/>
      <c r="AE207" s="211"/>
      <c r="AF207" s="211"/>
      <c r="AG207" s="211"/>
      <c r="AH207" s="211"/>
      <c r="AI207" s="211"/>
      <c r="AJ207" s="211"/>
      <c r="AK207" s="211"/>
      <c r="AL207" s="211"/>
      <c r="AM207" s="211"/>
      <c r="AN207" s="211"/>
      <c r="AO207" s="211"/>
      <c r="AP207" s="211"/>
      <c r="AQ207" s="211"/>
      <c r="AR207" s="211"/>
      <c r="AS207" s="211"/>
      <c r="AT207" s="211"/>
      <c r="AU207" s="211"/>
      <c r="AV207" s="211"/>
      <c r="AW207" s="211"/>
      <c r="AX207" s="211"/>
      <c r="AY207" s="211"/>
      <c r="AZ207" s="211"/>
    </row>
    <row r="208" spans="1:52" s="213" customFormat="1" x14ac:dyDescent="0.35">
      <c r="A208" s="211"/>
      <c r="B208" s="211"/>
      <c r="C208" s="211"/>
      <c r="D208" s="211"/>
      <c r="E208" s="211"/>
      <c r="F208" s="211"/>
      <c r="G208" s="211"/>
      <c r="H208" s="211"/>
      <c r="I208" s="212"/>
      <c r="J208" s="212"/>
      <c r="K208" s="212"/>
      <c r="L208" s="212"/>
      <c r="M208" s="212"/>
      <c r="N208" s="212"/>
      <c r="O208" s="212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  <c r="Z208" s="211"/>
      <c r="AD208" s="211"/>
      <c r="AE208" s="211"/>
      <c r="AF208" s="211"/>
      <c r="AG208" s="211"/>
      <c r="AH208" s="211"/>
      <c r="AI208" s="211"/>
      <c r="AJ208" s="211"/>
      <c r="AK208" s="211"/>
      <c r="AL208" s="211"/>
      <c r="AM208" s="211"/>
      <c r="AN208" s="211"/>
      <c r="AO208" s="211"/>
      <c r="AP208" s="211"/>
      <c r="AQ208" s="211"/>
      <c r="AR208" s="211"/>
      <c r="AS208" s="211"/>
      <c r="AT208" s="211"/>
      <c r="AU208" s="211"/>
      <c r="AV208" s="211"/>
      <c r="AW208" s="211"/>
      <c r="AX208" s="211"/>
      <c r="AY208" s="211"/>
      <c r="AZ208" s="211"/>
    </row>
    <row r="209" spans="1:52" s="213" customFormat="1" x14ac:dyDescent="0.35">
      <c r="A209" s="211"/>
      <c r="B209" s="211"/>
      <c r="C209" s="211"/>
      <c r="D209" s="211"/>
      <c r="E209" s="211"/>
      <c r="F209" s="211"/>
      <c r="G209" s="211"/>
      <c r="H209" s="211"/>
      <c r="I209" s="212"/>
      <c r="J209" s="212"/>
      <c r="K209" s="212"/>
      <c r="L209" s="212"/>
      <c r="M209" s="212"/>
      <c r="N209" s="212"/>
      <c r="O209" s="212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  <c r="Z209" s="211"/>
      <c r="AD209" s="211"/>
      <c r="AE209" s="211"/>
      <c r="AF209" s="211"/>
      <c r="AG209" s="211"/>
      <c r="AH209" s="211"/>
      <c r="AI209" s="211"/>
      <c r="AJ209" s="211"/>
      <c r="AK209" s="211"/>
      <c r="AL209" s="211"/>
      <c r="AM209" s="211"/>
      <c r="AN209" s="211"/>
      <c r="AO209" s="211"/>
      <c r="AP209" s="211"/>
      <c r="AQ209" s="211"/>
      <c r="AR209" s="211"/>
      <c r="AS209" s="211"/>
      <c r="AT209" s="211"/>
      <c r="AU209" s="211"/>
      <c r="AV209" s="211"/>
      <c r="AW209" s="211"/>
      <c r="AX209" s="211"/>
      <c r="AY209" s="211"/>
      <c r="AZ209" s="211"/>
    </row>
    <row r="210" spans="1:52" s="213" customFormat="1" x14ac:dyDescent="0.35">
      <c r="A210" s="211"/>
      <c r="B210" s="211"/>
      <c r="C210" s="211"/>
      <c r="D210" s="211"/>
      <c r="E210" s="211"/>
      <c r="F210" s="211"/>
      <c r="G210" s="211"/>
      <c r="H210" s="211"/>
      <c r="I210" s="212"/>
      <c r="J210" s="212"/>
      <c r="K210" s="212"/>
      <c r="L210" s="212"/>
      <c r="M210" s="212"/>
      <c r="N210" s="212"/>
      <c r="O210" s="212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  <c r="AD210" s="211"/>
      <c r="AE210" s="211"/>
      <c r="AF210" s="211"/>
      <c r="AG210" s="211"/>
      <c r="AH210" s="211"/>
      <c r="AI210" s="211"/>
      <c r="AJ210" s="211"/>
      <c r="AK210" s="211"/>
      <c r="AL210" s="211"/>
      <c r="AM210" s="211"/>
      <c r="AN210" s="211"/>
      <c r="AO210" s="211"/>
      <c r="AP210" s="211"/>
      <c r="AQ210" s="211"/>
      <c r="AR210" s="211"/>
      <c r="AS210" s="211"/>
      <c r="AT210" s="211"/>
      <c r="AU210" s="211"/>
      <c r="AV210" s="211"/>
      <c r="AW210" s="211"/>
      <c r="AX210" s="211"/>
      <c r="AY210" s="211"/>
      <c r="AZ210" s="211"/>
    </row>
    <row r="211" spans="1:52" s="213" customFormat="1" x14ac:dyDescent="0.35">
      <c r="A211" s="211"/>
      <c r="B211" s="211"/>
      <c r="C211" s="211"/>
      <c r="D211" s="211"/>
      <c r="E211" s="211"/>
      <c r="F211" s="211"/>
      <c r="G211" s="211"/>
      <c r="H211" s="211"/>
      <c r="I211" s="212"/>
      <c r="J211" s="212"/>
      <c r="K211" s="212"/>
      <c r="L211" s="212"/>
      <c r="M211" s="212"/>
      <c r="N211" s="212"/>
      <c r="O211" s="212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D211" s="211"/>
      <c r="AE211" s="211"/>
      <c r="AF211" s="211"/>
      <c r="AG211" s="211"/>
      <c r="AH211" s="211"/>
      <c r="AI211" s="211"/>
      <c r="AJ211" s="211"/>
      <c r="AK211" s="211"/>
      <c r="AL211" s="211"/>
      <c r="AM211" s="211"/>
      <c r="AN211" s="211"/>
      <c r="AO211" s="211"/>
      <c r="AP211" s="211"/>
      <c r="AQ211" s="211"/>
      <c r="AR211" s="211"/>
      <c r="AS211" s="211"/>
      <c r="AT211" s="211"/>
      <c r="AU211" s="211"/>
      <c r="AV211" s="211"/>
      <c r="AW211" s="211"/>
      <c r="AX211" s="211"/>
      <c r="AY211" s="211"/>
      <c r="AZ211" s="211"/>
    </row>
    <row r="212" spans="1:52" s="213" customFormat="1" x14ac:dyDescent="0.35">
      <c r="A212" s="211"/>
      <c r="B212" s="211"/>
      <c r="C212" s="211"/>
      <c r="D212" s="211"/>
      <c r="E212" s="211"/>
      <c r="F212" s="211"/>
      <c r="G212" s="211"/>
      <c r="H212" s="211"/>
      <c r="I212" s="212"/>
      <c r="J212" s="212"/>
      <c r="K212" s="212"/>
      <c r="L212" s="212"/>
      <c r="M212" s="212"/>
      <c r="N212" s="212"/>
      <c r="O212" s="212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D212" s="211"/>
      <c r="AE212" s="211"/>
      <c r="AF212" s="211"/>
      <c r="AG212" s="211"/>
      <c r="AH212" s="211"/>
      <c r="AI212" s="211"/>
      <c r="AJ212" s="211"/>
      <c r="AK212" s="211"/>
      <c r="AL212" s="211"/>
      <c r="AM212" s="211"/>
      <c r="AN212" s="211"/>
      <c r="AO212" s="211"/>
      <c r="AP212" s="211"/>
      <c r="AQ212" s="211"/>
      <c r="AR212" s="211"/>
      <c r="AS212" s="211"/>
      <c r="AT212" s="211"/>
      <c r="AU212" s="211"/>
      <c r="AV212" s="211"/>
      <c r="AW212" s="211"/>
      <c r="AX212" s="211"/>
      <c r="AY212" s="211"/>
      <c r="AZ212" s="211"/>
    </row>
    <row r="213" spans="1:52" s="213" customFormat="1" x14ac:dyDescent="0.35">
      <c r="A213" s="211"/>
      <c r="B213" s="211"/>
      <c r="C213" s="211"/>
      <c r="D213" s="211"/>
      <c r="E213" s="211"/>
      <c r="F213" s="211"/>
      <c r="G213" s="211"/>
      <c r="H213" s="211"/>
      <c r="I213" s="212"/>
      <c r="J213" s="212"/>
      <c r="K213" s="212"/>
      <c r="L213" s="212"/>
      <c r="M213" s="212"/>
      <c r="N213" s="212"/>
      <c r="O213" s="212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D213" s="211"/>
      <c r="AE213" s="211"/>
      <c r="AF213" s="211"/>
      <c r="AG213" s="211"/>
      <c r="AH213" s="211"/>
      <c r="AI213" s="211"/>
      <c r="AJ213" s="211"/>
      <c r="AK213" s="211"/>
      <c r="AL213" s="211"/>
      <c r="AM213" s="211"/>
      <c r="AN213" s="211"/>
      <c r="AO213" s="211"/>
      <c r="AP213" s="211"/>
      <c r="AQ213" s="211"/>
      <c r="AR213" s="211"/>
      <c r="AS213" s="211"/>
      <c r="AT213" s="211"/>
      <c r="AU213" s="211"/>
      <c r="AV213" s="211"/>
      <c r="AW213" s="211"/>
      <c r="AX213" s="211"/>
      <c r="AY213" s="211"/>
      <c r="AZ213" s="211"/>
    </row>
    <row r="214" spans="1:52" s="213" customFormat="1" x14ac:dyDescent="0.35">
      <c r="A214" s="211"/>
      <c r="B214" s="211"/>
      <c r="C214" s="211"/>
      <c r="D214" s="211"/>
      <c r="E214" s="211"/>
      <c r="F214" s="211"/>
      <c r="G214" s="211"/>
      <c r="H214" s="211"/>
      <c r="I214" s="212"/>
      <c r="J214" s="212"/>
      <c r="K214" s="212"/>
      <c r="L214" s="212"/>
      <c r="M214" s="212"/>
      <c r="N214" s="212"/>
      <c r="O214" s="212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D214" s="211"/>
      <c r="AE214" s="211"/>
      <c r="AF214" s="211"/>
      <c r="AG214" s="211"/>
      <c r="AH214" s="211"/>
      <c r="AI214" s="211"/>
      <c r="AJ214" s="211"/>
      <c r="AK214" s="211"/>
      <c r="AL214" s="211"/>
      <c r="AM214" s="211"/>
      <c r="AN214" s="211"/>
      <c r="AO214" s="211"/>
      <c r="AP214" s="211"/>
      <c r="AQ214" s="211"/>
      <c r="AR214" s="211"/>
      <c r="AS214" s="211"/>
      <c r="AT214" s="211"/>
      <c r="AU214" s="211"/>
      <c r="AV214" s="211"/>
      <c r="AW214" s="211"/>
      <c r="AX214" s="211"/>
      <c r="AY214" s="211"/>
      <c r="AZ214" s="211"/>
    </row>
    <row r="215" spans="1:52" s="213" customFormat="1" x14ac:dyDescent="0.35">
      <c r="A215" s="211"/>
      <c r="B215" s="211"/>
      <c r="C215" s="211"/>
      <c r="D215" s="211"/>
      <c r="E215" s="211"/>
      <c r="F215" s="211"/>
      <c r="G215" s="211"/>
      <c r="H215" s="211"/>
      <c r="I215" s="212"/>
      <c r="J215" s="212"/>
      <c r="K215" s="212"/>
      <c r="L215" s="212"/>
      <c r="M215" s="212"/>
      <c r="N215" s="212"/>
      <c r="O215" s="212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D215" s="211"/>
      <c r="AE215" s="211"/>
      <c r="AF215" s="211"/>
      <c r="AG215" s="211"/>
      <c r="AH215" s="211"/>
      <c r="AI215" s="211"/>
      <c r="AJ215" s="211"/>
      <c r="AK215" s="211"/>
      <c r="AL215" s="211"/>
      <c r="AM215" s="211"/>
      <c r="AN215" s="211"/>
      <c r="AO215" s="211"/>
      <c r="AP215" s="211"/>
      <c r="AQ215" s="211"/>
      <c r="AR215" s="211"/>
      <c r="AS215" s="211"/>
      <c r="AT215" s="211"/>
      <c r="AU215" s="211"/>
      <c r="AV215" s="211"/>
      <c r="AW215" s="211"/>
      <c r="AX215" s="211"/>
      <c r="AY215" s="211"/>
      <c r="AZ215" s="211"/>
    </row>
    <row r="216" spans="1:52" s="213" customFormat="1" x14ac:dyDescent="0.35">
      <c r="A216" s="211"/>
      <c r="B216" s="211"/>
      <c r="C216" s="211"/>
      <c r="D216" s="211"/>
      <c r="E216" s="211"/>
      <c r="F216" s="211"/>
      <c r="G216" s="211"/>
      <c r="H216" s="211"/>
      <c r="I216" s="212"/>
      <c r="J216" s="212"/>
      <c r="K216" s="212"/>
      <c r="L216" s="212"/>
      <c r="M216" s="212"/>
      <c r="N216" s="212"/>
      <c r="O216" s="212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211"/>
      <c r="AD216" s="211"/>
      <c r="AE216" s="211"/>
      <c r="AF216" s="211"/>
      <c r="AG216" s="211"/>
      <c r="AH216" s="211"/>
      <c r="AI216" s="211"/>
      <c r="AJ216" s="211"/>
      <c r="AK216" s="211"/>
      <c r="AL216" s="211"/>
      <c r="AM216" s="211"/>
      <c r="AN216" s="211"/>
      <c r="AO216" s="211"/>
      <c r="AP216" s="211"/>
      <c r="AQ216" s="211"/>
      <c r="AR216" s="211"/>
      <c r="AS216" s="211"/>
      <c r="AT216" s="211"/>
      <c r="AU216" s="211"/>
      <c r="AV216" s="211"/>
      <c r="AW216" s="211"/>
      <c r="AX216" s="211"/>
      <c r="AY216" s="211"/>
      <c r="AZ216" s="211"/>
    </row>
    <row r="217" spans="1:52" s="213" customFormat="1" x14ac:dyDescent="0.35">
      <c r="A217" s="211"/>
      <c r="B217" s="211"/>
      <c r="C217" s="211"/>
      <c r="D217" s="211"/>
      <c r="E217" s="211"/>
      <c r="F217" s="211"/>
      <c r="G217" s="211"/>
      <c r="H217" s="211"/>
      <c r="I217" s="212"/>
      <c r="J217" s="212"/>
      <c r="K217" s="212"/>
      <c r="L217" s="212"/>
      <c r="M217" s="212"/>
      <c r="N217" s="212"/>
      <c r="O217" s="212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D217" s="211"/>
      <c r="AE217" s="211"/>
      <c r="AF217" s="211"/>
      <c r="AG217" s="211"/>
      <c r="AH217" s="211"/>
      <c r="AI217" s="211"/>
      <c r="AJ217" s="211"/>
      <c r="AK217" s="211"/>
      <c r="AL217" s="211"/>
      <c r="AM217" s="211"/>
      <c r="AN217" s="211"/>
      <c r="AO217" s="211"/>
      <c r="AP217" s="211"/>
      <c r="AQ217" s="211"/>
      <c r="AR217" s="211"/>
      <c r="AS217" s="211"/>
      <c r="AT217" s="211"/>
      <c r="AU217" s="211"/>
      <c r="AV217" s="211"/>
      <c r="AW217" s="211"/>
      <c r="AX217" s="211"/>
      <c r="AY217" s="211"/>
      <c r="AZ217" s="211"/>
    </row>
    <row r="218" spans="1:52" s="213" customFormat="1" x14ac:dyDescent="0.35">
      <c r="A218" s="211"/>
      <c r="B218" s="211"/>
      <c r="C218" s="211"/>
      <c r="D218" s="211"/>
      <c r="E218" s="211"/>
      <c r="F218" s="211"/>
      <c r="G218" s="211"/>
      <c r="H218" s="211"/>
      <c r="I218" s="212"/>
      <c r="J218" s="212"/>
      <c r="K218" s="212"/>
      <c r="L218" s="212"/>
      <c r="M218" s="212"/>
      <c r="N218" s="212"/>
      <c r="O218" s="212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D218" s="211"/>
      <c r="AE218" s="211"/>
      <c r="AF218" s="211"/>
      <c r="AG218" s="211"/>
      <c r="AH218" s="211"/>
      <c r="AI218" s="211"/>
      <c r="AJ218" s="211"/>
      <c r="AK218" s="211"/>
      <c r="AL218" s="211"/>
      <c r="AM218" s="211"/>
      <c r="AN218" s="211"/>
      <c r="AO218" s="211"/>
      <c r="AP218" s="211"/>
      <c r="AQ218" s="211"/>
      <c r="AR218" s="211"/>
      <c r="AS218" s="211"/>
      <c r="AT218" s="211"/>
      <c r="AU218" s="211"/>
      <c r="AV218" s="211"/>
      <c r="AW218" s="211"/>
      <c r="AX218" s="211"/>
      <c r="AY218" s="211"/>
      <c r="AZ218" s="211"/>
    </row>
    <row r="219" spans="1:52" s="213" customFormat="1" x14ac:dyDescent="0.35">
      <c r="A219" s="211"/>
      <c r="B219" s="211"/>
      <c r="C219" s="211"/>
      <c r="D219" s="211"/>
      <c r="E219" s="211"/>
      <c r="F219" s="211"/>
      <c r="G219" s="211"/>
      <c r="H219" s="211"/>
      <c r="I219" s="212"/>
      <c r="J219" s="212"/>
      <c r="K219" s="212"/>
      <c r="L219" s="212"/>
      <c r="M219" s="212"/>
      <c r="N219" s="212"/>
      <c r="O219" s="212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D219" s="211"/>
      <c r="AE219" s="211"/>
      <c r="AF219" s="211"/>
      <c r="AG219" s="211"/>
      <c r="AH219" s="211"/>
      <c r="AI219" s="211"/>
      <c r="AJ219" s="211"/>
      <c r="AK219" s="211"/>
      <c r="AL219" s="211"/>
      <c r="AM219" s="211"/>
      <c r="AN219" s="211"/>
      <c r="AO219" s="211"/>
      <c r="AP219" s="211"/>
      <c r="AQ219" s="211"/>
      <c r="AR219" s="211"/>
      <c r="AS219" s="211"/>
      <c r="AT219" s="211"/>
      <c r="AU219" s="211"/>
      <c r="AV219" s="211"/>
      <c r="AW219" s="211"/>
      <c r="AX219" s="211"/>
      <c r="AY219" s="211"/>
      <c r="AZ219" s="211"/>
    </row>
    <row r="220" spans="1:52" s="213" customFormat="1" x14ac:dyDescent="0.35">
      <c r="A220" s="211"/>
      <c r="B220" s="211"/>
      <c r="C220" s="211"/>
      <c r="D220" s="211"/>
      <c r="E220" s="211"/>
      <c r="F220" s="211"/>
      <c r="G220" s="211"/>
      <c r="H220" s="211"/>
      <c r="I220" s="212"/>
      <c r="J220" s="212"/>
      <c r="K220" s="212"/>
      <c r="L220" s="212"/>
      <c r="M220" s="212"/>
      <c r="N220" s="212"/>
      <c r="O220" s="212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D220" s="211"/>
      <c r="AE220" s="211"/>
      <c r="AF220" s="211"/>
      <c r="AG220" s="211"/>
      <c r="AH220" s="211"/>
      <c r="AI220" s="211"/>
      <c r="AJ220" s="211"/>
      <c r="AK220" s="211"/>
      <c r="AL220" s="211"/>
      <c r="AM220" s="211"/>
      <c r="AN220" s="211"/>
      <c r="AO220" s="211"/>
      <c r="AP220" s="211"/>
      <c r="AQ220" s="211"/>
      <c r="AR220" s="211"/>
      <c r="AS220" s="211"/>
      <c r="AT220" s="211"/>
      <c r="AU220" s="211"/>
      <c r="AV220" s="211"/>
      <c r="AW220" s="211"/>
      <c r="AX220" s="211"/>
      <c r="AY220" s="211"/>
      <c r="AZ220" s="211"/>
    </row>
    <row r="221" spans="1:52" s="213" customFormat="1" x14ac:dyDescent="0.35">
      <c r="A221" s="211"/>
      <c r="B221" s="211"/>
      <c r="C221" s="211"/>
      <c r="D221" s="211"/>
      <c r="E221" s="211"/>
      <c r="F221" s="211"/>
      <c r="G221" s="211"/>
      <c r="H221" s="211"/>
      <c r="I221" s="212"/>
      <c r="J221" s="212"/>
      <c r="K221" s="212"/>
      <c r="L221" s="212"/>
      <c r="M221" s="212"/>
      <c r="N221" s="212"/>
      <c r="O221" s="212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  <c r="AD221" s="211"/>
      <c r="AE221" s="211"/>
      <c r="AF221" s="211"/>
      <c r="AG221" s="211"/>
      <c r="AH221" s="211"/>
      <c r="AI221" s="211"/>
      <c r="AJ221" s="211"/>
      <c r="AK221" s="211"/>
      <c r="AL221" s="211"/>
      <c r="AM221" s="211"/>
      <c r="AN221" s="211"/>
      <c r="AO221" s="211"/>
      <c r="AP221" s="211"/>
      <c r="AQ221" s="211"/>
      <c r="AR221" s="211"/>
      <c r="AS221" s="211"/>
      <c r="AT221" s="211"/>
      <c r="AU221" s="211"/>
      <c r="AV221" s="211"/>
      <c r="AW221" s="211"/>
      <c r="AX221" s="211"/>
      <c r="AY221" s="211"/>
      <c r="AZ221" s="211"/>
    </row>
    <row r="222" spans="1:52" s="213" customFormat="1" x14ac:dyDescent="0.35">
      <c r="A222" s="211"/>
      <c r="B222" s="211"/>
      <c r="C222" s="211"/>
      <c r="D222" s="211"/>
      <c r="E222" s="211"/>
      <c r="F222" s="211"/>
      <c r="G222" s="211"/>
      <c r="H222" s="211"/>
      <c r="I222" s="212"/>
      <c r="J222" s="212"/>
      <c r="K222" s="212"/>
      <c r="L222" s="212"/>
      <c r="M222" s="212"/>
      <c r="N222" s="212"/>
      <c r="O222" s="212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  <c r="AS222" s="211"/>
      <c r="AT222" s="211"/>
      <c r="AU222" s="211"/>
      <c r="AV222" s="211"/>
      <c r="AW222" s="211"/>
      <c r="AX222" s="211"/>
      <c r="AY222" s="211"/>
      <c r="AZ222" s="211"/>
    </row>
    <row r="223" spans="1:52" s="213" customFormat="1" x14ac:dyDescent="0.35">
      <c r="A223" s="211"/>
      <c r="B223" s="211"/>
      <c r="C223" s="211"/>
      <c r="D223" s="211"/>
      <c r="E223" s="211"/>
      <c r="F223" s="211"/>
      <c r="G223" s="211"/>
      <c r="H223" s="211"/>
      <c r="I223" s="212"/>
      <c r="J223" s="212"/>
      <c r="K223" s="212"/>
      <c r="L223" s="212"/>
      <c r="M223" s="212"/>
      <c r="N223" s="212"/>
      <c r="O223" s="212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  <c r="Z223" s="211"/>
      <c r="AD223" s="211"/>
      <c r="AE223" s="211"/>
      <c r="AF223" s="211"/>
      <c r="AG223" s="211"/>
      <c r="AH223" s="211"/>
      <c r="AI223" s="211"/>
      <c r="AJ223" s="211"/>
      <c r="AK223" s="211"/>
      <c r="AL223" s="211"/>
      <c r="AM223" s="211"/>
      <c r="AN223" s="211"/>
      <c r="AO223" s="211"/>
      <c r="AP223" s="211"/>
      <c r="AQ223" s="211"/>
      <c r="AR223" s="211"/>
      <c r="AS223" s="211"/>
      <c r="AT223" s="211"/>
      <c r="AU223" s="211"/>
      <c r="AV223" s="211"/>
      <c r="AW223" s="211"/>
      <c r="AX223" s="211"/>
      <c r="AY223" s="211"/>
      <c r="AZ223" s="211"/>
    </row>
    <row r="224" spans="1:52" s="213" customFormat="1" x14ac:dyDescent="0.35">
      <c r="A224" s="211"/>
      <c r="B224" s="211"/>
      <c r="C224" s="211"/>
      <c r="D224" s="211"/>
      <c r="E224" s="211"/>
      <c r="F224" s="211"/>
      <c r="G224" s="211"/>
      <c r="H224" s="211"/>
      <c r="I224" s="212"/>
      <c r="J224" s="212"/>
      <c r="K224" s="212"/>
      <c r="L224" s="212"/>
      <c r="M224" s="212"/>
      <c r="N224" s="212"/>
      <c r="O224" s="212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  <c r="Z224" s="211"/>
      <c r="AD224" s="211"/>
      <c r="AE224" s="211"/>
      <c r="AF224" s="211"/>
      <c r="AG224" s="211"/>
      <c r="AH224" s="211"/>
      <c r="AI224" s="211"/>
      <c r="AJ224" s="211"/>
      <c r="AK224" s="211"/>
      <c r="AL224" s="211"/>
      <c r="AM224" s="211"/>
      <c r="AN224" s="211"/>
      <c r="AO224" s="211"/>
      <c r="AP224" s="211"/>
      <c r="AQ224" s="211"/>
      <c r="AR224" s="211"/>
      <c r="AS224" s="211"/>
      <c r="AT224" s="211"/>
      <c r="AU224" s="211"/>
      <c r="AV224" s="211"/>
      <c r="AW224" s="211"/>
      <c r="AX224" s="211"/>
      <c r="AY224" s="211"/>
      <c r="AZ224" s="211"/>
    </row>
    <row r="225" spans="1:52" s="213" customFormat="1" x14ac:dyDescent="0.35">
      <c r="A225" s="211"/>
      <c r="B225" s="211"/>
      <c r="C225" s="211"/>
      <c r="D225" s="211"/>
      <c r="E225" s="211"/>
      <c r="F225" s="211"/>
      <c r="G225" s="211"/>
      <c r="H225" s="211"/>
      <c r="I225" s="212"/>
      <c r="J225" s="212"/>
      <c r="K225" s="212"/>
      <c r="L225" s="212"/>
      <c r="M225" s="212"/>
      <c r="N225" s="212"/>
      <c r="O225" s="212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  <c r="Z225" s="211"/>
      <c r="AD225" s="211"/>
      <c r="AE225" s="211"/>
      <c r="AF225" s="211"/>
      <c r="AG225" s="211"/>
      <c r="AH225" s="211"/>
      <c r="AI225" s="211"/>
      <c r="AJ225" s="211"/>
      <c r="AK225" s="211"/>
      <c r="AL225" s="211"/>
      <c r="AM225" s="211"/>
      <c r="AN225" s="211"/>
      <c r="AO225" s="211"/>
      <c r="AP225" s="211"/>
      <c r="AQ225" s="211"/>
      <c r="AR225" s="211"/>
      <c r="AS225" s="211"/>
      <c r="AT225" s="211"/>
      <c r="AU225" s="211"/>
      <c r="AV225" s="211"/>
      <c r="AW225" s="211"/>
      <c r="AX225" s="211"/>
      <c r="AY225" s="211"/>
      <c r="AZ225" s="211"/>
    </row>
    <row r="226" spans="1:52" s="213" customFormat="1" x14ac:dyDescent="0.35">
      <c r="A226" s="211"/>
      <c r="B226" s="211"/>
      <c r="C226" s="211"/>
      <c r="D226" s="211"/>
      <c r="E226" s="211"/>
      <c r="F226" s="211"/>
      <c r="G226" s="211"/>
      <c r="H226" s="211"/>
      <c r="I226" s="212"/>
      <c r="J226" s="212"/>
      <c r="K226" s="212"/>
      <c r="L226" s="212"/>
      <c r="M226" s="212"/>
      <c r="N226" s="212"/>
      <c r="O226" s="212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  <c r="Z226" s="211"/>
      <c r="AD226" s="211"/>
      <c r="AE226" s="211"/>
      <c r="AF226" s="211"/>
      <c r="AG226" s="211"/>
      <c r="AH226" s="211"/>
      <c r="AI226" s="211"/>
      <c r="AJ226" s="211"/>
      <c r="AK226" s="211"/>
      <c r="AL226" s="211"/>
      <c r="AM226" s="211"/>
      <c r="AN226" s="211"/>
      <c r="AO226" s="211"/>
      <c r="AP226" s="211"/>
      <c r="AQ226" s="211"/>
      <c r="AR226" s="211"/>
      <c r="AS226" s="211"/>
      <c r="AT226" s="211"/>
      <c r="AU226" s="211"/>
      <c r="AV226" s="211"/>
      <c r="AW226" s="211"/>
      <c r="AX226" s="211"/>
      <c r="AY226" s="211"/>
      <c r="AZ226" s="211"/>
    </row>
    <row r="227" spans="1:52" s="213" customFormat="1" x14ac:dyDescent="0.35">
      <c r="A227" s="211"/>
      <c r="B227" s="211"/>
      <c r="C227" s="211"/>
      <c r="D227" s="211"/>
      <c r="E227" s="211"/>
      <c r="F227" s="211"/>
      <c r="G227" s="211"/>
      <c r="H227" s="211"/>
      <c r="I227" s="212"/>
      <c r="J227" s="212"/>
      <c r="K227" s="212"/>
      <c r="L227" s="212"/>
      <c r="M227" s="212"/>
      <c r="N227" s="212"/>
      <c r="O227" s="212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  <c r="Z227" s="211"/>
      <c r="AD227" s="211"/>
      <c r="AE227" s="211"/>
      <c r="AF227" s="211"/>
      <c r="AG227" s="211"/>
      <c r="AH227" s="211"/>
      <c r="AI227" s="211"/>
      <c r="AJ227" s="211"/>
      <c r="AK227" s="211"/>
      <c r="AL227" s="211"/>
      <c r="AM227" s="211"/>
      <c r="AN227" s="211"/>
      <c r="AO227" s="211"/>
      <c r="AP227" s="211"/>
      <c r="AQ227" s="211"/>
      <c r="AR227" s="211"/>
      <c r="AS227" s="211"/>
      <c r="AT227" s="211"/>
      <c r="AU227" s="211"/>
      <c r="AV227" s="211"/>
      <c r="AW227" s="211"/>
      <c r="AX227" s="211"/>
      <c r="AY227" s="211"/>
      <c r="AZ227" s="211"/>
    </row>
    <row r="228" spans="1:52" s="213" customFormat="1" x14ac:dyDescent="0.35">
      <c r="A228" s="211"/>
      <c r="B228" s="211"/>
      <c r="C228" s="211"/>
      <c r="D228" s="211"/>
      <c r="E228" s="211"/>
      <c r="F228" s="211"/>
      <c r="G228" s="211"/>
      <c r="H228" s="211"/>
      <c r="I228" s="212"/>
      <c r="J228" s="212"/>
      <c r="K228" s="212"/>
      <c r="L228" s="212"/>
      <c r="M228" s="212"/>
      <c r="N228" s="212"/>
      <c r="O228" s="212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  <c r="AS228" s="211"/>
      <c r="AT228" s="211"/>
      <c r="AU228" s="211"/>
      <c r="AV228" s="211"/>
      <c r="AW228" s="211"/>
      <c r="AX228" s="211"/>
      <c r="AY228" s="211"/>
      <c r="AZ228" s="211"/>
    </row>
    <row r="229" spans="1:52" s="213" customFormat="1" x14ac:dyDescent="0.35">
      <c r="A229" s="211"/>
      <c r="B229" s="211"/>
      <c r="C229" s="211"/>
      <c r="D229" s="211"/>
      <c r="E229" s="211"/>
      <c r="F229" s="211"/>
      <c r="G229" s="211"/>
      <c r="H229" s="211"/>
      <c r="I229" s="212"/>
      <c r="J229" s="212"/>
      <c r="K229" s="212"/>
      <c r="L229" s="212"/>
      <c r="M229" s="212"/>
      <c r="N229" s="212"/>
      <c r="O229" s="212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  <c r="Z229" s="211"/>
      <c r="AD229" s="211"/>
      <c r="AE229" s="211"/>
      <c r="AF229" s="211"/>
      <c r="AG229" s="211"/>
      <c r="AH229" s="211"/>
      <c r="AI229" s="211"/>
      <c r="AJ229" s="211"/>
      <c r="AK229" s="211"/>
      <c r="AL229" s="211"/>
      <c r="AM229" s="211"/>
      <c r="AN229" s="211"/>
      <c r="AO229" s="211"/>
      <c r="AP229" s="211"/>
      <c r="AQ229" s="211"/>
      <c r="AR229" s="211"/>
      <c r="AS229" s="211"/>
      <c r="AT229" s="211"/>
      <c r="AU229" s="211"/>
      <c r="AV229" s="211"/>
      <c r="AW229" s="211"/>
      <c r="AX229" s="211"/>
      <c r="AY229" s="211"/>
      <c r="AZ229" s="211"/>
    </row>
    <row r="230" spans="1:52" s="213" customFormat="1" x14ac:dyDescent="0.35">
      <c r="A230" s="211"/>
      <c r="B230" s="211"/>
      <c r="C230" s="211"/>
      <c r="D230" s="211"/>
      <c r="E230" s="211"/>
      <c r="F230" s="211"/>
      <c r="G230" s="211"/>
      <c r="H230" s="211"/>
      <c r="I230" s="212"/>
      <c r="J230" s="212"/>
      <c r="K230" s="212"/>
      <c r="L230" s="212"/>
      <c r="M230" s="212"/>
      <c r="N230" s="212"/>
      <c r="O230" s="212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  <c r="Z230" s="211"/>
      <c r="AD230" s="211"/>
      <c r="AE230" s="211"/>
      <c r="AF230" s="211"/>
      <c r="AG230" s="211"/>
      <c r="AH230" s="211"/>
      <c r="AI230" s="211"/>
      <c r="AJ230" s="211"/>
      <c r="AK230" s="211"/>
      <c r="AL230" s="211"/>
      <c r="AM230" s="211"/>
      <c r="AN230" s="211"/>
      <c r="AO230" s="211"/>
      <c r="AP230" s="211"/>
      <c r="AQ230" s="211"/>
      <c r="AR230" s="211"/>
      <c r="AS230" s="211"/>
      <c r="AT230" s="211"/>
      <c r="AU230" s="211"/>
      <c r="AV230" s="211"/>
      <c r="AW230" s="211"/>
      <c r="AX230" s="211"/>
      <c r="AY230" s="211"/>
      <c r="AZ230" s="211"/>
    </row>
    <row r="231" spans="1:52" s="213" customFormat="1" x14ac:dyDescent="0.35">
      <c r="A231" s="211"/>
      <c r="B231" s="211"/>
      <c r="C231" s="211"/>
      <c r="D231" s="211"/>
      <c r="E231" s="211"/>
      <c r="F231" s="211"/>
      <c r="G231" s="211"/>
      <c r="H231" s="211"/>
      <c r="I231" s="212"/>
      <c r="J231" s="212"/>
      <c r="K231" s="212"/>
      <c r="L231" s="212"/>
      <c r="M231" s="212"/>
      <c r="N231" s="212"/>
      <c r="O231" s="212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  <c r="Z231" s="211"/>
      <c r="AD231" s="211"/>
      <c r="AE231" s="211"/>
      <c r="AF231" s="211"/>
      <c r="AG231" s="211"/>
      <c r="AH231" s="211"/>
      <c r="AI231" s="211"/>
      <c r="AJ231" s="211"/>
      <c r="AK231" s="211"/>
      <c r="AL231" s="211"/>
      <c r="AM231" s="211"/>
      <c r="AN231" s="211"/>
      <c r="AO231" s="211"/>
      <c r="AP231" s="211"/>
      <c r="AQ231" s="211"/>
      <c r="AR231" s="211"/>
      <c r="AS231" s="211"/>
      <c r="AT231" s="211"/>
      <c r="AU231" s="211"/>
      <c r="AV231" s="211"/>
      <c r="AW231" s="211"/>
      <c r="AX231" s="211"/>
      <c r="AY231" s="211"/>
      <c r="AZ231" s="211"/>
    </row>
    <row r="232" spans="1:52" s="213" customFormat="1" x14ac:dyDescent="0.35">
      <c r="A232" s="211"/>
      <c r="B232" s="211"/>
      <c r="C232" s="211"/>
      <c r="D232" s="211"/>
      <c r="E232" s="211"/>
      <c r="F232" s="211"/>
      <c r="G232" s="211"/>
      <c r="H232" s="211"/>
      <c r="I232" s="212"/>
      <c r="J232" s="212"/>
      <c r="K232" s="212"/>
      <c r="L232" s="212"/>
      <c r="M232" s="212"/>
      <c r="N232" s="212"/>
      <c r="O232" s="212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  <c r="Z232" s="211"/>
      <c r="AD232" s="211"/>
      <c r="AE232" s="211"/>
      <c r="AF232" s="211"/>
      <c r="AG232" s="211"/>
      <c r="AH232" s="211"/>
      <c r="AI232" s="211"/>
      <c r="AJ232" s="211"/>
      <c r="AK232" s="211"/>
      <c r="AL232" s="211"/>
      <c r="AM232" s="211"/>
      <c r="AN232" s="211"/>
      <c r="AO232" s="211"/>
      <c r="AP232" s="211"/>
      <c r="AQ232" s="211"/>
      <c r="AR232" s="211"/>
      <c r="AS232" s="211"/>
      <c r="AT232" s="211"/>
      <c r="AU232" s="211"/>
      <c r="AV232" s="211"/>
      <c r="AW232" s="211"/>
      <c r="AX232" s="211"/>
      <c r="AY232" s="211"/>
      <c r="AZ232" s="211"/>
    </row>
    <row r="233" spans="1:52" s="213" customFormat="1" x14ac:dyDescent="0.35">
      <c r="A233" s="211"/>
      <c r="B233" s="211"/>
      <c r="C233" s="211"/>
      <c r="D233" s="211"/>
      <c r="E233" s="211"/>
      <c r="F233" s="211"/>
      <c r="G233" s="211"/>
      <c r="H233" s="211"/>
      <c r="I233" s="212"/>
      <c r="J233" s="212"/>
      <c r="K233" s="212"/>
      <c r="L233" s="212"/>
      <c r="M233" s="212"/>
      <c r="N233" s="212"/>
      <c r="O233" s="212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  <c r="Z233" s="211"/>
      <c r="AD233" s="211"/>
      <c r="AE233" s="211"/>
      <c r="AF233" s="211"/>
      <c r="AG233" s="211"/>
      <c r="AH233" s="211"/>
      <c r="AI233" s="211"/>
      <c r="AJ233" s="211"/>
      <c r="AK233" s="211"/>
      <c r="AL233" s="211"/>
      <c r="AM233" s="211"/>
      <c r="AN233" s="211"/>
      <c r="AO233" s="211"/>
      <c r="AP233" s="211"/>
      <c r="AQ233" s="211"/>
      <c r="AR233" s="211"/>
      <c r="AS233" s="211"/>
      <c r="AT233" s="211"/>
      <c r="AU233" s="211"/>
      <c r="AV233" s="211"/>
      <c r="AW233" s="211"/>
      <c r="AX233" s="211"/>
      <c r="AY233" s="211"/>
      <c r="AZ233" s="211"/>
    </row>
    <row r="234" spans="1:52" s="213" customFormat="1" x14ac:dyDescent="0.35">
      <c r="A234" s="211"/>
      <c r="B234" s="211"/>
      <c r="C234" s="211"/>
      <c r="D234" s="211"/>
      <c r="E234" s="211"/>
      <c r="F234" s="211"/>
      <c r="G234" s="211"/>
      <c r="H234" s="211"/>
      <c r="I234" s="212"/>
      <c r="J234" s="212"/>
      <c r="K234" s="212"/>
      <c r="L234" s="212"/>
      <c r="M234" s="212"/>
      <c r="N234" s="212"/>
      <c r="O234" s="212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  <c r="Z234" s="211"/>
      <c r="AD234" s="211"/>
      <c r="AE234" s="211"/>
      <c r="AF234" s="211"/>
      <c r="AG234" s="211"/>
      <c r="AH234" s="211"/>
      <c r="AI234" s="211"/>
      <c r="AJ234" s="211"/>
      <c r="AK234" s="211"/>
      <c r="AL234" s="211"/>
      <c r="AM234" s="211"/>
      <c r="AN234" s="211"/>
      <c r="AO234" s="211"/>
      <c r="AP234" s="211"/>
      <c r="AQ234" s="211"/>
      <c r="AR234" s="211"/>
      <c r="AS234" s="211"/>
      <c r="AT234" s="211"/>
      <c r="AU234" s="211"/>
      <c r="AV234" s="211"/>
      <c r="AW234" s="211"/>
      <c r="AX234" s="211"/>
      <c r="AY234" s="211"/>
      <c r="AZ234" s="211"/>
    </row>
    <row r="235" spans="1:52" s="213" customFormat="1" x14ac:dyDescent="0.35">
      <c r="A235" s="211"/>
      <c r="B235" s="211"/>
      <c r="C235" s="211"/>
      <c r="D235" s="211"/>
      <c r="E235" s="211"/>
      <c r="F235" s="211"/>
      <c r="G235" s="211"/>
      <c r="H235" s="211"/>
      <c r="I235" s="212"/>
      <c r="J235" s="212"/>
      <c r="K235" s="212"/>
      <c r="L235" s="212"/>
      <c r="M235" s="212"/>
      <c r="N235" s="212"/>
      <c r="O235" s="212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  <c r="Z235" s="211"/>
      <c r="AD235" s="211"/>
      <c r="AE235" s="211"/>
      <c r="AF235" s="211"/>
      <c r="AG235" s="211"/>
      <c r="AH235" s="211"/>
      <c r="AI235" s="211"/>
      <c r="AJ235" s="211"/>
      <c r="AK235" s="211"/>
      <c r="AL235" s="211"/>
      <c r="AM235" s="211"/>
      <c r="AN235" s="211"/>
      <c r="AO235" s="211"/>
      <c r="AP235" s="211"/>
      <c r="AQ235" s="211"/>
      <c r="AR235" s="211"/>
      <c r="AS235" s="211"/>
      <c r="AT235" s="211"/>
      <c r="AU235" s="211"/>
      <c r="AV235" s="211"/>
      <c r="AW235" s="211"/>
      <c r="AX235" s="211"/>
      <c r="AY235" s="211"/>
      <c r="AZ235" s="211"/>
    </row>
    <row r="236" spans="1:52" s="213" customFormat="1" x14ac:dyDescent="0.35">
      <c r="A236" s="211"/>
      <c r="B236" s="211"/>
      <c r="C236" s="211"/>
      <c r="D236" s="211"/>
      <c r="E236" s="211"/>
      <c r="F236" s="211"/>
      <c r="G236" s="211"/>
      <c r="H236" s="211"/>
      <c r="I236" s="212"/>
      <c r="J236" s="212"/>
      <c r="K236" s="212"/>
      <c r="L236" s="212"/>
      <c r="M236" s="212"/>
      <c r="N236" s="212"/>
      <c r="O236" s="212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  <c r="Z236" s="211"/>
      <c r="AD236" s="211"/>
      <c r="AE236" s="211"/>
      <c r="AF236" s="211"/>
      <c r="AG236" s="211"/>
      <c r="AH236" s="211"/>
      <c r="AI236" s="211"/>
      <c r="AJ236" s="211"/>
      <c r="AK236" s="211"/>
      <c r="AL236" s="211"/>
      <c r="AM236" s="211"/>
      <c r="AN236" s="211"/>
      <c r="AO236" s="211"/>
      <c r="AP236" s="211"/>
      <c r="AQ236" s="211"/>
      <c r="AR236" s="211"/>
      <c r="AS236" s="211"/>
      <c r="AT236" s="211"/>
      <c r="AU236" s="211"/>
      <c r="AV236" s="211"/>
      <c r="AW236" s="211"/>
      <c r="AX236" s="211"/>
      <c r="AY236" s="211"/>
      <c r="AZ236" s="211"/>
    </row>
    <row r="237" spans="1:52" s="213" customFormat="1" x14ac:dyDescent="0.35">
      <c r="A237" s="211"/>
      <c r="B237" s="211"/>
      <c r="C237" s="211"/>
      <c r="D237" s="211"/>
      <c r="E237" s="211"/>
      <c r="F237" s="211"/>
      <c r="G237" s="211"/>
      <c r="H237" s="211"/>
      <c r="I237" s="212"/>
      <c r="J237" s="212"/>
      <c r="K237" s="212"/>
      <c r="L237" s="212"/>
      <c r="M237" s="212"/>
      <c r="N237" s="212"/>
      <c r="O237" s="212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  <c r="Z237" s="211"/>
      <c r="AD237" s="211"/>
      <c r="AE237" s="211"/>
      <c r="AF237" s="211"/>
      <c r="AG237" s="211"/>
      <c r="AH237" s="211"/>
      <c r="AI237" s="211"/>
      <c r="AJ237" s="211"/>
      <c r="AK237" s="211"/>
      <c r="AL237" s="211"/>
      <c r="AM237" s="211"/>
      <c r="AN237" s="211"/>
      <c r="AO237" s="211"/>
      <c r="AP237" s="211"/>
      <c r="AQ237" s="211"/>
      <c r="AR237" s="211"/>
      <c r="AS237" s="211"/>
      <c r="AT237" s="211"/>
      <c r="AU237" s="211"/>
      <c r="AV237" s="211"/>
      <c r="AW237" s="211"/>
      <c r="AX237" s="211"/>
      <c r="AY237" s="211"/>
      <c r="AZ237" s="211"/>
    </row>
    <row r="238" spans="1:52" s="213" customFormat="1" x14ac:dyDescent="0.35">
      <c r="A238" s="211"/>
      <c r="B238" s="211"/>
      <c r="C238" s="211"/>
      <c r="D238" s="211"/>
      <c r="E238" s="211"/>
      <c r="F238" s="211"/>
      <c r="G238" s="211"/>
      <c r="H238" s="211"/>
      <c r="I238" s="212"/>
      <c r="J238" s="212"/>
      <c r="K238" s="212"/>
      <c r="L238" s="212"/>
      <c r="M238" s="212"/>
      <c r="N238" s="212"/>
      <c r="O238" s="212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  <c r="Z238" s="211"/>
      <c r="AD238" s="211"/>
      <c r="AE238" s="211"/>
      <c r="AF238" s="211"/>
      <c r="AG238" s="211"/>
      <c r="AH238" s="211"/>
      <c r="AI238" s="211"/>
      <c r="AJ238" s="211"/>
      <c r="AK238" s="211"/>
      <c r="AL238" s="211"/>
      <c r="AM238" s="211"/>
      <c r="AN238" s="211"/>
      <c r="AO238" s="211"/>
      <c r="AP238" s="211"/>
      <c r="AQ238" s="211"/>
      <c r="AR238" s="211"/>
      <c r="AS238" s="211"/>
      <c r="AT238" s="211"/>
      <c r="AU238" s="211"/>
      <c r="AV238" s="211"/>
      <c r="AW238" s="211"/>
      <c r="AX238" s="211"/>
      <c r="AY238" s="211"/>
      <c r="AZ238" s="211"/>
    </row>
    <row r="239" spans="1:52" s="213" customFormat="1" x14ac:dyDescent="0.35">
      <c r="A239" s="211"/>
      <c r="B239" s="211"/>
      <c r="C239" s="211"/>
      <c r="D239" s="211"/>
      <c r="E239" s="211"/>
      <c r="F239" s="211"/>
      <c r="G239" s="211"/>
      <c r="H239" s="211"/>
      <c r="I239" s="212"/>
      <c r="J239" s="212"/>
      <c r="K239" s="212"/>
      <c r="L239" s="212"/>
      <c r="M239" s="212"/>
      <c r="N239" s="212"/>
      <c r="O239" s="212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  <c r="Z239" s="211"/>
      <c r="AD239" s="211"/>
      <c r="AE239" s="211"/>
      <c r="AF239" s="211"/>
      <c r="AG239" s="211"/>
      <c r="AH239" s="211"/>
      <c r="AI239" s="211"/>
      <c r="AJ239" s="211"/>
      <c r="AK239" s="211"/>
      <c r="AL239" s="211"/>
      <c r="AM239" s="211"/>
      <c r="AN239" s="211"/>
      <c r="AO239" s="211"/>
      <c r="AP239" s="211"/>
      <c r="AQ239" s="211"/>
      <c r="AR239" s="211"/>
      <c r="AS239" s="211"/>
      <c r="AT239" s="211"/>
      <c r="AU239" s="211"/>
      <c r="AV239" s="211"/>
      <c r="AW239" s="211"/>
      <c r="AX239" s="211"/>
      <c r="AY239" s="211"/>
      <c r="AZ239" s="211"/>
    </row>
    <row r="240" spans="1:52" s="213" customFormat="1" x14ac:dyDescent="0.35">
      <c r="A240" s="211"/>
      <c r="B240" s="211"/>
      <c r="C240" s="211"/>
      <c r="D240" s="211"/>
      <c r="E240" s="211"/>
      <c r="F240" s="211"/>
      <c r="G240" s="211"/>
      <c r="H240" s="211"/>
      <c r="I240" s="212"/>
      <c r="J240" s="212"/>
      <c r="K240" s="212"/>
      <c r="L240" s="212"/>
      <c r="M240" s="212"/>
      <c r="N240" s="212"/>
      <c r="O240" s="212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  <c r="Z240" s="211"/>
      <c r="AD240" s="211"/>
      <c r="AE240" s="211"/>
      <c r="AF240" s="211"/>
      <c r="AG240" s="211"/>
      <c r="AH240" s="211"/>
      <c r="AI240" s="211"/>
      <c r="AJ240" s="211"/>
      <c r="AK240" s="211"/>
      <c r="AL240" s="211"/>
      <c r="AM240" s="211"/>
      <c r="AN240" s="211"/>
      <c r="AO240" s="211"/>
      <c r="AP240" s="211"/>
      <c r="AQ240" s="211"/>
      <c r="AR240" s="211"/>
      <c r="AS240" s="211"/>
      <c r="AT240" s="211"/>
      <c r="AU240" s="211"/>
      <c r="AV240" s="211"/>
      <c r="AW240" s="211"/>
      <c r="AX240" s="211"/>
      <c r="AY240" s="211"/>
      <c r="AZ240" s="211"/>
    </row>
    <row r="241" spans="1:52" s="213" customFormat="1" x14ac:dyDescent="0.35">
      <c r="A241" s="211"/>
      <c r="B241" s="211"/>
      <c r="C241" s="211"/>
      <c r="D241" s="211"/>
      <c r="E241" s="211"/>
      <c r="F241" s="211"/>
      <c r="G241" s="211"/>
      <c r="H241" s="211"/>
      <c r="I241" s="212"/>
      <c r="J241" s="212"/>
      <c r="K241" s="212"/>
      <c r="L241" s="212"/>
      <c r="M241" s="212"/>
      <c r="N241" s="212"/>
      <c r="O241" s="212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  <c r="Z241" s="211"/>
      <c r="AD241" s="211"/>
      <c r="AE241" s="211"/>
      <c r="AF241" s="211"/>
      <c r="AG241" s="211"/>
      <c r="AH241" s="211"/>
      <c r="AI241" s="211"/>
      <c r="AJ241" s="211"/>
      <c r="AK241" s="211"/>
      <c r="AL241" s="211"/>
      <c r="AM241" s="211"/>
      <c r="AN241" s="211"/>
      <c r="AO241" s="211"/>
      <c r="AP241" s="211"/>
      <c r="AQ241" s="211"/>
      <c r="AR241" s="211"/>
      <c r="AS241" s="211"/>
      <c r="AT241" s="211"/>
      <c r="AU241" s="211"/>
      <c r="AV241" s="211"/>
      <c r="AW241" s="211"/>
      <c r="AX241" s="211"/>
      <c r="AY241" s="211"/>
      <c r="AZ241" s="211"/>
    </row>
    <row r="242" spans="1:52" s="213" customFormat="1" x14ac:dyDescent="0.35">
      <c r="A242" s="211"/>
      <c r="B242" s="211"/>
      <c r="C242" s="211"/>
      <c r="D242" s="211"/>
      <c r="E242" s="211"/>
      <c r="F242" s="211"/>
      <c r="G242" s="211"/>
      <c r="H242" s="211"/>
      <c r="I242" s="212"/>
      <c r="J242" s="212"/>
      <c r="K242" s="212"/>
      <c r="L242" s="212"/>
      <c r="M242" s="212"/>
      <c r="N242" s="212"/>
      <c r="O242" s="212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  <c r="Z242" s="211"/>
      <c r="AD242" s="211"/>
      <c r="AE242" s="211"/>
      <c r="AF242" s="211"/>
      <c r="AG242" s="211"/>
      <c r="AH242" s="211"/>
      <c r="AI242" s="211"/>
      <c r="AJ242" s="211"/>
      <c r="AK242" s="211"/>
      <c r="AL242" s="211"/>
      <c r="AM242" s="211"/>
      <c r="AN242" s="211"/>
      <c r="AO242" s="211"/>
      <c r="AP242" s="211"/>
      <c r="AQ242" s="211"/>
      <c r="AR242" s="211"/>
      <c r="AS242" s="211"/>
      <c r="AT242" s="211"/>
      <c r="AU242" s="211"/>
      <c r="AV242" s="211"/>
      <c r="AW242" s="211"/>
      <c r="AX242" s="211"/>
      <c r="AY242" s="211"/>
      <c r="AZ242" s="211"/>
    </row>
    <row r="243" spans="1:52" s="213" customFormat="1" x14ac:dyDescent="0.35">
      <c r="A243" s="211"/>
      <c r="B243" s="211"/>
      <c r="C243" s="211"/>
      <c r="D243" s="211"/>
      <c r="E243" s="211"/>
      <c r="F243" s="211"/>
      <c r="G243" s="211"/>
      <c r="H243" s="211"/>
      <c r="I243" s="212"/>
      <c r="J243" s="212"/>
      <c r="K243" s="212"/>
      <c r="L243" s="212"/>
      <c r="M243" s="212"/>
      <c r="N243" s="212"/>
      <c r="O243" s="212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  <c r="Z243" s="211"/>
      <c r="AD243" s="211"/>
      <c r="AE243" s="211"/>
      <c r="AF243" s="211"/>
      <c r="AG243" s="211"/>
      <c r="AH243" s="211"/>
      <c r="AI243" s="211"/>
      <c r="AJ243" s="211"/>
      <c r="AK243" s="211"/>
      <c r="AL243" s="211"/>
      <c r="AM243" s="211"/>
      <c r="AN243" s="211"/>
      <c r="AO243" s="211"/>
      <c r="AP243" s="211"/>
      <c r="AQ243" s="211"/>
      <c r="AR243" s="211"/>
      <c r="AS243" s="211"/>
      <c r="AT243" s="211"/>
      <c r="AU243" s="211"/>
      <c r="AV243" s="211"/>
      <c r="AW243" s="211"/>
      <c r="AX243" s="211"/>
      <c r="AY243" s="211"/>
      <c r="AZ243" s="211"/>
    </row>
    <row r="244" spans="1:52" s="213" customFormat="1" x14ac:dyDescent="0.35">
      <c r="A244" s="211"/>
      <c r="B244" s="211"/>
      <c r="C244" s="211"/>
      <c r="D244" s="211"/>
      <c r="E244" s="211"/>
      <c r="F244" s="211"/>
      <c r="G244" s="211"/>
      <c r="H244" s="211"/>
      <c r="I244" s="212"/>
      <c r="J244" s="212"/>
      <c r="K244" s="212"/>
      <c r="L244" s="212"/>
      <c r="M244" s="212"/>
      <c r="N244" s="212"/>
      <c r="O244" s="212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  <c r="Z244" s="211"/>
      <c r="AD244" s="211"/>
      <c r="AE244" s="211"/>
      <c r="AF244" s="211"/>
      <c r="AG244" s="211"/>
      <c r="AH244" s="211"/>
      <c r="AI244" s="211"/>
      <c r="AJ244" s="211"/>
      <c r="AK244" s="211"/>
      <c r="AL244" s="211"/>
      <c r="AM244" s="211"/>
      <c r="AN244" s="211"/>
      <c r="AO244" s="211"/>
      <c r="AP244" s="211"/>
      <c r="AQ244" s="211"/>
      <c r="AR244" s="211"/>
      <c r="AS244" s="211"/>
      <c r="AT244" s="211"/>
      <c r="AU244" s="211"/>
      <c r="AV244" s="211"/>
      <c r="AW244" s="211"/>
      <c r="AX244" s="211"/>
      <c r="AY244" s="211"/>
      <c r="AZ244" s="211"/>
    </row>
    <row r="245" spans="1:52" s="213" customFormat="1" x14ac:dyDescent="0.35">
      <c r="A245" s="211"/>
      <c r="B245" s="211"/>
      <c r="C245" s="211"/>
      <c r="D245" s="211"/>
      <c r="E245" s="211"/>
      <c r="F245" s="211"/>
      <c r="G245" s="211"/>
      <c r="H245" s="211"/>
      <c r="I245" s="212"/>
      <c r="J245" s="212"/>
      <c r="K245" s="212"/>
      <c r="L245" s="212"/>
      <c r="M245" s="212"/>
      <c r="N245" s="212"/>
      <c r="O245" s="212"/>
      <c r="P245" s="211"/>
      <c r="Q245" s="211"/>
      <c r="R245" s="211"/>
      <c r="S245" s="211"/>
      <c r="T245" s="211"/>
      <c r="U245" s="211"/>
      <c r="V245" s="211"/>
      <c r="W245" s="211"/>
      <c r="X245" s="211"/>
      <c r="Y245" s="211"/>
      <c r="Z245" s="211"/>
      <c r="AD245" s="211"/>
      <c r="AE245" s="211"/>
      <c r="AF245" s="211"/>
      <c r="AG245" s="211"/>
      <c r="AH245" s="211"/>
      <c r="AI245" s="211"/>
      <c r="AJ245" s="211"/>
      <c r="AK245" s="211"/>
      <c r="AL245" s="211"/>
      <c r="AM245" s="211"/>
      <c r="AN245" s="211"/>
      <c r="AO245" s="211"/>
      <c r="AP245" s="211"/>
      <c r="AQ245" s="211"/>
      <c r="AR245" s="211"/>
      <c r="AS245" s="211"/>
      <c r="AT245" s="211"/>
      <c r="AU245" s="211"/>
      <c r="AV245" s="211"/>
      <c r="AW245" s="211"/>
      <c r="AX245" s="211"/>
      <c r="AY245" s="211"/>
      <c r="AZ245" s="211"/>
    </row>
    <row r="246" spans="1:52" s="213" customFormat="1" x14ac:dyDescent="0.35">
      <c r="A246" s="211"/>
      <c r="B246" s="211"/>
      <c r="C246" s="211"/>
      <c r="D246" s="211"/>
      <c r="E246" s="211"/>
      <c r="F246" s="211"/>
      <c r="G246" s="211"/>
      <c r="H246" s="211"/>
      <c r="I246" s="212"/>
      <c r="J246" s="212"/>
      <c r="K246" s="212"/>
      <c r="L246" s="212"/>
      <c r="M246" s="212"/>
      <c r="N246" s="212"/>
      <c r="O246" s="212"/>
      <c r="P246" s="211"/>
      <c r="Q246" s="211"/>
      <c r="R246" s="211"/>
      <c r="S246" s="211"/>
      <c r="T246" s="211"/>
      <c r="U246" s="211"/>
      <c r="V246" s="211"/>
      <c r="W246" s="211"/>
      <c r="X246" s="211"/>
      <c r="Y246" s="211"/>
      <c r="Z246" s="211"/>
      <c r="AD246" s="211"/>
      <c r="AE246" s="211"/>
      <c r="AF246" s="211"/>
      <c r="AG246" s="211"/>
      <c r="AH246" s="211"/>
      <c r="AI246" s="211"/>
      <c r="AJ246" s="211"/>
      <c r="AK246" s="211"/>
      <c r="AL246" s="211"/>
      <c r="AM246" s="211"/>
      <c r="AN246" s="211"/>
      <c r="AO246" s="211"/>
      <c r="AP246" s="211"/>
      <c r="AQ246" s="211"/>
      <c r="AR246" s="211"/>
      <c r="AS246" s="211"/>
      <c r="AT246" s="211"/>
      <c r="AU246" s="211"/>
      <c r="AV246" s="211"/>
      <c r="AW246" s="211"/>
      <c r="AX246" s="211"/>
      <c r="AY246" s="211"/>
      <c r="AZ246" s="211"/>
    </row>
    <row r="247" spans="1:52" s="213" customFormat="1" x14ac:dyDescent="0.35">
      <c r="A247" s="211"/>
      <c r="B247" s="211"/>
      <c r="C247" s="211"/>
      <c r="D247" s="211"/>
      <c r="E247" s="211"/>
      <c r="F247" s="211"/>
      <c r="G247" s="211"/>
      <c r="H247" s="211"/>
      <c r="I247" s="212"/>
      <c r="J247" s="212"/>
      <c r="K247" s="212"/>
      <c r="L247" s="212"/>
      <c r="M247" s="212"/>
      <c r="N247" s="212"/>
      <c r="O247" s="212"/>
      <c r="P247" s="211"/>
      <c r="Q247" s="211"/>
      <c r="R247" s="211"/>
      <c r="S247" s="211"/>
      <c r="T247" s="211"/>
      <c r="U247" s="211"/>
      <c r="V247" s="211"/>
      <c r="W247" s="211"/>
      <c r="X247" s="211"/>
      <c r="Y247" s="211"/>
      <c r="Z247" s="211"/>
      <c r="AD247" s="211"/>
      <c r="AE247" s="211"/>
      <c r="AF247" s="211"/>
      <c r="AG247" s="211"/>
      <c r="AH247" s="211"/>
      <c r="AI247" s="211"/>
      <c r="AJ247" s="211"/>
      <c r="AK247" s="211"/>
      <c r="AL247" s="211"/>
      <c r="AM247" s="211"/>
      <c r="AN247" s="211"/>
      <c r="AO247" s="211"/>
      <c r="AP247" s="211"/>
      <c r="AQ247" s="211"/>
      <c r="AR247" s="211"/>
      <c r="AS247" s="211"/>
      <c r="AT247" s="211"/>
      <c r="AU247" s="211"/>
      <c r="AV247" s="211"/>
      <c r="AW247" s="211"/>
      <c r="AX247" s="211"/>
      <c r="AY247" s="211"/>
      <c r="AZ247" s="211"/>
    </row>
    <row r="248" spans="1:52" s="213" customFormat="1" x14ac:dyDescent="0.35">
      <c r="A248" s="211"/>
      <c r="B248" s="211"/>
      <c r="C248" s="211"/>
      <c r="D248" s="211"/>
      <c r="E248" s="211"/>
      <c r="F248" s="211"/>
      <c r="G248" s="211"/>
      <c r="H248" s="211"/>
      <c r="I248" s="212"/>
      <c r="J248" s="212"/>
      <c r="K248" s="212"/>
      <c r="L248" s="212"/>
      <c r="M248" s="212"/>
      <c r="N248" s="212"/>
      <c r="O248" s="212"/>
      <c r="P248" s="211"/>
      <c r="Q248" s="211"/>
      <c r="R248" s="211"/>
      <c r="S248" s="211"/>
      <c r="T248" s="211"/>
      <c r="U248" s="211"/>
      <c r="V248" s="211"/>
      <c r="W248" s="211"/>
      <c r="X248" s="211"/>
      <c r="Y248" s="211"/>
      <c r="Z248" s="211"/>
      <c r="AD248" s="211"/>
      <c r="AE248" s="211"/>
      <c r="AF248" s="211"/>
      <c r="AG248" s="211"/>
      <c r="AH248" s="211"/>
      <c r="AI248" s="211"/>
      <c r="AJ248" s="211"/>
      <c r="AK248" s="211"/>
      <c r="AL248" s="211"/>
      <c r="AM248" s="211"/>
      <c r="AN248" s="211"/>
      <c r="AO248" s="211"/>
      <c r="AP248" s="211"/>
      <c r="AQ248" s="211"/>
      <c r="AR248" s="211"/>
      <c r="AS248" s="211"/>
      <c r="AT248" s="211"/>
      <c r="AU248" s="211"/>
      <c r="AV248" s="211"/>
      <c r="AW248" s="211"/>
      <c r="AX248" s="211"/>
      <c r="AY248" s="211"/>
      <c r="AZ248" s="211"/>
    </row>
    <row r="249" spans="1:52" s="213" customFormat="1" x14ac:dyDescent="0.35">
      <c r="A249" s="211"/>
      <c r="B249" s="211"/>
      <c r="C249" s="211"/>
      <c r="D249" s="211"/>
      <c r="E249" s="211"/>
      <c r="F249" s="211"/>
      <c r="G249" s="211"/>
      <c r="H249" s="211"/>
      <c r="I249" s="212"/>
      <c r="J249" s="212"/>
      <c r="K249" s="212"/>
      <c r="L249" s="212"/>
      <c r="M249" s="212"/>
      <c r="N249" s="212"/>
      <c r="O249" s="212"/>
      <c r="P249" s="211"/>
      <c r="Q249" s="211"/>
      <c r="R249" s="211"/>
      <c r="S249" s="211"/>
      <c r="T249" s="211"/>
      <c r="U249" s="211"/>
      <c r="V249" s="211"/>
      <c r="W249" s="211"/>
      <c r="X249" s="211"/>
      <c r="Y249" s="211"/>
      <c r="Z249" s="211"/>
      <c r="AD249" s="211"/>
      <c r="AE249" s="211"/>
      <c r="AF249" s="211"/>
      <c r="AG249" s="211"/>
      <c r="AH249" s="211"/>
      <c r="AI249" s="211"/>
      <c r="AJ249" s="211"/>
      <c r="AK249" s="211"/>
      <c r="AL249" s="211"/>
      <c r="AM249" s="211"/>
      <c r="AN249" s="211"/>
      <c r="AO249" s="211"/>
      <c r="AP249" s="211"/>
      <c r="AQ249" s="211"/>
      <c r="AR249" s="211"/>
      <c r="AS249" s="211"/>
      <c r="AT249" s="211"/>
      <c r="AU249" s="211"/>
      <c r="AV249" s="211"/>
      <c r="AW249" s="211"/>
      <c r="AX249" s="211"/>
      <c r="AY249" s="211"/>
      <c r="AZ249" s="211"/>
    </row>
    <row r="250" spans="1:52" s="213" customFormat="1" x14ac:dyDescent="0.35">
      <c r="A250" s="211"/>
      <c r="B250" s="211"/>
      <c r="C250" s="211"/>
      <c r="D250" s="211"/>
      <c r="E250" s="211"/>
      <c r="F250" s="211"/>
      <c r="G250" s="211"/>
      <c r="H250" s="211"/>
      <c r="I250" s="212"/>
      <c r="J250" s="212"/>
      <c r="K250" s="212"/>
      <c r="L250" s="212"/>
      <c r="M250" s="212"/>
      <c r="N250" s="212"/>
      <c r="O250" s="212"/>
      <c r="P250" s="211"/>
      <c r="Q250" s="211"/>
      <c r="R250" s="211"/>
      <c r="S250" s="211"/>
      <c r="T250" s="211"/>
      <c r="U250" s="211"/>
      <c r="V250" s="211"/>
      <c r="W250" s="211"/>
      <c r="X250" s="211"/>
      <c r="Y250" s="211"/>
      <c r="Z250" s="211"/>
      <c r="AD250" s="211"/>
      <c r="AE250" s="211"/>
      <c r="AF250" s="211"/>
      <c r="AG250" s="211"/>
      <c r="AH250" s="211"/>
      <c r="AI250" s="211"/>
      <c r="AJ250" s="211"/>
      <c r="AK250" s="211"/>
      <c r="AL250" s="211"/>
      <c r="AM250" s="211"/>
      <c r="AN250" s="211"/>
      <c r="AO250" s="211"/>
      <c r="AP250" s="211"/>
      <c r="AQ250" s="211"/>
      <c r="AR250" s="211"/>
      <c r="AS250" s="211"/>
      <c r="AT250" s="211"/>
      <c r="AU250" s="211"/>
      <c r="AV250" s="211"/>
      <c r="AW250" s="211"/>
      <c r="AX250" s="211"/>
      <c r="AY250" s="211"/>
      <c r="AZ250" s="211"/>
    </row>
    <row r="251" spans="1:52" s="213" customFormat="1" x14ac:dyDescent="0.35">
      <c r="A251" s="211"/>
      <c r="B251" s="211"/>
      <c r="C251" s="211"/>
      <c r="D251" s="211"/>
      <c r="E251" s="211"/>
      <c r="F251" s="211"/>
      <c r="G251" s="211"/>
      <c r="H251" s="211"/>
      <c r="I251" s="212"/>
      <c r="J251" s="212"/>
      <c r="K251" s="212"/>
      <c r="L251" s="212"/>
      <c r="M251" s="212"/>
      <c r="N251" s="212"/>
      <c r="O251" s="212"/>
      <c r="P251" s="211"/>
      <c r="Q251" s="211"/>
      <c r="R251" s="211"/>
      <c r="S251" s="211"/>
      <c r="T251" s="211"/>
      <c r="U251" s="211"/>
      <c r="V251" s="211"/>
      <c r="W251" s="211"/>
      <c r="X251" s="211"/>
      <c r="Y251" s="211"/>
      <c r="Z251" s="211"/>
      <c r="AD251" s="211"/>
      <c r="AE251" s="211"/>
      <c r="AF251" s="211"/>
      <c r="AG251" s="211"/>
      <c r="AH251" s="211"/>
      <c r="AI251" s="211"/>
      <c r="AJ251" s="211"/>
      <c r="AK251" s="211"/>
      <c r="AL251" s="211"/>
      <c r="AM251" s="211"/>
      <c r="AN251" s="211"/>
      <c r="AO251" s="211"/>
      <c r="AP251" s="211"/>
      <c r="AQ251" s="211"/>
      <c r="AR251" s="211"/>
      <c r="AS251" s="211"/>
      <c r="AT251" s="211"/>
      <c r="AU251" s="211"/>
      <c r="AV251" s="211"/>
      <c r="AW251" s="211"/>
      <c r="AX251" s="211"/>
      <c r="AY251" s="211"/>
      <c r="AZ251" s="211"/>
    </row>
    <row r="252" spans="1:52" s="213" customFormat="1" x14ac:dyDescent="0.35">
      <c r="A252" s="211"/>
      <c r="B252" s="211"/>
      <c r="C252" s="211"/>
      <c r="D252" s="211"/>
      <c r="E252" s="211"/>
      <c r="F252" s="211"/>
      <c r="G252" s="211"/>
      <c r="H252" s="211"/>
      <c r="I252" s="212"/>
      <c r="J252" s="212"/>
      <c r="K252" s="212"/>
      <c r="L252" s="212"/>
      <c r="M252" s="212"/>
      <c r="N252" s="212"/>
      <c r="O252" s="212"/>
      <c r="P252" s="211"/>
      <c r="Q252" s="211"/>
      <c r="R252" s="211"/>
      <c r="S252" s="211"/>
      <c r="T252" s="211"/>
      <c r="U252" s="211"/>
      <c r="V252" s="211"/>
      <c r="W252" s="211"/>
      <c r="X252" s="211"/>
      <c r="Y252" s="211"/>
      <c r="Z252" s="211"/>
      <c r="AD252" s="211"/>
      <c r="AE252" s="211"/>
      <c r="AF252" s="211"/>
      <c r="AG252" s="211"/>
      <c r="AH252" s="211"/>
      <c r="AI252" s="211"/>
      <c r="AJ252" s="211"/>
      <c r="AK252" s="211"/>
      <c r="AL252" s="211"/>
      <c r="AM252" s="211"/>
      <c r="AN252" s="211"/>
      <c r="AO252" s="211"/>
      <c r="AP252" s="211"/>
      <c r="AQ252" s="211"/>
      <c r="AR252" s="211"/>
      <c r="AS252" s="211"/>
      <c r="AT252" s="211"/>
      <c r="AU252" s="211"/>
      <c r="AV252" s="211"/>
      <c r="AW252" s="211"/>
      <c r="AX252" s="211"/>
      <c r="AY252" s="211"/>
      <c r="AZ252" s="211"/>
    </row>
    <row r="253" spans="1:52" s="213" customFormat="1" x14ac:dyDescent="0.35">
      <c r="A253" s="211"/>
      <c r="B253" s="211"/>
      <c r="C253" s="211"/>
      <c r="D253" s="211"/>
      <c r="E253" s="211"/>
      <c r="F253" s="211"/>
      <c r="G253" s="211"/>
      <c r="H253" s="211"/>
      <c r="I253" s="212"/>
      <c r="J253" s="212"/>
      <c r="K253" s="212"/>
      <c r="L253" s="212"/>
      <c r="M253" s="212"/>
      <c r="N253" s="212"/>
      <c r="O253" s="212"/>
      <c r="P253" s="211"/>
      <c r="Q253" s="211"/>
      <c r="R253" s="211"/>
      <c r="S253" s="211"/>
      <c r="T253" s="211"/>
      <c r="U253" s="211"/>
      <c r="V253" s="211"/>
      <c r="W253" s="211"/>
      <c r="X253" s="211"/>
      <c r="Y253" s="211"/>
      <c r="Z253" s="211"/>
      <c r="AD253" s="211"/>
      <c r="AE253" s="211"/>
      <c r="AF253" s="211"/>
      <c r="AG253" s="211"/>
      <c r="AH253" s="211"/>
      <c r="AI253" s="211"/>
      <c r="AJ253" s="211"/>
      <c r="AK253" s="211"/>
      <c r="AL253" s="211"/>
      <c r="AM253" s="211"/>
      <c r="AN253" s="211"/>
      <c r="AO253" s="211"/>
      <c r="AP253" s="211"/>
      <c r="AQ253" s="211"/>
      <c r="AR253" s="211"/>
      <c r="AS253" s="211"/>
      <c r="AT253" s="211"/>
      <c r="AU253" s="211"/>
      <c r="AV253" s="211"/>
      <c r="AW253" s="211"/>
      <c r="AX253" s="211"/>
      <c r="AY253" s="211"/>
      <c r="AZ253" s="211"/>
    </row>
    <row r="254" spans="1:52" s="213" customFormat="1" x14ac:dyDescent="0.35">
      <c r="A254" s="211"/>
      <c r="B254" s="211"/>
      <c r="C254" s="211"/>
      <c r="D254" s="211"/>
      <c r="E254" s="211"/>
      <c r="F254" s="211"/>
      <c r="G254" s="211"/>
      <c r="H254" s="211"/>
      <c r="I254" s="212"/>
      <c r="J254" s="212"/>
      <c r="K254" s="212"/>
      <c r="L254" s="212"/>
      <c r="M254" s="212"/>
      <c r="N254" s="212"/>
      <c r="O254" s="212"/>
      <c r="P254" s="211"/>
      <c r="Q254" s="211"/>
      <c r="R254" s="211"/>
      <c r="S254" s="211"/>
      <c r="T254" s="211"/>
      <c r="U254" s="211"/>
      <c r="V254" s="211"/>
      <c r="W254" s="211"/>
      <c r="X254" s="211"/>
      <c r="Y254" s="211"/>
      <c r="Z254" s="211"/>
      <c r="AD254" s="211"/>
      <c r="AE254" s="211"/>
      <c r="AF254" s="211"/>
      <c r="AG254" s="211"/>
      <c r="AH254" s="211"/>
      <c r="AI254" s="211"/>
      <c r="AJ254" s="211"/>
      <c r="AK254" s="211"/>
      <c r="AL254" s="211"/>
      <c r="AM254" s="211"/>
      <c r="AN254" s="211"/>
      <c r="AO254" s="211"/>
      <c r="AP254" s="211"/>
      <c r="AQ254" s="211"/>
      <c r="AR254" s="211"/>
      <c r="AS254" s="211"/>
      <c r="AT254" s="211"/>
      <c r="AU254" s="211"/>
      <c r="AV254" s="211"/>
      <c r="AW254" s="211"/>
      <c r="AX254" s="211"/>
      <c r="AY254" s="211"/>
      <c r="AZ254" s="211"/>
    </row>
    <row r="255" spans="1:52" s="213" customFormat="1" x14ac:dyDescent="0.35">
      <c r="A255" s="211"/>
      <c r="B255" s="211"/>
      <c r="C255" s="211"/>
      <c r="D255" s="211"/>
      <c r="E255" s="211"/>
      <c r="F255" s="211"/>
      <c r="G255" s="211"/>
      <c r="H255" s="211"/>
      <c r="I255" s="212"/>
      <c r="J255" s="212"/>
      <c r="K255" s="212"/>
      <c r="L255" s="212"/>
      <c r="M255" s="212"/>
      <c r="N255" s="212"/>
      <c r="O255" s="212"/>
      <c r="P255" s="211"/>
      <c r="Q255" s="211"/>
      <c r="R255" s="211"/>
      <c r="S255" s="211"/>
      <c r="T255" s="211"/>
      <c r="U255" s="211"/>
      <c r="V255" s="211"/>
      <c r="W255" s="211"/>
      <c r="X255" s="211"/>
      <c r="Y255" s="211"/>
      <c r="Z255" s="211"/>
      <c r="AD255" s="211"/>
      <c r="AE255" s="211"/>
      <c r="AF255" s="211"/>
      <c r="AG255" s="211"/>
      <c r="AH255" s="211"/>
      <c r="AI255" s="211"/>
      <c r="AJ255" s="211"/>
      <c r="AK255" s="211"/>
      <c r="AL255" s="211"/>
      <c r="AM255" s="211"/>
      <c r="AN255" s="211"/>
      <c r="AO255" s="211"/>
      <c r="AP255" s="211"/>
      <c r="AQ255" s="211"/>
      <c r="AR255" s="211"/>
      <c r="AS255" s="211"/>
      <c r="AT255" s="211"/>
      <c r="AU255" s="211"/>
      <c r="AV255" s="211"/>
      <c r="AW255" s="211"/>
      <c r="AX255" s="211"/>
      <c r="AY255" s="211"/>
      <c r="AZ255" s="211"/>
    </row>
    <row r="256" spans="1:52" s="213" customFormat="1" x14ac:dyDescent="0.35">
      <c r="A256" s="211"/>
      <c r="B256" s="211"/>
      <c r="C256" s="211"/>
      <c r="D256" s="211"/>
      <c r="E256" s="211"/>
      <c r="F256" s="211"/>
      <c r="G256" s="211"/>
      <c r="H256" s="211"/>
      <c r="I256" s="212"/>
      <c r="J256" s="212"/>
      <c r="K256" s="212"/>
      <c r="L256" s="212"/>
      <c r="M256" s="212"/>
      <c r="N256" s="212"/>
      <c r="O256" s="212"/>
      <c r="P256" s="211"/>
      <c r="Q256" s="211"/>
      <c r="R256" s="211"/>
      <c r="S256" s="211"/>
      <c r="T256" s="211"/>
      <c r="U256" s="211"/>
      <c r="V256" s="211"/>
      <c r="W256" s="211"/>
      <c r="X256" s="211"/>
      <c r="Y256" s="211"/>
      <c r="Z256" s="211"/>
      <c r="AD256" s="211"/>
      <c r="AE256" s="211"/>
      <c r="AF256" s="211"/>
      <c r="AG256" s="211"/>
      <c r="AH256" s="211"/>
      <c r="AI256" s="211"/>
      <c r="AJ256" s="211"/>
      <c r="AK256" s="211"/>
      <c r="AL256" s="211"/>
      <c r="AM256" s="211"/>
      <c r="AN256" s="211"/>
      <c r="AO256" s="211"/>
      <c r="AP256" s="211"/>
      <c r="AQ256" s="211"/>
      <c r="AR256" s="211"/>
      <c r="AS256" s="211"/>
      <c r="AT256" s="211"/>
      <c r="AU256" s="211"/>
      <c r="AV256" s="211"/>
      <c r="AW256" s="211"/>
      <c r="AX256" s="211"/>
      <c r="AY256" s="211"/>
      <c r="AZ256" s="211"/>
    </row>
    <row r="257" spans="1:52" s="213" customFormat="1" x14ac:dyDescent="0.35">
      <c r="A257" s="211"/>
      <c r="B257" s="211"/>
      <c r="C257" s="211"/>
      <c r="D257" s="211"/>
      <c r="E257" s="211"/>
      <c r="F257" s="211"/>
      <c r="G257" s="211"/>
      <c r="H257" s="211"/>
      <c r="I257" s="212"/>
      <c r="J257" s="212"/>
      <c r="K257" s="212"/>
      <c r="L257" s="212"/>
      <c r="M257" s="212"/>
      <c r="N257" s="212"/>
      <c r="O257" s="212"/>
      <c r="P257" s="211"/>
      <c r="Q257" s="211"/>
      <c r="R257" s="211"/>
      <c r="S257" s="211"/>
      <c r="T257" s="211"/>
      <c r="U257" s="211"/>
      <c r="V257" s="211"/>
      <c r="W257" s="211"/>
      <c r="X257" s="211"/>
      <c r="Y257" s="211"/>
      <c r="Z257" s="211"/>
      <c r="AD257" s="211"/>
      <c r="AE257" s="211"/>
      <c r="AF257" s="211"/>
      <c r="AG257" s="211"/>
      <c r="AH257" s="211"/>
      <c r="AI257" s="211"/>
      <c r="AJ257" s="211"/>
      <c r="AK257" s="211"/>
      <c r="AL257" s="211"/>
      <c r="AM257" s="211"/>
      <c r="AN257" s="211"/>
      <c r="AO257" s="211"/>
      <c r="AP257" s="211"/>
      <c r="AQ257" s="211"/>
      <c r="AR257" s="211"/>
      <c r="AS257" s="211"/>
      <c r="AT257" s="211"/>
      <c r="AU257" s="211"/>
      <c r="AV257" s="211"/>
      <c r="AW257" s="211"/>
      <c r="AX257" s="211"/>
      <c r="AY257" s="211"/>
      <c r="AZ257" s="211"/>
    </row>
    <row r="258" spans="1:52" s="213" customFormat="1" x14ac:dyDescent="0.35">
      <c r="A258" s="211"/>
      <c r="B258" s="211"/>
      <c r="C258" s="211"/>
      <c r="D258" s="211"/>
      <c r="E258" s="211"/>
      <c r="F258" s="211"/>
      <c r="G258" s="211"/>
      <c r="H258" s="211"/>
      <c r="I258" s="212"/>
      <c r="J258" s="212"/>
      <c r="K258" s="212"/>
      <c r="L258" s="212"/>
      <c r="M258" s="212"/>
      <c r="N258" s="212"/>
      <c r="O258" s="212"/>
      <c r="P258" s="211"/>
      <c r="Q258" s="211"/>
      <c r="R258" s="211"/>
      <c r="S258" s="211"/>
      <c r="T258" s="211"/>
      <c r="U258" s="211"/>
      <c r="V258" s="211"/>
      <c r="W258" s="211"/>
      <c r="X258" s="211"/>
      <c r="Y258" s="211"/>
      <c r="Z258" s="211"/>
      <c r="AD258" s="211"/>
      <c r="AE258" s="211"/>
      <c r="AF258" s="211"/>
      <c r="AG258" s="211"/>
      <c r="AH258" s="211"/>
      <c r="AI258" s="211"/>
      <c r="AJ258" s="211"/>
      <c r="AK258" s="211"/>
      <c r="AL258" s="211"/>
      <c r="AM258" s="211"/>
      <c r="AN258" s="211"/>
      <c r="AO258" s="211"/>
      <c r="AP258" s="211"/>
      <c r="AQ258" s="211"/>
      <c r="AR258" s="211"/>
      <c r="AS258" s="211"/>
      <c r="AT258" s="211"/>
      <c r="AU258" s="211"/>
      <c r="AV258" s="211"/>
      <c r="AW258" s="211"/>
      <c r="AX258" s="211"/>
      <c r="AY258" s="211"/>
      <c r="AZ258" s="211"/>
    </row>
    <row r="259" spans="1:52" s="213" customFormat="1" x14ac:dyDescent="0.35">
      <c r="A259" s="211"/>
      <c r="B259" s="211"/>
      <c r="C259" s="211"/>
      <c r="D259" s="211"/>
      <c r="E259" s="211"/>
      <c r="F259" s="211"/>
      <c r="G259" s="211"/>
      <c r="H259" s="211"/>
      <c r="I259" s="212"/>
      <c r="J259" s="212"/>
      <c r="K259" s="212"/>
      <c r="L259" s="212"/>
      <c r="M259" s="212"/>
      <c r="N259" s="212"/>
      <c r="O259" s="212"/>
      <c r="P259" s="211"/>
      <c r="Q259" s="211"/>
      <c r="R259" s="211"/>
      <c r="S259" s="211"/>
      <c r="T259" s="211"/>
      <c r="U259" s="211"/>
      <c r="V259" s="211"/>
      <c r="W259" s="211"/>
      <c r="X259" s="211"/>
      <c r="Y259" s="211"/>
      <c r="Z259" s="211"/>
      <c r="AD259" s="211"/>
      <c r="AE259" s="211"/>
      <c r="AF259" s="211"/>
      <c r="AG259" s="211"/>
      <c r="AH259" s="211"/>
      <c r="AI259" s="211"/>
      <c r="AJ259" s="211"/>
      <c r="AK259" s="211"/>
      <c r="AL259" s="211"/>
      <c r="AM259" s="211"/>
      <c r="AN259" s="211"/>
      <c r="AO259" s="211"/>
      <c r="AP259" s="211"/>
      <c r="AQ259" s="211"/>
      <c r="AR259" s="211"/>
      <c r="AS259" s="211"/>
      <c r="AT259" s="211"/>
      <c r="AU259" s="211"/>
      <c r="AV259" s="211"/>
      <c r="AW259" s="211"/>
      <c r="AX259" s="211"/>
      <c r="AY259" s="211"/>
      <c r="AZ259" s="211"/>
    </row>
    <row r="260" spans="1:52" s="213" customFormat="1" x14ac:dyDescent="0.35">
      <c r="A260" s="211"/>
      <c r="B260" s="211"/>
      <c r="C260" s="211"/>
      <c r="D260" s="211"/>
      <c r="E260" s="211"/>
      <c r="F260" s="211"/>
      <c r="G260" s="211"/>
      <c r="H260" s="211"/>
      <c r="I260" s="212"/>
      <c r="J260" s="212"/>
      <c r="K260" s="212"/>
      <c r="L260" s="212"/>
      <c r="M260" s="212"/>
      <c r="N260" s="212"/>
      <c r="O260" s="212"/>
      <c r="P260" s="211"/>
      <c r="Q260" s="211"/>
      <c r="R260" s="211"/>
      <c r="S260" s="211"/>
      <c r="T260" s="211"/>
      <c r="U260" s="211"/>
      <c r="V260" s="211"/>
      <c r="W260" s="211"/>
      <c r="X260" s="211"/>
      <c r="Y260" s="211"/>
      <c r="Z260" s="211"/>
      <c r="AD260" s="211"/>
      <c r="AE260" s="211"/>
      <c r="AF260" s="211"/>
      <c r="AG260" s="211"/>
      <c r="AH260" s="211"/>
      <c r="AI260" s="211"/>
      <c r="AJ260" s="211"/>
      <c r="AK260" s="211"/>
      <c r="AL260" s="211"/>
      <c r="AM260" s="211"/>
      <c r="AN260" s="211"/>
      <c r="AO260" s="211"/>
      <c r="AP260" s="211"/>
      <c r="AQ260" s="211"/>
      <c r="AR260" s="211"/>
      <c r="AS260" s="211"/>
      <c r="AT260" s="211"/>
      <c r="AU260" s="211"/>
      <c r="AV260" s="211"/>
      <c r="AW260" s="211"/>
      <c r="AX260" s="211"/>
      <c r="AY260" s="211"/>
      <c r="AZ260" s="211"/>
    </row>
    <row r="261" spans="1:52" s="213" customFormat="1" x14ac:dyDescent="0.35">
      <c r="A261" s="211"/>
      <c r="B261" s="211"/>
      <c r="C261" s="211"/>
      <c r="D261" s="211"/>
      <c r="E261" s="211"/>
      <c r="F261" s="211"/>
      <c r="G261" s="211"/>
      <c r="H261" s="211"/>
      <c r="I261" s="212"/>
      <c r="J261" s="212"/>
      <c r="K261" s="212"/>
      <c r="L261" s="212"/>
      <c r="M261" s="212"/>
      <c r="N261" s="212"/>
      <c r="O261" s="212"/>
      <c r="P261" s="211"/>
      <c r="Q261" s="211"/>
      <c r="R261" s="211"/>
      <c r="S261" s="211"/>
      <c r="T261" s="211"/>
      <c r="U261" s="211"/>
      <c r="V261" s="211"/>
      <c r="W261" s="211"/>
      <c r="X261" s="211"/>
      <c r="Y261" s="211"/>
      <c r="Z261" s="211"/>
      <c r="AD261" s="211"/>
      <c r="AE261" s="211"/>
      <c r="AF261" s="211"/>
      <c r="AG261" s="211"/>
      <c r="AH261" s="211"/>
      <c r="AI261" s="211"/>
      <c r="AJ261" s="211"/>
      <c r="AK261" s="211"/>
      <c r="AL261" s="211"/>
      <c r="AM261" s="211"/>
      <c r="AN261" s="211"/>
      <c r="AO261" s="211"/>
      <c r="AP261" s="211"/>
      <c r="AQ261" s="211"/>
      <c r="AR261" s="211"/>
      <c r="AS261" s="211"/>
      <c r="AT261" s="211"/>
      <c r="AU261" s="211"/>
      <c r="AV261" s="211"/>
      <c r="AW261" s="211"/>
      <c r="AX261" s="211"/>
      <c r="AY261" s="211"/>
      <c r="AZ261" s="211"/>
    </row>
    <row r="262" spans="1:52" s="213" customFormat="1" x14ac:dyDescent="0.35">
      <c r="A262" s="211"/>
      <c r="B262" s="211"/>
      <c r="C262" s="211"/>
      <c r="D262" s="211"/>
      <c r="E262" s="211"/>
      <c r="F262" s="211"/>
      <c r="G262" s="211"/>
      <c r="H262" s="211"/>
      <c r="I262" s="212"/>
      <c r="J262" s="212"/>
      <c r="K262" s="212"/>
      <c r="L262" s="212"/>
      <c r="M262" s="212"/>
      <c r="N262" s="212"/>
      <c r="O262" s="212"/>
      <c r="P262" s="211"/>
      <c r="Q262" s="211"/>
      <c r="R262" s="211"/>
      <c r="S262" s="211"/>
      <c r="T262" s="211"/>
      <c r="U262" s="211"/>
      <c r="V262" s="211"/>
      <c r="W262" s="211"/>
      <c r="X262" s="211"/>
      <c r="Y262" s="211"/>
      <c r="Z262" s="211"/>
      <c r="AD262" s="211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/>
      <c r="AO262" s="211"/>
      <c r="AP262" s="211"/>
      <c r="AQ262" s="211"/>
      <c r="AR262" s="211"/>
      <c r="AS262" s="211"/>
      <c r="AT262" s="211"/>
      <c r="AU262" s="211"/>
      <c r="AV262" s="211"/>
      <c r="AW262" s="211"/>
      <c r="AX262" s="211"/>
      <c r="AY262" s="211"/>
      <c r="AZ262" s="211"/>
    </row>
    <row r="263" spans="1:52" s="213" customFormat="1" x14ac:dyDescent="0.35">
      <c r="A263" s="211"/>
      <c r="B263" s="211"/>
      <c r="C263" s="211"/>
      <c r="D263" s="211"/>
      <c r="E263" s="211"/>
      <c r="F263" s="211"/>
      <c r="G263" s="211"/>
      <c r="H263" s="211"/>
      <c r="I263" s="212"/>
      <c r="J263" s="212"/>
      <c r="K263" s="212"/>
      <c r="L263" s="212"/>
      <c r="M263" s="212"/>
      <c r="N263" s="212"/>
      <c r="O263" s="212"/>
      <c r="P263" s="211"/>
      <c r="Q263" s="211"/>
      <c r="R263" s="211"/>
      <c r="S263" s="211"/>
      <c r="T263" s="211"/>
      <c r="U263" s="211"/>
      <c r="V263" s="211"/>
      <c r="W263" s="211"/>
      <c r="X263" s="211"/>
      <c r="Y263" s="211"/>
      <c r="Z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  <c r="AO263" s="211"/>
      <c r="AP263" s="211"/>
      <c r="AQ263" s="211"/>
      <c r="AR263" s="211"/>
      <c r="AS263" s="211"/>
      <c r="AT263" s="211"/>
      <c r="AU263" s="211"/>
      <c r="AV263" s="211"/>
      <c r="AW263" s="211"/>
      <c r="AX263" s="211"/>
      <c r="AY263" s="211"/>
      <c r="AZ263" s="211"/>
    </row>
    <row r="264" spans="1:52" s="213" customFormat="1" x14ac:dyDescent="0.35">
      <c r="A264" s="211"/>
      <c r="B264" s="211"/>
      <c r="C264" s="211"/>
      <c r="D264" s="211"/>
      <c r="E264" s="211"/>
      <c r="F264" s="211"/>
      <c r="G264" s="211"/>
      <c r="H264" s="211"/>
      <c r="I264" s="212"/>
      <c r="J264" s="212"/>
      <c r="K264" s="212"/>
      <c r="L264" s="212"/>
      <c r="M264" s="212"/>
      <c r="N264" s="212"/>
      <c r="O264" s="212"/>
      <c r="P264" s="211"/>
      <c r="Q264" s="211"/>
      <c r="R264" s="211"/>
      <c r="S264" s="211"/>
      <c r="T264" s="211"/>
      <c r="U264" s="211"/>
      <c r="V264" s="211"/>
      <c r="W264" s="211"/>
      <c r="X264" s="211"/>
      <c r="Y264" s="211"/>
      <c r="Z264" s="211"/>
      <c r="AD264" s="211"/>
      <c r="AE264" s="211"/>
      <c r="AF264" s="211"/>
      <c r="AG264" s="211"/>
      <c r="AH264" s="211"/>
      <c r="AI264" s="211"/>
      <c r="AJ264" s="211"/>
      <c r="AK264" s="211"/>
      <c r="AL264" s="211"/>
      <c r="AM264" s="211"/>
      <c r="AN264" s="211"/>
      <c r="AO264" s="211"/>
      <c r="AP264" s="211"/>
      <c r="AQ264" s="211"/>
      <c r="AR264" s="211"/>
      <c r="AS264" s="211"/>
      <c r="AT264" s="211"/>
      <c r="AU264" s="211"/>
      <c r="AV264" s="211"/>
      <c r="AW264" s="211"/>
      <c r="AX264" s="211"/>
      <c r="AY264" s="211"/>
      <c r="AZ264" s="211"/>
    </row>
    <row r="265" spans="1:52" s="213" customFormat="1" x14ac:dyDescent="0.35">
      <c r="A265" s="211"/>
      <c r="B265" s="211"/>
      <c r="C265" s="211"/>
      <c r="D265" s="211"/>
      <c r="E265" s="211"/>
      <c r="F265" s="211"/>
      <c r="G265" s="211"/>
      <c r="H265" s="211"/>
      <c r="I265" s="212"/>
      <c r="J265" s="212"/>
      <c r="K265" s="212"/>
      <c r="L265" s="212"/>
      <c r="M265" s="212"/>
      <c r="N265" s="212"/>
      <c r="O265" s="212"/>
      <c r="P265" s="211"/>
      <c r="Q265" s="211"/>
      <c r="R265" s="211"/>
      <c r="S265" s="211"/>
      <c r="T265" s="211"/>
      <c r="U265" s="211"/>
      <c r="V265" s="211"/>
      <c r="W265" s="211"/>
      <c r="X265" s="211"/>
      <c r="Y265" s="211"/>
      <c r="Z265" s="211"/>
      <c r="AD265" s="211"/>
      <c r="AE265" s="211"/>
      <c r="AF265" s="211"/>
      <c r="AG265" s="211"/>
      <c r="AH265" s="211"/>
      <c r="AI265" s="211"/>
      <c r="AJ265" s="211"/>
      <c r="AK265" s="211"/>
      <c r="AL265" s="211"/>
      <c r="AM265" s="211"/>
      <c r="AN265" s="211"/>
      <c r="AO265" s="211"/>
      <c r="AP265" s="211"/>
      <c r="AQ265" s="211"/>
      <c r="AR265" s="211"/>
      <c r="AS265" s="211"/>
      <c r="AT265" s="211"/>
      <c r="AU265" s="211"/>
      <c r="AV265" s="211"/>
      <c r="AW265" s="211"/>
      <c r="AX265" s="211"/>
      <c r="AY265" s="211"/>
      <c r="AZ265" s="211"/>
    </row>
    <row r="266" spans="1:52" s="213" customFormat="1" x14ac:dyDescent="0.35">
      <c r="A266" s="211"/>
      <c r="B266" s="211"/>
      <c r="C266" s="211"/>
      <c r="D266" s="211"/>
      <c r="E266" s="211"/>
      <c r="F266" s="211"/>
      <c r="G266" s="211"/>
      <c r="H266" s="211"/>
      <c r="I266" s="212"/>
      <c r="J266" s="212"/>
      <c r="K266" s="212"/>
      <c r="L266" s="212"/>
      <c r="M266" s="212"/>
      <c r="N266" s="212"/>
      <c r="O266" s="212"/>
      <c r="P266" s="211"/>
      <c r="Q266" s="211"/>
      <c r="R266" s="211"/>
      <c r="S266" s="211"/>
      <c r="T266" s="211"/>
      <c r="U266" s="211"/>
      <c r="V266" s="211"/>
      <c r="W266" s="211"/>
      <c r="X266" s="211"/>
      <c r="Y266" s="211"/>
      <c r="Z266" s="211"/>
      <c r="AD266" s="211"/>
      <c r="AE266" s="211"/>
      <c r="AF266" s="211"/>
      <c r="AG266" s="211"/>
      <c r="AH266" s="211"/>
      <c r="AI266" s="211"/>
      <c r="AJ266" s="211"/>
      <c r="AK266" s="211"/>
      <c r="AL266" s="211"/>
      <c r="AM266" s="211"/>
      <c r="AN266" s="211"/>
      <c r="AO266" s="211"/>
      <c r="AP266" s="211"/>
      <c r="AQ266" s="211"/>
      <c r="AR266" s="211"/>
      <c r="AS266" s="211"/>
      <c r="AT266" s="211"/>
      <c r="AU266" s="211"/>
      <c r="AV266" s="211"/>
      <c r="AW266" s="211"/>
      <c r="AX266" s="211"/>
      <c r="AY266" s="211"/>
      <c r="AZ266" s="211"/>
    </row>
    <row r="267" spans="1:52" s="213" customFormat="1" x14ac:dyDescent="0.35">
      <c r="A267" s="211"/>
      <c r="B267" s="211"/>
      <c r="C267" s="211"/>
      <c r="D267" s="211"/>
      <c r="E267" s="211"/>
      <c r="F267" s="211"/>
      <c r="G267" s="211"/>
      <c r="H267" s="211"/>
      <c r="I267" s="212"/>
      <c r="J267" s="212"/>
      <c r="K267" s="212"/>
      <c r="L267" s="212"/>
      <c r="M267" s="212"/>
      <c r="N267" s="212"/>
      <c r="O267" s="212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  <c r="AO267" s="211"/>
      <c r="AP267" s="211"/>
      <c r="AQ267" s="211"/>
      <c r="AR267" s="211"/>
      <c r="AS267" s="211"/>
      <c r="AT267" s="211"/>
      <c r="AU267" s="211"/>
      <c r="AV267" s="211"/>
      <c r="AW267" s="211"/>
      <c r="AX267" s="211"/>
      <c r="AY267" s="211"/>
      <c r="AZ267" s="211"/>
    </row>
    <row r="268" spans="1:52" s="213" customFormat="1" x14ac:dyDescent="0.35">
      <c r="A268" s="211"/>
      <c r="B268" s="211"/>
      <c r="C268" s="211"/>
      <c r="D268" s="211"/>
      <c r="E268" s="211"/>
      <c r="F268" s="211"/>
      <c r="G268" s="211"/>
      <c r="H268" s="211"/>
      <c r="I268" s="212"/>
      <c r="J268" s="212"/>
      <c r="K268" s="212"/>
      <c r="L268" s="212"/>
      <c r="M268" s="212"/>
      <c r="N268" s="212"/>
      <c r="O268" s="212"/>
      <c r="P268" s="211"/>
      <c r="Q268" s="211"/>
      <c r="R268" s="211"/>
      <c r="S268" s="211"/>
      <c r="T268" s="211"/>
      <c r="U268" s="211"/>
      <c r="V268" s="211"/>
      <c r="W268" s="211"/>
      <c r="X268" s="211"/>
      <c r="Y268" s="211"/>
      <c r="Z268" s="211"/>
      <c r="AD268" s="211"/>
      <c r="AE268" s="211"/>
      <c r="AF268" s="211"/>
      <c r="AG268" s="211"/>
      <c r="AH268" s="211"/>
      <c r="AI268" s="211"/>
      <c r="AJ268" s="211"/>
      <c r="AK268" s="211"/>
      <c r="AL268" s="211"/>
      <c r="AM268" s="211"/>
      <c r="AN268" s="211"/>
      <c r="AO268" s="211"/>
      <c r="AP268" s="211"/>
      <c r="AQ268" s="211"/>
      <c r="AR268" s="211"/>
      <c r="AS268" s="211"/>
      <c r="AT268" s="211"/>
      <c r="AU268" s="211"/>
      <c r="AV268" s="211"/>
      <c r="AW268" s="211"/>
      <c r="AX268" s="211"/>
      <c r="AY268" s="211"/>
      <c r="AZ268" s="211"/>
    </row>
    <row r="269" spans="1:52" s="213" customFormat="1" x14ac:dyDescent="0.35">
      <c r="A269" s="211"/>
      <c r="B269" s="211"/>
      <c r="C269" s="211"/>
      <c r="D269" s="211"/>
      <c r="E269" s="211"/>
      <c r="F269" s="211"/>
      <c r="G269" s="211"/>
      <c r="H269" s="211"/>
      <c r="I269" s="212"/>
      <c r="J269" s="212"/>
      <c r="K269" s="212"/>
      <c r="L269" s="212"/>
      <c r="M269" s="212"/>
      <c r="N269" s="212"/>
      <c r="O269" s="212"/>
      <c r="P269" s="211"/>
      <c r="Q269" s="211"/>
      <c r="R269" s="211"/>
      <c r="S269" s="211"/>
      <c r="T269" s="211"/>
      <c r="U269" s="211"/>
      <c r="V269" s="211"/>
      <c r="W269" s="211"/>
      <c r="X269" s="211"/>
      <c r="Y269" s="211"/>
      <c r="Z269" s="211"/>
      <c r="AD269" s="211"/>
      <c r="AE269" s="211"/>
      <c r="AF269" s="211"/>
      <c r="AG269" s="211"/>
      <c r="AH269" s="211"/>
      <c r="AI269" s="211"/>
      <c r="AJ269" s="211"/>
      <c r="AK269" s="211"/>
      <c r="AL269" s="211"/>
      <c r="AM269" s="211"/>
      <c r="AN269" s="211"/>
      <c r="AO269" s="211"/>
      <c r="AP269" s="211"/>
      <c r="AQ269" s="211"/>
      <c r="AR269" s="211"/>
      <c r="AS269" s="211"/>
      <c r="AT269" s="211"/>
      <c r="AU269" s="211"/>
      <c r="AV269" s="211"/>
      <c r="AW269" s="211"/>
      <c r="AX269" s="211"/>
      <c r="AY269" s="211"/>
      <c r="AZ269" s="211"/>
    </row>
    <row r="270" spans="1:52" s="213" customFormat="1" x14ac:dyDescent="0.35">
      <c r="A270" s="211"/>
      <c r="B270" s="211"/>
      <c r="C270" s="211"/>
      <c r="D270" s="211"/>
      <c r="E270" s="211"/>
      <c r="F270" s="211"/>
      <c r="G270" s="211"/>
      <c r="H270" s="211"/>
      <c r="I270" s="212"/>
      <c r="J270" s="212"/>
      <c r="K270" s="212"/>
      <c r="L270" s="212"/>
      <c r="M270" s="212"/>
      <c r="N270" s="212"/>
      <c r="O270" s="212"/>
      <c r="P270" s="211"/>
      <c r="Q270" s="211"/>
      <c r="R270" s="211"/>
      <c r="S270" s="211"/>
      <c r="T270" s="211"/>
      <c r="U270" s="211"/>
      <c r="V270" s="211"/>
      <c r="W270" s="211"/>
      <c r="X270" s="211"/>
      <c r="Y270" s="211"/>
      <c r="Z270" s="211"/>
      <c r="AD270" s="211"/>
      <c r="AE270" s="211"/>
      <c r="AF270" s="211"/>
      <c r="AG270" s="211"/>
      <c r="AH270" s="211"/>
      <c r="AI270" s="211"/>
      <c r="AJ270" s="211"/>
      <c r="AK270" s="211"/>
      <c r="AL270" s="211"/>
      <c r="AM270" s="211"/>
      <c r="AN270" s="211"/>
      <c r="AO270" s="211"/>
      <c r="AP270" s="211"/>
      <c r="AQ270" s="211"/>
      <c r="AR270" s="211"/>
      <c r="AS270" s="211"/>
      <c r="AT270" s="211"/>
      <c r="AU270" s="211"/>
      <c r="AV270" s="211"/>
      <c r="AW270" s="211"/>
      <c r="AX270" s="211"/>
      <c r="AY270" s="211"/>
      <c r="AZ270" s="211"/>
    </row>
    <row r="271" spans="1:52" s="213" customFormat="1" x14ac:dyDescent="0.35">
      <c r="A271" s="211"/>
      <c r="B271" s="211"/>
      <c r="C271" s="211"/>
      <c r="D271" s="211"/>
      <c r="E271" s="211"/>
      <c r="F271" s="211"/>
      <c r="G271" s="211"/>
      <c r="H271" s="211"/>
      <c r="I271" s="212"/>
      <c r="J271" s="212"/>
      <c r="K271" s="212"/>
      <c r="L271" s="212"/>
      <c r="M271" s="212"/>
      <c r="N271" s="212"/>
      <c r="O271" s="212"/>
      <c r="P271" s="211"/>
      <c r="Q271" s="211"/>
      <c r="R271" s="211"/>
      <c r="S271" s="211"/>
      <c r="T271" s="211"/>
      <c r="U271" s="211"/>
      <c r="V271" s="211"/>
      <c r="W271" s="211"/>
      <c r="X271" s="211"/>
      <c r="Y271" s="211"/>
      <c r="Z271" s="211"/>
      <c r="AD271" s="211"/>
      <c r="AE271" s="211"/>
      <c r="AF271" s="211"/>
      <c r="AG271" s="211"/>
      <c r="AH271" s="211"/>
      <c r="AI271" s="211"/>
      <c r="AJ271" s="211"/>
      <c r="AK271" s="211"/>
      <c r="AL271" s="211"/>
      <c r="AM271" s="211"/>
      <c r="AN271" s="211"/>
      <c r="AO271" s="211"/>
      <c r="AP271" s="211"/>
      <c r="AQ271" s="211"/>
      <c r="AR271" s="211"/>
      <c r="AS271" s="211"/>
      <c r="AT271" s="211"/>
      <c r="AU271" s="211"/>
      <c r="AV271" s="211"/>
      <c r="AW271" s="211"/>
      <c r="AX271" s="211"/>
      <c r="AY271" s="211"/>
      <c r="AZ271" s="211"/>
    </row>
    <row r="272" spans="1:52" s="213" customFormat="1" x14ac:dyDescent="0.35">
      <c r="A272" s="211"/>
      <c r="B272" s="211"/>
      <c r="C272" s="211"/>
      <c r="D272" s="211"/>
      <c r="E272" s="211"/>
      <c r="F272" s="211"/>
      <c r="G272" s="211"/>
      <c r="H272" s="211"/>
      <c r="I272" s="212"/>
      <c r="J272" s="212"/>
      <c r="K272" s="212"/>
      <c r="L272" s="212"/>
      <c r="M272" s="212"/>
      <c r="N272" s="212"/>
      <c r="O272" s="212"/>
      <c r="P272" s="211"/>
      <c r="Q272" s="211"/>
      <c r="R272" s="211"/>
      <c r="S272" s="211"/>
      <c r="T272" s="211"/>
      <c r="U272" s="211"/>
      <c r="V272" s="211"/>
      <c r="W272" s="211"/>
      <c r="X272" s="211"/>
      <c r="Y272" s="211"/>
      <c r="Z272" s="211"/>
      <c r="AD272" s="211"/>
      <c r="AE272" s="211"/>
      <c r="AF272" s="211"/>
      <c r="AG272" s="211"/>
      <c r="AH272" s="211"/>
      <c r="AI272" s="211"/>
      <c r="AJ272" s="211"/>
      <c r="AK272" s="211"/>
      <c r="AL272" s="211"/>
      <c r="AM272" s="211"/>
      <c r="AN272" s="211"/>
      <c r="AO272" s="211"/>
      <c r="AP272" s="211"/>
      <c r="AQ272" s="211"/>
      <c r="AR272" s="211"/>
      <c r="AS272" s="211"/>
      <c r="AT272" s="211"/>
      <c r="AU272" s="211"/>
      <c r="AV272" s="211"/>
      <c r="AW272" s="211"/>
      <c r="AX272" s="211"/>
      <c r="AY272" s="211"/>
      <c r="AZ272" s="211"/>
    </row>
    <row r="273" spans="1:52" s="213" customFormat="1" x14ac:dyDescent="0.35">
      <c r="A273" s="211"/>
      <c r="B273" s="211"/>
      <c r="C273" s="211"/>
      <c r="D273" s="211"/>
      <c r="E273" s="211"/>
      <c r="F273" s="211"/>
      <c r="G273" s="211"/>
      <c r="H273" s="211"/>
      <c r="I273" s="212"/>
      <c r="J273" s="212"/>
      <c r="K273" s="212"/>
      <c r="L273" s="212"/>
      <c r="M273" s="212"/>
      <c r="N273" s="212"/>
      <c r="O273" s="212"/>
      <c r="P273" s="211"/>
      <c r="Q273" s="211"/>
      <c r="R273" s="211"/>
      <c r="S273" s="211"/>
      <c r="T273" s="211"/>
      <c r="U273" s="211"/>
      <c r="V273" s="211"/>
      <c r="W273" s="211"/>
      <c r="X273" s="211"/>
      <c r="Y273" s="211"/>
      <c r="Z273" s="211"/>
      <c r="AD273" s="211"/>
      <c r="AE273" s="211"/>
      <c r="AF273" s="211"/>
      <c r="AG273" s="211"/>
      <c r="AH273" s="211"/>
      <c r="AI273" s="211"/>
      <c r="AJ273" s="211"/>
      <c r="AK273" s="211"/>
      <c r="AL273" s="211"/>
      <c r="AM273" s="211"/>
      <c r="AN273" s="211"/>
      <c r="AO273" s="211"/>
      <c r="AP273" s="211"/>
      <c r="AQ273" s="211"/>
      <c r="AR273" s="211"/>
      <c r="AS273" s="211"/>
      <c r="AT273" s="211"/>
      <c r="AU273" s="211"/>
      <c r="AV273" s="211"/>
      <c r="AW273" s="211"/>
      <c r="AX273" s="211"/>
      <c r="AY273" s="211"/>
      <c r="AZ273" s="211"/>
    </row>
    <row r="274" spans="1:52" s="213" customFormat="1" x14ac:dyDescent="0.35">
      <c r="A274" s="211"/>
      <c r="B274" s="211"/>
      <c r="C274" s="211"/>
      <c r="D274" s="211"/>
      <c r="E274" s="211"/>
      <c r="F274" s="211"/>
      <c r="G274" s="211"/>
      <c r="H274" s="211"/>
      <c r="I274" s="212"/>
      <c r="J274" s="212"/>
      <c r="K274" s="212"/>
      <c r="L274" s="212"/>
      <c r="M274" s="212"/>
      <c r="N274" s="212"/>
      <c r="O274" s="212"/>
      <c r="P274" s="211"/>
      <c r="Q274" s="211"/>
      <c r="R274" s="211"/>
      <c r="S274" s="211"/>
      <c r="T274" s="211"/>
      <c r="U274" s="211"/>
      <c r="V274" s="211"/>
      <c r="W274" s="211"/>
      <c r="X274" s="211"/>
      <c r="Y274" s="211"/>
      <c r="Z274" s="211"/>
      <c r="AD274" s="211"/>
      <c r="AE274" s="211"/>
      <c r="AF274" s="211"/>
      <c r="AG274" s="211"/>
      <c r="AH274" s="211"/>
      <c r="AI274" s="211"/>
      <c r="AJ274" s="211"/>
      <c r="AK274" s="211"/>
      <c r="AL274" s="211"/>
      <c r="AM274" s="211"/>
      <c r="AN274" s="211"/>
      <c r="AO274" s="211"/>
      <c r="AP274" s="211"/>
      <c r="AQ274" s="211"/>
      <c r="AR274" s="211"/>
      <c r="AS274" s="211"/>
      <c r="AT274" s="211"/>
      <c r="AU274" s="211"/>
      <c r="AV274" s="211"/>
      <c r="AW274" s="211"/>
      <c r="AX274" s="211"/>
      <c r="AY274" s="211"/>
      <c r="AZ274" s="211"/>
    </row>
    <row r="275" spans="1:52" s="213" customFormat="1" x14ac:dyDescent="0.35">
      <c r="A275" s="211"/>
      <c r="B275" s="211"/>
      <c r="C275" s="211"/>
      <c r="D275" s="211"/>
      <c r="E275" s="211"/>
      <c r="F275" s="211"/>
      <c r="G275" s="211"/>
      <c r="H275" s="211"/>
      <c r="I275" s="212"/>
      <c r="J275" s="212"/>
      <c r="K275" s="212"/>
      <c r="L275" s="212"/>
      <c r="M275" s="212"/>
      <c r="N275" s="212"/>
      <c r="O275" s="212"/>
      <c r="P275" s="211"/>
      <c r="Q275" s="211"/>
      <c r="R275" s="211"/>
      <c r="S275" s="211"/>
      <c r="T275" s="211"/>
      <c r="U275" s="211"/>
      <c r="V275" s="211"/>
      <c r="W275" s="211"/>
      <c r="X275" s="211"/>
      <c r="Y275" s="211"/>
      <c r="Z275" s="211"/>
      <c r="AD275" s="211"/>
      <c r="AE275" s="211"/>
      <c r="AF275" s="211"/>
      <c r="AG275" s="211"/>
      <c r="AH275" s="211"/>
      <c r="AI275" s="211"/>
      <c r="AJ275" s="211"/>
      <c r="AK275" s="211"/>
      <c r="AL275" s="211"/>
      <c r="AM275" s="211"/>
      <c r="AN275" s="211"/>
      <c r="AO275" s="211"/>
      <c r="AP275" s="211"/>
      <c r="AQ275" s="211"/>
      <c r="AR275" s="211"/>
      <c r="AS275" s="211"/>
      <c r="AT275" s="211"/>
      <c r="AU275" s="211"/>
      <c r="AV275" s="211"/>
      <c r="AW275" s="211"/>
      <c r="AX275" s="211"/>
      <c r="AY275" s="211"/>
      <c r="AZ275" s="211"/>
    </row>
    <row r="276" spans="1:52" s="213" customFormat="1" x14ac:dyDescent="0.35">
      <c r="A276" s="211"/>
      <c r="B276" s="211"/>
      <c r="C276" s="211"/>
      <c r="D276" s="211"/>
      <c r="E276" s="211"/>
      <c r="F276" s="211"/>
      <c r="G276" s="211"/>
      <c r="H276" s="211"/>
      <c r="I276" s="212"/>
      <c r="J276" s="212"/>
      <c r="K276" s="212"/>
      <c r="L276" s="212"/>
      <c r="M276" s="212"/>
      <c r="N276" s="212"/>
      <c r="O276" s="212"/>
      <c r="P276" s="211"/>
      <c r="Q276" s="211"/>
      <c r="R276" s="211"/>
      <c r="S276" s="211"/>
      <c r="T276" s="211"/>
      <c r="U276" s="211"/>
      <c r="V276" s="211"/>
      <c r="W276" s="211"/>
      <c r="X276" s="211"/>
      <c r="Y276" s="211"/>
      <c r="Z276" s="211"/>
      <c r="AD276" s="211"/>
      <c r="AE276" s="211"/>
      <c r="AF276" s="211"/>
      <c r="AG276" s="211"/>
      <c r="AH276" s="211"/>
      <c r="AI276" s="211"/>
      <c r="AJ276" s="211"/>
      <c r="AK276" s="211"/>
      <c r="AL276" s="211"/>
      <c r="AM276" s="211"/>
      <c r="AN276" s="211"/>
      <c r="AO276" s="211"/>
      <c r="AP276" s="211"/>
      <c r="AQ276" s="211"/>
      <c r="AR276" s="211"/>
      <c r="AS276" s="211"/>
      <c r="AT276" s="211"/>
      <c r="AU276" s="211"/>
      <c r="AV276" s="211"/>
      <c r="AW276" s="211"/>
      <c r="AX276" s="211"/>
      <c r="AY276" s="211"/>
      <c r="AZ276" s="211"/>
    </row>
    <row r="277" spans="1:52" s="213" customFormat="1" x14ac:dyDescent="0.35">
      <c r="A277" s="211"/>
      <c r="B277" s="211"/>
      <c r="C277" s="211"/>
      <c r="D277" s="211"/>
      <c r="E277" s="211"/>
      <c r="F277" s="211"/>
      <c r="G277" s="211"/>
      <c r="H277" s="211"/>
      <c r="I277" s="212"/>
      <c r="J277" s="212"/>
      <c r="K277" s="212"/>
      <c r="L277" s="212"/>
      <c r="M277" s="212"/>
      <c r="N277" s="212"/>
      <c r="O277" s="212"/>
      <c r="P277" s="211"/>
      <c r="Q277" s="211"/>
      <c r="R277" s="211"/>
      <c r="S277" s="211"/>
      <c r="T277" s="211"/>
      <c r="U277" s="211"/>
      <c r="V277" s="211"/>
      <c r="W277" s="211"/>
      <c r="X277" s="211"/>
      <c r="Y277" s="211"/>
      <c r="Z277" s="211"/>
      <c r="AD277" s="211"/>
      <c r="AE277" s="211"/>
      <c r="AF277" s="211"/>
      <c r="AG277" s="211"/>
      <c r="AH277" s="211"/>
      <c r="AI277" s="211"/>
      <c r="AJ277" s="211"/>
      <c r="AK277" s="211"/>
      <c r="AL277" s="211"/>
      <c r="AM277" s="211"/>
      <c r="AN277" s="211"/>
      <c r="AO277" s="211"/>
      <c r="AP277" s="211"/>
      <c r="AQ277" s="211"/>
      <c r="AR277" s="211"/>
      <c r="AS277" s="211"/>
      <c r="AT277" s="211"/>
      <c r="AU277" s="211"/>
      <c r="AV277" s="211"/>
      <c r="AW277" s="211"/>
      <c r="AX277" s="211"/>
      <c r="AY277" s="211"/>
      <c r="AZ277" s="211"/>
    </row>
    <row r="278" spans="1:52" s="213" customFormat="1" x14ac:dyDescent="0.35">
      <c r="A278" s="211"/>
      <c r="B278" s="211"/>
      <c r="C278" s="211"/>
      <c r="D278" s="211"/>
      <c r="E278" s="211"/>
      <c r="F278" s="211"/>
      <c r="G278" s="211"/>
      <c r="H278" s="211"/>
      <c r="I278" s="212"/>
      <c r="J278" s="212"/>
      <c r="K278" s="212"/>
      <c r="L278" s="212"/>
      <c r="M278" s="212"/>
      <c r="N278" s="212"/>
      <c r="O278" s="212"/>
      <c r="P278" s="211"/>
      <c r="Q278" s="211"/>
      <c r="R278" s="211"/>
      <c r="S278" s="211"/>
      <c r="T278" s="211"/>
      <c r="U278" s="211"/>
      <c r="V278" s="211"/>
      <c r="W278" s="211"/>
      <c r="X278" s="211"/>
      <c r="Y278" s="211"/>
      <c r="Z278" s="211"/>
      <c r="AD278" s="211"/>
      <c r="AE278" s="211"/>
      <c r="AF278" s="211"/>
      <c r="AG278" s="211"/>
      <c r="AH278" s="211"/>
      <c r="AI278" s="211"/>
      <c r="AJ278" s="211"/>
      <c r="AK278" s="211"/>
      <c r="AL278" s="211"/>
      <c r="AM278" s="211"/>
      <c r="AN278" s="211"/>
      <c r="AO278" s="211"/>
      <c r="AP278" s="211"/>
      <c r="AQ278" s="211"/>
      <c r="AR278" s="211"/>
      <c r="AS278" s="211"/>
      <c r="AT278" s="211"/>
      <c r="AU278" s="211"/>
      <c r="AV278" s="211"/>
      <c r="AW278" s="211"/>
      <c r="AX278" s="211"/>
      <c r="AY278" s="211"/>
      <c r="AZ278" s="211"/>
    </row>
    <row r="279" spans="1:52" s="213" customFormat="1" x14ac:dyDescent="0.35">
      <c r="A279" s="211"/>
      <c r="B279" s="211"/>
      <c r="C279" s="211"/>
      <c r="D279" s="211"/>
      <c r="E279" s="211"/>
      <c r="F279" s="211"/>
      <c r="G279" s="211"/>
      <c r="H279" s="211"/>
      <c r="I279" s="212"/>
      <c r="J279" s="212"/>
      <c r="K279" s="212"/>
      <c r="L279" s="212"/>
      <c r="M279" s="212"/>
      <c r="N279" s="212"/>
      <c r="O279" s="212"/>
      <c r="P279" s="211"/>
      <c r="Q279" s="211"/>
      <c r="R279" s="211"/>
      <c r="S279" s="211"/>
      <c r="T279" s="211"/>
      <c r="U279" s="211"/>
      <c r="V279" s="211"/>
      <c r="W279" s="211"/>
      <c r="X279" s="211"/>
      <c r="Y279" s="211"/>
      <c r="Z279" s="211"/>
      <c r="AD279" s="211"/>
      <c r="AE279" s="211"/>
      <c r="AF279" s="211"/>
      <c r="AG279" s="211"/>
      <c r="AH279" s="211"/>
      <c r="AI279" s="211"/>
      <c r="AJ279" s="211"/>
      <c r="AK279" s="211"/>
      <c r="AL279" s="211"/>
      <c r="AM279" s="211"/>
      <c r="AN279" s="211"/>
      <c r="AO279" s="211"/>
      <c r="AP279" s="211"/>
      <c r="AQ279" s="211"/>
      <c r="AR279" s="211"/>
      <c r="AS279" s="211"/>
      <c r="AT279" s="211"/>
      <c r="AU279" s="211"/>
      <c r="AV279" s="211"/>
      <c r="AW279" s="211"/>
      <c r="AX279" s="211"/>
      <c r="AY279" s="211"/>
      <c r="AZ279" s="211"/>
    </row>
    <row r="280" spans="1:52" s="213" customFormat="1" x14ac:dyDescent="0.35">
      <c r="A280" s="211"/>
      <c r="B280" s="211"/>
      <c r="C280" s="211"/>
      <c r="D280" s="211"/>
      <c r="E280" s="211"/>
      <c r="F280" s="211"/>
      <c r="G280" s="211"/>
      <c r="H280" s="211"/>
      <c r="I280" s="212"/>
      <c r="J280" s="212"/>
      <c r="K280" s="212"/>
      <c r="L280" s="212"/>
      <c r="M280" s="212"/>
      <c r="N280" s="212"/>
      <c r="O280" s="212"/>
      <c r="P280" s="211"/>
      <c r="Q280" s="211"/>
      <c r="R280" s="211"/>
      <c r="S280" s="211"/>
      <c r="T280" s="211"/>
      <c r="U280" s="211"/>
      <c r="V280" s="211"/>
      <c r="W280" s="211"/>
      <c r="X280" s="211"/>
      <c r="Y280" s="211"/>
      <c r="Z280" s="211"/>
      <c r="AD280" s="211"/>
      <c r="AE280" s="211"/>
      <c r="AF280" s="211"/>
      <c r="AG280" s="211"/>
      <c r="AH280" s="211"/>
      <c r="AI280" s="211"/>
      <c r="AJ280" s="211"/>
      <c r="AK280" s="211"/>
      <c r="AL280" s="211"/>
      <c r="AM280" s="211"/>
      <c r="AN280" s="211"/>
      <c r="AO280" s="211"/>
      <c r="AP280" s="211"/>
      <c r="AQ280" s="211"/>
      <c r="AR280" s="211"/>
      <c r="AS280" s="211"/>
      <c r="AT280" s="211"/>
      <c r="AU280" s="211"/>
      <c r="AV280" s="211"/>
      <c r="AW280" s="211"/>
      <c r="AX280" s="211"/>
      <c r="AY280" s="211"/>
      <c r="AZ280" s="211"/>
    </row>
    <row r="281" spans="1:52" s="213" customFormat="1" x14ac:dyDescent="0.35">
      <c r="A281" s="211"/>
      <c r="B281" s="211"/>
      <c r="C281" s="211"/>
      <c r="D281" s="211"/>
      <c r="E281" s="211"/>
      <c r="F281" s="211"/>
      <c r="G281" s="211"/>
      <c r="H281" s="211"/>
      <c r="I281" s="212"/>
      <c r="J281" s="212"/>
      <c r="K281" s="212"/>
      <c r="L281" s="212"/>
      <c r="M281" s="212"/>
      <c r="N281" s="212"/>
      <c r="O281" s="212"/>
      <c r="P281" s="211"/>
      <c r="Q281" s="211"/>
      <c r="R281" s="211"/>
      <c r="S281" s="211"/>
      <c r="T281" s="211"/>
      <c r="U281" s="211"/>
      <c r="V281" s="211"/>
      <c r="W281" s="211"/>
      <c r="X281" s="211"/>
      <c r="Y281" s="211"/>
      <c r="Z281" s="211"/>
      <c r="AD281" s="211"/>
      <c r="AE281" s="211"/>
      <c r="AF281" s="211"/>
      <c r="AG281" s="211"/>
      <c r="AH281" s="211"/>
      <c r="AI281" s="211"/>
      <c r="AJ281" s="211"/>
      <c r="AK281" s="211"/>
      <c r="AL281" s="211"/>
      <c r="AM281" s="211"/>
      <c r="AN281" s="211"/>
      <c r="AO281" s="211"/>
      <c r="AP281" s="211"/>
      <c r="AQ281" s="211"/>
      <c r="AR281" s="211"/>
      <c r="AS281" s="211"/>
      <c r="AT281" s="211"/>
      <c r="AU281" s="211"/>
      <c r="AV281" s="211"/>
      <c r="AW281" s="211"/>
      <c r="AX281" s="211"/>
      <c r="AY281" s="211"/>
      <c r="AZ281" s="211"/>
    </row>
    <row r="282" spans="1:52" s="213" customFormat="1" x14ac:dyDescent="0.35">
      <c r="A282" s="211"/>
      <c r="B282" s="211"/>
      <c r="C282" s="211"/>
      <c r="D282" s="211"/>
      <c r="E282" s="211"/>
      <c r="F282" s="211"/>
      <c r="G282" s="211"/>
      <c r="H282" s="211"/>
      <c r="I282" s="212"/>
      <c r="J282" s="212"/>
      <c r="K282" s="212"/>
      <c r="L282" s="212"/>
      <c r="M282" s="212"/>
      <c r="N282" s="212"/>
      <c r="O282" s="212"/>
      <c r="P282" s="211"/>
      <c r="Q282" s="211"/>
      <c r="R282" s="211"/>
      <c r="S282" s="211"/>
      <c r="T282" s="211"/>
      <c r="U282" s="211"/>
      <c r="V282" s="211"/>
      <c r="W282" s="211"/>
      <c r="X282" s="211"/>
      <c r="Y282" s="211"/>
      <c r="Z282" s="211"/>
      <c r="AD282" s="211"/>
      <c r="AE282" s="211"/>
      <c r="AF282" s="211"/>
      <c r="AG282" s="211"/>
      <c r="AH282" s="211"/>
      <c r="AI282" s="211"/>
      <c r="AJ282" s="211"/>
      <c r="AK282" s="211"/>
      <c r="AL282" s="211"/>
      <c r="AM282" s="211"/>
      <c r="AN282" s="211"/>
      <c r="AO282" s="211"/>
      <c r="AP282" s="211"/>
      <c r="AQ282" s="211"/>
      <c r="AR282" s="211"/>
      <c r="AS282" s="211"/>
      <c r="AT282" s="211"/>
      <c r="AU282" s="211"/>
      <c r="AV282" s="211"/>
      <c r="AW282" s="211"/>
      <c r="AX282" s="211"/>
      <c r="AY282" s="211"/>
      <c r="AZ282" s="211"/>
    </row>
    <row r="283" spans="1:52" s="213" customFormat="1" x14ac:dyDescent="0.35">
      <c r="A283" s="211"/>
      <c r="B283" s="211"/>
      <c r="C283" s="211"/>
      <c r="D283" s="211"/>
      <c r="E283" s="211"/>
      <c r="F283" s="211"/>
      <c r="G283" s="211"/>
      <c r="H283" s="211"/>
      <c r="I283" s="212"/>
      <c r="J283" s="212"/>
      <c r="K283" s="212"/>
      <c r="L283" s="212"/>
      <c r="M283" s="212"/>
      <c r="N283" s="212"/>
      <c r="O283" s="212"/>
      <c r="P283" s="211"/>
      <c r="Q283" s="211"/>
      <c r="R283" s="211"/>
      <c r="S283" s="211"/>
      <c r="T283" s="211"/>
      <c r="U283" s="211"/>
      <c r="V283" s="211"/>
      <c r="W283" s="211"/>
      <c r="X283" s="211"/>
      <c r="Y283" s="211"/>
      <c r="Z283" s="211"/>
      <c r="AD283" s="211"/>
      <c r="AE283" s="211"/>
      <c r="AF283" s="211"/>
      <c r="AG283" s="211"/>
      <c r="AH283" s="211"/>
      <c r="AI283" s="211"/>
      <c r="AJ283" s="211"/>
      <c r="AK283" s="211"/>
      <c r="AL283" s="211"/>
      <c r="AM283" s="211"/>
      <c r="AN283" s="211"/>
      <c r="AO283" s="211"/>
      <c r="AP283" s="211"/>
      <c r="AQ283" s="211"/>
      <c r="AR283" s="211"/>
      <c r="AS283" s="211"/>
      <c r="AT283" s="211"/>
      <c r="AU283" s="211"/>
      <c r="AV283" s="211"/>
      <c r="AW283" s="211"/>
      <c r="AX283" s="211"/>
      <c r="AY283" s="211"/>
      <c r="AZ283" s="211"/>
    </row>
    <row r="284" spans="1:52" s="213" customFormat="1" x14ac:dyDescent="0.35">
      <c r="A284" s="211"/>
      <c r="B284" s="211"/>
      <c r="C284" s="211"/>
      <c r="D284" s="211"/>
      <c r="E284" s="211"/>
      <c r="F284" s="211"/>
      <c r="G284" s="211"/>
      <c r="H284" s="211"/>
      <c r="I284" s="212"/>
      <c r="J284" s="212"/>
      <c r="K284" s="212"/>
      <c r="L284" s="212"/>
      <c r="M284" s="212"/>
      <c r="N284" s="212"/>
      <c r="O284" s="212"/>
      <c r="P284" s="211"/>
      <c r="Q284" s="211"/>
      <c r="R284" s="211"/>
      <c r="S284" s="211"/>
      <c r="T284" s="211"/>
      <c r="U284" s="211"/>
      <c r="V284" s="211"/>
      <c r="W284" s="211"/>
      <c r="X284" s="211"/>
      <c r="Y284" s="211"/>
      <c r="Z284" s="211"/>
      <c r="AD284" s="211"/>
      <c r="AE284" s="211"/>
      <c r="AF284" s="211"/>
      <c r="AG284" s="211"/>
      <c r="AH284" s="211"/>
      <c r="AI284" s="211"/>
      <c r="AJ284" s="211"/>
      <c r="AK284" s="211"/>
      <c r="AL284" s="211"/>
      <c r="AM284" s="211"/>
      <c r="AN284" s="211"/>
      <c r="AO284" s="211"/>
      <c r="AP284" s="211"/>
      <c r="AQ284" s="211"/>
      <c r="AR284" s="211"/>
      <c r="AS284" s="211"/>
      <c r="AT284" s="211"/>
      <c r="AU284" s="211"/>
      <c r="AV284" s="211"/>
      <c r="AW284" s="211"/>
      <c r="AX284" s="211"/>
      <c r="AY284" s="211"/>
      <c r="AZ284" s="211"/>
    </row>
    <row r="285" spans="1:52" s="213" customFormat="1" x14ac:dyDescent="0.35">
      <c r="A285" s="211"/>
      <c r="B285" s="211"/>
      <c r="C285" s="211"/>
      <c r="D285" s="211"/>
      <c r="E285" s="211"/>
      <c r="F285" s="211"/>
      <c r="G285" s="211"/>
      <c r="H285" s="211"/>
      <c r="I285" s="212"/>
      <c r="J285" s="212"/>
      <c r="K285" s="212"/>
      <c r="L285" s="212"/>
      <c r="M285" s="212"/>
      <c r="N285" s="212"/>
      <c r="O285" s="212"/>
      <c r="P285" s="211"/>
      <c r="Q285" s="211"/>
      <c r="R285" s="211"/>
      <c r="S285" s="211"/>
      <c r="T285" s="211"/>
      <c r="U285" s="211"/>
      <c r="V285" s="211"/>
      <c r="W285" s="211"/>
      <c r="X285" s="211"/>
      <c r="Y285" s="211"/>
      <c r="Z285" s="211"/>
      <c r="AD285" s="211"/>
      <c r="AE285" s="211"/>
      <c r="AF285" s="211"/>
      <c r="AG285" s="211"/>
      <c r="AH285" s="211"/>
      <c r="AI285" s="211"/>
      <c r="AJ285" s="211"/>
      <c r="AK285" s="211"/>
      <c r="AL285" s="211"/>
      <c r="AM285" s="211"/>
      <c r="AN285" s="211"/>
      <c r="AO285" s="211"/>
      <c r="AP285" s="211"/>
      <c r="AQ285" s="211"/>
      <c r="AR285" s="211"/>
      <c r="AS285" s="211"/>
      <c r="AT285" s="211"/>
      <c r="AU285" s="211"/>
      <c r="AV285" s="211"/>
      <c r="AW285" s="211"/>
      <c r="AX285" s="211"/>
      <c r="AY285" s="211"/>
      <c r="AZ285" s="211"/>
    </row>
    <row r="286" spans="1:52" s="213" customFormat="1" x14ac:dyDescent="0.35">
      <c r="A286" s="211"/>
      <c r="B286" s="211"/>
      <c r="C286" s="211"/>
      <c r="D286" s="211"/>
      <c r="E286" s="211"/>
      <c r="F286" s="211"/>
      <c r="G286" s="211"/>
      <c r="H286" s="211"/>
      <c r="I286" s="212"/>
      <c r="J286" s="212"/>
      <c r="K286" s="212"/>
      <c r="L286" s="212"/>
      <c r="M286" s="212"/>
      <c r="N286" s="212"/>
      <c r="O286" s="212"/>
      <c r="P286" s="211"/>
      <c r="Q286" s="211"/>
      <c r="R286" s="211"/>
      <c r="S286" s="211"/>
      <c r="T286" s="211"/>
      <c r="U286" s="211"/>
      <c r="V286" s="211"/>
      <c r="W286" s="211"/>
      <c r="X286" s="211"/>
      <c r="Y286" s="211"/>
      <c r="Z286" s="211"/>
      <c r="AD286" s="211"/>
      <c r="AE286" s="211"/>
      <c r="AF286" s="211"/>
      <c r="AG286" s="211"/>
      <c r="AH286" s="211"/>
      <c r="AI286" s="211"/>
      <c r="AJ286" s="211"/>
      <c r="AK286" s="211"/>
      <c r="AL286" s="211"/>
      <c r="AM286" s="211"/>
      <c r="AN286" s="211"/>
      <c r="AO286" s="211"/>
      <c r="AP286" s="211"/>
      <c r="AQ286" s="211"/>
      <c r="AR286" s="211"/>
      <c r="AS286" s="211"/>
      <c r="AT286" s="211"/>
      <c r="AU286" s="211"/>
      <c r="AV286" s="211"/>
      <c r="AW286" s="211"/>
      <c r="AX286" s="211"/>
      <c r="AY286" s="211"/>
      <c r="AZ286" s="211"/>
    </row>
    <row r="287" spans="1:52" s="213" customFormat="1" x14ac:dyDescent="0.35">
      <c r="A287" s="211"/>
      <c r="B287" s="211"/>
      <c r="C287" s="211"/>
      <c r="D287" s="211"/>
      <c r="E287" s="211"/>
      <c r="F287" s="211"/>
      <c r="G287" s="211"/>
      <c r="H287" s="211"/>
      <c r="I287" s="212"/>
      <c r="J287" s="212"/>
      <c r="K287" s="212"/>
      <c r="L287" s="212"/>
      <c r="M287" s="212"/>
      <c r="N287" s="212"/>
      <c r="O287" s="212"/>
      <c r="P287" s="211"/>
      <c r="Q287" s="211"/>
      <c r="R287" s="211"/>
      <c r="S287" s="211"/>
      <c r="T287" s="211"/>
      <c r="U287" s="211"/>
      <c r="V287" s="211"/>
      <c r="W287" s="211"/>
      <c r="X287" s="211"/>
      <c r="Y287" s="211"/>
      <c r="Z287" s="211"/>
      <c r="AD287" s="211"/>
      <c r="AE287" s="211"/>
      <c r="AF287" s="211"/>
      <c r="AG287" s="211"/>
      <c r="AH287" s="211"/>
      <c r="AI287" s="211"/>
      <c r="AJ287" s="211"/>
      <c r="AK287" s="211"/>
      <c r="AL287" s="211"/>
      <c r="AM287" s="211"/>
      <c r="AN287" s="211"/>
      <c r="AO287" s="211"/>
      <c r="AP287" s="211"/>
      <c r="AQ287" s="211"/>
      <c r="AR287" s="211"/>
      <c r="AS287" s="211"/>
      <c r="AT287" s="211"/>
      <c r="AU287" s="211"/>
      <c r="AV287" s="211"/>
      <c r="AW287" s="211"/>
      <c r="AX287" s="211"/>
      <c r="AY287" s="211"/>
      <c r="AZ287" s="211"/>
    </row>
    <row r="288" spans="1:52" s="213" customFormat="1" x14ac:dyDescent="0.35">
      <c r="A288" s="211"/>
      <c r="B288" s="211"/>
      <c r="C288" s="211"/>
      <c r="D288" s="211"/>
      <c r="E288" s="211"/>
      <c r="F288" s="211"/>
      <c r="G288" s="211"/>
      <c r="H288" s="211"/>
      <c r="I288" s="212"/>
      <c r="J288" s="212"/>
      <c r="K288" s="212"/>
      <c r="L288" s="212"/>
      <c r="M288" s="212"/>
      <c r="N288" s="212"/>
      <c r="O288" s="212"/>
      <c r="P288" s="211"/>
      <c r="Q288" s="211"/>
      <c r="R288" s="211"/>
      <c r="S288" s="211"/>
      <c r="T288" s="211"/>
      <c r="U288" s="211"/>
      <c r="V288" s="211"/>
      <c r="W288" s="211"/>
      <c r="X288" s="211"/>
      <c r="Y288" s="211"/>
      <c r="Z288" s="211"/>
      <c r="AD288" s="211"/>
      <c r="AE288" s="211"/>
      <c r="AF288" s="211"/>
      <c r="AG288" s="211"/>
      <c r="AH288" s="211"/>
      <c r="AI288" s="211"/>
      <c r="AJ288" s="211"/>
      <c r="AK288" s="211"/>
      <c r="AL288" s="211"/>
      <c r="AM288" s="211"/>
      <c r="AN288" s="211"/>
      <c r="AO288" s="211"/>
      <c r="AP288" s="211"/>
      <c r="AQ288" s="211"/>
      <c r="AR288" s="211"/>
      <c r="AS288" s="211"/>
      <c r="AT288" s="211"/>
      <c r="AU288" s="211"/>
      <c r="AV288" s="211"/>
      <c r="AW288" s="211"/>
      <c r="AX288" s="211"/>
      <c r="AY288" s="211"/>
      <c r="AZ288" s="211"/>
    </row>
    <row r="289" spans="1:52" s="213" customFormat="1" x14ac:dyDescent="0.35">
      <c r="A289" s="211"/>
      <c r="B289" s="211"/>
      <c r="C289" s="211"/>
      <c r="D289" s="211"/>
      <c r="E289" s="211"/>
      <c r="F289" s="211"/>
      <c r="G289" s="211"/>
      <c r="H289" s="211"/>
      <c r="I289" s="212"/>
      <c r="J289" s="212"/>
      <c r="K289" s="212"/>
      <c r="L289" s="212"/>
      <c r="M289" s="212"/>
      <c r="N289" s="212"/>
      <c r="O289" s="212"/>
      <c r="P289" s="211"/>
      <c r="Q289" s="211"/>
      <c r="R289" s="211"/>
      <c r="S289" s="211"/>
      <c r="T289" s="211"/>
      <c r="U289" s="211"/>
      <c r="V289" s="211"/>
      <c r="W289" s="211"/>
      <c r="X289" s="211"/>
      <c r="Y289" s="211"/>
      <c r="Z289" s="211"/>
      <c r="AD289" s="211"/>
      <c r="AE289" s="211"/>
      <c r="AF289" s="211"/>
      <c r="AG289" s="211"/>
      <c r="AH289" s="211"/>
      <c r="AI289" s="211"/>
      <c r="AJ289" s="211"/>
      <c r="AK289" s="211"/>
      <c r="AL289" s="211"/>
      <c r="AM289" s="211"/>
      <c r="AN289" s="211"/>
      <c r="AO289" s="211"/>
      <c r="AP289" s="211"/>
      <c r="AQ289" s="211"/>
      <c r="AR289" s="211"/>
      <c r="AS289" s="211"/>
      <c r="AT289" s="211"/>
      <c r="AU289" s="211"/>
      <c r="AV289" s="211"/>
      <c r="AW289" s="211"/>
      <c r="AX289" s="211"/>
      <c r="AY289" s="211"/>
      <c r="AZ289" s="211"/>
    </row>
    <row r="290" spans="1:52" s="213" customFormat="1" x14ac:dyDescent="0.35">
      <c r="A290" s="211"/>
      <c r="B290" s="211"/>
      <c r="C290" s="211"/>
      <c r="D290" s="211"/>
      <c r="E290" s="211"/>
      <c r="F290" s="211"/>
      <c r="G290" s="211"/>
      <c r="H290" s="211"/>
      <c r="I290" s="212"/>
      <c r="J290" s="212"/>
      <c r="K290" s="212"/>
      <c r="L290" s="212"/>
      <c r="M290" s="212"/>
      <c r="N290" s="212"/>
      <c r="O290" s="212"/>
      <c r="P290" s="211"/>
      <c r="Q290" s="211"/>
      <c r="R290" s="211"/>
      <c r="S290" s="211"/>
      <c r="T290" s="211"/>
      <c r="U290" s="211"/>
      <c r="V290" s="211"/>
      <c r="W290" s="211"/>
      <c r="X290" s="211"/>
      <c r="Y290" s="211"/>
      <c r="Z290" s="211"/>
      <c r="AD290" s="211"/>
      <c r="AE290" s="211"/>
      <c r="AF290" s="211"/>
      <c r="AG290" s="211"/>
      <c r="AH290" s="211"/>
      <c r="AI290" s="211"/>
      <c r="AJ290" s="211"/>
      <c r="AK290" s="211"/>
      <c r="AL290" s="211"/>
      <c r="AM290" s="211"/>
      <c r="AN290" s="211"/>
      <c r="AO290" s="211"/>
      <c r="AP290" s="211"/>
      <c r="AQ290" s="211"/>
      <c r="AR290" s="211"/>
      <c r="AS290" s="211"/>
      <c r="AT290" s="211"/>
      <c r="AU290" s="211"/>
      <c r="AV290" s="211"/>
      <c r="AW290" s="211"/>
      <c r="AX290" s="211"/>
      <c r="AY290" s="211"/>
      <c r="AZ290" s="211"/>
    </row>
    <row r="291" spans="1:52" s="213" customFormat="1" x14ac:dyDescent="0.35">
      <c r="A291" s="211"/>
      <c r="B291" s="211"/>
      <c r="C291" s="211"/>
      <c r="D291" s="211"/>
      <c r="E291" s="211"/>
      <c r="F291" s="211"/>
      <c r="G291" s="211"/>
      <c r="H291" s="211"/>
      <c r="I291" s="212"/>
      <c r="J291" s="212"/>
      <c r="K291" s="212"/>
      <c r="L291" s="212"/>
      <c r="M291" s="212"/>
      <c r="N291" s="212"/>
      <c r="O291" s="212"/>
      <c r="P291" s="211"/>
      <c r="Q291" s="211"/>
      <c r="R291" s="211"/>
      <c r="S291" s="211"/>
      <c r="T291" s="211"/>
      <c r="U291" s="211"/>
      <c r="V291" s="211"/>
      <c r="W291" s="211"/>
      <c r="X291" s="211"/>
      <c r="Y291" s="211"/>
      <c r="Z291" s="211"/>
      <c r="AD291" s="211"/>
      <c r="AE291" s="211"/>
      <c r="AF291" s="211"/>
      <c r="AG291" s="211"/>
      <c r="AH291" s="211"/>
      <c r="AI291" s="211"/>
      <c r="AJ291" s="211"/>
      <c r="AK291" s="211"/>
      <c r="AL291" s="211"/>
      <c r="AM291" s="211"/>
      <c r="AN291" s="211"/>
      <c r="AO291" s="211"/>
      <c r="AP291" s="211"/>
      <c r="AQ291" s="211"/>
      <c r="AR291" s="211"/>
      <c r="AS291" s="211"/>
      <c r="AT291" s="211"/>
      <c r="AU291" s="211"/>
      <c r="AV291" s="211"/>
      <c r="AW291" s="211"/>
      <c r="AX291" s="211"/>
      <c r="AY291" s="211"/>
      <c r="AZ291" s="211"/>
    </row>
    <row r="292" spans="1:52" s="213" customFormat="1" x14ac:dyDescent="0.35">
      <c r="A292" s="211"/>
      <c r="B292" s="211"/>
      <c r="C292" s="211"/>
      <c r="D292" s="211"/>
      <c r="E292" s="211"/>
      <c r="F292" s="211"/>
      <c r="G292" s="211"/>
      <c r="H292" s="211"/>
      <c r="I292" s="212"/>
      <c r="J292" s="212"/>
      <c r="K292" s="212"/>
      <c r="L292" s="212"/>
      <c r="M292" s="212"/>
      <c r="N292" s="212"/>
      <c r="O292" s="212"/>
      <c r="P292" s="211"/>
      <c r="Q292" s="211"/>
      <c r="R292" s="211"/>
      <c r="S292" s="211"/>
      <c r="T292" s="211"/>
      <c r="U292" s="211"/>
      <c r="V292" s="211"/>
      <c r="W292" s="211"/>
      <c r="X292" s="211"/>
      <c r="Y292" s="211"/>
      <c r="Z292" s="211"/>
      <c r="AD292" s="211"/>
      <c r="AE292" s="211"/>
      <c r="AF292" s="211"/>
      <c r="AG292" s="211"/>
      <c r="AH292" s="211"/>
      <c r="AI292" s="211"/>
      <c r="AJ292" s="211"/>
      <c r="AK292" s="211"/>
      <c r="AL292" s="211"/>
      <c r="AM292" s="211"/>
      <c r="AN292" s="211"/>
      <c r="AO292" s="211"/>
      <c r="AP292" s="211"/>
      <c r="AQ292" s="211"/>
      <c r="AR292" s="211"/>
      <c r="AS292" s="211"/>
      <c r="AT292" s="211"/>
      <c r="AU292" s="211"/>
      <c r="AV292" s="211"/>
      <c r="AW292" s="211"/>
      <c r="AX292" s="211"/>
      <c r="AY292" s="211"/>
      <c r="AZ292" s="211"/>
    </row>
    <row r="293" spans="1:52" s="213" customFormat="1" x14ac:dyDescent="0.35">
      <c r="A293" s="211"/>
      <c r="B293" s="211"/>
      <c r="C293" s="211"/>
      <c r="D293" s="211"/>
      <c r="E293" s="211"/>
      <c r="F293" s="211"/>
      <c r="G293" s="211"/>
      <c r="H293" s="211"/>
      <c r="I293" s="212"/>
      <c r="J293" s="212"/>
      <c r="K293" s="212"/>
      <c r="L293" s="212"/>
      <c r="M293" s="212"/>
      <c r="N293" s="212"/>
      <c r="O293" s="212"/>
      <c r="P293" s="211"/>
      <c r="Q293" s="211"/>
      <c r="R293" s="211"/>
      <c r="S293" s="211"/>
      <c r="T293" s="211"/>
      <c r="U293" s="211"/>
      <c r="V293" s="211"/>
      <c r="W293" s="211"/>
      <c r="X293" s="211"/>
      <c r="Y293" s="211"/>
      <c r="Z293" s="211"/>
      <c r="AD293" s="211"/>
      <c r="AE293" s="211"/>
      <c r="AF293" s="211"/>
      <c r="AG293" s="211"/>
      <c r="AH293" s="211"/>
      <c r="AI293" s="211"/>
      <c r="AJ293" s="211"/>
      <c r="AK293" s="211"/>
      <c r="AL293" s="211"/>
      <c r="AM293" s="211"/>
      <c r="AN293" s="211"/>
      <c r="AO293" s="211"/>
      <c r="AP293" s="211"/>
      <c r="AQ293" s="211"/>
      <c r="AR293" s="211"/>
      <c r="AS293" s="211"/>
      <c r="AT293" s="211"/>
      <c r="AU293" s="211"/>
      <c r="AV293" s="211"/>
      <c r="AW293" s="211"/>
      <c r="AX293" s="211"/>
      <c r="AY293" s="211"/>
      <c r="AZ293" s="211"/>
    </row>
    <row r="294" spans="1:52" s="213" customFormat="1" x14ac:dyDescent="0.35">
      <c r="A294" s="211"/>
      <c r="B294" s="211"/>
      <c r="C294" s="211"/>
      <c r="D294" s="211"/>
      <c r="E294" s="211"/>
      <c r="F294" s="211"/>
      <c r="G294" s="211"/>
      <c r="H294" s="211"/>
      <c r="I294" s="212"/>
      <c r="J294" s="212"/>
      <c r="K294" s="212"/>
      <c r="L294" s="212"/>
      <c r="M294" s="212"/>
      <c r="N294" s="212"/>
      <c r="O294" s="212"/>
      <c r="P294" s="211"/>
      <c r="Q294" s="211"/>
      <c r="R294" s="211"/>
      <c r="S294" s="211"/>
      <c r="T294" s="211"/>
      <c r="U294" s="211"/>
      <c r="V294" s="211"/>
      <c r="W294" s="211"/>
      <c r="X294" s="211"/>
      <c r="Y294" s="211"/>
      <c r="Z294" s="211"/>
      <c r="AD294" s="211"/>
      <c r="AE294" s="211"/>
      <c r="AF294" s="211"/>
      <c r="AG294" s="211"/>
      <c r="AH294" s="211"/>
      <c r="AI294" s="211"/>
      <c r="AJ294" s="211"/>
      <c r="AK294" s="211"/>
      <c r="AL294" s="211"/>
      <c r="AM294" s="211"/>
      <c r="AN294" s="211"/>
      <c r="AO294" s="211"/>
      <c r="AP294" s="211"/>
      <c r="AQ294" s="211"/>
      <c r="AR294" s="211"/>
      <c r="AS294" s="211"/>
      <c r="AT294" s="211"/>
      <c r="AU294" s="211"/>
      <c r="AV294" s="211"/>
      <c r="AW294" s="211"/>
      <c r="AX294" s="211"/>
      <c r="AY294" s="211"/>
      <c r="AZ294" s="211"/>
    </row>
    <row r="295" spans="1:52" s="213" customFormat="1" x14ac:dyDescent="0.35">
      <c r="A295" s="211"/>
      <c r="B295" s="211"/>
      <c r="C295" s="211"/>
      <c r="D295" s="211"/>
      <c r="E295" s="211"/>
      <c r="F295" s="211"/>
      <c r="G295" s="211"/>
      <c r="H295" s="211"/>
      <c r="I295" s="212"/>
      <c r="J295" s="212"/>
      <c r="K295" s="212"/>
      <c r="L295" s="212"/>
      <c r="M295" s="212"/>
      <c r="N295" s="212"/>
      <c r="O295" s="212"/>
      <c r="P295" s="211"/>
      <c r="Q295" s="211"/>
      <c r="R295" s="211"/>
      <c r="S295" s="211"/>
      <c r="T295" s="211"/>
      <c r="U295" s="211"/>
      <c r="V295" s="211"/>
      <c r="W295" s="211"/>
      <c r="X295" s="211"/>
      <c r="Y295" s="211"/>
      <c r="Z295" s="211"/>
      <c r="AD295" s="211"/>
      <c r="AE295" s="211"/>
      <c r="AF295" s="211"/>
      <c r="AG295" s="211"/>
      <c r="AH295" s="211"/>
      <c r="AI295" s="211"/>
      <c r="AJ295" s="211"/>
      <c r="AK295" s="211"/>
      <c r="AL295" s="211"/>
      <c r="AM295" s="211"/>
      <c r="AN295" s="211"/>
      <c r="AO295" s="211"/>
      <c r="AP295" s="211"/>
      <c r="AQ295" s="211"/>
      <c r="AR295" s="211"/>
      <c r="AS295" s="211"/>
      <c r="AT295" s="211"/>
      <c r="AU295" s="211"/>
      <c r="AV295" s="211"/>
      <c r="AW295" s="211"/>
      <c r="AX295" s="211"/>
      <c r="AY295" s="211"/>
      <c r="AZ295" s="211"/>
    </row>
    <row r="296" spans="1:52" s="213" customFormat="1" x14ac:dyDescent="0.35">
      <c r="A296" s="211"/>
      <c r="B296" s="211"/>
      <c r="C296" s="211"/>
      <c r="D296" s="211"/>
      <c r="E296" s="211"/>
      <c r="F296" s="211"/>
      <c r="G296" s="211"/>
      <c r="H296" s="211"/>
      <c r="I296" s="212"/>
      <c r="J296" s="212"/>
      <c r="K296" s="212"/>
      <c r="L296" s="212"/>
      <c r="M296" s="212"/>
      <c r="N296" s="212"/>
      <c r="O296" s="212"/>
      <c r="P296" s="211"/>
      <c r="Q296" s="211"/>
      <c r="R296" s="211"/>
      <c r="S296" s="211"/>
      <c r="T296" s="211"/>
      <c r="U296" s="211"/>
      <c r="V296" s="211"/>
      <c r="W296" s="211"/>
      <c r="X296" s="211"/>
      <c r="Y296" s="211"/>
      <c r="Z296" s="211"/>
      <c r="AD296" s="211"/>
      <c r="AE296" s="211"/>
      <c r="AF296" s="211"/>
      <c r="AG296" s="211"/>
      <c r="AH296" s="211"/>
      <c r="AI296" s="211"/>
      <c r="AJ296" s="211"/>
      <c r="AK296" s="211"/>
      <c r="AL296" s="211"/>
      <c r="AM296" s="211"/>
      <c r="AN296" s="211"/>
      <c r="AO296" s="211"/>
      <c r="AP296" s="211"/>
      <c r="AQ296" s="211"/>
      <c r="AR296" s="211"/>
      <c r="AS296" s="211"/>
      <c r="AT296" s="211"/>
      <c r="AU296" s="211"/>
      <c r="AV296" s="211"/>
      <c r="AW296" s="211"/>
      <c r="AX296" s="211"/>
      <c r="AY296" s="211"/>
      <c r="AZ296" s="211"/>
    </row>
    <row r="297" spans="1:52" s="213" customFormat="1" x14ac:dyDescent="0.35">
      <c r="A297" s="211"/>
      <c r="B297" s="211"/>
      <c r="C297" s="211"/>
      <c r="D297" s="211"/>
      <c r="E297" s="211"/>
      <c r="F297" s="211"/>
      <c r="G297" s="211"/>
      <c r="H297" s="211"/>
      <c r="I297" s="212"/>
      <c r="J297" s="212"/>
      <c r="K297" s="212"/>
      <c r="L297" s="212"/>
      <c r="M297" s="212"/>
      <c r="N297" s="212"/>
      <c r="O297" s="212"/>
      <c r="P297" s="211"/>
      <c r="Q297" s="211"/>
      <c r="R297" s="211"/>
      <c r="S297" s="211"/>
      <c r="T297" s="211"/>
      <c r="U297" s="211"/>
      <c r="V297" s="211"/>
      <c r="W297" s="211"/>
      <c r="X297" s="211"/>
      <c r="Y297" s="211"/>
      <c r="Z297" s="211"/>
      <c r="AD297" s="211"/>
      <c r="AE297" s="211"/>
      <c r="AF297" s="211"/>
      <c r="AG297" s="211"/>
      <c r="AH297" s="211"/>
      <c r="AI297" s="211"/>
      <c r="AJ297" s="211"/>
      <c r="AK297" s="211"/>
      <c r="AL297" s="211"/>
      <c r="AM297" s="211"/>
      <c r="AN297" s="211"/>
      <c r="AO297" s="211"/>
      <c r="AP297" s="211"/>
      <c r="AQ297" s="211"/>
      <c r="AR297" s="211"/>
      <c r="AS297" s="211"/>
      <c r="AT297" s="211"/>
      <c r="AU297" s="211"/>
      <c r="AV297" s="211"/>
      <c r="AW297" s="211"/>
      <c r="AX297" s="211"/>
      <c r="AY297" s="211"/>
      <c r="AZ297" s="211"/>
    </row>
    <row r="298" spans="1:52" s="213" customFormat="1" x14ac:dyDescent="0.35">
      <c r="A298" s="211"/>
      <c r="B298" s="211"/>
      <c r="C298" s="211"/>
      <c r="D298" s="211"/>
      <c r="E298" s="211"/>
      <c r="F298" s="211"/>
      <c r="G298" s="211"/>
      <c r="H298" s="211"/>
      <c r="I298" s="212"/>
      <c r="J298" s="212"/>
      <c r="K298" s="212"/>
      <c r="L298" s="212"/>
      <c r="M298" s="212"/>
      <c r="N298" s="212"/>
      <c r="O298" s="212"/>
      <c r="P298" s="211"/>
      <c r="Q298" s="211"/>
      <c r="R298" s="211"/>
      <c r="S298" s="211"/>
      <c r="T298" s="211"/>
      <c r="U298" s="211"/>
      <c r="V298" s="211"/>
      <c r="W298" s="211"/>
      <c r="X298" s="211"/>
      <c r="Y298" s="211"/>
      <c r="Z298" s="211"/>
      <c r="AD298" s="211"/>
      <c r="AE298" s="211"/>
      <c r="AF298" s="211"/>
      <c r="AG298" s="211"/>
      <c r="AH298" s="211"/>
      <c r="AI298" s="211"/>
      <c r="AJ298" s="211"/>
      <c r="AK298" s="211"/>
      <c r="AL298" s="211"/>
      <c r="AM298" s="211"/>
      <c r="AN298" s="211"/>
      <c r="AO298" s="211"/>
      <c r="AP298" s="211"/>
      <c r="AQ298" s="211"/>
      <c r="AR298" s="211"/>
      <c r="AS298" s="211"/>
      <c r="AT298" s="211"/>
      <c r="AU298" s="211"/>
      <c r="AV298" s="211"/>
      <c r="AW298" s="211"/>
      <c r="AX298" s="211"/>
      <c r="AY298" s="211"/>
      <c r="AZ298" s="211"/>
    </row>
    <row r="299" spans="1:52" s="213" customFormat="1" x14ac:dyDescent="0.35">
      <c r="A299" s="211"/>
      <c r="B299" s="211"/>
      <c r="C299" s="211"/>
      <c r="D299" s="211"/>
      <c r="E299" s="211"/>
      <c r="F299" s="211"/>
      <c r="G299" s="211"/>
      <c r="H299" s="211"/>
      <c r="I299" s="212"/>
      <c r="J299" s="212"/>
      <c r="K299" s="212"/>
      <c r="L299" s="212"/>
      <c r="M299" s="212"/>
      <c r="N299" s="212"/>
      <c r="O299" s="212"/>
      <c r="P299" s="211"/>
      <c r="Q299" s="211"/>
      <c r="R299" s="211"/>
      <c r="S299" s="211"/>
      <c r="T299" s="211"/>
      <c r="U299" s="211"/>
      <c r="V299" s="211"/>
      <c r="W299" s="211"/>
      <c r="X299" s="211"/>
      <c r="Y299" s="211"/>
      <c r="Z299" s="211"/>
      <c r="AD299" s="211"/>
      <c r="AE299" s="211"/>
      <c r="AF299" s="211"/>
      <c r="AG299" s="211"/>
      <c r="AH299" s="211"/>
      <c r="AI299" s="211"/>
      <c r="AJ299" s="211"/>
      <c r="AK299" s="211"/>
      <c r="AL299" s="211"/>
      <c r="AM299" s="211"/>
      <c r="AN299" s="211"/>
      <c r="AO299" s="211"/>
      <c r="AP299" s="211"/>
      <c r="AQ299" s="211"/>
      <c r="AR299" s="211"/>
      <c r="AS299" s="211"/>
      <c r="AT299" s="211"/>
      <c r="AU299" s="211"/>
      <c r="AV299" s="211"/>
      <c r="AW299" s="211"/>
      <c r="AX299" s="211"/>
      <c r="AY299" s="211"/>
      <c r="AZ299" s="211"/>
    </row>
    <row r="300" spans="1:52" s="213" customFormat="1" x14ac:dyDescent="0.35">
      <c r="A300" s="211"/>
      <c r="B300" s="211"/>
      <c r="C300" s="211"/>
      <c r="D300" s="211"/>
      <c r="E300" s="211"/>
      <c r="F300" s="211"/>
      <c r="G300" s="211"/>
      <c r="H300" s="211"/>
      <c r="I300" s="212"/>
      <c r="J300" s="212"/>
      <c r="K300" s="212"/>
      <c r="L300" s="212"/>
      <c r="M300" s="212"/>
      <c r="N300" s="212"/>
      <c r="O300" s="212"/>
      <c r="P300" s="211"/>
      <c r="Q300" s="211"/>
      <c r="R300" s="211"/>
      <c r="S300" s="211"/>
      <c r="T300" s="211"/>
      <c r="U300" s="211"/>
      <c r="V300" s="211"/>
      <c r="W300" s="211"/>
      <c r="X300" s="211"/>
      <c r="Y300" s="211"/>
      <c r="Z300" s="211"/>
      <c r="AD300" s="211"/>
      <c r="AE300" s="211"/>
      <c r="AF300" s="211"/>
      <c r="AG300" s="211"/>
      <c r="AH300" s="211"/>
      <c r="AI300" s="211"/>
      <c r="AJ300" s="211"/>
      <c r="AK300" s="211"/>
      <c r="AL300" s="211"/>
      <c r="AM300" s="211"/>
      <c r="AN300" s="211"/>
      <c r="AO300" s="211"/>
      <c r="AP300" s="211"/>
      <c r="AQ300" s="211"/>
      <c r="AR300" s="211"/>
      <c r="AS300" s="211"/>
      <c r="AT300" s="211"/>
      <c r="AU300" s="211"/>
      <c r="AV300" s="211"/>
      <c r="AW300" s="211"/>
      <c r="AX300" s="211"/>
      <c r="AY300" s="211"/>
      <c r="AZ300" s="211"/>
    </row>
    <row r="301" spans="1:52" s="213" customFormat="1" x14ac:dyDescent="0.35">
      <c r="A301" s="211"/>
      <c r="B301" s="211"/>
      <c r="C301" s="211"/>
      <c r="D301" s="211"/>
      <c r="E301" s="211"/>
      <c r="F301" s="211"/>
      <c r="G301" s="211"/>
      <c r="H301" s="211"/>
      <c r="I301" s="212"/>
      <c r="J301" s="212"/>
      <c r="K301" s="212"/>
      <c r="L301" s="212"/>
      <c r="M301" s="212"/>
      <c r="N301" s="212"/>
      <c r="O301" s="212"/>
      <c r="P301" s="211"/>
      <c r="Q301" s="211"/>
      <c r="R301" s="211"/>
      <c r="S301" s="211"/>
      <c r="T301" s="211"/>
      <c r="U301" s="211"/>
      <c r="V301" s="211"/>
      <c r="W301" s="211"/>
      <c r="X301" s="211"/>
      <c r="Y301" s="211"/>
      <c r="Z301" s="211"/>
      <c r="AD301" s="211"/>
      <c r="AE301" s="211"/>
      <c r="AF301" s="211"/>
      <c r="AG301" s="211"/>
      <c r="AH301" s="211"/>
      <c r="AI301" s="211"/>
      <c r="AJ301" s="211"/>
      <c r="AK301" s="211"/>
      <c r="AL301" s="211"/>
      <c r="AM301" s="211"/>
      <c r="AN301" s="211"/>
      <c r="AO301" s="211"/>
      <c r="AP301" s="211"/>
      <c r="AQ301" s="211"/>
      <c r="AR301" s="211"/>
      <c r="AS301" s="211"/>
      <c r="AT301" s="211"/>
      <c r="AU301" s="211"/>
      <c r="AV301" s="211"/>
      <c r="AW301" s="211"/>
      <c r="AX301" s="211"/>
      <c r="AY301" s="211"/>
      <c r="AZ301" s="211"/>
    </row>
    <row r="302" spans="1:52" s="213" customFormat="1" x14ac:dyDescent="0.35">
      <c r="A302" s="211"/>
      <c r="B302" s="211"/>
      <c r="C302" s="211"/>
      <c r="D302" s="211"/>
      <c r="E302" s="211"/>
      <c r="F302" s="211"/>
      <c r="G302" s="211"/>
      <c r="H302" s="211"/>
      <c r="I302" s="212"/>
      <c r="J302" s="212"/>
      <c r="K302" s="212"/>
      <c r="L302" s="212"/>
      <c r="M302" s="212"/>
      <c r="N302" s="212"/>
      <c r="O302" s="212"/>
      <c r="P302" s="211"/>
      <c r="Q302" s="211"/>
      <c r="R302" s="211"/>
      <c r="S302" s="211"/>
      <c r="T302" s="211"/>
      <c r="U302" s="211"/>
      <c r="V302" s="211"/>
      <c r="W302" s="211"/>
      <c r="X302" s="211"/>
      <c r="Y302" s="211"/>
      <c r="Z302" s="211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/>
      <c r="AN302" s="211"/>
      <c r="AO302" s="211"/>
      <c r="AP302" s="211"/>
      <c r="AQ302" s="211"/>
      <c r="AR302" s="211"/>
      <c r="AS302" s="211"/>
      <c r="AT302" s="211"/>
      <c r="AU302" s="211"/>
      <c r="AV302" s="211"/>
      <c r="AW302" s="211"/>
      <c r="AX302" s="211"/>
      <c r="AY302" s="211"/>
      <c r="AZ302" s="211"/>
    </row>
    <row r="303" spans="1:52" s="213" customFormat="1" x14ac:dyDescent="0.35">
      <c r="A303" s="211"/>
      <c r="B303" s="211"/>
      <c r="C303" s="211"/>
      <c r="D303" s="211"/>
      <c r="E303" s="211"/>
      <c r="F303" s="211"/>
      <c r="G303" s="211"/>
      <c r="H303" s="211"/>
      <c r="I303" s="212"/>
      <c r="J303" s="212"/>
      <c r="K303" s="212"/>
      <c r="L303" s="212"/>
      <c r="M303" s="212"/>
      <c r="N303" s="212"/>
      <c r="O303" s="212"/>
      <c r="P303" s="211"/>
      <c r="Q303" s="211"/>
      <c r="R303" s="211"/>
      <c r="S303" s="211"/>
      <c r="T303" s="211"/>
      <c r="U303" s="211"/>
      <c r="V303" s="211"/>
      <c r="W303" s="211"/>
      <c r="X303" s="211"/>
      <c r="Y303" s="211"/>
      <c r="Z303" s="211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  <c r="AN303" s="211"/>
      <c r="AO303" s="211"/>
      <c r="AP303" s="211"/>
      <c r="AQ303" s="211"/>
      <c r="AR303" s="211"/>
      <c r="AS303" s="211"/>
      <c r="AT303" s="211"/>
      <c r="AU303" s="211"/>
      <c r="AV303" s="211"/>
      <c r="AW303" s="211"/>
      <c r="AX303" s="211"/>
      <c r="AY303" s="211"/>
      <c r="AZ303" s="211"/>
    </row>
    <row r="304" spans="1:52" s="213" customFormat="1" x14ac:dyDescent="0.35">
      <c r="A304" s="211"/>
      <c r="B304" s="211"/>
      <c r="C304" s="211"/>
      <c r="D304" s="211"/>
      <c r="E304" s="211"/>
      <c r="F304" s="211"/>
      <c r="G304" s="211"/>
      <c r="H304" s="211"/>
      <c r="I304" s="212"/>
      <c r="J304" s="212"/>
      <c r="K304" s="212"/>
      <c r="L304" s="212"/>
      <c r="M304" s="212"/>
      <c r="N304" s="212"/>
      <c r="O304" s="212"/>
      <c r="P304" s="211"/>
      <c r="Q304" s="211"/>
      <c r="R304" s="211"/>
      <c r="S304" s="211"/>
      <c r="T304" s="211"/>
      <c r="U304" s="211"/>
      <c r="V304" s="211"/>
      <c r="W304" s="211"/>
      <c r="X304" s="211"/>
      <c r="Y304" s="211"/>
      <c r="Z304" s="211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  <c r="AN304" s="211"/>
      <c r="AO304" s="211"/>
      <c r="AP304" s="211"/>
      <c r="AQ304" s="211"/>
      <c r="AR304" s="211"/>
      <c r="AS304" s="211"/>
      <c r="AT304" s="211"/>
      <c r="AU304" s="211"/>
      <c r="AV304" s="211"/>
      <c r="AW304" s="211"/>
      <c r="AX304" s="211"/>
      <c r="AY304" s="211"/>
      <c r="AZ304" s="211"/>
    </row>
    <row r="305" spans="1:52" s="213" customFormat="1" x14ac:dyDescent="0.35">
      <c r="A305" s="211"/>
      <c r="B305" s="211"/>
      <c r="C305" s="211"/>
      <c r="D305" s="211"/>
      <c r="E305" s="211"/>
      <c r="F305" s="211"/>
      <c r="G305" s="211"/>
      <c r="H305" s="211"/>
      <c r="I305" s="212"/>
      <c r="J305" s="212"/>
      <c r="K305" s="212"/>
      <c r="L305" s="212"/>
      <c r="M305" s="212"/>
      <c r="N305" s="212"/>
      <c r="O305" s="212"/>
      <c r="P305" s="211"/>
      <c r="Q305" s="211"/>
      <c r="R305" s="211"/>
      <c r="S305" s="211"/>
      <c r="T305" s="211"/>
      <c r="U305" s="211"/>
      <c r="V305" s="211"/>
      <c r="W305" s="211"/>
      <c r="X305" s="211"/>
      <c r="Y305" s="211"/>
      <c r="Z305" s="211"/>
      <c r="AD305" s="211"/>
      <c r="AE305" s="211"/>
      <c r="AF305" s="211"/>
      <c r="AG305" s="211"/>
      <c r="AH305" s="211"/>
      <c r="AI305" s="211"/>
      <c r="AJ305" s="211"/>
      <c r="AK305" s="211"/>
      <c r="AL305" s="211"/>
      <c r="AM305" s="211"/>
      <c r="AN305" s="211"/>
      <c r="AO305" s="211"/>
      <c r="AP305" s="211"/>
      <c r="AQ305" s="211"/>
      <c r="AR305" s="211"/>
      <c r="AS305" s="211"/>
      <c r="AT305" s="211"/>
      <c r="AU305" s="211"/>
      <c r="AV305" s="211"/>
      <c r="AW305" s="211"/>
      <c r="AX305" s="211"/>
      <c r="AY305" s="211"/>
      <c r="AZ305" s="211"/>
    </row>
    <row r="306" spans="1:52" s="213" customFormat="1" x14ac:dyDescent="0.35">
      <c r="A306" s="211"/>
      <c r="B306" s="211"/>
      <c r="C306" s="211"/>
      <c r="D306" s="211"/>
      <c r="E306" s="211"/>
      <c r="F306" s="211"/>
      <c r="G306" s="211"/>
      <c r="H306" s="211"/>
      <c r="I306" s="212"/>
      <c r="J306" s="212"/>
      <c r="K306" s="212"/>
      <c r="L306" s="212"/>
      <c r="M306" s="212"/>
      <c r="N306" s="212"/>
      <c r="O306" s="212"/>
      <c r="P306" s="211"/>
      <c r="Q306" s="211"/>
      <c r="R306" s="211"/>
      <c r="S306" s="211"/>
      <c r="T306" s="211"/>
      <c r="U306" s="211"/>
      <c r="V306" s="211"/>
      <c r="W306" s="211"/>
      <c r="X306" s="211"/>
      <c r="Y306" s="211"/>
      <c r="Z306" s="211"/>
      <c r="AD306" s="211"/>
      <c r="AE306" s="211"/>
      <c r="AF306" s="211"/>
      <c r="AG306" s="211"/>
      <c r="AH306" s="211"/>
      <c r="AI306" s="211"/>
      <c r="AJ306" s="211"/>
      <c r="AK306" s="211"/>
      <c r="AL306" s="211"/>
      <c r="AM306" s="211"/>
      <c r="AN306" s="211"/>
      <c r="AO306" s="211"/>
      <c r="AP306" s="211"/>
      <c r="AQ306" s="211"/>
      <c r="AR306" s="211"/>
      <c r="AS306" s="211"/>
      <c r="AT306" s="211"/>
      <c r="AU306" s="211"/>
      <c r="AV306" s="211"/>
      <c r="AW306" s="211"/>
      <c r="AX306" s="211"/>
      <c r="AY306" s="211"/>
      <c r="AZ306" s="211"/>
    </row>
    <row r="307" spans="1:52" s="213" customFormat="1" x14ac:dyDescent="0.35">
      <c r="A307" s="211"/>
      <c r="B307" s="211"/>
      <c r="C307" s="211"/>
      <c r="D307" s="211"/>
      <c r="E307" s="211"/>
      <c r="F307" s="211"/>
      <c r="G307" s="211"/>
      <c r="H307" s="211"/>
      <c r="I307" s="212"/>
      <c r="J307" s="212"/>
      <c r="K307" s="212"/>
      <c r="L307" s="212"/>
      <c r="M307" s="212"/>
      <c r="N307" s="212"/>
      <c r="O307" s="212"/>
      <c r="P307" s="211"/>
      <c r="Q307" s="211"/>
      <c r="R307" s="211"/>
      <c r="S307" s="211"/>
      <c r="T307" s="211"/>
      <c r="U307" s="211"/>
      <c r="V307" s="211"/>
      <c r="W307" s="211"/>
      <c r="X307" s="211"/>
      <c r="Y307" s="211"/>
      <c r="Z307" s="211"/>
      <c r="AD307" s="211"/>
      <c r="AE307" s="211"/>
      <c r="AF307" s="211"/>
      <c r="AG307" s="211"/>
      <c r="AH307" s="211"/>
      <c r="AI307" s="211"/>
      <c r="AJ307" s="211"/>
      <c r="AK307" s="211"/>
      <c r="AL307" s="211"/>
      <c r="AM307" s="211"/>
      <c r="AN307" s="211"/>
      <c r="AO307" s="211"/>
      <c r="AP307" s="211"/>
      <c r="AQ307" s="211"/>
      <c r="AR307" s="211"/>
      <c r="AS307" s="211"/>
      <c r="AT307" s="211"/>
      <c r="AU307" s="211"/>
      <c r="AV307" s="211"/>
      <c r="AW307" s="211"/>
      <c r="AX307" s="211"/>
      <c r="AY307" s="211"/>
      <c r="AZ307" s="211"/>
    </row>
    <row r="308" spans="1:52" s="213" customFormat="1" x14ac:dyDescent="0.35">
      <c r="A308" s="211"/>
      <c r="B308" s="211"/>
      <c r="C308" s="211"/>
      <c r="D308" s="211"/>
      <c r="E308" s="211"/>
      <c r="F308" s="211"/>
      <c r="G308" s="211"/>
      <c r="H308" s="211"/>
      <c r="I308" s="212"/>
      <c r="J308" s="212"/>
      <c r="K308" s="212"/>
      <c r="L308" s="212"/>
      <c r="M308" s="212"/>
      <c r="N308" s="212"/>
      <c r="O308" s="212"/>
      <c r="P308" s="211"/>
      <c r="Q308" s="211"/>
      <c r="R308" s="211"/>
      <c r="S308" s="211"/>
      <c r="T308" s="211"/>
      <c r="U308" s="211"/>
      <c r="V308" s="211"/>
      <c r="W308" s="211"/>
      <c r="X308" s="211"/>
      <c r="Y308" s="211"/>
      <c r="Z308" s="211"/>
      <c r="AD308" s="211"/>
      <c r="AE308" s="211"/>
      <c r="AF308" s="211"/>
      <c r="AG308" s="211"/>
      <c r="AH308" s="211"/>
      <c r="AI308" s="211"/>
      <c r="AJ308" s="211"/>
      <c r="AK308" s="211"/>
      <c r="AL308" s="211"/>
      <c r="AM308" s="211"/>
      <c r="AN308" s="211"/>
      <c r="AO308" s="211"/>
      <c r="AP308" s="211"/>
      <c r="AQ308" s="211"/>
      <c r="AR308" s="211"/>
      <c r="AS308" s="211"/>
      <c r="AT308" s="211"/>
      <c r="AU308" s="211"/>
      <c r="AV308" s="211"/>
      <c r="AW308" s="211"/>
      <c r="AX308" s="211"/>
      <c r="AY308" s="211"/>
      <c r="AZ308" s="211"/>
    </row>
    <row r="309" spans="1:52" s="213" customFormat="1" x14ac:dyDescent="0.35">
      <c r="A309" s="211"/>
      <c r="B309" s="211"/>
      <c r="C309" s="211"/>
      <c r="D309" s="211"/>
      <c r="E309" s="211"/>
      <c r="F309" s="211"/>
      <c r="G309" s="211"/>
      <c r="H309" s="211"/>
      <c r="I309" s="212"/>
      <c r="J309" s="212"/>
      <c r="K309" s="212"/>
      <c r="L309" s="212"/>
      <c r="M309" s="212"/>
      <c r="N309" s="212"/>
      <c r="O309" s="212"/>
      <c r="P309" s="211"/>
      <c r="Q309" s="211"/>
      <c r="R309" s="211"/>
      <c r="S309" s="211"/>
      <c r="T309" s="211"/>
      <c r="U309" s="211"/>
      <c r="V309" s="211"/>
      <c r="W309" s="211"/>
      <c r="X309" s="211"/>
      <c r="Y309" s="211"/>
      <c r="Z309" s="211"/>
      <c r="AD309" s="211"/>
      <c r="AE309" s="211"/>
      <c r="AF309" s="211"/>
      <c r="AG309" s="211"/>
      <c r="AH309" s="211"/>
      <c r="AI309" s="211"/>
      <c r="AJ309" s="211"/>
      <c r="AK309" s="211"/>
      <c r="AL309" s="211"/>
      <c r="AM309" s="211"/>
      <c r="AN309" s="211"/>
      <c r="AO309" s="211"/>
      <c r="AP309" s="211"/>
      <c r="AQ309" s="211"/>
      <c r="AR309" s="211"/>
      <c r="AS309" s="211"/>
      <c r="AT309" s="211"/>
      <c r="AU309" s="211"/>
      <c r="AV309" s="211"/>
      <c r="AW309" s="211"/>
      <c r="AX309" s="211"/>
      <c r="AY309" s="211"/>
      <c r="AZ309" s="211"/>
    </row>
    <row r="310" spans="1:52" s="213" customFormat="1" x14ac:dyDescent="0.35">
      <c r="A310" s="211"/>
      <c r="B310" s="211"/>
      <c r="C310" s="211"/>
      <c r="D310" s="211"/>
      <c r="E310" s="211"/>
      <c r="F310" s="211"/>
      <c r="G310" s="211"/>
      <c r="H310" s="211"/>
      <c r="I310" s="212"/>
      <c r="J310" s="212"/>
      <c r="K310" s="212"/>
      <c r="L310" s="212"/>
      <c r="M310" s="212"/>
      <c r="N310" s="212"/>
      <c r="O310" s="212"/>
      <c r="P310" s="211"/>
      <c r="Q310" s="211"/>
      <c r="R310" s="211"/>
      <c r="S310" s="211"/>
      <c r="T310" s="211"/>
      <c r="U310" s="211"/>
      <c r="V310" s="211"/>
      <c r="W310" s="211"/>
      <c r="X310" s="211"/>
      <c r="Y310" s="211"/>
      <c r="Z310" s="211"/>
      <c r="AD310" s="211"/>
      <c r="AE310" s="211"/>
      <c r="AF310" s="211"/>
      <c r="AG310" s="211"/>
      <c r="AH310" s="211"/>
      <c r="AI310" s="211"/>
      <c r="AJ310" s="211"/>
      <c r="AK310" s="211"/>
      <c r="AL310" s="211"/>
      <c r="AM310" s="211"/>
      <c r="AN310" s="211"/>
      <c r="AO310" s="211"/>
      <c r="AP310" s="211"/>
      <c r="AQ310" s="211"/>
      <c r="AR310" s="211"/>
      <c r="AS310" s="211"/>
      <c r="AT310" s="211"/>
      <c r="AU310" s="211"/>
      <c r="AV310" s="211"/>
      <c r="AW310" s="211"/>
      <c r="AX310" s="211"/>
      <c r="AY310" s="211"/>
      <c r="AZ310" s="211"/>
    </row>
    <row r="311" spans="1:52" s="213" customFormat="1" x14ac:dyDescent="0.35">
      <c r="A311" s="211"/>
      <c r="B311" s="211"/>
      <c r="C311" s="211"/>
      <c r="D311" s="211"/>
      <c r="E311" s="211"/>
      <c r="F311" s="211"/>
      <c r="G311" s="211"/>
      <c r="H311" s="211"/>
      <c r="I311" s="212"/>
      <c r="J311" s="212"/>
      <c r="K311" s="212"/>
      <c r="L311" s="212"/>
      <c r="M311" s="212"/>
      <c r="N311" s="212"/>
      <c r="O311" s="212"/>
      <c r="P311" s="211"/>
      <c r="Q311" s="211"/>
      <c r="R311" s="211"/>
      <c r="S311" s="211"/>
      <c r="T311" s="211"/>
      <c r="U311" s="211"/>
      <c r="V311" s="211"/>
      <c r="W311" s="211"/>
      <c r="X311" s="211"/>
      <c r="Y311" s="211"/>
      <c r="Z311" s="211"/>
      <c r="AD311" s="211"/>
      <c r="AE311" s="211"/>
      <c r="AF311" s="211"/>
      <c r="AG311" s="211"/>
      <c r="AH311" s="211"/>
      <c r="AI311" s="211"/>
      <c r="AJ311" s="211"/>
      <c r="AK311" s="211"/>
      <c r="AL311" s="211"/>
      <c r="AM311" s="211"/>
      <c r="AN311" s="211"/>
      <c r="AO311" s="211"/>
      <c r="AP311" s="211"/>
      <c r="AQ311" s="211"/>
      <c r="AR311" s="211"/>
      <c r="AS311" s="211"/>
      <c r="AT311" s="211"/>
      <c r="AU311" s="211"/>
      <c r="AV311" s="211"/>
      <c r="AW311" s="211"/>
      <c r="AX311" s="211"/>
      <c r="AY311" s="211"/>
      <c r="AZ311" s="211"/>
    </row>
    <row r="312" spans="1:52" s="213" customFormat="1" x14ac:dyDescent="0.35">
      <c r="A312" s="211"/>
      <c r="B312" s="211"/>
      <c r="C312" s="211"/>
      <c r="D312" s="211"/>
      <c r="E312" s="211"/>
      <c r="F312" s="211"/>
      <c r="G312" s="211"/>
      <c r="H312" s="211"/>
      <c r="I312" s="212"/>
      <c r="J312" s="212"/>
      <c r="K312" s="212"/>
      <c r="L312" s="212"/>
      <c r="M312" s="212"/>
      <c r="N312" s="212"/>
      <c r="O312" s="212"/>
      <c r="P312" s="211"/>
      <c r="Q312" s="211"/>
      <c r="R312" s="211"/>
      <c r="S312" s="211"/>
      <c r="T312" s="211"/>
      <c r="U312" s="211"/>
      <c r="V312" s="211"/>
      <c r="W312" s="211"/>
      <c r="X312" s="211"/>
      <c r="Y312" s="211"/>
      <c r="Z312" s="211"/>
      <c r="AD312" s="211"/>
      <c r="AE312" s="211"/>
      <c r="AF312" s="211"/>
      <c r="AG312" s="211"/>
      <c r="AH312" s="211"/>
      <c r="AI312" s="211"/>
      <c r="AJ312" s="211"/>
      <c r="AK312" s="211"/>
      <c r="AL312" s="211"/>
      <c r="AM312" s="211"/>
      <c r="AN312" s="211"/>
      <c r="AO312" s="211"/>
      <c r="AP312" s="211"/>
      <c r="AQ312" s="211"/>
      <c r="AR312" s="211"/>
      <c r="AS312" s="211"/>
      <c r="AT312" s="211"/>
      <c r="AU312" s="211"/>
      <c r="AV312" s="211"/>
      <c r="AW312" s="211"/>
      <c r="AX312" s="211"/>
      <c r="AY312" s="211"/>
      <c r="AZ312" s="211"/>
    </row>
    <row r="313" spans="1:52" s="213" customFormat="1" x14ac:dyDescent="0.35">
      <c r="A313" s="211"/>
      <c r="B313" s="211"/>
      <c r="C313" s="211"/>
      <c r="D313" s="211"/>
      <c r="E313" s="211"/>
      <c r="F313" s="211"/>
      <c r="G313" s="211"/>
      <c r="H313" s="211"/>
      <c r="I313" s="212"/>
      <c r="J313" s="212"/>
      <c r="K313" s="212"/>
      <c r="L313" s="212"/>
      <c r="M313" s="212"/>
      <c r="N313" s="212"/>
      <c r="O313" s="212"/>
      <c r="P313" s="211"/>
      <c r="Q313" s="211"/>
      <c r="R313" s="211"/>
      <c r="S313" s="211"/>
      <c r="T313" s="211"/>
      <c r="U313" s="211"/>
      <c r="V313" s="211"/>
      <c r="W313" s="211"/>
      <c r="X313" s="211"/>
      <c r="Y313" s="211"/>
      <c r="Z313" s="211"/>
      <c r="AD313" s="211"/>
      <c r="AE313" s="211"/>
      <c r="AF313" s="211"/>
      <c r="AG313" s="211"/>
      <c r="AH313" s="211"/>
      <c r="AI313" s="211"/>
      <c r="AJ313" s="211"/>
      <c r="AK313" s="211"/>
      <c r="AL313" s="211"/>
      <c r="AM313" s="211"/>
      <c r="AN313" s="211"/>
      <c r="AO313" s="211"/>
      <c r="AP313" s="211"/>
      <c r="AQ313" s="211"/>
      <c r="AR313" s="211"/>
      <c r="AS313" s="211"/>
      <c r="AT313" s="211"/>
      <c r="AU313" s="211"/>
      <c r="AV313" s="211"/>
      <c r="AW313" s="211"/>
      <c r="AX313" s="211"/>
      <c r="AY313" s="211"/>
      <c r="AZ313" s="211"/>
    </row>
    <row r="314" spans="1:52" s="213" customFormat="1" x14ac:dyDescent="0.35">
      <c r="A314" s="211"/>
      <c r="B314" s="211"/>
      <c r="C314" s="211"/>
      <c r="D314" s="211"/>
      <c r="E314" s="211"/>
      <c r="F314" s="211"/>
      <c r="G314" s="211"/>
      <c r="H314" s="211"/>
      <c r="I314" s="212"/>
      <c r="J314" s="212"/>
      <c r="K314" s="212"/>
      <c r="L314" s="212"/>
      <c r="M314" s="212"/>
      <c r="N314" s="212"/>
      <c r="O314" s="212"/>
      <c r="P314" s="211"/>
      <c r="Q314" s="211"/>
      <c r="R314" s="211"/>
      <c r="S314" s="211"/>
      <c r="T314" s="211"/>
      <c r="U314" s="211"/>
      <c r="V314" s="211"/>
      <c r="W314" s="211"/>
      <c r="X314" s="211"/>
      <c r="Y314" s="211"/>
      <c r="Z314" s="211"/>
      <c r="AD314" s="211"/>
      <c r="AE314" s="211"/>
      <c r="AF314" s="211"/>
      <c r="AG314" s="211"/>
      <c r="AH314" s="211"/>
      <c r="AI314" s="211"/>
      <c r="AJ314" s="211"/>
      <c r="AK314" s="211"/>
      <c r="AL314" s="211"/>
      <c r="AM314" s="211"/>
      <c r="AN314" s="211"/>
      <c r="AO314" s="211"/>
      <c r="AP314" s="211"/>
      <c r="AQ314" s="211"/>
      <c r="AR314" s="211"/>
      <c r="AS314" s="211"/>
      <c r="AT314" s="211"/>
      <c r="AU314" s="211"/>
      <c r="AV314" s="211"/>
      <c r="AW314" s="211"/>
      <c r="AX314" s="211"/>
      <c r="AY314" s="211"/>
      <c r="AZ314" s="211"/>
    </row>
    <row r="315" spans="1:52" s="213" customFormat="1" x14ac:dyDescent="0.35">
      <c r="A315" s="211"/>
      <c r="B315" s="211"/>
      <c r="C315" s="211"/>
      <c r="D315" s="211"/>
      <c r="E315" s="211"/>
      <c r="F315" s="211"/>
      <c r="G315" s="211"/>
      <c r="H315" s="211"/>
      <c r="I315" s="212"/>
      <c r="J315" s="212"/>
      <c r="K315" s="212"/>
      <c r="L315" s="212"/>
      <c r="M315" s="212"/>
      <c r="N315" s="212"/>
      <c r="O315" s="212"/>
      <c r="P315" s="211"/>
      <c r="Q315" s="211"/>
      <c r="R315" s="211"/>
      <c r="S315" s="211"/>
      <c r="T315" s="211"/>
      <c r="U315" s="211"/>
      <c r="V315" s="211"/>
      <c r="W315" s="211"/>
      <c r="X315" s="211"/>
      <c r="Y315" s="211"/>
      <c r="Z315" s="211"/>
      <c r="AD315" s="211"/>
      <c r="AE315" s="211"/>
      <c r="AF315" s="211"/>
      <c r="AG315" s="211"/>
      <c r="AH315" s="211"/>
      <c r="AI315" s="211"/>
      <c r="AJ315" s="211"/>
      <c r="AK315" s="211"/>
      <c r="AL315" s="211"/>
      <c r="AM315" s="211"/>
      <c r="AN315" s="211"/>
      <c r="AO315" s="211"/>
      <c r="AP315" s="211"/>
      <c r="AQ315" s="211"/>
      <c r="AR315" s="211"/>
      <c r="AS315" s="211"/>
      <c r="AT315" s="211"/>
      <c r="AU315" s="211"/>
      <c r="AV315" s="211"/>
      <c r="AW315" s="211"/>
      <c r="AX315" s="211"/>
      <c r="AY315" s="211"/>
      <c r="AZ315" s="211"/>
    </row>
    <row r="316" spans="1:52" s="213" customFormat="1" x14ac:dyDescent="0.35">
      <c r="A316" s="211"/>
      <c r="B316" s="211"/>
      <c r="C316" s="211"/>
      <c r="D316" s="211"/>
      <c r="E316" s="211"/>
      <c r="F316" s="211"/>
      <c r="G316" s="211"/>
      <c r="H316" s="211"/>
      <c r="I316" s="212"/>
      <c r="J316" s="212"/>
      <c r="K316" s="212"/>
      <c r="L316" s="212"/>
      <c r="M316" s="212"/>
      <c r="N316" s="212"/>
      <c r="O316" s="212"/>
      <c r="P316" s="211"/>
      <c r="Q316" s="211"/>
      <c r="R316" s="211"/>
      <c r="S316" s="211"/>
      <c r="T316" s="211"/>
      <c r="U316" s="211"/>
      <c r="V316" s="211"/>
      <c r="W316" s="211"/>
      <c r="X316" s="211"/>
      <c r="Y316" s="211"/>
      <c r="Z316" s="211"/>
      <c r="AD316" s="211"/>
      <c r="AE316" s="211"/>
      <c r="AF316" s="211"/>
      <c r="AG316" s="211"/>
      <c r="AH316" s="211"/>
      <c r="AI316" s="211"/>
      <c r="AJ316" s="211"/>
      <c r="AK316" s="211"/>
      <c r="AL316" s="211"/>
      <c r="AM316" s="211"/>
      <c r="AN316" s="211"/>
      <c r="AO316" s="211"/>
      <c r="AP316" s="211"/>
      <c r="AQ316" s="211"/>
      <c r="AR316" s="211"/>
      <c r="AS316" s="211"/>
      <c r="AT316" s="211"/>
      <c r="AU316" s="211"/>
      <c r="AV316" s="211"/>
      <c r="AW316" s="211"/>
      <c r="AX316" s="211"/>
      <c r="AY316" s="211"/>
      <c r="AZ316" s="211"/>
    </row>
    <row r="317" spans="1:52" s="213" customFormat="1" x14ac:dyDescent="0.35">
      <c r="A317" s="211"/>
      <c r="B317" s="211"/>
      <c r="C317" s="211"/>
      <c r="D317" s="211"/>
      <c r="E317" s="211"/>
      <c r="F317" s="211"/>
      <c r="G317" s="211"/>
      <c r="H317" s="211"/>
      <c r="I317" s="212"/>
      <c r="J317" s="212"/>
      <c r="K317" s="212"/>
      <c r="L317" s="212"/>
      <c r="M317" s="212"/>
      <c r="N317" s="212"/>
      <c r="O317" s="212"/>
      <c r="P317" s="211"/>
      <c r="Q317" s="211"/>
      <c r="R317" s="211"/>
      <c r="S317" s="211"/>
      <c r="T317" s="211"/>
      <c r="U317" s="211"/>
      <c r="V317" s="211"/>
      <c r="W317" s="211"/>
      <c r="X317" s="211"/>
      <c r="Y317" s="211"/>
      <c r="Z317" s="211"/>
      <c r="AD317" s="211"/>
      <c r="AE317" s="211"/>
      <c r="AF317" s="211"/>
      <c r="AG317" s="211"/>
      <c r="AH317" s="211"/>
      <c r="AI317" s="211"/>
      <c r="AJ317" s="211"/>
      <c r="AK317" s="211"/>
      <c r="AL317" s="211"/>
      <c r="AM317" s="211"/>
      <c r="AN317" s="211"/>
      <c r="AO317" s="211"/>
      <c r="AP317" s="211"/>
      <c r="AQ317" s="211"/>
      <c r="AR317" s="211"/>
      <c r="AS317" s="211"/>
      <c r="AT317" s="211"/>
      <c r="AU317" s="211"/>
      <c r="AV317" s="211"/>
      <c r="AW317" s="211"/>
      <c r="AX317" s="211"/>
      <c r="AY317" s="211"/>
      <c r="AZ317" s="211"/>
    </row>
    <row r="318" spans="1:52" s="213" customFormat="1" x14ac:dyDescent="0.35">
      <c r="A318" s="211"/>
      <c r="B318" s="211"/>
      <c r="C318" s="211"/>
      <c r="D318" s="211"/>
      <c r="E318" s="211"/>
      <c r="F318" s="211"/>
      <c r="G318" s="211"/>
      <c r="H318" s="211"/>
      <c r="I318" s="212"/>
      <c r="J318" s="212"/>
      <c r="K318" s="212"/>
      <c r="L318" s="212"/>
      <c r="M318" s="212"/>
      <c r="N318" s="212"/>
      <c r="O318" s="212"/>
      <c r="P318" s="211"/>
      <c r="Q318" s="211"/>
      <c r="R318" s="211"/>
      <c r="S318" s="211"/>
      <c r="T318" s="211"/>
      <c r="U318" s="211"/>
      <c r="V318" s="211"/>
      <c r="W318" s="211"/>
      <c r="X318" s="211"/>
      <c r="Y318" s="211"/>
      <c r="Z318" s="211"/>
      <c r="AD318" s="211"/>
      <c r="AE318" s="211"/>
      <c r="AF318" s="211"/>
      <c r="AG318" s="211"/>
      <c r="AH318" s="211"/>
      <c r="AI318" s="211"/>
      <c r="AJ318" s="211"/>
      <c r="AK318" s="211"/>
      <c r="AL318" s="211"/>
      <c r="AM318" s="211"/>
      <c r="AN318" s="211"/>
      <c r="AO318" s="211"/>
      <c r="AP318" s="211"/>
      <c r="AQ318" s="211"/>
      <c r="AR318" s="211"/>
      <c r="AS318" s="211"/>
      <c r="AT318" s="211"/>
      <c r="AU318" s="211"/>
      <c r="AV318" s="211"/>
      <c r="AW318" s="211"/>
      <c r="AX318" s="211"/>
      <c r="AY318" s="211"/>
      <c r="AZ318" s="211"/>
    </row>
    <row r="319" spans="1:52" s="213" customFormat="1" x14ac:dyDescent="0.35">
      <c r="A319" s="211"/>
      <c r="B319" s="211"/>
      <c r="C319" s="211"/>
      <c r="D319" s="211"/>
      <c r="E319" s="211"/>
      <c r="F319" s="211"/>
      <c r="G319" s="211"/>
      <c r="H319" s="211"/>
      <c r="I319" s="212"/>
      <c r="J319" s="212"/>
      <c r="K319" s="212"/>
      <c r="L319" s="212"/>
      <c r="M319" s="212"/>
      <c r="N319" s="212"/>
      <c r="O319" s="212"/>
      <c r="P319" s="211"/>
      <c r="Q319" s="211"/>
      <c r="R319" s="211"/>
      <c r="S319" s="211"/>
      <c r="T319" s="211"/>
      <c r="U319" s="211"/>
      <c r="V319" s="211"/>
      <c r="W319" s="211"/>
      <c r="X319" s="211"/>
      <c r="Y319" s="211"/>
      <c r="Z319" s="211"/>
      <c r="AD319" s="211"/>
      <c r="AE319" s="211"/>
      <c r="AF319" s="211"/>
      <c r="AG319" s="211"/>
      <c r="AH319" s="211"/>
      <c r="AI319" s="211"/>
      <c r="AJ319" s="211"/>
      <c r="AK319" s="211"/>
      <c r="AL319" s="211"/>
      <c r="AM319" s="211"/>
      <c r="AN319" s="211"/>
      <c r="AO319" s="211"/>
      <c r="AP319" s="211"/>
      <c r="AQ319" s="211"/>
      <c r="AR319" s="211"/>
      <c r="AS319" s="211"/>
      <c r="AT319" s="211"/>
      <c r="AU319" s="211"/>
      <c r="AV319" s="211"/>
      <c r="AW319" s="211"/>
      <c r="AX319" s="211"/>
      <c r="AY319" s="211"/>
      <c r="AZ319" s="211"/>
    </row>
    <row r="320" spans="1:52" s="213" customFormat="1" x14ac:dyDescent="0.35">
      <c r="A320" s="211"/>
      <c r="B320" s="211"/>
      <c r="C320" s="211"/>
      <c r="D320" s="211"/>
      <c r="E320" s="211"/>
      <c r="F320" s="211"/>
      <c r="G320" s="211"/>
      <c r="H320" s="211"/>
      <c r="I320" s="212"/>
      <c r="J320" s="212"/>
      <c r="K320" s="212"/>
      <c r="L320" s="212"/>
      <c r="M320" s="212"/>
      <c r="N320" s="212"/>
      <c r="O320" s="212"/>
      <c r="P320" s="211"/>
      <c r="Q320" s="211"/>
      <c r="R320" s="211"/>
      <c r="S320" s="211"/>
      <c r="T320" s="211"/>
      <c r="U320" s="211"/>
      <c r="V320" s="211"/>
      <c r="W320" s="211"/>
      <c r="X320" s="211"/>
      <c r="Y320" s="211"/>
      <c r="Z320" s="211"/>
      <c r="AD320" s="211"/>
      <c r="AE320" s="211"/>
      <c r="AF320" s="211"/>
      <c r="AG320" s="211"/>
      <c r="AH320" s="211"/>
      <c r="AI320" s="211"/>
      <c r="AJ320" s="211"/>
      <c r="AK320" s="211"/>
      <c r="AL320" s="211"/>
      <c r="AM320" s="211"/>
      <c r="AN320" s="211"/>
      <c r="AO320" s="211"/>
      <c r="AP320" s="211"/>
      <c r="AQ320" s="211"/>
      <c r="AR320" s="211"/>
      <c r="AS320" s="211"/>
      <c r="AT320" s="211"/>
      <c r="AU320" s="211"/>
      <c r="AV320" s="211"/>
      <c r="AW320" s="211"/>
      <c r="AX320" s="211"/>
      <c r="AY320" s="211"/>
      <c r="AZ320" s="211"/>
    </row>
    <row r="321" spans="1:52" s="213" customFormat="1" x14ac:dyDescent="0.35">
      <c r="A321" s="211"/>
      <c r="B321" s="211"/>
      <c r="C321" s="211"/>
      <c r="D321" s="211"/>
      <c r="E321" s="211"/>
      <c r="F321" s="211"/>
      <c r="G321" s="211"/>
      <c r="H321" s="211"/>
      <c r="I321" s="212"/>
      <c r="J321" s="212"/>
      <c r="K321" s="212"/>
      <c r="L321" s="212"/>
      <c r="M321" s="212"/>
      <c r="N321" s="212"/>
      <c r="O321" s="212"/>
      <c r="P321" s="211"/>
      <c r="Q321" s="211"/>
      <c r="R321" s="211"/>
      <c r="S321" s="211"/>
      <c r="T321" s="211"/>
      <c r="U321" s="211"/>
      <c r="V321" s="211"/>
      <c r="W321" s="211"/>
      <c r="X321" s="211"/>
      <c r="Y321" s="211"/>
      <c r="Z321" s="211"/>
      <c r="AD321" s="211"/>
      <c r="AE321" s="211"/>
      <c r="AF321" s="211"/>
      <c r="AG321" s="211"/>
      <c r="AH321" s="211"/>
      <c r="AI321" s="211"/>
      <c r="AJ321" s="211"/>
      <c r="AK321" s="211"/>
      <c r="AL321" s="211"/>
      <c r="AM321" s="211"/>
      <c r="AN321" s="211"/>
      <c r="AO321" s="211"/>
      <c r="AP321" s="211"/>
      <c r="AQ321" s="211"/>
      <c r="AR321" s="211"/>
      <c r="AS321" s="211"/>
      <c r="AT321" s="211"/>
      <c r="AU321" s="211"/>
      <c r="AV321" s="211"/>
      <c r="AW321" s="211"/>
      <c r="AX321" s="211"/>
      <c r="AY321" s="211"/>
      <c r="AZ321" s="211"/>
    </row>
    <row r="322" spans="1:52" s="213" customFormat="1" x14ac:dyDescent="0.35">
      <c r="A322" s="211"/>
      <c r="B322" s="211"/>
      <c r="C322" s="211"/>
      <c r="D322" s="211"/>
      <c r="E322" s="211"/>
      <c r="F322" s="211"/>
      <c r="G322" s="211"/>
      <c r="H322" s="211"/>
      <c r="I322" s="212"/>
      <c r="J322" s="212"/>
      <c r="K322" s="212"/>
      <c r="L322" s="212"/>
      <c r="M322" s="212"/>
      <c r="N322" s="212"/>
      <c r="O322" s="212"/>
      <c r="P322" s="211"/>
      <c r="Q322" s="211"/>
      <c r="R322" s="211"/>
      <c r="S322" s="211"/>
      <c r="T322" s="211"/>
      <c r="U322" s="211"/>
      <c r="V322" s="211"/>
      <c r="W322" s="211"/>
      <c r="X322" s="211"/>
      <c r="Y322" s="211"/>
      <c r="Z322" s="211"/>
      <c r="AD322" s="211"/>
      <c r="AE322" s="211"/>
      <c r="AF322" s="211"/>
      <c r="AG322" s="211"/>
      <c r="AH322" s="211"/>
      <c r="AI322" s="211"/>
      <c r="AJ322" s="211"/>
      <c r="AK322" s="211"/>
      <c r="AL322" s="211"/>
      <c r="AM322" s="211"/>
      <c r="AN322" s="211"/>
      <c r="AO322" s="211"/>
      <c r="AP322" s="211"/>
      <c r="AQ322" s="211"/>
      <c r="AR322" s="211"/>
      <c r="AS322" s="211"/>
      <c r="AT322" s="211"/>
      <c r="AU322" s="211"/>
      <c r="AV322" s="211"/>
      <c r="AW322" s="211"/>
      <c r="AX322" s="211"/>
      <c r="AY322" s="211"/>
      <c r="AZ322" s="211"/>
    </row>
    <row r="323" spans="1:52" s="213" customFormat="1" x14ac:dyDescent="0.35">
      <c r="A323" s="211"/>
      <c r="B323" s="211"/>
      <c r="C323" s="211"/>
      <c r="D323" s="211"/>
      <c r="E323" s="211"/>
      <c r="F323" s="211"/>
      <c r="G323" s="211"/>
      <c r="H323" s="211"/>
      <c r="I323" s="212"/>
      <c r="J323" s="212"/>
      <c r="K323" s="212"/>
      <c r="L323" s="212"/>
      <c r="M323" s="212"/>
      <c r="N323" s="212"/>
      <c r="O323" s="212"/>
      <c r="P323" s="211"/>
      <c r="Q323" s="211"/>
      <c r="R323" s="211"/>
      <c r="S323" s="211"/>
      <c r="T323" s="211"/>
      <c r="U323" s="211"/>
      <c r="V323" s="211"/>
      <c r="W323" s="211"/>
      <c r="X323" s="211"/>
      <c r="Y323" s="211"/>
      <c r="Z323" s="211"/>
      <c r="AD323" s="211"/>
      <c r="AE323" s="211"/>
      <c r="AF323" s="211"/>
      <c r="AG323" s="211"/>
      <c r="AH323" s="211"/>
      <c r="AI323" s="211"/>
      <c r="AJ323" s="211"/>
      <c r="AK323" s="211"/>
      <c r="AL323" s="211"/>
      <c r="AM323" s="211"/>
      <c r="AN323" s="211"/>
      <c r="AO323" s="211"/>
      <c r="AP323" s="211"/>
      <c r="AQ323" s="211"/>
      <c r="AR323" s="211"/>
      <c r="AS323" s="211"/>
      <c r="AT323" s="211"/>
      <c r="AU323" s="211"/>
      <c r="AV323" s="211"/>
      <c r="AW323" s="211"/>
      <c r="AX323" s="211"/>
      <c r="AY323" s="211"/>
      <c r="AZ323" s="211"/>
    </row>
    <row r="324" spans="1:52" s="213" customFormat="1" x14ac:dyDescent="0.35">
      <c r="A324" s="211"/>
      <c r="B324" s="211"/>
      <c r="C324" s="211"/>
      <c r="D324" s="211"/>
      <c r="E324" s="211"/>
      <c r="F324" s="211"/>
      <c r="G324" s="211"/>
      <c r="H324" s="211"/>
      <c r="I324" s="212"/>
      <c r="J324" s="212"/>
      <c r="K324" s="212"/>
      <c r="L324" s="212"/>
      <c r="M324" s="212"/>
      <c r="N324" s="212"/>
      <c r="O324" s="212"/>
      <c r="P324" s="211"/>
      <c r="Q324" s="211"/>
      <c r="R324" s="211"/>
      <c r="S324" s="211"/>
      <c r="T324" s="211"/>
      <c r="U324" s="211"/>
      <c r="V324" s="211"/>
      <c r="W324" s="211"/>
      <c r="X324" s="211"/>
      <c r="Y324" s="211"/>
      <c r="Z324" s="211"/>
      <c r="AD324" s="211"/>
      <c r="AE324" s="211"/>
      <c r="AF324" s="211"/>
      <c r="AG324" s="211"/>
      <c r="AH324" s="211"/>
      <c r="AI324" s="211"/>
      <c r="AJ324" s="211"/>
      <c r="AK324" s="211"/>
      <c r="AL324" s="211"/>
      <c r="AM324" s="211"/>
      <c r="AN324" s="211"/>
      <c r="AO324" s="211"/>
      <c r="AP324" s="211"/>
      <c r="AQ324" s="211"/>
      <c r="AR324" s="211"/>
      <c r="AS324" s="211"/>
      <c r="AT324" s="211"/>
      <c r="AU324" s="211"/>
      <c r="AV324" s="211"/>
      <c r="AW324" s="211"/>
      <c r="AX324" s="211"/>
      <c r="AY324" s="211"/>
      <c r="AZ324" s="211"/>
    </row>
    <row r="325" spans="1:52" s="213" customFormat="1" x14ac:dyDescent="0.35">
      <c r="A325" s="211"/>
      <c r="B325" s="211"/>
      <c r="C325" s="211"/>
      <c r="D325" s="211"/>
      <c r="E325" s="211"/>
      <c r="F325" s="211"/>
      <c r="G325" s="211"/>
      <c r="H325" s="211"/>
      <c r="I325" s="212"/>
      <c r="J325" s="212"/>
      <c r="K325" s="212"/>
      <c r="L325" s="212"/>
      <c r="M325" s="212"/>
      <c r="N325" s="212"/>
      <c r="O325" s="212"/>
      <c r="P325" s="211"/>
      <c r="Q325" s="211"/>
      <c r="R325" s="211"/>
      <c r="S325" s="211"/>
      <c r="T325" s="211"/>
      <c r="U325" s="211"/>
      <c r="V325" s="211"/>
      <c r="W325" s="211"/>
      <c r="X325" s="211"/>
      <c r="Y325" s="211"/>
      <c r="Z325" s="211"/>
      <c r="AD325" s="211"/>
      <c r="AE325" s="211"/>
      <c r="AF325" s="211"/>
      <c r="AG325" s="211"/>
      <c r="AH325" s="211"/>
      <c r="AI325" s="211"/>
      <c r="AJ325" s="211"/>
      <c r="AK325" s="211"/>
      <c r="AL325" s="211"/>
      <c r="AM325" s="211"/>
      <c r="AN325" s="211"/>
      <c r="AO325" s="211"/>
      <c r="AP325" s="211"/>
      <c r="AQ325" s="211"/>
      <c r="AR325" s="211"/>
      <c r="AS325" s="211"/>
      <c r="AT325" s="211"/>
      <c r="AU325" s="211"/>
      <c r="AV325" s="211"/>
      <c r="AW325" s="211"/>
      <c r="AX325" s="211"/>
      <c r="AY325" s="211"/>
      <c r="AZ325" s="211"/>
    </row>
    <row r="326" spans="1:52" s="213" customFormat="1" x14ac:dyDescent="0.35">
      <c r="A326" s="211"/>
      <c r="B326" s="211"/>
      <c r="C326" s="211"/>
      <c r="D326" s="211"/>
      <c r="E326" s="211"/>
      <c r="F326" s="211"/>
      <c r="G326" s="211"/>
      <c r="H326" s="211"/>
      <c r="I326" s="212"/>
      <c r="J326" s="212"/>
      <c r="K326" s="212"/>
      <c r="L326" s="212"/>
      <c r="M326" s="212"/>
      <c r="N326" s="212"/>
      <c r="O326" s="212"/>
      <c r="P326" s="211"/>
      <c r="Q326" s="211"/>
      <c r="R326" s="211"/>
      <c r="S326" s="211"/>
      <c r="T326" s="211"/>
      <c r="U326" s="211"/>
      <c r="V326" s="211"/>
      <c r="W326" s="211"/>
      <c r="X326" s="211"/>
      <c r="Y326" s="211"/>
      <c r="Z326" s="211"/>
      <c r="AD326" s="211"/>
      <c r="AE326" s="211"/>
      <c r="AF326" s="211"/>
      <c r="AG326" s="211"/>
      <c r="AH326" s="211"/>
      <c r="AI326" s="211"/>
      <c r="AJ326" s="211"/>
      <c r="AK326" s="211"/>
      <c r="AL326" s="211"/>
      <c r="AM326" s="211"/>
      <c r="AN326" s="211"/>
      <c r="AO326" s="211"/>
      <c r="AP326" s="211"/>
      <c r="AQ326" s="211"/>
      <c r="AR326" s="211"/>
      <c r="AS326" s="211"/>
      <c r="AT326" s="211"/>
      <c r="AU326" s="211"/>
      <c r="AV326" s="211"/>
      <c r="AW326" s="211"/>
      <c r="AX326" s="211"/>
      <c r="AY326" s="211"/>
      <c r="AZ326" s="211"/>
    </row>
    <row r="327" spans="1:52" s="213" customFormat="1" x14ac:dyDescent="0.35">
      <c r="A327" s="211"/>
      <c r="B327" s="211"/>
      <c r="C327" s="211"/>
      <c r="D327" s="211"/>
      <c r="E327" s="211"/>
      <c r="F327" s="211"/>
      <c r="G327" s="211"/>
      <c r="H327" s="211"/>
      <c r="I327" s="212"/>
      <c r="J327" s="212"/>
      <c r="K327" s="212"/>
      <c r="L327" s="212"/>
      <c r="M327" s="212"/>
      <c r="N327" s="212"/>
      <c r="O327" s="212"/>
      <c r="P327" s="211"/>
      <c r="Q327" s="211"/>
      <c r="R327" s="211"/>
      <c r="S327" s="211"/>
      <c r="T327" s="211"/>
      <c r="U327" s="211"/>
      <c r="V327" s="211"/>
      <c r="W327" s="211"/>
      <c r="X327" s="211"/>
      <c r="Y327" s="211"/>
      <c r="Z327" s="211"/>
      <c r="AD327" s="211"/>
      <c r="AE327" s="211"/>
      <c r="AF327" s="211"/>
      <c r="AG327" s="211"/>
      <c r="AH327" s="211"/>
      <c r="AI327" s="211"/>
      <c r="AJ327" s="211"/>
      <c r="AK327" s="211"/>
      <c r="AL327" s="211"/>
      <c r="AM327" s="211"/>
      <c r="AN327" s="211"/>
      <c r="AO327" s="211"/>
      <c r="AP327" s="211"/>
      <c r="AQ327" s="211"/>
      <c r="AR327" s="211"/>
      <c r="AS327" s="211"/>
      <c r="AT327" s="211"/>
      <c r="AU327" s="211"/>
      <c r="AV327" s="211"/>
      <c r="AW327" s="211"/>
      <c r="AX327" s="211"/>
      <c r="AY327" s="211"/>
      <c r="AZ327" s="211"/>
    </row>
    <row r="328" spans="1:52" s="213" customFormat="1" x14ac:dyDescent="0.35">
      <c r="A328" s="211"/>
      <c r="B328" s="211"/>
      <c r="C328" s="211"/>
      <c r="D328" s="211"/>
      <c r="E328" s="211"/>
      <c r="F328" s="211"/>
      <c r="G328" s="211"/>
      <c r="H328" s="211"/>
      <c r="I328" s="212"/>
      <c r="J328" s="212"/>
      <c r="K328" s="212"/>
      <c r="L328" s="212"/>
      <c r="M328" s="212"/>
      <c r="N328" s="212"/>
      <c r="O328" s="212"/>
      <c r="P328" s="211"/>
      <c r="Q328" s="211"/>
      <c r="R328" s="211"/>
      <c r="S328" s="211"/>
      <c r="T328" s="211"/>
      <c r="U328" s="211"/>
      <c r="V328" s="211"/>
      <c r="W328" s="211"/>
      <c r="X328" s="211"/>
      <c r="Y328" s="211"/>
      <c r="Z328" s="211"/>
      <c r="AD328" s="211"/>
      <c r="AE328" s="211"/>
      <c r="AF328" s="211"/>
      <c r="AG328" s="211"/>
      <c r="AH328" s="211"/>
      <c r="AI328" s="211"/>
      <c r="AJ328" s="211"/>
      <c r="AK328" s="211"/>
      <c r="AL328" s="211"/>
      <c r="AM328" s="211"/>
      <c r="AN328" s="211"/>
      <c r="AO328" s="211"/>
      <c r="AP328" s="211"/>
      <c r="AQ328" s="211"/>
      <c r="AR328" s="211"/>
      <c r="AS328" s="211"/>
      <c r="AT328" s="211"/>
      <c r="AU328" s="211"/>
      <c r="AV328" s="211"/>
      <c r="AW328" s="211"/>
      <c r="AX328" s="211"/>
      <c r="AY328" s="211"/>
      <c r="AZ328" s="211"/>
    </row>
    <row r="329" spans="1:52" s="213" customFormat="1" x14ac:dyDescent="0.35">
      <c r="A329" s="211"/>
      <c r="B329" s="211"/>
      <c r="C329" s="211"/>
      <c r="D329" s="211"/>
      <c r="E329" s="211"/>
      <c r="F329" s="211"/>
      <c r="G329" s="211"/>
      <c r="H329" s="211"/>
      <c r="I329" s="212"/>
      <c r="J329" s="212"/>
      <c r="K329" s="212"/>
      <c r="L329" s="212"/>
      <c r="M329" s="212"/>
      <c r="N329" s="212"/>
      <c r="O329" s="212"/>
      <c r="P329" s="211"/>
      <c r="Q329" s="211"/>
      <c r="R329" s="211"/>
      <c r="S329" s="211"/>
      <c r="T329" s="211"/>
      <c r="U329" s="211"/>
      <c r="V329" s="211"/>
      <c r="W329" s="211"/>
      <c r="X329" s="211"/>
      <c r="Y329" s="211"/>
      <c r="Z329" s="211"/>
      <c r="AD329" s="211"/>
      <c r="AE329" s="211"/>
      <c r="AF329" s="211"/>
      <c r="AG329" s="211"/>
      <c r="AH329" s="211"/>
      <c r="AI329" s="211"/>
      <c r="AJ329" s="211"/>
      <c r="AK329" s="211"/>
      <c r="AL329" s="211"/>
      <c r="AM329" s="211"/>
      <c r="AN329" s="211"/>
      <c r="AO329" s="211"/>
      <c r="AP329" s="211"/>
      <c r="AQ329" s="211"/>
      <c r="AR329" s="211"/>
      <c r="AS329" s="211"/>
      <c r="AT329" s="211"/>
      <c r="AU329" s="211"/>
      <c r="AV329" s="211"/>
      <c r="AW329" s="211"/>
      <c r="AX329" s="211"/>
      <c r="AY329" s="211"/>
      <c r="AZ329" s="211"/>
    </row>
    <row r="330" spans="1:52" s="213" customFormat="1" x14ac:dyDescent="0.35">
      <c r="A330" s="211"/>
      <c r="B330" s="211"/>
      <c r="C330" s="211"/>
      <c r="D330" s="211"/>
      <c r="E330" s="211"/>
      <c r="F330" s="211"/>
      <c r="G330" s="211"/>
      <c r="H330" s="211"/>
      <c r="I330" s="212"/>
      <c r="J330" s="212"/>
      <c r="K330" s="212"/>
      <c r="L330" s="212"/>
      <c r="M330" s="212"/>
      <c r="N330" s="212"/>
      <c r="O330" s="212"/>
      <c r="P330" s="211"/>
      <c r="Q330" s="211"/>
      <c r="R330" s="211"/>
      <c r="S330" s="211"/>
      <c r="T330" s="211"/>
      <c r="U330" s="211"/>
      <c r="V330" s="211"/>
      <c r="W330" s="211"/>
      <c r="X330" s="211"/>
      <c r="Y330" s="211"/>
      <c r="Z330" s="211"/>
      <c r="AD330" s="211"/>
      <c r="AE330" s="211"/>
      <c r="AF330" s="211"/>
      <c r="AG330" s="211"/>
      <c r="AH330" s="211"/>
      <c r="AI330" s="211"/>
      <c r="AJ330" s="211"/>
      <c r="AK330" s="211"/>
      <c r="AL330" s="211"/>
      <c r="AM330" s="211"/>
      <c r="AN330" s="211"/>
      <c r="AO330" s="211"/>
      <c r="AP330" s="211"/>
      <c r="AQ330" s="211"/>
      <c r="AR330" s="211"/>
      <c r="AS330" s="211"/>
      <c r="AT330" s="211"/>
      <c r="AU330" s="211"/>
      <c r="AV330" s="211"/>
      <c r="AW330" s="211"/>
      <c r="AX330" s="211"/>
      <c r="AY330" s="211"/>
      <c r="AZ330" s="211"/>
    </row>
    <row r="331" spans="1:52" s="213" customFormat="1" x14ac:dyDescent="0.35">
      <c r="A331" s="211"/>
      <c r="B331" s="211"/>
      <c r="C331" s="211"/>
      <c r="D331" s="211"/>
      <c r="E331" s="211"/>
      <c r="F331" s="211"/>
      <c r="G331" s="211"/>
      <c r="H331" s="211"/>
      <c r="I331" s="212"/>
      <c r="J331" s="212"/>
      <c r="K331" s="212"/>
      <c r="L331" s="212"/>
      <c r="M331" s="212"/>
      <c r="N331" s="212"/>
      <c r="O331" s="212"/>
      <c r="P331" s="211"/>
      <c r="Q331" s="211"/>
      <c r="R331" s="211"/>
      <c r="S331" s="211"/>
      <c r="T331" s="211"/>
      <c r="U331" s="211"/>
      <c r="V331" s="211"/>
      <c r="W331" s="211"/>
      <c r="X331" s="211"/>
      <c r="Y331" s="211"/>
      <c r="Z331" s="211"/>
      <c r="AD331" s="211"/>
      <c r="AE331" s="211"/>
      <c r="AF331" s="211"/>
      <c r="AG331" s="211"/>
      <c r="AH331" s="211"/>
      <c r="AI331" s="211"/>
      <c r="AJ331" s="211"/>
      <c r="AK331" s="211"/>
      <c r="AL331" s="211"/>
      <c r="AM331" s="211"/>
      <c r="AN331" s="211"/>
      <c r="AO331" s="211"/>
      <c r="AP331" s="211"/>
      <c r="AQ331" s="211"/>
      <c r="AR331" s="211"/>
      <c r="AS331" s="211"/>
      <c r="AT331" s="211"/>
      <c r="AU331" s="211"/>
      <c r="AV331" s="211"/>
      <c r="AW331" s="211"/>
      <c r="AX331" s="211"/>
      <c r="AY331" s="211"/>
      <c r="AZ331" s="211"/>
    </row>
    <row r="332" spans="1:52" s="213" customFormat="1" x14ac:dyDescent="0.35">
      <c r="A332" s="211"/>
      <c r="B332" s="211"/>
      <c r="C332" s="211"/>
      <c r="D332" s="211"/>
      <c r="E332" s="211"/>
      <c r="F332" s="211"/>
      <c r="G332" s="211"/>
      <c r="H332" s="211"/>
      <c r="I332" s="212"/>
      <c r="J332" s="212"/>
      <c r="K332" s="212"/>
      <c r="L332" s="212"/>
      <c r="M332" s="212"/>
      <c r="N332" s="212"/>
      <c r="O332" s="212"/>
      <c r="P332" s="211"/>
      <c r="Q332" s="211"/>
      <c r="R332" s="211"/>
      <c r="S332" s="211"/>
      <c r="T332" s="211"/>
      <c r="U332" s="211"/>
      <c r="V332" s="211"/>
      <c r="W332" s="211"/>
      <c r="X332" s="211"/>
      <c r="Y332" s="211"/>
      <c r="Z332" s="211"/>
      <c r="AD332" s="211"/>
      <c r="AE332" s="211"/>
      <c r="AF332" s="211"/>
      <c r="AG332" s="211"/>
      <c r="AH332" s="211"/>
      <c r="AI332" s="211"/>
      <c r="AJ332" s="211"/>
      <c r="AK332" s="211"/>
      <c r="AL332" s="211"/>
      <c r="AM332" s="211"/>
      <c r="AN332" s="211"/>
      <c r="AO332" s="211"/>
      <c r="AP332" s="211"/>
      <c r="AQ332" s="211"/>
      <c r="AR332" s="211"/>
      <c r="AS332" s="211"/>
      <c r="AT332" s="211"/>
      <c r="AU332" s="211"/>
      <c r="AV332" s="211"/>
      <c r="AW332" s="211"/>
      <c r="AX332" s="211"/>
      <c r="AY332" s="211"/>
      <c r="AZ332" s="211"/>
    </row>
    <row r="333" spans="1:52" s="213" customFormat="1" x14ac:dyDescent="0.35">
      <c r="A333" s="211"/>
      <c r="B333" s="211"/>
      <c r="C333" s="211"/>
      <c r="D333" s="211"/>
      <c r="E333" s="211"/>
      <c r="F333" s="211"/>
      <c r="G333" s="211"/>
      <c r="H333" s="211"/>
      <c r="I333" s="212"/>
      <c r="J333" s="212"/>
      <c r="K333" s="212"/>
      <c r="L333" s="212"/>
      <c r="M333" s="212"/>
      <c r="N333" s="212"/>
      <c r="O333" s="212"/>
      <c r="P333" s="211"/>
      <c r="Q333" s="211"/>
      <c r="R333" s="211"/>
      <c r="S333" s="211"/>
      <c r="T333" s="211"/>
      <c r="U333" s="211"/>
      <c r="V333" s="211"/>
      <c r="W333" s="211"/>
      <c r="X333" s="211"/>
      <c r="Y333" s="211"/>
      <c r="Z333" s="211"/>
      <c r="AD333" s="211"/>
      <c r="AE333" s="211"/>
      <c r="AF333" s="211"/>
      <c r="AG333" s="211"/>
      <c r="AH333" s="211"/>
      <c r="AI333" s="211"/>
      <c r="AJ333" s="211"/>
      <c r="AK333" s="211"/>
      <c r="AL333" s="211"/>
      <c r="AM333" s="211"/>
      <c r="AN333" s="211"/>
      <c r="AO333" s="211"/>
      <c r="AP333" s="211"/>
      <c r="AQ333" s="211"/>
      <c r="AR333" s="211"/>
      <c r="AS333" s="211"/>
      <c r="AT333" s="211"/>
      <c r="AU333" s="211"/>
      <c r="AV333" s="211"/>
      <c r="AW333" s="211"/>
      <c r="AX333" s="211"/>
      <c r="AY333" s="211"/>
      <c r="AZ333" s="211"/>
    </row>
    <row r="334" spans="1:52" s="213" customFormat="1" x14ac:dyDescent="0.35">
      <c r="A334" s="211"/>
      <c r="B334" s="211"/>
      <c r="C334" s="211"/>
      <c r="D334" s="211"/>
      <c r="E334" s="211"/>
      <c r="F334" s="211"/>
      <c r="G334" s="211"/>
      <c r="H334" s="211"/>
      <c r="I334" s="212"/>
      <c r="J334" s="212"/>
      <c r="K334" s="212"/>
      <c r="L334" s="212"/>
      <c r="M334" s="212"/>
      <c r="N334" s="212"/>
      <c r="O334" s="212"/>
      <c r="P334" s="211"/>
      <c r="Q334" s="211"/>
      <c r="R334" s="211"/>
      <c r="S334" s="211"/>
      <c r="T334" s="211"/>
      <c r="U334" s="211"/>
      <c r="V334" s="211"/>
      <c r="W334" s="211"/>
      <c r="X334" s="211"/>
      <c r="Y334" s="211"/>
      <c r="Z334" s="211"/>
      <c r="AD334" s="211"/>
      <c r="AE334" s="211"/>
      <c r="AF334" s="211"/>
      <c r="AG334" s="211"/>
      <c r="AH334" s="211"/>
      <c r="AI334" s="211"/>
      <c r="AJ334" s="211"/>
      <c r="AK334" s="211"/>
      <c r="AL334" s="211"/>
      <c r="AM334" s="211"/>
      <c r="AN334" s="211"/>
      <c r="AO334" s="211"/>
      <c r="AP334" s="211"/>
      <c r="AQ334" s="211"/>
      <c r="AR334" s="211"/>
      <c r="AS334" s="211"/>
      <c r="AT334" s="211"/>
      <c r="AU334" s="211"/>
      <c r="AV334" s="211"/>
      <c r="AW334" s="211"/>
      <c r="AX334" s="211"/>
      <c r="AY334" s="211"/>
      <c r="AZ334" s="211"/>
    </row>
    <row r="335" spans="1:52" s="213" customFormat="1" x14ac:dyDescent="0.35">
      <c r="A335" s="211"/>
      <c r="B335" s="211"/>
      <c r="C335" s="211"/>
      <c r="D335" s="211"/>
      <c r="E335" s="211"/>
      <c r="F335" s="211"/>
      <c r="G335" s="211"/>
      <c r="H335" s="211"/>
      <c r="I335" s="212"/>
      <c r="J335" s="212"/>
      <c r="K335" s="212"/>
      <c r="L335" s="212"/>
      <c r="M335" s="212"/>
      <c r="N335" s="212"/>
      <c r="O335" s="212"/>
      <c r="P335" s="211"/>
      <c r="Q335" s="211"/>
      <c r="R335" s="211"/>
      <c r="S335" s="211"/>
      <c r="T335" s="211"/>
      <c r="U335" s="211"/>
      <c r="V335" s="211"/>
      <c r="W335" s="211"/>
      <c r="X335" s="211"/>
      <c r="Y335" s="211"/>
      <c r="Z335" s="211"/>
      <c r="AD335" s="211"/>
      <c r="AE335" s="211"/>
      <c r="AF335" s="211"/>
      <c r="AG335" s="211"/>
      <c r="AH335" s="211"/>
      <c r="AI335" s="211"/>
      <c r="AJ335" s="211"/>
      <c r="AK335" s="211"/>
      <c r="AL335" s="211"/>
      <c r="AM335" s="211"/>
      <c r="AN335" s="211"/>
      <c r="AO335" s="211"/>
      <c r="AP335" s="211"/>
      <c r="AQ335" s="211"/>
      <c r="AR335" s="211"/>
      <c r="AS335" s="211"/>
      <c r="AT335" s="211"/>
      <c r="AU335" s="211"/>
      <c r="AV335" s="211"/>
      <c r="AW335" s="211"/>
      <c r="AX335" s="211"/>
      <c r="AY335" s="211"/>
      <c r="AZ335" s="211"/>
    </row>
    <row r="336" spans="1:52" s="213" customFormat="1" x14ac:dyDescent="0.35">
      <c r="A336" s="211"/>
      <c r="B336" s="211"/>
      <c r="C336" s="211"/>
      <c r="D336" s="211"/>
      <c r="E336" s="211"/>
      <c r="F336" s="211"/>
      <c r="G336" s="211"/>
      <c r="H336" s="211"/>
      <c r="I336" s="212"/>
      <c r="J336" s="212"/>
      <c r="K336" s="212"/>
      <c r="L336" s="212"/>
      <c r="M336" s="212"/>
      <c r="N336" s="212"/>
      <c r="O336" s="212"/>
      <c r="P336" s="211"/>
      <c r="Q336" s="211"/>
      <c r="R336" s="211"/>
      <c r="S336" s="211"/>
      <c r="T336" s="211"/>
      <c r="U336" s="211"/>
      <c r="V336" s="211"/>
      <c r="W336" s="211"/>
      <c r="X336" s="211"/>
      <c r="Y336" s="211"/>
      <c r="Z336" s="211"/>
      <c r="AD336" s="211"/>
      <c r="AE336" s="211"/>
      <c r="AF336" s="211"/>
      <c r="AG336" s="211"/>
      <c r="AH336" s="211"/>
      <c r="AI336" s="211"/>
      <c r="AJ336" s="211"/>
      <c r="AK336" s="211"/>
      <c r="AL336" s="211"/>
      <c r="AM336" s="211"/>
      <c r="AN336" s="211"/>
      <c r="AO336" s="211"/>
      <c r="AP336" s="211"/>
      <c r="AQ336" s="211"/>
      <c r="AR336" s="211"/>
      <c r="AS336" s="211"/>
      <c r="AT336" s="211"/>
      <c r="AU336" s="211"/>
      <c r="AV336" s="211"/>
      <c r="AW336" s="211"/>
      <c r="AX336" s="211"/>
      <c r="AY336" s="211"/>
      <c r="AZ336" s="211"/>
    </row>
    <row r="337" spans="1:52" s="213" customFormat="1" x14ac:dyDescent="0.35">
      <c r="A337" s="211"/>
      <c r="B337" s="211"/>
      <c r="C337" s="211"/>
      <c r="D337" s="211"/>
      <c r="E337" s="211"/>
      <c r="F337" s="211"/>
      <c r="G337" s="211"/>
      <c r="H337" s="211"/>
      <c r="I337" s="212"/>
      <c r="J337" s="212"/>
      <c r="K337" s="212"/>
      <c r="L337" s="212"/>
      <c r="M337" s="212"/>
      <c r="N337" s="212"/>
      <c r="O337" s="212"/>
      <c r="P337" s="211"/>
      <c r="Q337" s="211"/>
      <c r="R337" s="211"/>
      <c r="S337" s="211"/>
      <c r="T337" s="211"/>
      <c r="U337" s="211"/>
      <c r="V337" s="211"/>
      <c r="W337" s="211"/>
      <c r="X337" s="211"/>
      <c r="Y337" s="211"/>
      <c r="Z337" s="211"/>
      <c r="AD337" s="211"/>
      <c r="AE337" s="211"/>
      <c r="AF337" s="211"/>
      <c r="AG337" s="211"/>
      <c r="AH337" s="211"/>
      <c r="AI337" s="211"/>
      <c r="AJ337" s="211"/>
      <c r="AK337" s="211"/>
      <c r="AL337" s="211"/>
      <c r="AM337" s="211"/>
      <c r="AN337" s="211"/>
      <c r="AO337" s="211"/>
      <c r="AP337" s="211"/>
      <c r="AQ337" s="211"/>
      <c r="AR337" s="211"/>
      <c r="AS337" s="211"/>
      <c r="AT337" s="211"/>
      <c r="AU337" s="211"/>
      <c r="AV337" s="211"/>
      <c r="AW337" s="211"/>
      <c r="AX337" s="211"/>
      <c r="AY337" s="211"/>
      <c r="AZ337" s="211"/>
    </row>
    <row r="338" spans="1:52" s="213" customFormat="1" x14ac:dyDescent="0.35">
      <c r="A338" s="211"/>
      <c r="B338" s="211"/>
      <c r="C338" s="211"/>
      <c r="D338" s="211"/>
      <c r="E338" s="211"/>
      <c r="F338" s="211"/>
      <c r="G338" s="211"/>
      <c r="H338" s="211"/>
      <c r="I338" s="212"/>
      <c r="J338" s="212"/>
      <c r="K338" s="212"/>
      <c r="L338" s="212"/>
      <c r="M338" s="212"/>
      <c r="N338" s="212"/>
      <c r="O338" s="212"/>
      <c r="P338" s="211"/>
      <c r="Q338" s="211"/>
      <c r="R338" s="211"/>
      <c r="S338" s="211"/>
      <c r="T338" s="211"/>
      <c r="U338" s="211"/>
      <c r="V338" s="211"/>
      <c r="W338" s="211"/>
      <c r="X338" s="211"/>
      <c r="Y338" s="211"/>
      <c r="Z338" s="211"/>
      <c r="AD338" s="211"/>
      <c r="AE338" s="211"/>
      <c r="AF338" s="211"/>
      <c r="AG338" s="211"/>
      <c r="AH338" s="211"/>
      <c r="AI338" s="211"/>
      <c r="AJ338" s="211"/>
      <c r="AK338" s="211"/>
      <c r="AL338" s="211"/>
      <c r="AM338" s="211"/>
      <c r="AN338" s="211"/>
      <c r="AO338" s="211"/>
      <c r="AP338" s="211"/>
      <c r="AQ338" s="211"/>
      <c r="AR338" s="211"/>
      <c r="AS338" s="211"/>
      <c r="AT338" s="211"/>
      <c r="AU338" s="211"/>
      <c r="AV338" s="211"/>
      <c r="AW338" s="211"/>
      <c r="AX338" s="211"/>
      <c r="AY338" s="211"/>
      <c r="AZ338" s="211"/>
    </row>
    <row r="339" spans="1:52" s="213" customFormat="1" x14ac:dyDescent="0.35">
      <c r="A339" s="211"/>
      <c r="B339" s="211"/>
      <c r="C339" s="211"/>
      <c r="D339" s="211"/>
      <c r="E339" s="211"/>
      <c r="F339" s="211"/>
      <c r="G339" s="211"/>
      <c r="H339" s="211"/>
      <c r="I339" s="212"/>
      <c r="J339" s="212"/>
      <c r="K339" s="212"/>
      <c r="L339" s="212"/>
      <c r="M339" s="212"/>
      <c r="N339" s="212"/>
      <c r="O339" s="212"/>
      <c r="P339" s="211"/>
      <c r="Q339" s="211"/>
      <c r="R339" s="211"/>
      <c r="S339" s="211"/>
      <c r="T339" s="211"/>
      <c r="U339" s="211"/>
      <c r="V339" s="211"/>
      <c r="W339" s="211"/>
      <c r="X339" s="211"/>
      <c r="Y339" s="211"/>
      <c r="Z339" s="211"/>
      <c r="AD339" s="211"/>
      <c r="AE339" s="211"/>
      <c r="AF339" s="211"/>
      <c r="AG339" s="211"/>
      <c r="AH339" s="211"/>
      <c r="AI339" s="211"/>
      <c r="AJ339" s="211"/>
      <c r="AK339" s="211"/>
      <c r="AL339" s="211"/>
      <c r="AM339" s="211"/>
      <c r="AN339" s="211"/>
      <c r="AO339" s="211"/>
      <c r="AP339" s="211"/>
      <c r="AQ339" s="211"/>
      <c r="AR339" s="211"/>
      <c r="AS339" s="211"/>
      <c r="AT339" s="211"/>
      <c r="AU339" s="211"/>
      <c r="AV339" s="211"/>
      <c r="AW339" s="211"/>
      <c r="AX339" s="211"/>
      <c r="AY339" s="211"/>
      <c r="AZ339" s="211"/>
    </row>
    <row r="340" spans="1:52" s="213" customFormat="1" x14ac:dyDescent="0.35">
      <c r="A340" s="211"/>
      <c r="B340" s="211"/>
      <c r="C340" s="211"/>
      <c r="D340" s="211"/>
      <c r="E340" s="211"/>
      <c r="F340" s="211"/>
      <c r="G340" s="211"/>
      <c r="H340" s="211"/>
      <c r="I340" s="212"/>
      <c r="J340" s="212"/>
      <c r="K340" s="212"/>
      <c r="L340" s="212"/>
      <c r="M340" s="212"/>
      <c r="N340" s="212"/>
      <c r="O340" s="212"/>
      <c r="P340" s="211"/>
      <c r="Q340" s="211"/>
      <c r="R340" s="211"/>
      <c r="S340" s="211"/>
      <c r="T340" s="211"/>
      <c r="U340" s="211"/>
      <c r="V340" s="211"/>
      <c r="W340" s="211"/>
      <c r="X340" s="211"/>
      <c r="Y340" s="211"/>
      <c r="Z340" s="211"/>
      <c r="AD340" s="211"/>
      <c r="AE340" s="211"/>
      <c r="AF340" s="211"/>
      <c r="AG340" s="211"/>
      <c r="AH340" s="211"/>
      <c r="AI340" s="211"/>
      <c r="AJ340" s="211"/>
      <c r="AK340" s="211"/>
      <c r="AL340" s="211"/>
      <c r="AM340" s="211"/>
      <c r="AN340" s="211"/>
      <c r="AO340" s="211"/>
      <c r="AP340" s="211"/>
      <c r="AQ340" s="211"/>
      <c r="AR340" s="211"/>
      <c r="AS340" s="211"/>
      <c r="AT340" s="211"/>
      <c r="AU340" s="211"/>
      <c r="AV340" s="211"/>
      <c r="AW340" s="211"/>
      <c r="AX340" s="211"/>
      <c r="AY340" s="211"/>
      <c r="AZ340" s="211"/>
    </row>
    <row r="341" spans="1:52" s="213" customFormat="1" x14ac:dyDescent="0.35">
      <c r="A341" s="211"/>
      <c r="B341" s="211"/>
      <c r="C341" s="211"/>
      <c r="D341" s="211"/>
      <c r="E341" s="211"/>
      <c r="F341" s="211"/>
      <c r="G341" s="211"/>
      <c r="H341" s="211"/>
      <c r="I341" s="212"/>
      <c r="J341" s="212"/>
      <c r="K341" s="212"/>
      <c r="L341" s="212"/>
      <c r="M341" s="212"/>
      <c r="N341" s="212"/>
      <c r="O341" s="212"/>
      <c r="P341" s="211"/>
      <c r="Q341" s="211"/>
      <c r="R341" s="211"/>
      <c r="S341" s="211"/>
      <c r="T341" s="211"/>
      <c r="U341" s="211"/>
      <c r="V341" s="211"/>
      <c r="W341" s="211"/>
      <c r="X341" s="211"/>
      <c r="Y341" s="211"/>
      <c r="Z341" s="211"/>
      <c r="AD341" s="211"/>
      <c r="AE341" s="211"/>
      <c r="AF341" s="211"/>
      <c r="AG341" s="211"/>
      <c r="AH341" s="211"/>
      <c r="AI341" s="211"/>
      <c r="AJ341" s="211"/>
      <c r="AK341" s="211"/>
      <c r="AL341" s="211"/>
      <c r="AM341" s="211"/>
      <c r="AN341" s="211"/>
      <c r="AO341" s="211"/>
      <c r="AP341" s="211"/>
      <c r="AQ341" s="211"/>
      <c r="AR341" s="211"/>
      <c r="AS341" s="211"/>
      <c r="AT341" s="211"/>
      <c r="AU341" s="211"/>
      <c r="AV341" s="211"/>
      <c r="AW341" s="211"/>
      <c r="AX341" s="211"/>
      <c r="AY341" s="211"/>
      <c r="AZ341" s="211"/>
    </row>
    <row r="342" spans="1:52" s="213" customFormat="1" x14ac:dyDescent="0.35">
      <c r="A342" s="211"/>
      <c r="B342" s="211"/>
      <c r="C342" s="211"/>
      <c r="D342" s="211"/>
      <c r="E342" s="211"/>
      <c r="F342" s="211"/>
      <c r="G342" s="211"/>
      <c r="H342" s="211"/>
      <c r="I342" s="212"/>
      <c r="J342" s="212"/>
      <c r="K342" s="212"/>
      <c r="L342" s="212"/>
      <c r="M342" s="212"/>
      <c r="N342" s="212"/>
      <c r="O342" s="212"/>
      <c r="P342" s="211"/>
      <c r="Q342" s="211"/>
      <c r="R342" s="211"/>
      <c r="S342" s="211"/>
      <c r="T342" s="211"/>
      <c r="U342" s="211"/>
      <c r="V342" s="211"/>
      <c r="W342" s="211"/>
      <c r="X342" s="211"/>
      <c r="Y342" s="211"/>
      <c r="Z342" s="211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/>
      <c r="AN342" s="211"/>
      <c r="AO342" s="211"/>
      <c r="AP342" s="211"/>
      <c r="AQ342" s="211"/>
      <c r="AR342" s="211"/>
      <c r="AS342" s="211"/>
      <c r="AT342" s="211"/>
      <c r="AU342" s="211"/>
      <c r="AV342" s="211"/>
      <c r="AW342" s="211"/>
      <c r="AX342" s="211"/>
      <c r="AY342" s="211"/>
      <c r="AZ342" s="211"/>
    </row>
    <row r="343" spans="1:52" s="213" customFormat="1" x14ac:dyDescent="0.35">
      <c r="A343" s="211"/>
      <c r="B343" s="211"/>
      <c r="C343" s="211"/>
      <c r="D343" s="211"/>
      <c r="E343" s="211"/>
      <c r="F343" s="211"/>
      <c r="G343" s="211"/>
      <c r="H343" s="211"/>
      <c r="I343" s="212"/>
      <c r="J343" s="212"/>
      <c r="K343" s="212"/>
      <c r="L343" s="212"/>
      <c r="M343" s="212"/>
      <c r="N343" s="212"/>
      <c r="O343" s="212"/>
      <c r="P343" s="211"/>
      <c r="Q343" s="211"/>
      <c r="R343" s="211"/>
      <c r="S343" s="211"/>
      <c r="T343" s="211"/>
      <c r="U343" s="211"/>
      <c r="V343" s="211"/>
      <c r="W343" s="211"/>
      <c r="X343" s="211"/>
      <c r="Y343" s="211"/>
      <c r="Z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/>
      <c r="AO343" s="211"/>
      <c r="AP343" s="211"/>
      <c r="AQ343" s="211"/>
      <c r="AR343" s="211"/>
      <c r="AS343" s="211"/>
      <c r="AT343" s="211"/>
      <c r="AU343" s="211"/>
      <c r="AV343" s="211"/>
      <c r="AW343" s="211"/>
      <c r="AX343" s="211"/>
      <c r="AY343" s="211"/>
      <c r="AZ343" s="211"/>
    </row>
    <row r="344" spans="1:52" s="213" customFormat="1" x14ac:dyDescent="0.35">
      <c r="A344" s="211"/>
      <c r="B344" s="211"/>
      <c r="C344" s="211"/>
      <c r="D344" s="211"/>
      <c r="E344" s="211"/>
      <c r="F344" s="211"/>
      <c r="G344" s="211"/>
      <c r="H344" s="211"/>
      <c r="I344" s="212"/>
      <c r="J344" s="212"/>
      <c r="K344" s="212"/>
      <c r="L344" s="212"/>
      <c r="M344" s="212"/>
      <c r="N344" s="212"/>
      <c r="O344" s="212"/>
      <c r="P344" s="211"/>
      <c r="Q344" s="211"/>
      <c r="R344" s="211"/>
      <c r="S344" s="211"/>
      <c r="T344" s="211"/>
      <c r="U344" s="211"/>
      <c r="V344" s="211"/>
      <c r="W344" s="211"/>
      <c r="X344" s="211"/>
      <c r="Y344" s="211"/>
      <c r="Z344" s="211"/>
      <c r="AD344" s="211"/>
      <c r="AE344" s="211"/>
      <c r="AF344" s="211"/>
      <c r="AG344" s="211"/>
      <c r="AH344" s="211"/>
      <c r="AI344" s="211"/>
      <c r="AJ344" s="211"/>
      <c r="AK344" s="211"/>
      <c r="AL344" s="211"/>
      <c r="AM344" s="211"/>
      <c r="AN344" s="211"/>
      <c r="AO344" s="211"/>
      <c r="AP344" s="211"/>
      <c r="AQ344" s="211"/>
      <c r="AR344" s="211"/>
      <c r="AS344" s="211"/>
      <c r="AT344" s="211"/>
      <c r="AU344" s="211"/>
      <c r="AV344" s="211"/>
      <c r="AW344" s="211"/>
      <c r="AX344" s="211"/>
      <c r="AY344" s="211"/>
      <c r="AZ344" s="211"/>
    </row>
    <row r="345" spans="1:52" s="213" customFormat="1" x14ac:dyDescent="0.35">
      <c r="A345" s="211"/>
      <c r="B345" s="211"/>
      <c r="C345" s="211"/>
      <c r="D345" s="211"/>
      <c r="E345" s="211"/>
      <c r="F345" s="211"/>
      <c r="G345" s="211"/>
      <c r="H345" s="211"/>
      <c r="I345" s="212"/>
      <c r="J345" s="212"/>
      <c r="K345" s="212"/>
      <c r="L345" s="212"/>
      <c r="M345" s="212"/>
      <c r="N345" s="212"/>
      <c r="O345" s="212"/>
      <c r="P345" s="211"/>
      <c r="Q345" s="211"/>
      <c r="R345" s="211"/>
      <c r="S345" s="211"/>
      <c r="T345" s="211"/>
      <c r="U345" s="211"/>
      <c r="V345" s="211"/>
      <c r="W345" s="211"/>
      <c r="X345" s="211"/>
      <c r="Y345" s="211"/>
      <c r="Z345" s="211"/>
      <c r="AD345" s="211"/>
      <c r="AE345" s="211"/>
      <c r="AF345" s="211"/>
      <c r="AG345" s="211"/>
      <c r="AH345" s="211"/>
      <c r="AI345" s="211"/>
      <c r="AJ345" s="211"/>
      <c r="AK345" s="211"/>
      <c r="AL345" s="211"/>
      <c r="AM345" s="211"/>
      <c r="AN345" s="211"/>
      <c r="AO345" s="211"/>
      <c r="AP345" s="211"/>
      <c r="AQ345" s="211"/>
      <c r="AR345" s="211"/>
      <c r="AS345" s="211"/>
      <c r="AT345" s="211"/>
      <c r="AU345" s="211"/>
      <c r="AV345" s="211"/>
      <c r="AW345" s="211"/>
      <c r="AX345" s="211"/>
      <c r="AY345" s="211"/>
      <c r="AZ345" s="211"/>
    </row>
    <row r="346" spans="1:52" s="213" customFormat="1" x14ac:dyDescent="0.35">
      <c r="A346" s="211"/>
      <c r="B346" s="211"/>
      <c r="C346" s="211"/>
      <c r="D346" s="211"/>
      <c r="E346" s="211"/>
      <c r="F346" s="211"/>
      <c r="G346" s="211"/>
      <c r="H346" s="211"/>
      <c r="I346" s="212"/>
      <c r="J346" s="212"/>
      <c r="K346" s="212"/>
      <c r="L346" s="212"/>
      <c r="M346" s="212"/>
      <c r="N346" s="212"/>
      <c r="O346" s="212"/>
      <c r="P346" s="211"/>
      <c r="Q346" s="211"/>
      <c r="R346" s="211"/>
      <c r="S346" s="211"/>
      <c r="T346" s="211"/>
      <c r="U346" s="211"/>
      <c r="V346" s="211"/>
      <c r="W346" s="211"/>
      <c r="X346" s="211"/>
      <c r="Y346" s="211"/>
      <c r="Z346" s="211"/>
      <c r="AD346" s="211"/>
      <c r="AE346" s="211"/>
      <c r="AF346" s="211"/>
      <c r="AG346" s="211"/>
      <c r="AH346" s="211"/>
      <c r="AI346" s="211"/>
      <c r="AJ346" s="211"/>
      <c r="AK346" s="211"/>
      <c r="AL346" s="211"/>
      <c r="AM346" s="211"/>
      <c r="AN346" s="211"/>
      <c r="AO346" s="211"/>
      <c r="AP346" s="211"/>
      <c r="AQ346" s="211"/>
      <c r="AR346" s="211"/>
      <c r="AS346" s="211"/>
      <c r="AT346" s="211"/>
      <c r="AU346" s="211"/>
      <c r="AV346" s="211"/>
      <c r="AW346" s="211"/>
      <c r="AX346" s="211"/>
      <c r="AY346" s="211"/>
      <c r="AZ346" s="211"/>
    </row>
    <row r="347" spans="1:52" s="213" customFormat="1" x14ac:dyDescent="0.35">
      <c r="A347" s="211"/>
      <c r="B347" s="211"/>
      <c r="C347" s="211"/>
      <c r="D347" s="211"/>
      <c r="E347" s="211"/>
      <c r="F347" s="211"/>
      <c r="G347" s="211"/>
      <c r="H347" s="211"/>
      <c r="I347" s="212"/>
      <c r="J347" s="212"/>
      <c r="K347" s="212"/>
      <c r="L347" s="212"/>
      <c r="M347" s="212"/>
      <c r="N347" s="212"/>
      <c r="O347" s="212"/>
      <c r="P347" s="211"/>
      <c r="Q347" s="211"/>
      <c r="R347" s="211"/>
      <c r="S347" s="211"/>
      <c r="T347" s="211"/>
      <c r="U347" s="211"/>
      <c r="V347" s="211"/>
      <c r="W347" s="211"/>
      <c r="X347" s="211"/>
      <c r="Y347" s="211"/>
      <c r="Z347" s="211"/>
      <c r="AD347" s="211"/>
      <c r="AE347" s="211"/>
      <c r="AF347" s="211"/>
      <c r="AG347" s="211"/>
      <c r="AH347" s="211"/>
      <c r="AI347" s="211"/>
      <c r="AJ347" s="211"/>
      <c r="AK347" s="211"/>
      <c r="AL347" s="211"/>
      <c r="AM347" s="211"/>
      <c r="AN347" s="211"/>
      <c r="AO347" s="211"/>
      <c r="AP347" s="211"/>
      <c r="AQ347" s="211"/>
      <c r="AR347" s="211"/>
      <c r="AS347" s="211"/>
      <c r="AT347" s="211"/>
      <c r="AU347" s="211"/>
      <c r="AV347" s="211"/>
      <c r="AW347" s="211"/>
      <c r="AX347" s="211"/>
      <c r="AY347" s="211"/>
      <c r="AZ347" s="211"/>
    </row>
    <row r="348" spans="1:52" s="213" customFormat="1" x14ac:dyDescent="0.35">
      <c r="A348" s="211"/>
      <c r="B348" s="211"/>
      <c r="C348" s="211"/>
      <c r="D348" s="211"/>
      <c r="E348" s="211"/>
      <c r="F348" s="211"/>
      <c r="G348" s="211"/>
      <c r="H348" s="211"/>
      <c r="I348" s="212"/>
      <c r="J348" s="212"/>
      <c r="K348" s="212"/>
      <c r="L348" s="212"/>
      <c r="M348" s="212"/>
      <c r="N348" s="212"/>
      <c r="O348" s="212"/>
      <c r="P348" s="211"/>
      <c r="Q348" s="211"/>
      <c r="R348" s="211"/>
      <c r="S348" s="211"/>
      <c r="T348" s="211"/>
      <c r="U348" s="211"/>
      <c r="V348" s="211"/>
      <c r="W348" s="211"/>
      <c r="X348" s="211"/>
      <c r="Y348" s="211"/>
      <c r="Z348" s="211"/>
      <c r="AD348" s="211"/>
      <c r="AE348" s="211"/>
      <c r="AF348" s="211"/>
      <c r="AG348" s="211"/>
      <c r="AH348" s="211"/>
      <c r="AI348" s="211"/>
      <c r="AJ348" s="211"/>
      <c r="AK348" s="211"/>
      <c r="AL348" s="211"/>
      <c r="AM348" s="211"/>
      <c r="AN348" s="211"/>
      <c r="AO348" s="211"/>
      <c r="AP348" s="211"/>
      <c r="AQ348" s="211"/>
      <c r="AR348" s="211"/>
      <c r="AS348" s="211"/>
      <c r="AT348" s="211"/>
      <c r="AU348" s="211"/>
      <c r="AV348" s="211"/>
      <c r="AW348" s="211"/>
      <c r="AX348" s="211"/>
      <c r="AY348" s="211"/>
      <c r="AZ348" s="211"/>
    </row>
    <row r="349" spans="1:52" s="213" customFormat="1" x14ac:dyDescent="0.35">
      <c r="A349" s="211"/>
      <c r="B349" s="211"/>
      <c r="C349" s="211"/>
      <c r="D349" s="211"/>
      <c r="E349" s="211"/>
      <c r="F349" s="211"/>
      <c r="G349" s="211"/>
      <c r="H349" s="211"/>
      <c r="I349" s="212"/>
      <c r="J349" s="212"/>
      <c r="K349" s="212"/>
      <c r="L349" s="212"/>
      <c r="M349" s="212"/>
      <c r="N349" s="212"/>
      <c r="O349" s="212"/>
      <c r="P349" s="211"/>
      <c r="Q349" s="211"/>
      <c r="R349" s="211"/>
      <c r="S349" s="211"/>
      <c r="T349" s="211"/>
      <c r="U349" s="211"/>
      <c r="V349" s="211"/>
      <c r="W349" s="211"/>
      <c r="X349" s="211"/>
      <c r="Y349" s="211"/>
      <c r="Z349" s="211"/>
      <c r="AD349" s="211"/>
      <c r="AE349" s="211"/>
      <c r="AF349" s="211"/>
      <c r="AG349" s="211"/>
      <c r="AH349" s="211"/>
      <c r="AI349" s="211"/>
      <c r="AJ349" s="211"/>
      <c r="AK349" s="211"/>
      <c r="AL349" s="211"/>
      <c r="AM349" s="211"/>
      <c r="AN349" s="211"/>
      <c r="AO349" s="211"/>
      <c r="AP349" s="211"/>
      <c r="AQ349" s="211"/>
      <c r="AR349" s="211"/>
      <c r="AS349" s="211"/>
      <c r="AT349" s="211"/>
      <c r="AU349" s="211"/>
      <c r="AV349" s="211"/>
      <c r="AW349" s="211"/>
      <c r="AX349" s="211"/>
      <c r="AY349" s="211"/>
      <c r="AZ349" s="211"/>
    </row>
    <row r="350" spans="1:52" s="213" customFormat="1" x14ac:dyDescent="0.35">
      <c r="A350" s="211"/>
      <c r="B350" s="211"/>
      <c r="C350" s="211"/>
      <c r="D350" s="211"/>
      <c r="E350" s="211"/>
      <c r="F350" s="211"/>
      <c r="G350" s="211"/>
      <c r="H350" s="211"/>
      <c r="I350" s="212"/>
      <c r="J350" s="212"/>
      <c r="K350" s="212"/>
      <c r="L350" s="212"/>
      <c r="M350" s="212"/>
      <c r="N350" s="212"/>
      <c r="O350" s="212"/>
      <c r="P350" s="211"/>
      <c r="Q350" s="211"/>
      <c r="R350" s="211"/>
      <c r="S350" s="211"/>
      <c r="T350" s="211"/>
      <c r="U350" s="211"/>
      <c r="V350" s="211"/>
      <c r="W350" s="211"/>
      <c r="X350" s="211"/>
      <c r="Y350" s="211"/>
      <c r="Z350" s="211"/>
      <c r="AD350" s="211"/>
      <c r="AE350" s="211"/>
      <c r="AF350" s="211"/>
      <c r="AG350" s="211"/>
      <c r="AH350" s="211"/>
      <c r="AI350" s="211"/>
      <c r="AJ350" s="211"/>
      <c r="AK350" s="211"/>
      <c r="AL350" s="211"/>
      <c r="AM350" s="211"/>
      <c r="AN350" s="211"/>
      <c r="AO350" s="211"/>
      <c r="AP350" s="211"/>
      <c r="AQ350" s="211"/>
      <c r="AR350" s="211"/>
      <c r="AS350" s="211"/>
      <c r="AT350" s="211"/>
      <c r="AU350" s="211"/>
      <c r="AV350" s="211"/>
      <c r="AW350" s="211"/>
      <c r="AX350" s="211"/>
      <c r="AY350" s="211"/>
      <c r="AZ350" s="211"/>
    </row>
    <row r="351" spans="1:52" s="213" customFormat="1" x14ac:dyDescent="0.35">
      <c r="A351" s="211"/>
      <c r="B351" s="211"/>
      <c r="C351" s="211"/>
      <c r="D351" s="211"/>
      <c r="E351" s="211"/>
      <c r="F351" s="211"/>
      <c r="G351" s="211"/>
      <c r="H351" s="211"/>
      <c r="I351" s="212"/>
      <c r="J351" s="212"/>
      <c r="K351" s="212"/>
      <c r="L351" s="212"/>
      <c r="M351" s="212"/>
      <c r="N351" s="212"/>
      <c r="O351" s="212"/>
      <c r="P351" s="211"/>
      <c r="Q351" s="211"/>
      <c r="R351" s="211"/>
      <c r="S351" s="211"/>
      <c r="T351" s="211"/>
      <c r="U351" s="211"/>
      <c r="V351" s="211"/>
      <c r="W351" s="211"/>
      <c r="X351" s="211"/>
      <c r="Y351" s="211"/>
      <c r="Z351" s="211"/>
      <c r="AD351" s="211"/>
      <c r="AE351" s="211"/>
      <c r="AF351" s="211"/>
      <c r="AG351" s="211"/>
      <c r="AH351" s="211"/>
      <c r="AI351" s="211"/>
      <c r="AJ351" s="211"/>
      <c r="AK351" s="211"/>
      <c r="AL351" s="211"/>
      <c r="AM351" s="211"/>
      <c r="AN351" s="211"/>
      <c r="AO351" s="211"/>
      <c r="AP351" s="211"/>
      <c r="AQ351" s="211"/>
      <c r="AR351" s="211"/>
      <c r="AS351" s="211"/>
      <c r="AT351" s="211"/>
      <c r="AU351" s="211"/>
      <c r="AV351" s="211"/>
      <c r="AW351" s="211"/>
      <c r="AX351" s="211"/>
      <c r="AY351" s="211"/>
      <c r="AZ351" s="211"/>
    </row>
    <row r="352" spans="1:52" s="213" customFormat="1" x14ac:dyDescent="0.35">
      <c r="A352" s="211"/>
      <c r="B352" s="211"/>
      <c r="C352" s="211"/>
      <c r="D352" s="211"/>
      <c r="E352" s="211"/>
      <c r="F352" s="211"/>
      <c r="G352" s="211"/>
      <c r="H352" s="211"/>
      <c r="I352" s="212"/>
      <c r="J352" s="212"/>
      <c r="K352" s="212"/>
      <c r="L352" s="212"/>
      <c r="M352" s="212"/>
      <c r="N352" s="212"/>
      <c r="O352" s="212"/>
      <c r="P352" s="211"/>
      <c r="Q352" s="211"/>
      <c r="R352" s="211"/>
      <c r="S352" s="211"/>
      <c r="T352" s="211"/>
      <c r="U352" s="211"/>
      <c r="V352" s="211"/>
      <c r="W352" s="211"/>
      <c r="X352" s="211"/>
      <c r="Y352" s="211"/>
      <c r="Z352" s="211"/>
      <c r="AD352" s="211"/>
      <c r="AE352" s="211"/>
      <c r="AF352" s="211"/>
      <c r="AG352" s="211"/>
      <c r="AH352" s="211"/>
      <c r="AI352" s="211"/>
      <c r="AJ352" s="211"/>
      <c r="AK352" s="211"/>
      <c r="AL352" s="211"/>
      <c r="AM352" s="211"/>
      <c r="AN352" s="211"/>
      <c r="AO352" s="211"/>
      <c r="AP352" s="211"/>
      <c r="AQ352" s="211"/>
      <c r="AR352" s="211"/>
      <c r="AS352" s="211"/>
      <c r="AT352" s="211"/>
      <c r="AU352" s="211"/>
      <c r="AV352" s="211"/>
      <c r="AW352" s="211"/>
      <c r="AX352" s="211"/>
      <c r="AY352" s="211"/>
      <c r="AZ352" s="211"/>
    </row>
    <row r="353" spans="1:52" s="213" customFormat="1" x14ac:dyDescent="0.35">
      <c r="A353" s="211"/>
      <c r="B353" s="211"/>
      <c r="C353" s="211"/>
      <c r="D353" s="211"/>
      <c r="E353" s="211"/>
      <c r="F353" s="211"/>
      <c r="G353" s="211"/>
      <c r="H353" s="211"/>
      <c r="I353" s="212"/>
      <c r="J353" s="212"/>
      <c r="K353" s="212"/>
      <c r="L353" s="212"/>
      <c r="M353" s="212"/>
      <c r="N353" s="212"/>
      <c r="O353" s="212"/>
      <c r="P353" s="211"/>
      <c r="Q353" s="211"/>
      <c r="R353" s="211"/>
      <c r="S353" s="211"/>
      <c r="T353" s="211"/>
      <c r="U353" s="211"/>
      <c r="V353" s="211"/>
      <c r="W353" s="211"/>
      <c r="X353" s="211"/>
      <c r="Y353" s="211"/>
      <c r="Z353" s="211"/>
      <c r="AD353" s="211"/>
      <c r="AE353" s="211"/>
      <c r="AF353" s="211"/>
      <c r="AG353" s="211"/>
      <c r="AH353" s="211"/>
      <c r="AI353" s="211"/>
      <c r="AJ353" s="211"/>
      <c r="AK353" s="211"/>
      <c r="AL353" s="211"/>
      <c r="AM353" s="211"/>
      <c r="AN353" s="211"/>
      <c r="AO353" s="211"/>
      <c r="AP353" s="211"/>
      <c r="AQ353" s="211"/>
      <c r="AR353" s="211"/>
      <c r="AS353" s="211"/>
      <c r="AT353" s="211"/>
      <c r="AU353" s="211"/>
      <c r="AV353" s="211"/>
      <c r="AW353" s="211"/>
      <c r="AX353" s="211"/>
      <c r="AY353" s="211"/>
      <c r="AZ353" s="211"/>
    </row>
    <row r="354" spans="1:52" s="213" customFormat="1" x14ac:dyDescent="0.35">
      <c r="A354" s="211"/>
      <c r="B354" s="211"/>
      <c r="C354" s="211"/>
      <c r="D354" s="211"/>
      <c r="E354" s="211"/>
      <c r="F354" s="211"/>
      <c r="G354" s="211"/>
      <c r="H354" s="211"/>
      <c r="I354" s="212"/>
      <c r="J354" s="212"/>
      <c r="K354" s="212"/>
      <c r="L354" s="212"/>
      <c r="M354" s="212"/>
      <c r="N354" s="212"/>
      <c r="O354" s="212"/>
      <c r="P354" s="211"/>
      <c r="Q354" s="211"/>
      <c r="R354" s="211"/>
      <c r="S354" s="211"/>
      <c r="T354" s="211"/>
      <c r="U354" s="211"/>
      <c r="V354" s="211"/>
      <c r="W354" s="211"/>
      <c r="X354" s="211"/>
      <c r="Y354" s="211"/>
      <c r="Z354" s="211"/>
      <c r="AD354" s="211"/>
      <c r="AE354" s="211"/>
      <c r="AF354" s="211"/>
      <c r="AG354" s="211"/>
      <c r="AH354" s="211"/>
      <c r="AI354" s="211"/>
      <c r="AJ354" s="211"/>
      <c r="AK354" s="211"/>
      <c r="AL354" s="211"/>
      <c r="AM354" s="211"/>
      <c r="AN354" s="211"/>
      <c r="AO354" s="211"/>
      <c r="AP354" s="211"/>
      <c r="AQ354" s="211"/>
      <c r="AR354" s="211"/>
      <c r="AS354" s="211"/>
      <c r="AT354" s="211"/>
      <c r="AU354" s="211"/>
      <c r="AV354" s="211"/>
      <c r="AW354" s="211"/>
      <c r="AX354" s="211"/>
      <c r="AY354" s="211"/>
      <c r="AZ354" s="211"/>
    </row>
    <row r="355" spans="1:52" s="213" customFormat="1" x14ac:dyDescent="0.35">
      <c r="A355" s="211"/>
      <c r="B355" s="211"/>
      <c r="C355" s="211"/>
      <c r="D355" s="211"/>
      <c r="E355" s="211"/>
      <c r="F355" s="211"/>
      <c r="G355" s="211"/>
      <c r="H355" s="211"/>
      <c r="I355" s="212"/>
      <c r="J355" s="212"/>
      <c r="K355" s="212"/>
      <c r="L355" s="212"/>
      <c r="M355" s="212"/>
      <c r="N355" s="212"/>
      <c r="O355" s="212"/>
      <c r="P355" s="211"/>
      <c r="Q355" s="211"/>
      <c r="R355" s="211"/>
      <c r="S355" s="211"/>
      <c r="T355" s="211"/>
      <c r="U355" s="211"/>
      <c r="V355" s="211"/>
      <c r="W355" s="211"/>
      <c r="X355" s="211"/>
      <c r="Y355" s="211"/>
      <c r="Z355" s="211"/>
      <c r="AD355" s="211"/>
      <c r="AE355" s="211"/>
      <c r="AF355" s="211"/>
      <c r="AG355" s="211"/>
      <c r="AH355" s="211"/>
      <c r="AI355" s="211"/>
      <c r="AJ355" s="211"/>
      <c r="AK355" s="211"/>
      <c r="AL355" s="211"/>
      <c r="AM355" s="211"/>
      <c r="AN355" s="211"/>
      <c r="AO355" s="211"/>
      <c r="AP355" s="211"/>
      <c r="AQ355" s="211"/>
      <c r="AR355" s="211"/>
      <c r="AS355" s="211"/>
      <c r="AT355" s="211"/>
      <c r="AU355" s="211"/>
      <c r="AV355" s="211"/>
      <c r="AW355" s="211"/>
      <c r="AX355" s="211"/>
      <c r="AY355" s="211"/>
      <c r="AZ355" s="211"/>
    </row>
    <row r="356" spans="1:52" s="213" customFormat="1" x14ac:dyDescent="0.35">
      <c r="A356" s="211"/>
      <c r="B356" s="211"/>
      <c r="C356" s="211"/>
      <c r="D356" s="211"/>
      <c r="E356" s="211"/>
      <c r="F356" s="211"/>
      <c r="G356" s="211"/>
      <c r="H356" s="211"/>
      <c r="I356" s="212"/>
      <c r="J356" s="212"/>
      <c r="K356" s="212"/>
      <c r="L356" s="212"/>
      <c r="M356" s="212"/>
      <c r="N356" s="212"/>
      <c r="O356" s="212"/>
      <c r="P356" s="211"/>
      <c r="Q356" s="211"/>
      <c r="R356" s="211"/>
      <c r="S356" s="211"/>
      <c r="T356" s="211"/>
      <c r="U356" s="211"/>
      <c r="V356" s="211"/>
      <c r="W356" s="211"/>
      <c r="X356" s="211"/>
      <c r="Y356" s="211"/>
      <c r="Z356" s="211"/>
      <c r="AD356" s="211"/>
      <c r="AE356" s="211"/>
      <c r="AF356" s="211"/>
      <c r="AG356" s="211"/>
      <c r="AH356" s="211"/>
      <c r="AI356" s="211"/>
      <c r="AJ356" s="211"/>
      <c r="AK356" s="211"/>
      <c r="AL356" s="211"/>
      <c r="AM356" s="211"/>
      <c r="AN356" s="211"/>
      <c r="AO356" s="211"/>
      <c r="AP356" s="211"/>
      <c r="AQ356" s="211"/>
      <c r="AR356" s="211"/>
      <c r="AS356" s="211"/>
      <c r="AT356" s="211"/>
      <c r="AU356" s="211"/>
      <c r="AV356" s="211"/>
      <c r="AW356" s="211"/>
      <c r="AX356" s="211"/>
      <c r="AY356" s="211"/>
      <c r="AZ356" s="211"/>
    </row>
    <row r="357" spans="1:52" s="213" customFormat="1" x14ac:dyDescent="0.35">
      <c r="A357" s="211"/>
      <c r="B357" s="211"/>
      <c r="C357" s="211"/>
      <c r="D357" s="211"/>
      <c r="E357" s="211"/>
      <c r="F357" s="211"/>
      <c r="G357" s="211"/>
      <c r="H357" s="211"/>
      <c r="I357" s="212"/>
      <c r="J357" s="212"/>
      <c r="K357" s="212"/>
      <c r="L357" s="212"/>
      <c r="M357" s="212"/>
      <c r="N357" s="212"/>
      <c r="O357" s="212"/>
      <c r="P357" s="211"/>
      <c r="Q357" s="211"/>
      <c r="R357" s="211"/>
      <c r="S357" s="211"/>
      <c r="T357" s="211"/>
      <c r="U357" s="211"/>
      <c r="V357" s="211"/>
      <c r="W357" s="211"/>
      <c r="X357" s="211"/>
      <c r="Y357" s="211"/>
      <c r="Z357" s="211"/>
      <c r="AD357" s="211"/>
      <c r="AE357" s="211"/>
      <c r="AF357" s="211"/>
      <c r="AG357" s="211"/>
      <c r="AH357" s="211"/>
      <c r="AI357" s="211"/>
      <c r="AJ357" s="211"/>
      <c r="AK357" s="211"/>
      <c r="AL357" s="211"/>
      <c r="AM357" s="211"/>
      <c r="AN357" s="211"/>
      <c r="AO357" s="211"/>
      <c r="AP357" s="211"/>
      <c r="AQ357" s="211"/>
      <c r="AR357" s="211"/>
      <c r="AS357" s="211"/>
      <c r="AT357" s="211"/>
      <c r="AU357" s="211"/>
      <c r="AV357" s="211"/>
      <c r="AW357" s="211"/>
      <c r="AX357" s="211"/>
      <c r="AY357" s="211"/>
      <c r="AZ357" s="211"/>
    </row>
    <row r="358" spans="1:52" s="213" customFormat="1" x14ac:dyDescent="0.35">
      <c r="A358" s="211"/>
      <c r="B358" s="211"/>
      <c r="C358" s="211"/>
      <c r="D358" s="211"/>
      <c r="E358" s="211"/>
      <c r="F358" s="211"/>
      <c r="G358" s="211"/>
      <c r="H358" s="211"/>
      <c r="I358" s="212"/>
      <c r="J358" s="212"/>
      <c r="K358" s="212"/>
      <c r="L358" s="212"/>
      <c r="M358" s="212"/>
      <c r="N358" s="212"/>
      <c r="O358" s="212"/>
      <c r="P358" s="211"/>
      <c r="Q358" s="211"/>
      <c r="R358" s="211"/>
      <c r="S358" s="211"/>
      <c r="T358" s="211"/>
      <c r="U358" s="211"/>
      <c r="V358" s="211"/>
      <c r="W358" s="211"/>
      <c r="X358" s="211"/>
      <c r="Y358" s="211"/>
      <c r="Z358" s="211"/>
      <c r="AD358" s="211"/>
      <c r="AE358" s="211"/>
      <c r="AF358" s="211"/>
      <c r="AG358" s="211"/>
      <c r="AH358" s="211"/>
      <c r="AI358" s="211"/>
      <c r="AJ358" s="211"/>
      <c r="AK358" s="211"/>
      <c r="AL358" s="211"/>
      <c r="AM358" s="211"/>
      <c r="AN358" s="211"/>
      <c r="AO358" s="211"/>
      <c r="AP358" s="211"/>
      <c r="AQ358" s="211"/>
      <c r="AR358" s="211"/>
      <c r="AS358" s="211"/>
      <c r="AT358" s="211"/>
      <c r="AU358" s="211"/>
      <c r="AV358" s="211"/>
      <c r="AW358" s="211"/>
      <c r="AX358" s="211"/>
      <c r="AY358" s="211"/>
      <c r="AZ358" s="211"/>
    </row>
    <row r="359" spans="1:52" s="213" customFormat="1" x14ac:dyDescent="0.35">
      <c r="A359" s="211"/>
      <c r="B359" s="211"/>
      <c r="C359" s="211"/>
      <c r="D359" s="211"/>
      <c r="E359" s="211"/>
      <c r="F359" s="211"/>
      <c r="G359" s="211"/>
      <c r="H359" s="211"/>
      <c r="I359" s="212"/>
      <c r="J359" s="212"/>
      <c r="K359" s="212"/>
      <c r="L359" s="212"/>
      <c r="M359" s="212"/>
      <c r="N359" s="212"/>
      <c r="O359" s="212"/>
      <c r="P359" s="211"/>
      <c r="Q359" s="211"/>
      <c r="R359" s="211"/>
      <c r="S359" s="211"/>
      <c r="T359" s="211"/>
      <c r="U359" s="211"/>
      <c r="V359" s="211"/>
      <c r="W359" s="211"/>
      <c r="X359" s="211"/>
      <c r="Y359" s="211"/>
      <c r="Z359" s="211"/>
      <c r="AD359" s="211"/>
      <c r="AE359" s="211"/>
      <c r="AF359" s="211"/>
      <c r="AG359" s="211"/>
      <c r="AH359" s="211"/>
      <c r="AI359" s="211"/>
      <c r="AJ359" s="211"/>
      <c r="AK359" s="211"/>
      <c r="AL359" s="211"/>
      <c r="AM359" s="211"/>
      <c r="AN359" s="211"/>
      <c r="AO359" s="211"/>
      <c r="AP359" s="211"/>
      <c r="AQ359" s="211"/>
      <c r="AR359" s="211"/>
      <c r="AS359" s="211"/>
      <c r="AT359" s="211"/>
      <c r="AU359" s="211"/>
      <c r="AV359" s="211"/>
      <c r="AW359" s="211"/>
      <c r="AX359" s="211"/>
      <c r="AY359" s="211"/>
      <c r="AZ359" s="211"/>
    </row>
    <row r="360" spans="1:52" s="213" customFormat="1" x14ac:dyDescent="0.35">
      <c r="A360" s="211"/>
      <c r="B360" s="211"/>
      <c r="C360" s="211"/>
      <c r="D360" s="211"/>
      <c r="E360" s="211"/>
      <c r="F360" s="211"/>
      <c r="G360" s="211"/>
      <c r="H360" s="211"/>
      <c r="I360" s="212"/>
      <c r="J360" s="212"/>
      <c r="K360" s="212"/>
      <c r="L360" s="212"/>
      <c r="M360" s="212"/>
      <c r="N360" s="212"/>
      <c r="O360" s="212"/>
      <c r="P360" s="211"/>
      <c r="Q360" s="211"/>
      <c r="R360" s="211"/>
      <c r="S360" s="211"/>
      <c r="T360" s="211"/>
      <c r="U360" s="211"/>
      <c r="V360" s="211"/>
      <c r="W360" s="211"/>
      <c r="X360" s="211"/>
      <c r="Y360" s="211"/>
      <c r="Z360" s="211"/>
      <c r="AD360" s="211"/>
      <c r="AE360" s="211"/>
      <c r="AF360" s="211"/>
      <c r="AG360" s="211"/>
      <c r="AH360" s="211"/>
      <c r="AI360" s="211"/>
      <c r="AJ360" s="211"/>
      <c r="AK360" s="211"/>
      <c r="AL360" s="211"/>
      <c r="AM360" s="211"/>
      <c r="AN360" s="211"/>
      <c r="AO360" s="211"/>
      <c r="AP360" s="211"/>
      <c r="AQ360" s="211"/>
      <c r="AR360" s="211"/>
      <c r="AS360" s="211"/>
      <c r="AT360" s="211"/>
      <c r="AU360" s="211"/>
      <c r="AV360" s="211"/>
      <c r="AW360" s="211"/>
      <c r="AX360" s="211"/>
      <c r="AY360" s="211"/>
      <c r="AZ360" s="211"/>
    </row>
    <row r="361" spans="1:52" s="213" customFormat="1" x14ac:dyDescent="0.35">
      <c r="A361" s="211"/>
      <c r="B361" s="211"/>
      <c r="C361" s="211"/>
      <c r="D361" s="211"/>
      <c r="E361" s="211"/>
      <c r="F361" s="211"/>
      <c r="G361" s="211"/>
      <c r="H361" s="211"/>
      <c r="I361" s="212"/>
      <c r="J361" s="212"/>
      <c r="K361" s="212"/>
      <c r="L361" s="212"/>
      <c r="M361" s="212"/>
      <c r="N361" s="212"/>
      <c r="O361" s="212"/>
      <c r="P361" s="211"/>
      <c r="Q361" s="211"/>
      <c r="R361" s="211"/>
      <c r="S361" s="211"/>
      <c r="T361" s="211"/>
      <c r="U361" s="211"/>
      <c r="V361" s="211"/>
      <c r="W361" s="211"/>
      <c r="X361" s="211"/>
      <c r="Y361" s="211"/>
      <c r="Z361" s="211"/>
      <c r="AD361" s="211"/>
      <c r="AE361" s="211"/>
      <c r="AF361" s="211"/>
      <c r="AG361" s="211"/>
      <c r="AH361" s="211"/>
      <c r="AI361" s="211"/>
      <c r="AJ361" s="211"/>
      <c r="AK361" s="211"/>
      <c r="AL361" s="211"/>
      <c r="AM361" s="211"/>
      <c r="AN361" s="211"/>
      <c r="AO361" s="211"/>
      <c r="AP361" s="211"/>
      <c r="AQ361" s="211"/>
      <c r="AR361" s="211"/>
      <c r="AS361" s="211"/>
      <c r="AT361" s="211"/>
      <c r="AU361" s="211"/>
      <c r="AV361" s="211"/>
      <c r="AW361" s="211"/>
      <c r="AX361" s="211"/>
      <c r="AY361" s="211"/>
      <c r="AZ361" s="211"/>
    </row>
    <row r="362" spans="1:52" s="213" customFormat="1" x14ac:dyDescent="0.35">
      <c r="A362" s="211"/>
      <c r="B362" s="211"/>
      <c r="C362" s="211"/>
      <c r="D362" s="211"/>
      <c r="E362" s="211"/>
      <c r="F362" s="211"/>
      <c r="G362" s="211"/>
      <c r="H362" s="211"/>
      <c r="I362" s="212"/>
      <c r="J362" s="212"/>
      <c r="K362" s="212"/>
      <c r="L362" s="212"/>
      <c r="M362" s="212"/>
      <c r="N362" s="212"/>
      <c r="O362" s="212"/>
      <c r="P362" s="211"/>
      <c r="Q362" s="211"/>
      <c r="R362" s="211"/>
      <c r="S362" s="211"/>
      <c r="T362" s="211"/>
      <c r="U362" s="211"/>
      <c r="V362" s="211"/>
      <c r="W362" s="211"/>
      <c r="X362" s="211"/>
      <c r="Y362" s="211"/>
      <c r="Z362" s="211"/>
      <c r="AD362" s="211"/>
      <c r="AE362" s="211"/>
      <c r="AF362" s="211"/>
      <c r="AG362" s="211"/>
      <c r="AH362" s="211"/>
      <c r="AI362" s="211"/>
      <c r="AJ362" s="211"/>
      <c r="AK362" s="211"/>
      <c r="AL362" s="211"/>
      <c r="AM362" s="211"/>
      <c r="AN362" s="211"/>
      <c r="AO362" s="211"/>
      <c r="AP362" s="211"/>
      <c r="AQ362" s="211"/>
      <c r="AR362" s="211"/>
      <c r="AS362" s="211"/>
      <c r="AT362" s="211"/>
      <c r="AU362" s="211"/>
      <c r="AV362" s="211"/>
      <c r="AW362" s="211"/>
      <c r="AX362" s="211"/>
      <c r="AY362" s="211"/>
      <c r="AZ362" s="211"/>
    </row>
    <row r="363" spans="1:52" s="213" customFormat="1" x14ac:dyDescent="0.35">
      <c r="A363" s="211"/>
      <c r="B363" s="211"/>
      <c r="C363" s="211"/>
      <c r="D363" s="211"/>
      <c r="E363" s="211"/>
      <c r="F363" s="211"/>
      <c r="G363" s="211"/>
      <c r="H363" s="211"/>
      <c r="I363" s="212"/>
      <c r="J363" s="212"/>
      <c r="K363" s="212"/>
      <c r="L363" s="212"/>
      <c r="M363" s="212"/>
      <c r="N363" s="212"/>
      <c r="O363" s="212"/>
      <c r="P363" s="211"/>
      <c r="Q363" s="211"/>
      <c r="R363" s="211"/>
      <c r="S363" s="211"/>
      <c r="T363" s="211"/>
      <c r="U363" s="211"/>
      <c r="V363" s="211"/>
      <c r="W363" s="211"/>
      <c r="X363" s="211"/>
      <c r="Y363" s="211"/>
      <c r="Z363" s="211"/>
      <c r="AD363" s="211"/>
      <c r="AE363" s="211"/>
      <c r="AF363" s="211"/>
      <c r="AG363" s="211"/>
      <c r="AH363" s="211"/>
      <c r="AI363" s="211"/>
      <c r="AJ363" s="211"/>
      <c r="AK363" s="211"/>
      <c r="AL363" s="211"/>
      <c r="AM363" s="211"/>
      <c r="AN363" s="211"/>
      <c r="AO363" s="211"/>
      <c r="AP363" s="211"/>
      <c r="AQ363" s="211"/>
      <c r="AR363" s="211"/>
      <c r="AS363" s="211"/>
      <c r="AT363" s="211"/>
      <c r="AU363" s="211"/>
      <c r="AV363" s="211"/>
      <c r="AW363" s="211"/>
      <c r="AX363" s="211"/>
      <c r="AY363" s="211"/>
      <c r="AZ363" s="211"/>
    </row>
    <row r="364" spans="1:52" s="213" customFormat="1" x14ac:dyDescent="0.35">
      <c r="A364" s="211"/>
      <c r="B364" s="211"/>
      <c r="C364" s="211"/>
      <c r="D364" s="211"/>
      <c r="E364" s="211"/>
      <c r="F364" s="211"/>
      <c r="G364" s="211"/>
      <c r="H364" s="211"/>
      <c r="I364" s="212"/>
      <c r="J364" s="212"/>
      <c r="K364" s="212"/>
      <c r="L364" s="212"/>
      <c r="M364" s="212"/>
      <c r="N364" s="212"/>
      <c r="O364" s="212"/>
      <c r="P364" s="211"/>
      <c r="Q364" s="211"/>
      <c r="R364" s="211"/>
      <c r="S364" s="211"/>
      <c r="T364" s="211"/>
      <c r="U364" s="211"/>
      <c r="V364" s="211"/>
      <c r="W364" s="211"/>
      <c r="X364" s="211"/>
      <c r="Y364" s="211"/>
      <c r="Z364" s="211"/>
      <c r="AD364" s="211"/>
      <c r="AE364" s="211"/>
      <c r="AF364" s="211"/>
      <c r="AG364" s="211"/>
      <c r="AH364" s="211"/>
      <c r="AI364" s="211"/>
      <c r="AJ364" s="211"/>
      <c r="AK364" s="211"/>
      <c r="AL364" s="211"/>
      <c r="AM364" s="211"/>
      <c r="AN364" s="211"/>
      <c r="AO364" s="211"/>
      <c r="AP364" s="211"/>
      <c r="AQ364" s="211"/>
      <c r="AR364" s="211"/>
      <c r="AS364" s="211"/>
      <c r="AT364" s="211"/>
      <c r="AU364" s="211"/>
      <c r="AV364" s="211"/>
      <c r="AW364" s="211"/>
      <c r="AX364" s="211"/>
      <c r="AY364" s="211"/>
      <c r="AZ364" s="211"/>
    </row>
    <row r="365" spans="1:52" s="213" customFormat="1" x14ac:dyDescent="0.35">
      <c r="A365" s="211"/>
      <c r="B365" s="211"/>
      <c r="C365" s="211"/>
      <c r="D365" s="211"/>
      <c r="E365" s="211"/>
      <c r="F365" s="211"/>
      <c r="G365" s="211"/>
      <c r="H365" s="211"/>
      <c r="I365" s="212"/>
      <c r="J365" s="212"/>
      <c r="K365" s="212"/>
      <c r="L365" s="212"/>
      <c r="M365" s="212"/>
      <c r="N365" s="212"/>
      <c r="O365" s="212"/>
      <c r="P365" s="211"/>
      <c r="Q365" s="211"/>
      <c r="R365" s="211"/>
      <c r="S365" s="211"/>
      <c r="T365" s="211"/>
      <c r="U365" s="211"/>
      <c r="V365" s="211"/>
      <c r="W365" s="211"/>
      <c r="X365" s="211"/>
      <c r="Y365" s="211"/>
      <c r="Z365" s="211"/>
      <c r="AD365" s="211"/>
      <c r="AE365" s="211"/>
      <c r="AF365" s="211"/>
      <c r="AG365" s="211"/>
      <c r="AH365" s="211"/>
      <c r="AI365" s="211"/>
      <c r="AJ365" s="211"/>
      <c r="AK365" s="211"/>
      <c r="AL365" s="211"/>
      <c r="AM365" s="211"/>
      <c r="AN365" s="211"/>
      <c r="AO365" s="211"/>
      <c r="AP365" s="211"/>
      <c r="AQ365" s="211"/>
      <c r="AR365" s="211"/>
      <c r="AS365" s="211"/>
      <c r="AT365" s="211"/>
      <c r="AU365" s="211"/>
      <c r="AV365" s="211"/>
      <c r="AW365" s="211"/>
      <c r="AX365" s="211"/>
      <c r="AY365" s="211"/>
      <c r="AZ365" s="211"/>
    </row>
    <row r="366" spans="1:52" s="213" customFormat="1" x14ac:dyDescent="0.35">
      <c r="A366" s="211"/>
      <c r="B366" s="211"/>
      <c r="C366" s="211"/>
      <c r="D366" s="211"/>
      <c r="E366" s="211"/>
      <c r="F366" s="211"/>
      <c r="G366" s="211"/>
      <c r="H366" s="211"/>
      <c r="I366" s="212"/>
      <c r="J366" s="212"/>
      <c r="K366" s="212"/>
      <c r="L366" s="212"/>
      <c r="M366" s="212"/>
      <c r="N366" s="212"/>
      <c r="O366" s="212"/>
      <c r="P366" s="211"/>
      <c r="Q366" s="211"/>
      <c r="R366" s="211"/>
      <c r="S366" s="211"/>
      <c r="T366" s="211"/>
      <c r="U366" s="211"/>
      <c r="V366" s="211"/>
      <c r="W366" s="211"/>
      <c r="X366" s="211"/>
      <c r="Y366" s="211"/>
      <c r="Z366" s="211"/>
      <c r="AD366" s="211"/>
      <c r="AE366" s="211"/>
      <c r="AF366" s="211"/>
      <c r="AG366" s="211"/>
      <c r="AH366" s="211"/>
      <c r="AI366" s="211"/>
      <c r="AJ366" s="211"/>
      <c r="AK366" s="211"/>
      <c r="AL366" s="211"/>
      <c r="AM366" s="211"/>
      <c r="AN366" s="211"/>
      <c r="AO366" s="211"/>
      <c r="AP366" s="211"/>
      <c r="AQ366" s="211"/>
      <c r="AR366" s="211"/>
      <c r="AS366" s="211"/>
      <c r="AT366" s="211"/>
      <c r="AU366" s="211"/>
      <c r="AV366" s="211"/>
      <c r="AW366" s="211"/>
      <c r="AX366" s="211"/>
      <c r="AY366" s="211"/>
      <c r="AZ366" s="211"/>
    </row>
    <row r="367" spans="1:52" s="213" customFormat="1" x14ac:dyDescent="0.35">
      <c r="A367" s="211"/>
      <c r="B367" s="211"/>
      <c r="C367" s="211"/>
      <c r="D367" s="211"/>
      <c r="E367" s="211"/>
      <c r="F367" s="211"/>
      <c r="G367" s="211"/>
      <c r="H367" s="211"/>
      <c r="I367" s="212"/>
      <c r="J367" s="212"/>
      <c r="K367" s="212"/>
      <c r="L367" s="212"/>
      <c r="M367" s="212"/>
      <c r="N367" s="212"/>
      <c r="O367" s="212"/>
      <c r="P367" s="211"/>
      <c r="Q367" s="211"/>
      <c r="R367" s="211"/>
      <c r="S367" s="211"/>
      <c r="T367" s="211"/>
      <c r="U367" s="211"/>
      <c r="V367" s="211"/>
      <c r="W367" s="211"/>
      <c r="X367" s="211"/>
      <c r="Y367" s="211"/>
      <c r="Z367" s="211"/>
      <c r="AD367" s="211"/>
      <c r="AE367" s="211"/>
      <c r="AF367" s="211"/>
      <c r="AG367" s="211"/>
      <c r="AH367" s="211"/>
      <c r="AI367" s="211"/>
      <c r="AJ367" s="211"/>
      <c r="AK367" s="211"/>
      <c r="AL367" s="211"/>
      <c r="AM367" s="211"/>
      <c r="AN367" s="211"/>
      <c r="AO367" s="211"/>
      <c r="AP367" s="211"/>
      <c r="AQ367" s="211"/>
      <c r="AR367" s="211"/>
      <c r="AS367" s="211"/>
      <c r="AT367" s="211"/>
      <c r="AU367" s="211"/>
      <c r="AV367" s="211"/>
      <c r="AW367" s="211"/>
      <c r="AX367" s="211"/>
      <c r="AY367" s="211"/>
      <c r="AZ367" s="211"/>
    </row>
    <row r="368" spans="1:52" s="213" customFormat="1" x14ac:dyDescent="0.35">
      <c r="A368" s="211"/>
      <c r="B368" s="211"/>
      <c r="C368" s="211"/>
      <c r="D368" s="211"/>
      <c r="E368" s="211"/>
      <c r="F368" s="211"/>
      <c r="G368" s="211"/>
      <c r="H368" s="211"/>
      <c r="I368" s="212"/>
      <c r="J368" s="212"/>
      <c r="K368" s="212"/>
      <c r="L368" s="212"/>
      <c r="M368" s="212"/>
      <c r="N368" s="212"/>
      <c r="O368" s="212"/>
      <c r="P368" s="211"/>
      <c r="Q368" s="211"/>
      <c r="R368" s="211"/>
      <c r="S368" s="211"/>
      <c r="T368" s="211"/>
      <c r="U368" s="211"/>
      <c r="V368" s="211"/>
      <c r="W368" s="211"/>
      <c r="X368" s="211"/>
      <c r="Y368" s="211"/>
      <c r="Z368" s="211"/>
      <c r="AD368" s="211"/>
      <c r="AE368" s="211"/>
      <c r="AF368" s="211"/>
      <c r="AG368" s="211"/>
      <c r="AH368" s="211"/>
      <c r="AI368" s="211"/>
      <c r="AJ368" s="211"/>
      <c r="AK368" s="211"/>
      <c r="AL368" s="211"/>
      <c r="AM368" s="211"/>
      <c r="AN368" s="211"/>
      <c r="AO368" s="211"/>
      <c r="AP368" s="211"/>
      <c r="AQ368" s="211"/>
      <c r="AR368" s="211"/>
      <c r="AS368" s="211"/>
      <c r="AT368" s="211"/>
      <c r="AU368" s="211"/>
      <c r="AV368" s="211"/>
      <c r="AW368" s="211"/>
      <c r="AX368" s="211"/>
      <c r="AY368" s="211"/>
      <c r="AZ368" s="211"/>
    </row>
    <row r="369" spans="1:52" s="213" customFormat="1" x14ac:dyDescent="0.35">
      <c r="A369" s="211"/>
      <c r="B369" s="211"/>
      <c r="C369" s="211"/>
      <c r="D369" s="211"/>
      <c r="E369" s="211"/>
      <c r="F369" s="211"/>
      <c r="G369" s="211"/>
      <c r="H369" s="211"/>
      <c r="I369" s="212"/>
      <c r="J369" s="212"/>
      <c r="K369" s="212"/>
      <c r="L369" s="212"/>
      <c r="M369" s="212"/>
      <c r="N369" s="212"/>
      <c r="O369" s="212"/>
      <c r="P369" s="211"/>
      <c r="Q369" s="211"/>
      <c r="R369" s="211"/>
      <c r="S369" s="211"/>
      <c r="T369" s="211"/>
      <c r="U369" s="211"/>
      <c r="V369" s="211"/>
      <c r="W369" s="211"/>
      <c r="X369" s="211"/>
      <c r="Y369" s="211"/>
      <c r="Z369" s="211"/>
      <c r="AD369" s="211"/>
      <c r="AE369" s="211"/>
      <c r="AF369" s="211"/>
      <c r="AG369" s="211"/>
      <c r="AH369" s="211"/>
      <c r="AI369" s="211"/>
      <c r="AJ369" s="211"/>
      <c r="AK369" s="211"/>
      <c r="AL369" s="211"/>
      <c r="AM369" s="211"/>
      <c r="AN369" s="211"/>
      <c r="AO369" s="211"/>
      <c r="AP369" s="211"/>
      <c r="AQ369" s="211"/>
      <c r="AR369" s="211"/>
      <c r="AS369" s="211"/>
      <c r="AT369" s="211"/>
      <c r="AU369" s="211"/>
      <c r="AV369" s="211"/>
      <c r="AW369" s="211"/>
      <c r="AX369" s="211"/>
      <c r="AY369" s="211"/>
      <c r="AZ369" s="211"/>
    </row>
    <row r="370" spans="1:52" s="213" customFormat="1" x14ac:dyDescent="0.35">
      <c r="A370" s="211"/>
      <c r="B370" s="211"/>
      <c r="C370" s="211"/>
      <c r="D370" s="211"/>
      <c r="E370" s="211"/>
      <c r="F370" s="211"/>
      <c r="G370" s="211"/>
      <c r="H370" s="211"/>
      <c r="I370" s="212"/>
      <c r="J370" s="212"/>
      <c r="K370" s="212"/>
      <c r="L370" s="212"/>
      <c r="M370" s="212"/>
      <c r="N370" s="212"/>
      <c r="O370" s="212"/>
      <c r="P370" s="211"/>
      <c r="Q370" s="211"/>
      <c r="R370" s="211"/>
      <c r="S370" s="211"/>
      <c r="T370" s="211"/>
      <c r="U370" s="211"/>
      <c r="V370" s="211"/>
      <c r="W370" s="211"/>
      <c r="X370" s="211"/>
      <c r="Y370" s="211"/>
      <c r="Z370" s="211"/>
      <c r="AD370" s="211"/>
      <c r="AE370" s="211"/>
      <c r="AF370" s="211"/>
      <c r="AG370" s="211"/>
      <c r="AH370" s="211"/>
      <c r="AI370" s="211"/>
      <c r="AJ370" s="211"/>
      <c r="AK370" s="211"/>
      <c r="AL370" s="211"/>
      <c r="AM370" s="211"/>
      <c r="AN370" s="211"/>
      <c r="AO370" s="211"/>
      <c r="AP370" s="211"/>
      <c r="AQ370" s="211"/>
      <c r="AR370" s="211"/>
      <c r="AS370" s="211"/>
      <c r="AT370" s="211"/>
      <c r="AU370" s="211"/>
      <c r="AV370" s="211"/>
      <c r="AW370" s="211"/>
      <c r="AX370" s="211"/>
      <c r="AY370" s="211"/>
      <c r="AZ370" s="211"/>
    </row>
    <row r="371" spans="1:52" s="213" customFormat="1" x14ac:dyDescent="0.35">
      <c r="A371" s="211"/>
      <c r="B371" s="211"/>
      <c r="C371" s="211"/>
      <c r="D371" s="211"/>
      <c r="E371" s="211"/>
      <c r="F371" s="211"/>
      <c r="G371" s="211"/>
      <c r="H371" s="211"/>
      <c r="I371" s="212"/>
      <c r="J371" s="212"/>
      <c r="K371" s="212"/>
      <c r="L371" s="212"/>
      <c r="M371" s="212"/>
      <c r="N371" s="212"/>
      <c r="O371" s="212"/>
      <c r="P371" s="211"/>
      <c r="Q371" s="211"/>
      <c r="R371" s="211"/>
      <c r="S371" s="211"/>
      <c r="T371" s="211"/>
      <c r="U371" s="211"/>
      <c r="V371" s="211"/>
      <c r="W371" s="211"/>
      <c r="X371" s="211"/>
      <c r="Y371" s="211"/>
      <c r="Z371" s="211"/>
      <c r="AD371" s="211"/>
      <c r="AE371" s="211"/>
      <c r="AF371" s="211"/>
      <c r="AG371" s="211"/>
      <c r="AH371" s="211"/>
      <c r="AI371" s="211"/>
      <c r="AJ371" s="211"/>
      <c r="AK371" s="211"/>
      <c r="AL371" s="211"/>
      <c r="AM371" s="211"/>
      <c r="AN371" s="211"/>
      <c r="AO371" s="211"/>
      <c r="AP371" s="211"/>
      <c r="AQ371" s="211"/>
      <c r="AR371" s="211"/>
      <c r="AS371" s="211"/>
      <c r="AT371" s="211"/>
      <c r="AU371" s="211"/>
      <c r="AV371" s="211"/>
      <c r="AW371" s="211"/>
      <c r="AX371" s="211"/>
      <c r="AY371" s="211"/>
      <c r="AZ371" s="211"/>
    </row>
    <row r="372" spans="1:52" s="213" customFormat="1" x14ac:dyDescent="0.35">
      <c r="A372" s="211"/>
      <c r="B372" s="211"/>
      <c r="C372" s="211"/>
      <c r="D372" s="211"/>
      <c r="E372" s="211"/>
      <c r="F372" s="211"/>
      <c r="G372" s="211"/>
      <c r="H372" s="211"/>
      <c r="I372" s="212"/>
      <c r="J372" s="212"/>
      <c r="K372" s="212"/>
      <c r="L372" s="212"/>
      <c r="M372" s="212"/>
      <c r="N372" s="212"/>
      <c r="O372" s="212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D372" s="211"/>
      <c r="AE372" s="211"/>
      <c r="AF372" s="211"/>
      <c r="AG372" s="211"/>
      <c r="AH372" s="211"/>
      <c r="AI372" s="211"/>
      <c r="AJ372" s="211"/>
      <c r="AK372" s="211"/>
      <c r="AL372" s="211"/>
      <c r="AM372" s="211"/>
      <c r="AN372" s="211"/>
      <c r="AO372" s="211"/>
      <c r="AP372" s="211"/>
      <c r="AQ372" s="211"/>
      <c r="AR372" s="211"/>
      <c r="AS372" s="211"/>
      <c r="AT372" s="211"/>
      <c r="AU372" s="211"/>
      <c r="AV372" s="211"/>
      <c r="AW372" s="211"/>
      <c r="AX372" s="211"/>
      <c r="AY372" s="211"/>
      <c r="AZ372" s="211"/>
    </row>
    <row r="373" spans="1:52" s="213" customFormat="1" x14ac:dyDescent="0.35">
      <c r="A373" s="211"/>
      <c r="B373" s="211"/>
      <c r="C373" s="211"/>
      <c r="D373" s="211"/>
      <c r="E373" s="211"/>
      <c r="F373" s="211"/>
      <c r="G373" s="211"/>
      <c r="H373" s="211"/>
      <c r="I373" s="212"/>
      <c r="J373" s="212"/>
      <c r="K373" s="212"/>
      <c r="L373" s="212"/>
      <c r="M373" s="212"/>
      <c r="N373" s="212"/>
      <c r="O373" s="212"/>
      <c r="P373" s="211"/>
      <c r="Q373" s="211"/>
      <c r="R373" s="211"/>
      <c r="S373" s="211"/>
      <c r="T373" s="211"/>
      <c r="U373" s="211"/>
      <c r="V373" s="211"/>
      <c r="W373" s="211"/>
      <c r="X373" s="211"/>
      <c r="Y373" s="211"/>
      <c r="Z373" s="211"/>
      <c r="AD373" s="211"/>
      <c r="AE373" s="211"/>
      <c r="AF373" s="211"/>
      <c r="AG373" s="211"/>
      <c r="AH373" s="211"/>
      <c r="AI373" s="211"/>
      <c r="AJ373" s="211"/>
      <c r="AK373" s="211"/>
      <c r="AL373" s="211"/>
      <c r="AM373" s="211"/>
      <c r="AN373" s="211"/>
      <c r="AO373" s="211"/>
      <c r="AP373" s="211"/>
      <c r="AQ373" s="211"/>
      <c r="AR373" s="211"/>
      <c r="AS373" s="211"/>
      <c r="AT373" s="211"/>
      <c r="AU373" s="211"/>
      <c r="AV373" s="211"/>
      <c r="AW373" s="211"/>
      <c r="AX373" s="211"/>
      <c r="AY373" s="211"/>
      <c r="AZ373" s="211"/>
    </row>
    <row r="374" spans="1:52" s="213" customFormat="1" x14ac:dyDescent="0.35">
      <c r="A374" s="211"/>
      <c r="B374" s="211"/>
      <c r="C374" s="211"/>
      <c r="D374" s="211"/>
      <c r="E374" s="211"/>
      <c r="F374" s="211"/>
      <c r="G374" s="211"/>
      <c r="H374" s="211"/>
      <c r="I374" s="212"/>
      <c r="J374" s="212"/>
      <c r="K374" s="212"/>
      <c r="L374" s="212"/>
      <c r="M374" s="212"/>
      <c r="N374" s="212"/>
      <c r="O374" s="212"/>
      <c r="P374" s="211"/>
      <c r="Q374" s="211"/>
      <c r="R374" s="211"/>
      <c r="S374" s="211"/>
      <c r="T374" s="211"/>
      <c r="U374" s="211"/>
      <c r="V374" s="211"/>
      <c r="W374" s="211"/>
      <c r="X374" s="211"/>
      <c r="Y374" s="211"/>
      <c r="Z374" s="211"/>
      <c r="AD374" s="211"/>
      <c r="AE374" s="211"/>
      <c r="AF374" s="211"/>
      <c r="AG374" s="211"/>
      <c r="AH374" s="211"/>
      <c r="AI374" s="211"/>
      <c r="AJ374" s="211"/>
      <c r="AK374" s="211"/>
      <c r="AL374" s="211"/>
      <c r="AM374" s="211"/>
      <c r="AN374" s="211"/>
      <c r="AO374" s="211"/>
      <c r="AP374" s="211"/>
      <c r="AQ374" s="211"/>
      <c r="AR374" s="211"/>
      <c r="AS374" s="211"/>
      <c r="AT374" s="211"/>
      <c r="AU374" s="211"/>
      <c r="AV374" s="211"/>
      <c r="AW374" s="211"/>
      <c r="AX374" s="211"/>
      <c r="AY374" s="211"/>
      <c r="AZ374" s="211"/>
    </row>
    <row r="375" spans="1:52" s="213" customFormat="1" x14ac:dyDescent="0.35">
      <c r="A375" s="211"/>
      <c r="B375" s="211"/>
      <c r="C375" s="211"/>
      <c r="D375" s="211"/>
      <c r="E375" s="211"/>
      <c r="F375" s="211"/>
      <c r="G375" s="211"/>
      <c r="H375" s="211"/>
      <c r="I375" s="212"/>
      <c r="J375" s="212"/>
      <c r="K375" s="212"/>
      <c r="L375" s="212"/>
      <c r="M375" s="212"/>
      <c r="N375" s="212"/>
      <c r="O375" s="212"/>
      <c r="P375" s="211"/>
      <c r="Q375" s="211"/>
      <c r="R375" s="211"/>
      <c r="S375" s="211"/>
      <c r="T375" s="211"/>
      <c r="U375" s="211"/>
      <c r="V375" s="211"/>
      <c r="W375" s="211"/>
      <c r="X375" s="211"/>
      <c r="Y375" s="211"/>
      <c r="Z375" s="211"/>
      <c r="AD375" s="211"/>
      <c r="AE375" s="211"/>
      <c r="AF375" s="211"/>
      <c r="AG375" s="211"/>
      <c r="AH375" s="211"/>
      <c r="AI375" s="211"/>
      <c r="AJ375" s="211"/>
      <c r="AK375" s="211"/>
      <c r="AL375" s="211"/>
      <c r="AM375" s="211"/>
      <c r="AN375" s="211"/>
      <c r="AO375" s="211"/>
      <c r="AP375" s="211"/>
      <c r="AQ375" s="211"/>
      <c r="AR375" s="211"/>
      <c r="AS375" s="211"/>
      <c r="AT375" s="211"/>
      <c r="AU375" s="211"/>
      <c r="AV375" s="211"/>
      <c r="AW375" s="211"/>
      <c r="AX375" s="211"/>
      <c r="AY375" s="211"/>
      <c r="AZ375" s="211"/>
    </row>
    <row r="376" spans="1:52" s="213" customFormat="1" x14ac:dyDescent="0.35">
      <c r="A376" s="211"/>
      <c r="B376" s="211"/>
      <c r="C376" s="211"/>
      <c r="D376" s="211"/>
      <c r="E376" s="211"/>
      <c r="F376" s="211"/>
      <c r="G376" s="211"/>
      <c r="H376" s="211"/>
      <c r="I376" s="212"/>
      <c r="J376" s="212"/>
      <c r="K376" s="212"/>
      <c r="L376" s="212"/>
      <c r="M376" s="212"/>
      <c r="N376" s="212"/>
      <c r="O376" s="212"/>
      <c r="P376" s="211"/>
      <c r="Q376" s="211"/>
      <c r="R376" s="211"/>
      <c r="S376" s="211"/>
      <c r="T376" s="211"/>
      <c r="U376" s="211"/>
      <c r="V376" s="211"/>
      <c r="W376" s="211"/>
      <c r="X376" s="211"/>
      <c r="Y376" s="211"/>
      <c r="Z376" s="211"/>
      <c r="AD376" s="211"/>
      <c r="AE376" s="211"/>
      <c r="AF376" s="211"/>
      <c r="AG376" s="211"/>
      <c r="AH376" s="211"/>
      <c r="AI376" s="211"/>
      <c r="AJ376" s="211"/>
      <c r="AK376" s="211"/>
      <c r="AL376" s="211"/>
      <c r="AM376" s="211"/>
      <c r="AN376" s="211"/>
      <c r="AO376" s="211"/>
      <c r="AP376" s="211"/>
      <c r="AQ376" s="211"/>
      <c r="AR376" s="211"/>
      <c r="AS376" s="211"/>
      <c r="AT376" s="211"/>
      <c r="AU376" s="211"/>
      <c r="AV376" s="211"/>
      <c r="AW376" s="211"/>
      <c r="AX376" s="211"/>
      <c r="AY376" s="211"/>
      <c r="AZ376" s="211"/>
    </row>
    <row r="377" spans="1:52" s="213" customFormat="1" x14ac:dyDescent="0.35">
      <c r="A377" s="211"/>
      <c r="B377" s="211"/>
      <c r="C377" s="211"/>
      <c r="D377" s="211"/>
      <c r="E377" s="211"/>
      <c r="F377" s="211"/>
      <c r="G377" s="211"/>
      <c r="H377" s="211"/>
      <c r="I377" s="212"/>
      <c r="J377" s="212"/>
      <c r="K377" s="212"/>
      <c r="L377" s="212"/>
      <c r="M377" s="212"/>
      <c r="N377" s="212"/>
      <c r="O377" s="212"/>
      <c r="P377" s="211"/>
      <c r="Q377" s="211"/>
      <c r="R377" s="211"/>
      <c r="S377" s="211"/>
      <c r="T377" s="211"/>
      <c r="U377" s="211"/>
      <c r="V377" s="211"/>
      <c r="W377" s="211"/>
      <c r="X377" s="211"/>
      <c r="Y377" s="211"/>
      <c r="Z377" s="211"/>
      <c r="AD377" s="211"/>
      <c r="AE377" s="211"/>
      <c r="AF377" s="211"/>
      <c r="AG377" s="211"/>
      <c r="AH377" s="211"/>
      <c r="AI377" s="211"/>
      <c r="AJ377" s="211"/>
      <c r="AK377" s="211"/>
      <c r="AL377" s="211"/>
      <c r="AM377" s="211"/>
      <c r="AN377" s="211"/>
      <c r="AO377" s="211"/>
      <c r="AP377" s="211"/>
      <c r="AQ377" s="211"/>
      <c r="AR377" s="211"/>
      <c r="AS377" s="211"/>
      <c r="AT377" s="211"/>
      <c r="AU377" s="211"/>
      <c r="AV377" s="211"/>
      <c r="AW377" s="211"/>
      <c r="AX377" s="211"/>
      <c r="AY377" s="211"/>
      <c r="AZ377" s="211"/>
    </row>
    <row r="378" spans="1:52" s="213" customFormat="1" x14ac:dyDescent="0.35">
      <c r="A378" s="211"/>
      <c r="B378" s="211"/>
      <c r="C378" s="211"/>
      <c r="D378" s="211"/>
      <c r="E378" s="211"/>
      <c r="F378" s="211"/>
      <c r="G378" s="211"/>
      <c r="H378" s="211"/>
      <c r="I378" s="212"/>
      <c r="J378" s="212"/>
      <c r="K378" s="212"/>
      <c r="L378" s="212"/>
      <c r="M378" s="212"/>
      <c r="N378" s="212"/>
      <c r="O378" s="212"/>
      <c r="P378" s="211"/>
      <c r="Q378" s="211"/>
      <c r="R378" s="211"/>
      <c r="S378" s="211"/>
      <c r="T378" s="211"/>
      <c r="U378" s="211"/>
      <c r="V378" s="211"/>
      <c r="W378" s="211"/>
      <c r="X378" s="211"/>
      <c r="Y378" s="211"/>
      <c r="Z378" s="211"/>
      <c r="AD378" s="211"/>
      <c r="AE378" s="211"/>
      <c r="AF378" s="211"/>
      <c r="AG378" s="211"/>
      <c r="AH378" s="211"/>
      <c r="AI378" s="211"/>
      <c r="AJ378" s="211"/>
      <c r="AK378" s="211"/>
      <c r="AL378" s="211"/>
      <c r="AM378" s="211"/>
      <c r="AN378" s="211"/>
      <c r="AO378" s="211"/>
      <c r="AP378" s="211"/>
      <c r="AQ378" s="211"/>
      <c r="AR378" s="211"/>
      <c r="AS378" s="211"/>
      <c r="AT378" s="211"/>
      <c r="AU378" s="211"/>
      <c r="AV378" s="211"/>
      <c r="AW378" s="211"/>
      <c r="AX378" s="211"/>
      <c r="AY378" s="211"/>
      <c r="AZ378" s="211"/>
    </row>
    <row r="379" spans="1:52" s="213" customFormat="1" x14ac:dyDescent="0.35">
      <c r="A379" s="211"/>
      <c r="B379" s="211"/>
      <c r="C379" s="211"/>
      <c r="D379" s="211"/>
      <c r="E379" s="211"/>
      <c r="F379" s="211"/>
      <c r="G379" s="211"/>
      <c r="H379" s="211"/>
      <c r="I379" s="212"/>
      <c r="J379" s="212"/>
      <c r="K379" s="212"/>
      <c r="L379" s="212"/>
      <c r="M379" s="212"/>
      <c r="N379" s="212"/>
      <c r="O379" s="212"/>
      <c r="P379" s="211"/>
      <c r="Q379" s="211"/>
      <c r="R379" s="211"/>
      <c r="S379" s="211"/>
      <c r="T379" s="211"/>
      <c r="U379" s="211"/>
      <c r="V379" s="211"/>
      <c r="W379" s="211"/>
      <c r="X379" s="211"/>
      <c r="Y379" s="211"/>
      <c r="Z379" s="211"/>
      <c r="AD379" s="211"/>
      <c r="AE379" s="211"/>
      <c r="AF379" s="211"/>
      <c r="AG379" s="211"/>
      <c r="AH379" s="211"/>
      <c r="AI379" s="211"/>
      <c r="AJ379" s="211"/>
      <c r="AK379" s="211"/>
      <c r="AL379" s="211"/>
      <c r="AM379" s="211"/>
      <c r="AN379" s="211"/>
      <c r="AO379" s="211"/>
      <c r="AP379" s="211"/>
      <c r="AQ379" s="211"/>
      <c r="AR379" s="211"/>
      <c r="AS379" s="211"/>
      <c r="AT379" s="211"/>
      <c r="AU379" s="211"/>
      <c r="AV379" s="211"/>
      <c r="AW379" s="211"/>
      <c r="AX379" s="211"/>
      <c r="AY379" s="211"/>
      <c r="AZ379" s="211"/>
    </row>
    <row r="380" spans="1:52" s="213" customFormat="1" x14ac:dyDescent="0.35">
      <c r="A380" s="211"/>
      <c r="B380" s="211"/>
      <c r="C380" s="211"/>
      <c r="D380" s="211"/>
      <c r="E380" s="211"/>
      <c r="F380" s="211"/>
      <c r="G380" s="211"/>
      <c r="H380" s="211"/>
      <c r="I380" s="212"/>
      <c r="J380" s="212"/>
      <c r="K380" s="212"/>
      <c r="L380" s="212"/>
      <c r="M380" s="212"/>
      <c r="N380" s="212"/>
      <c r="O380" s="212"/>
      <c r="P380" s="211"/>
      <c r="Q380" s="211"/>
      <c r="R380" s="211"/>
      <c r="S380" s="211"/>
      <c r="T380" s="211"/>
      <c r="U380" s="211"/>
      <c r="V380" s="211"/>
      <c r="W380" s="211"/>
      <c r="X380" s="211"/>
      <c r="Y380" s="211"/>
      <c r="Z380" s="211"/>
      <c r="AD380" s="211"/>
      <c r="AE380" s="211"/>
      <c r="AF380" s="211"/>
      <c r="AG380" s="211"/>
      <c r="AH380" s="211"/>
      <c r="AI380" s="211"/>
      <c r="AJ380" s="211"/>
      <c r="AK380" s="211"/>
      <c r="AL380" s="211"/>
      <c r="AM380" s="211"/>
      <c r="AN380" s="211"/>
      <c r="AO380" s="211"/>
      <c r="AP380" s="211"/>
      <c r="AQ380" s="211"/>
      <c r="AR380" s="211"/>
      <c r="AS380" s="211"/>
      <c r="AT380" s="211"/>
      <c r="AU380" s="211"/>
      <c r="AV380" s="211"/>
      <c r="AW380" s="211"/>
      <c r="AX380" s="211"/>
      <c r="AY380" s="211"/>
      <c r="AZ380" s="211"/>
    </row>
    <row r="381" spans="1:52" s="213" customFormat="1" x14ac:dyDescent="0.35">
      <c r="A381" s="211"/>
      <c r="B381" s="211"/>
      <c r="C381" s="211"/>
      <c r="D381" s="211"/>
      <c r="E381" s="211"/>
      <c r="F381" s="211"/>
      <c r="G381" s="211"/>
      <c r="H381" s="211"/>
      <c r="I381" s="212"/>
      <c r="J381" s="212"/>
      <c r="K381" s="212"/>
      <c r="L381" s="212"/>
      <c r="M381" s="212"/>
      <c r="N381" s="212"/>
      <c r="O381" s="212"/>
      <c r="P381" s="211"/>
      <c r="Q381" s="211"/>
      <c r="R381" s="211"/>
      <c r="S381" s="211"/>
      <c r="T381" s="211"/>
      <c r="U381" s="211"/>
      <c r="V381" s="211"/>
      <c r="W381" s="211"/>
      <c r="X381" s="211"/>
      <c r="Y381" s="211"/>
      <c r="Z381" s="211"/>
      <c r="AD381" s="211"/>
      <c r="AE381" s="211"/>
      <c r="AF381" s="211"/>
      <c r="AG381" s="211"/>
      <c r="AH381" s="211"/>
      <c r="AI381" s="211"/>
      <c r="AJ381" s="211"/>
      <c r="AK381" s="211"/>
      <c r="AL381" s="211"/>
      <c r="AM381" s="211"/>
      <c r="AN381" s="211"/>
      <c r="AO381" s="211"/>
      <c r="AP381" s="211"/>
      <c r="AQ381" s="211"/>
      <c r="AR381" s="211"/>
      <c r="AS381" s="211"/>
      <c r="AT381" s="211"/>
      <c r="AU381" s="211"/>
      <c r="AV381" s="211"/>
      <c r="AW381" s="211"/>
      <c r="AX381" s="211"/>
      <c r="AY381" s="211"/>
      <c r="AZ381" s="211"/>
    </row>
    <row r="382" spans="1:52" s="213" customFormat="1" x14ac:dyDescent="0.35">
      <c r="A382" s="211"/>
      <c r="B382" s="211"/>
      <c r="C382" s="211"/>
      <c r="D382" s="211"/>
      <c r="E382" s="211"/>
      <c r="F382" s="211"/>
      <c r="G382" s="211"/>
      <c r="H382" s="211"/>
      <c r="I382" s="212"/>
      <c r="J382" s="212"/>
      <c r="K382" s="212"/>
      <c r="L382" s="212"/>
      <c r="M382" s="212"/>
      <c r="N382" s="212"/>
      <c r="O382" s="212"/>
      <c r="P382" s="211"/>
      <c r="Q382" s="211"/>
      <c r="R382" s="211"/>
      <c r="S382" s="211"/>
      <c r="T382" s="211"/>
      <c r="U382" s="211"/>
      <c r="V382" s="211"/>
      <c r="W382" s="211"/>
      <c r="X382" s="211"/>
      <c r="Y382" s="211"/>
      <c r="Z382" s="211"/>
      <c r="AD382" s="211"/>
      <c r="AE382" s="211"/>
      <c r="AF382" s="211"/>
      <c r="AG382" s="211"/>
      <c r="AH382" s="211"/>
      <c r="AI382" s="211"/>
      <c r="AJ382" s="211"/>
      <c r="AK382" s="211"/>
      <c r="AL382" s="211"/>
      <c r="AM382" s="211"/>
      <c r="AN382" s="211"/>
      <c r="AO382" s="211"/>
      <c r="AP382" s="211"/>
      <c r="AQ382" s="211"/>
      <c r="AR382" s="211"/>
      <c r="AS382" s="211"/>
      <c r="AT382" s="211"/>
      <c r="AU382" s="211"/>
      <c r="AV382" s="211"/>
      <c r="AW382" s="211"/>
      <c r="AX382" s="211"/>
      <c r="AY382" s="211"/>
      <c r="AZ382" s="211"/>
    </row>
    <row r="383" spans="1:52" s="213" customFormat="1" x14ac:dyDescent="0.35">
      <c r="A383" s="211"/>
      <c r="B383" s="211"/>
      <c r="C383" s="211"/>
      <c r="D383" s="211"/>
      <c r="E383" s="211"/>
      <c r="F383" s="211"/>
      <c r="G383" s="211"/>
      <c r="H383" s="211"/>
      <c r="I383" s="212"/>
      <c r="J383" s="212"/>
      <c r="K383" s="212"/>
      <c r="L383" s="212"/>
      <c r="M383" s="212"/>
      <c r="N383" s="212"/>
      <c r="O383" s="212"/>
      <c r="P383" s="211"/>
      <c r="Q383" s="211"/>
      <c r="R383" s="211"/>
      <c r="S383" s="211"/>
      <c r="T383" s="211"/>
      <c r="U383" s="211"/>
      <c r="V383" s="211"/>
      <c r="W383" s="211"/>
      <c r="X383" s="211"/>
      <c r="Y383" s="211"/>
      <c r="Z383" s="211"/>
      <c r="AD383" s="211"/>
      <c r="AE383" s="211"/>
      <c r="AF383" s="211"/>
      <c r="AG383" s="211"/>
      <c r="AH383" s="211"/>
      <c r="AI383" s="211"/>
      <c r="AJ383" s="211"/>
      <c r="AK383" s="211"/>
      <c r="AL383" s="211"/>
      <c r="AM383" s="211"/>
      <c r="AN383" s="211"/>
      <c r="AO383" s="211"/>
      <c r="AP383" s="211"/>
      <c r="AQ383" s="211"/>
      <c r="AR383" s="211"/>
      <c r="AS383" s="211"/>
      <c r="AT383" s="211"/>
      <c r="AU383" s="211"/>
      <c r="AV383" s="211"/>
      <c r="AW383" s="211"/>
      <c r="AX383" s="211"/>
      <c r="AY383" s="211"/>
      <c r="AZ383" s="211"/>
    </row>
    <row r="384" spans="1:52" s="213" customFormat="1" x14ac:dyDescent="0.35">
      <c r="A384" s="211"/>
      <c r="B384" s="211"/>
      <c r="C384" s="211"/>
      <c r="D384" s="211"/>
      <c r="E384" s="211"/>
      <c r="F384" s="211"/>
      <c r="G384" s="211"/>
      <c r="H384" s="211"/>
      <c r="I384" s="212"/>
      <c r="J384" s="212"/>
      <c r="K384" s="212"/>
      <c r="L384" s="212"/>
      <c r="M384" s="212"/>
      <c r="N384" s="212"/>
      <c r="O384" s="212"/>
      <c r="P384" s="211"/>
      <c r="Q384" s="211"/>
      <c r="R384" s="211"/>
      <c r="S384" s="211"/>
      <c r="T384" s="211"/>
      <c r="U384" s="211"/>
      <c r="V384" s="211"/>
      <c r="W384" s="211"/>
      <c r="X384" s="211"/>
      <c r="Y384" s="211"/>
      <c r="Z384" s="211"/>
      <c r="AD384" s="211"/>
      <c r="AE384" s="211"/>
      <c r="AF384" s="211"/>
      <c r="AG384" s="211"/>
      <c r="AH384" s="211"/>
      <c r="AI384" s="211"/>
      <c r="AJ384" s="211"/>
      <c r="AK384" s="211"/>
      <c r="AL384" s="211"/>
      <c r="AM384" s="211"/>
      <c r="AN384" s="211"/>
      <c r="AO384" s="211"/>
      <c r="AP384" s="211"/>
      <c r="AQ384" s="211"/>
      <c r="AR384" s="211"/>
      <c r="AS384" s="211"/>
      <c r="AT384" s="211"/>
      <c r="AU384" s="211"/>
      <c r="AV384" s="211"/>
      <c r="AW384" s="211"/>
      <c r="AX384" s="211"/>
      <c r="AY384" s="211"/>
      <c r="AZ384" s="211"/>
    </row>
    <row r="385" spans="1:52" s="213" customFormat="1" x14ac:dyDescent="0.35">
      <c r="A385" s="211"/>
      <c r="B385" s="211"/>
      <c r="C385" s="211"/>
      <c r="D385" s="211"/>
      <c r="E385" s="211"/>
      <c r="F385" s="211"/>
      <c r="G385" s="211"/>
      <c r="H385" s="211"/>
      <c r="I385" s="212"/>
      <c r="J385" s="212"/>
      <c r="K385" s="212"/>
      <c r="L385" s="212"/>
      <c r="M385" s="212"/>
      <c r="N385" s="212"/>
      <c r="O385" s="212"/>
      <c r="P385" s="211"/>
      <c r="Q385" s="211"/>
      <c r="R385" s="211"/>
      <c r="S385" s="211"/>
      <c r="T385" s="211"/>
      <c r="U385" s="211"/>
      <c r="V385" s="211"/>
      <c r="W385" s="211"/>
      <c r="X385" s="211"/>
      <c r="Y385" s="211"/>
      <c r="Z385" s="211"/>
      <c r="AD385" s="211"/>
      <c r="AE385" s="211"/>
      <c r="AF385" s="211"/>
      <c r="AG385" s="211"/>
      <c r="AH385" s="211"/>
      <c r="AI385" s="211"/>
      <c r="AJ385" s="211"/>
      <c r="AK385" s="211"/>
      <c r="AL385" s="211"/>
      <c r="AM385" s="211"/>
      <c r="AN385" s="211"/>
      <c r="AO385" s="211"/>
      <c r="AP385" s="211"/>
      <c r="AQ385" s="211"/>
      <c r="AR385" s="211"/>
      <c r="AS385" s="211"/>
      <c r="AT385" s="211"/>
      <c r="AU385" s="211"/>
      <c r="AV385" s="211"/>
      <c r="AW385" s="211"/>
      <c r="AX385" s="211"/>
      <c r="AY385" s="211"/>
      <c r="AZ385" s="211"/>
    </row>
    <row r="386" spans="1:52" s="213" customFormat="1" x14ac:dyDescent="0.35">
      <c r="A386" s="211"/>
      <c r="B386" s="211"/>
      <c r="C386" s="211"/>
      <c r="D386" s="211"/>
      <c r="E386" s="211"/>
      <c r="F386" s="211"/>
      <c r="G386" s="211"/>
      <c r="H386" s="211"/>
      <c r="I386" s="212"/>
      <c r="J386" s="212"/>
      <c r="K386" s="212"/>
      <c r="L386" s="212"/>
      <c r="M386" s="212"/>
      <c r="N386" s="212"/>
      <c r="O386" s="212"/>
      <c r="P386" s="211"/>
      <c r="Q386" s="211"/>
      <c r="R386" s="211"/>
      <c r="S386" s="211"/>
      <c r="T386" s="211"/>
      <c r="U386" s="211"/>
      <c r="V386" s="211"/>
      <c r="W386" s="211"/>
      <c r="X386" s="211"/>
      <c r="Y386" s="211"/>
      <c r="Z386" s="211"/>
      <c r="AD386" s="211"/>
      <c r="AE386" s="211"/>
      <c r="AF386" s="211"/>
      <c r="AG386" s="211"/>
      <c r="AH386" s="211"/>
      <c r="AI386" s="211"/>
      <c r="AJ386" s="211"/>
      <c r="AK386" s="211"/>
      <c r="AL386" s="211"/>
      <c r="AM386" s="211"/>
      <c r="AN386" s="211"/>
      <c r="AO386" s="211"/>
      <c r="AP386" s="211"/>
      <c r="AQ386" s="211"/>
      <c r="AR386" s="211"/>
      <c r="AS386" s="211"/>
      <c r="AT386" s="211"/>
      <c r="AU386" s="211"/>
      <c r="AV386" s="211"/>
      <c r="AW386" s="211"/>
      <c r="AX386" s="211"/>
      <c r="AY386" s="211"/>
      <c r="AZ386" s="211"/>
    </row>
    <row r="387" spans="1:52" s="213" customFormat="1" x14ac:dyDescent="0.35">
      <c r="A387" s="211"/>
      <c r="B387" s="211"/>
      <c r="C387" s="211"/>
      <c r="D387" s="211"/>
      <c r="E387" s="211"/>
      <c r="F387" s="211"/>
      <c r="G387" s="211"/>
      <c r="H387" s="211"/>
      <c r="I387" s="212"/>
      <c r="J387" s="212"/>
      <c r="K387" s="212"/>
      <c r="L387" s="212"/>
      <c r="M387" s="212"/>
      <c r="N387" s="212"/>
      <c r="O387" s="212"/>
      <c r="P387" s="211"/>
      <c r="Q387" s="211"/>
      <c r="R387" s="211"/>
      <c r="S387" s="211"/>
      <c r="T387" s="211"/>
      <c r="U387" s="211"/>
      <c r="V387" s="211"/>
      <c r="W387" s="211"/>
      <c r="X387" s="211"/>
      <c r="Y387" s="211"/>
      <c r="Z387" s="211"/>
      <c r="AD387" s="211"/>
      <c r="AE387" s="211"/>
      <c r="AF387" s="211"/>
      <c r="AG387" s="211"/>
      <c r="AH387" s="211"/>
      <c r="AI387" s="211"/>
      <c r="AJ387" s="211"/>
      <c r="AK387" s="211"/>
      <c r="AL387" s="211"/>
      <c r="AM387" s="211"/>
      <c r="AN387" s="211"/>
      <c r="AO387" s="211"/>
      <c r="AP387" s="211"/>
      <c r="AQ387" s="211"/>
      <c r="AR387" s="211"/>
      <c r="AS387" s="211"/>
      <c r="AT387" s="211"/>
      <c r="AU387" s="211"/>
      <c r="AV387" s="211"/>
      <c r="AW387" s="211"/>
      <c r="AX387" s="211"/>
      <c r="AY387" s="211"/>
      <c r="AZ387" s="211"/>
    </row>
    <row r="388" spans="1:52" s="213" customFormat="1" x14ac:dyDescent="0.35">
      <c r="A388" s="211"/>
      <c r="B388" s="211"/>
      <c r="C388" s="211"/>
      <c r="D388" s="211"/>
      <c r="E388" s="211"/>
      <c r="F388" s="211"/>
      <c r="G388" s="211"/>
      <c r="H388" s="211"/>
      <c r="I388" s="212"/>
      <c r="J388" s="212"/>
      <c r="K388" s="212"/>
      <c r="L388" s="212"/>
      <c r="M388" s="212"/>
      <c r="N388" s="212"/>
      <c r="O388" s="212"/>
      <c r="P388" s="211"/>
      <c r="Q388" s="211"/>
      <c r="R388" s="211"/>
      <c r="S388" s="211"/>
      <c r="T388" s="211"/>
      <c r="U388" s="211"/>
      <c r="V388" s="211"/>
      <c r="W388" s="211"/>
      <c r="X388" s="211"/>
      <c r="Y388" s="211"/>
      <c r="Z388" s="211"/>
      <c r="AD388" s="211"/>
      <c r="AE388" s="211"/>
      <c r="AF388" s="211"/>
      <c r="AG388" s="211"/>
      <c r="AH388" s="211"/>
      <c r="AI388" s="211"/>
      <c r="AJ388" s="211"/>
      <c r="AK388" s="211"/>
      <c r="AL388" s="211"/>
      <c r="AM388" s="211"/>
      <c r="AN388" s="211"/>
      <c r="AO388" s="211"/>
      <c r="AP388" s="211"/>
      <c r="AQ388" s="211"/>
      <c r="AR388" s="211"/>
      <c r="AS388" s="211"/>
      <c r="AT388" s="211"/>
      <c r="AU388" s="211"/>
      <c r="AV388" s="211"/>
      <c r="AW388" s="211"/>
      <c r="AX388" s="211"/>
      <c r="AY388" s="211"/>
      <c r="AZ388" s="211"/>
    </row>
    <row r="389" spans="1:52" s="213" customFormat="1" x14ac:dyDescent="0.35">
      <c r="A389" s="211"/>
      <c r="B389" s="211"/>
      <c r="C389" s="211"/>
      <c r="D389" s="211"/>
      <c r="E389" s="211"/>
      <c r="F389" s="211"/>
      <c r="G389" s="211"/>
      <c r="H389" s="211"/>
      <c r="I389" s="212"/>
      <c r="J389" s="212"/>
      <c r="K389" s="212"/>
      <c r="L389" s="212"/>
      <c r="M389" s="212"/>
      <c r="N389" s="212"/>
      <c r="O389" s="212"/>
      <c r="P389" s="211"/>
      <c r="Q389" s="211"/>
      <c r="R389" s="211"/>
      <c r="S389" s="211"/>
      <c r="T389" s="211"/>
      <c r="U389" s="211"/>
      <c r="V389" s="211"/>
      <c r="W389" s="211"/>
      <c r="X389" s="211"/>
      <c r="Y389" s="211"/>
      <c r="Z389" s="211"/>
      <c r="AD389" s="211"/>
      <c r="AE389" s="211"/>
      <c r="AF389" s="211"/>
      <c r="AG389" s="211"/>
      <c r="AH389" s="211"/>
      <c r="AI389" s="211"/>
      <c r="AJ389" s="211"/>
      <c r="AK389" s="211"/>
      <c r="AL389" s="211"/>
      <c r="AM389" s="211"/>
      <c r="AN389" s="211"/>
      <c r="AO389" s="211"/>
      <c r="AP389" s="211"/>
      <c r="AQ389" s="211"/>
      <c r="AR389" s="211"/>
      <c r="AS389" s="211"/>
      <c r="AT389" s="211"/>
      <c r="AU389" s="211"/>
      <c r="AV389" s="211"/>
      <c r="AW389" s="211"/>
      <c r="AX389" s="211"/>
      <c r="AY389" s="211"/>
      <c r="AZ389" s="211"/>
    </row>
    <row r="390" spans="1:52" s="213" customFormat="1" x14ac:dyDescent="0.35">
      <c r="A390" s="211"/>
      <c r="B390" s="211"/>
      <c r="C390" s="211"/>
      <c r="D390" s="211"/>
      <c r="E390" s="211"/>
      <c r="F390" s="211"/>
      <c r="G390" s="211"/>
      <c r="H390" s="211"/>
      <c r="I390" s="212"/>
      <c r="J390" s="212"/>
      <c r="K390" s="212"/>
      <c r="L390" s="212"/>
      <c r="M390" s="212"/>
      <c r="N390" s="212"/>
      <c r="O390" s="212"/>
      <c r="P390" s="211"/>
      <c r="Q390" s="211"/>
      <c r="R390" s="211"/>
      <c r="S390" s="211"/>
      <c r="T390" s="211"/>
      <c r="U390" s="211"/>
      <c r="V390" s="211"/>
      <c r="W390" s="211"/>
      <c r="X390" s="211"/>
      <c r="Y390" s="211"/>
      <c r="Z390" s="211"/>
      <c r="AD390" s="211"/>
      <c r="AE390" s="211"/>
      <c r="AF390" s="211"/>
      <c r="AG390" s="211"/>
      <c r="AH390" s="211"/>
      <c r="AI390" s="211"/>
      <c r="AJ390" s="211"/>
      <c r="AK390" s="211"/>
      <c r="AL390" s="211"/>
      <c r="AM390" s="211"/>
      <c r="AN390" s="211"/>
      <c r="AO390" s="211"/>
      <c r="AP390" s="211"/>
      <c r="AQ390" s="211"/>
      <c r="AR390" s="211"/>
      <c r="AS390" s="211"/>
      <c r="AT390" s="211"/>
      <c r="AU390" s="211"/>
      <c r="AV390" s="211"/>
      <c r="AW390" s="211"/>
      <c r="AX390" s="211"/>
      <c r="AY390" s="211"/>
      <c r="AZ390" s="211"/>
    </row>
    <row r="391" spans="1:52" s="213" customFormat="1" x14ac:dyDescent="0.35">
      <c r="A391" s="211"/>
      <c r="B391" s="211"/>
      <c r="C391" s="211"/>
      <c r="D391" s="211"/>
      <c r="E391" s="211"/>
      <c r="F391" s="211"/>
      <c r="G391" s="211"/>
      <c r="H391" s="211"/>
      <c r="I391" s="212"/>
      <c r="J391" s="212"/>
      <c r="K391" s="212"/>
      <c r="L391" s="212"/>
      <c r="M391" s="212"/>
      <c r="N391" s="212"/>
      <c r="O391" s="212"/>
      <c r="P391" s="211"/>
      <c r="Q391" s="211"/>
      <c r="R391" s="211"/>
      <c r="S391" s="211"/>
      <c r="T391" s="211"/>
      <c r="U391" s="211"/>
      <c r="V391" s="211"/>
      <c r="W391" s="211"/>
      <c r="X391" s="211"/>
      <c r="Y391" s="211"/>
      <c r="Z391" s="211"/>
      <c r="AD391" s="211"/>
      <c r="AE391" s="211"/>
      <c r="AF391" s="211"/>
      <c r="AG391" s="211"/>
      <c r="AH391" s="211"/>
      <c r="AI391" s="211"/>
      <c r="AJ391" s="211"/>
      <c r="AK391" s="211"/>
      <c r="AL391" s="211"/>
      <c r="AM391" s="211"/>
      <c r="AN391" s="211"/>
      <c r="AO391" s="211"/>
      <c r="AP391" s="211"/>
      <c r="AQ391" s="211"/>
      <c r="AR391" s="211"/>
      <c r="AS391" s="211"/>
      <c r="AT391" s="211"/>
      <c r="AU391" s="211"/>
      <c r="AV391" s="211"/>
      <c r="AW391" s="211"/>
      <c r="AX391" s="211"/>
      <c r="AY391" s="211"/>
      <c r="AZ391" s="211"/>
    </row>
    <row r="392" spans="1:52" s="213" customFormat="1" x14ac:dyDescent="0.35">
      <c r="A392" s="211"/>
      <c r="B392" s="211"/>
      <c r="C392" s="211"/>
      <c r="D392" s="211"/>
      <c r="E392" s="211"/>
      <c r="F392" s="211"/>
      <c r="G392" s="211"/>
      <c r="H392" s="211"/>
      <c r="I392" s="212"/>
      <c r="J392" s="212"/>
      <c r="K392" s="212"/>
      <c r="L392" s="212"/>
      <c r="M392" s="212"/>
      <c r="N392" s="212"/>
      <c r="O392" s="212"/>
      <c r="P392" s="211"/>
      <c r="Q392" s="211"/>
      <c r="R392" s="211"/>
      <c r="S392" s="211"/>
      <c r="T392" s="211"/>
      <c r="U392" s="211"/>
      <c r="V392" s="211"/>
      <c r="W392" s="211"/>
      <c r="X392" s="211"/>
      <c r="Y392" s="211"/>
      <c r="Z392" s="211"/>
      <c r="AD392" s="211"/>
      <c r="AE392" s="211"/>
      <c r="AF392" s="211"/>
      <c r="AG392" s="211"/>
      <c r="AH392" s="211"/>
      <c r="AI392" s="211"/>
      <c r="AJ392" s="211"/>
      <c r="AK392" s="211"/>
      <c r="AL392" s="211"/>
      <c r="AM392" s="211"/>
      <c r="AN392" s="211"/>
      <c r="AO392" s="211"/>
      <c r="AP392" s="211"/>
      <c r="AQ392" s="211"/>
      <c r="AR392" s="211"/>
      <c r="AS392" s="211"/>
      <c r="AT392" s="211"/>
      <c r="AU392" s="211"/>
      <c r="AV392" s="211"/>
      <c r="AW392" s="211"/>
      <c r="AX392" s="211"/>
      <c r="AY392" s="211"/>
      <c r="AZ392" s="211"/>
    </row>
    <row r="393" spans="1:52" s="213" customFormat="1" x14ac:dyDescent="0.35">
      <c r="A393" s="211"/>
      <c r="B393" s="211"/>
      <c r="C393" s="211"/>
      <c r="D393" s="211"/>
      <c r="E393" s="211"/>
      <c r="F393" s="211"/>
      <c r="G393" s="211"/>
      <c r="H393" s="211"/>
      <c r="I393" s="212"/>
      <c r="J393" s="212"/>
      <c r="K393" s="212"/>
      <c r="L393" s="212"/>
      <c r="M393" s="212"/>
      <c r="N393" s="212"/>
      <c r="O393" s="212"/>
      <c r="P393" s="211"/>
      <c r="Q393" s="211"/>
      <c r="R393" s="211"/>
      <c r="S393" s="211"/>
      <c r="T393" s="211"/>
      <c r="U393" s="211"/>
      <c r="V393" s="211"/>
      <c r="W393" s="211"/>
      <c r="X393" s="211"/>
      <c r="Y393" s="211"/>
      <c r="Z393" s="211"/>
      <c r="AD393" s="211"/>
      <c r="AE393" s="211"/>
      <c r="AF393" s="211"/>
      <c r="AG393" s="211"/>
      <c r="AH393" s="211"/>
      <c r="AI393" s="211"/>
      <c r="AJ393" s="211"/>
      <c r="AK393" s="211"/>
      <c r="AL393" s="211"/>
      <c r="AM393" s="211"/>
      <c r="AN393" s="211"/>
      <c r="AO393" s="211"/>
      <c r="AP393" s="211"/>
      <c r="AQ393" s="211"/>
      <c r="AR393" s="211"/>
      <c r="AS393" s="211"/>
      <c r="AT393" s="211"/>
      <c r="AU393" s="211"/>
      <c r="AV393" s="211"/>
      <c r="AW393" s="211"/>
      <c r="AX393" s="211"/>
      <c r="AY393" s="211"/>
      <c r="AZ393" s="211"/>
    </row>
    <row r="394" spans="1:52" s="213" customFormat="1" x14ac:dyDescent="0.35">
      <c r="A394" s="211"/>
      <c r="B394" s="211"/>
      <c r="C394" s="211"/>
      <c r="D394" s="211"/>
      <c r="E394" s="211"/>
      <c r="F394" s="211"/>
      <c r="G394" s="211"/>
      <c r="H394" s="211"/>
      <c r="I394" s="212"/>
      <c r="J394" s="212"/>
      <c r="K394" s="212"/>
      <c r="L394" s="212"/>
      <c r="M394" s="212"/>
      <c r="N394" s="212"/>
      <c r="O394" s="212"/>
      <c r="P394" s="211"/>
      <c r="Q394" s="211"/>
      <c r="R394" s="211"/>
      <c r="S394" s="211"/>
      <c r="T394" s="211"/>
      <c r="U394" s="211"/>
      <c r="V394" s="211"/>
      <c r="W394" s="211"/>
      <c r="X394" s="211"/>
      <c r="Y394" s="211"/>
      <c r="Z394" s="211"/>
      <c r="AD394" s="211"/>
      <c r="AE394" s="211"/>
      <c r="AF394" s="211"/>
      <c r="AG394" s="211"/>
      <c r="AH394" s="211"/>
      <c r="AI394" s="211"/>
      <c r="AJ394" s="211"/>
      <c r="AK394" s="211"/>
      <c r="AL394" s="211"/>
      <c r="AM394" s="211"/>
      <c r="AN394" s="211"/>
      <c r="AO394" s="211"/>
      <c r="AP394" s="211"/>
      <c r="AQ394" s="211"/>
      <c r="AR394" s="211"/>
      <c r="AS394" s="211"/>
      <c r="AT394" s="211"/>
      <c r="AU394" s="211"/>
      <c r="AV394" s="211"/>
      <c r="AW394" s="211"/>
      <c r="AX394" s="211"/>
      <c r="AY394" s="211"/>
      <c r="AZ394" s="211"/>
    </row>
    <row r="395" spans="1:52" s="213" customFormat="1" x14ac:dyDescent="0.35">
      <c r="A395" s="211"/>
      <c r="B395" s="211"/>
      <c r="C395" s="211"/>
      <c r="D395" s="211"/>
      <c r="E395" s="211"/>
      <c r="F395" s="211"/>
      <c r="G395" s="211"/>
      <c r="H395" s="211"/>
      <c r="I395" s="212"/>
      <c r="J395" s="212"/>
      <c r="K395" s="212"/>
      <c r="L395" s="212"/>
      <c r="M395" s="212"/>
      <c r="N395" s="212"/>
      <c r="O395" s="212"/>
      <c r="P395" s="211"/>
      <c r="Q395" s="211"/>
      <c r="R395" s="211"/>
      <c r="S395" s="211"/>
      <c r="T395" s="211"/>
      <c r="U395" s="211"/>
      <c r="V395" s="211"/>
      <c r="W395" s="211"/>
      <c r="X395" s="211"/>
      <c r="Y395" s="211"/>
      <c r="Z395" s="211"/>
      <c r="AD395" s="211"/>
      <c r="AE395" s="211"/>
      <c r="AF395" s="211"/>
      <c r="AG395" s="211"/>
      <c r="AH395" s="211"/>
      <c r="AI395" s="211"/>
      <c r="AJ395" s="211"/>
      <c r="AK395" s="211"/>
      <c r="AL395" s="211"/>
      <c r="AM395" s="211"/>
      <c r="AN395" s="211"/>
      <c r="AO395" s="211"/>
      <c r="AP395" s="211"/>
      <c r="AQ395" s="211"/>
      <c r="AR395" s="211"/>
      <c r="AS395" s="211"/>
      <c r="AT395" s="211"/>
      <c r="AU395" s="211"/>
      <c r="AV395" s="211"/>
      <c r="AW395" s="211"/>
      <c r="AX395" s="211"/>
      <c r="AY395" s="211"/>
      <c r="AZ395" s="211"/>
    </row>
    <row r="396" spans="1:52" s="213" customFormat="1" x14ac:dyDescent="0.35">
      <c r="A396" s="211"/>
      <c r="B396" s="211"/>
      <c r="C396" s="211"/>
      <c r="D396" s="211"/>
      <c r="E396" s="211"/>
      <c r="F396" s="211"/>
      <c r="G396" s="211"/>
      <c r="H396" s="211"/>
      <c r="I396" s="212"/>
      <c r="J396" s="212"/>
      <c r="K396" s="212"/>
      <c r="L396" s="212"/>
      <c r="M396" s="212"/>
      <c r="N396" s="212"/>
      <c r="O396" s="212"/>
      <c r="P396" s="211"/>
      <c r="Q396" s="211"/>
      <c r="R396" s="211"/>
      <c r="S396" s="211"/>
      <c r="T396" s="211"/>
      <c r="U396" s="211"/>
      <c r="V396" s="211"/>
      <c r="W396" s="211"/>
      <c r="X396" s="211"/>
      <c r="Y396" s="211"/>
      <c r="Z396" s="211"/>
      <c r="AD396" s="211"/>
      <c r="AE396" s="211"/>
      <c r="AF396" s="211"/>
      <c r="AG396" s="211"/>
      <c r="AH396" s="211"/>
      <c r="AI396" s="211"/>
      <c r="AJ396" s="211"/>
      <c r="AK396" s="211"/>
      <c r="AL396" s="211"/>
      <c r="AM396" s="211"/>
      <c r="AN396" s="211"/>
      <c r="AO396" s="211"/>
      <c r="AP396" s="211"/>
      <c r="AQ396" s="211"/>
      <c r="AR396" s="211"/>
      <c r="AS396" s="211"/>
      <c r="AT396" s="211"/>
      <c r="AU396" s="211"/>
      <c r="AV396" s="211"/>
      <c r="AW396" s="211"/>
      <c r="AX396" s="211"/>
      <c r="AY396" s="211"/>
      <c r="AZ396" s="211"/>
    </row>
    <row r="397" spans="1:52" s="213" customFormat="1" x14ac:dyDescent="0.35">
      <c r="A397" s="211"/>
      <c r="B397" s="211"/>
      <c r="C397" s="211"/>
      <c r="D397" s="211"/>
      <c r="E397" s="211"/>
      <c r="F397" s="211"/>
      <c r="G397" s="211"/>
      <c r="H397" s="211"/>
      <c r="I397" s="212"/>
      <c r="J397" s="212"/>
      <c r="K397" s="212"/>
      <c r="L397" s="212"/>
      <c r="M397" s="212"/>
      <c r="N397" s="212"/>
      <c r="O397" s="212"/>
      <c r="P397" s="211"/>
      <c r="Q397" s="211"/>
      <c r="R397" s="211"/>
      <c r="S397" s="211"/>
      <c r="T397" s="211"/>
      <c r="U397" s="211"/>
      <c r="V397" s="211"/>
      <c r="W397" s="211"/>
      <c r="X397" s="211"/>
      <c r="Y397" s="211"/>
      <c r="Z397" s="211"/>
      <c r="AD397" s="211"/>
      <c r="AE397" s="211"/>
      <c r="AF397" s="211"/>
      <c r="AG397" s="211"/>
      <c r="AH397" s="211"/>
      <c r="AI397" s="211"/>
      <c r="AJ397" s="211"/>
      <c r="AK397" s="211"/>
      <c r="AL397" s="211"/>
      <c r="AM397" s="211"/>
      <c r="AN397" s="211"/>
      <c r="AO397" s="211"/>
      <c r="AP397" s="211"/>
      <c r="AQ397" s="211"/>
      <c r="AR397" s="211"/>
      <c r="AS397" s="211"/>
      <c r="AT397" s="211"/>
      <c r="AU397" s="211"/>
      <c r="AV397" s="211"/>
      <c r="AW397" s="211"/>
      <c r="AX397" s="211"/>
      <c r="AY397" s="211"/>
      <c r="AZ397" s="211"/>
    </row>
    <row r="398" spans="1:52" s="213" customFormat="1" x14ac:dyDescent="0.35">
      <c r="A398" s="211"/>
      <c r="B398" s="211"/>
      <c r="C398" s="211"/>
      <c r="D398" s="211"/>
      <c r="E398" s="211"/>
      <c r="F398" s="211"/>
      <c r="G398" s="211"/>
      <c r="H398" s="211"/>
      <c r="I398" s="212"/>
      <c r="J398" s="212"/>
      <c r="K398" s="212"/>
      <c r="L398" s="212"/>
      <c r="M398" s="212"/>
      <c r="N398" s="212"/>
      <c r="O398" s="212"/>
      <c r="P398" s="211"/>
      <c r="Q398" s="211"/>
      <c r="R398" s="211"/>
      <c r="S398" s="211"/>
      <c r="T398" s="211"/>
      <c r="U398" s="211"/>
      <c r="V398" s="211"/>
      <c r="W398" s="211"/>
      <c r="X398" s="211"/>
      <c r="Y398" s="211"/>
      <c r="Z398" s="211"/>
      <c r="AD398" s="211"/>
      <c r="AE398" s="211"/>
      <c r="AF398" s="211"/>
      <c r="AG398" s="211"/>
      <c r="AH398" s="211"/>
      <c r="AI398" s="211"/>
      <c r="AJ398" s="211"/>
      <c r="AK398" s="211"/>
      <c r="AL398" s="211"/>
      <c r="AM398" s="211"/>
      <c r="AN398" s="211"/>
      <c r="AO398" s="211"/>
      <c r="AP398" s="211"/>
      <c r="AQ398" s="211"/>
      <c r="AR398" s="211"/>
      <c r="AS398" s="211"/>
      <c r="AT398" s="211"/>
      <c r="AU398" s="211"/>
      <c r="AV398" s="211"/>
      <c r="AW398" s="211"/>
      <c r="AX398" s="211"/>
      <c r="AY398" s="211"/>
      <c r="AZ398" s="211"/>
    </row>
    <row r="399" spans="1:52" s="213" customFormat="1" x14ac:dyDescent="0.35">
      <c r="A399" s="211"/>
      <c r="B399" s="211"/>
      <c r="C399" s="211"/>
      <c r="D399" s="211"/>
      <c r="E399" s="211"/>
      <c r="F399" s="211"/>
      <c r="G399" s="211"/>
      <c r="H399" s="211"/>
      <c r="I399" s="212"/>
      <c r="J399" s="212"/>
      <c r="K399" s="212"/>
      <c r="L399" s="212"/>
      <c r="M399" s="212"/>
      <c r="N399" s="212"/>
      <c r="O399" s="212"/>
      <c r="P399" s="211"/>
      <c r="Q399" s="211"/>
      <c r="R399" s="211"/>
      <c r="S399" s="211"/>
      <c r="T399" s="211"/>
      <c r="U399" s="211"/>
      <c r="V399" s="211"/>
      <c r="W399" s="211"/>
      <c r="X399" s="211"/>
      <c r="Y399" s="211"/>
      <c r="Z399" s="211"/>
      <c r="AD399" s="211"/>
      <c r="AE399" s="211"/>
      <c r="AF399" s="211"/>
      <c r="AG399" s="211"/>
      <c r="AH399" s="211"/>
      <c r="AI399" s="211"/>
      <c r="AJ399" s="211"/>
      <c r="AK399" s="211"/>
      <c r="AL399" s="211"/>
      <c r="AM399" s="211"/>
      <c r="AN399" s="211"/>
      <c r="AO399" s="211"/>
      <c r="AP399" s="211"/>
      <c r="AQ399" s="211"/>
      <c r="AR399" s="211"/>
      <c r="AS399" s="211"/>
      <c r="AT399" s="211"/>
      <c r="AU399" s="211"/>
      <c r="AV399" s="211"/>
      <c r="AW399" s="211"/>
      <c r="AX399" s="211"/>
      <c r="AY399" s="211"/>
      <c r="AZ399" s="211"/>
    </row>
    <row r="400" spans="1:52" s="213" customFormat="1" x14ac:dyDescent="0.35">
      <c r="A400" s="211"/>
      <c r="B400" s="211"/>
      <c r="C400" s="211"/>
      <c r="D400" s="211"/>
      <c r="E400" s="211"/>
      <c r="F400" s="211"/>
      <c r="G400" s="211"/>
      <c r="H400" s="211"/>
      <c r="I400" s="212"/>
      <c r="J400" s="212"/>
      <c r="K400" s="212"/>
      <c r="L400" s="212"/>
      <c r="M400" s="212"/>
      <c r="N400" s="212"/>
      <c r="O400" s="212"/>
      <c r="P400" s="211"/>
      <c r="Q400" s="211"/>
      <c r="R400" s="211"/>
      <c r="S400" s="211"/>
      <c r="T400" s="211"/>
      <c r="U400" s="211"/>
      <c r="V400" s="211"/>
      <c r="W400" s="211"/>
      <c r="X400" s="211"/>
      <c r="Y400" s="211"/>
      <c r="Z400" s="211"/>
      <c r="AD400" s="211"/>
      <c r="AE400" s="211"/>
      <c r="AF400" s="211"/>
      <c r="AG400" s="211"/>
      <c r="AH400" s="211"/>
      <c r="AI400" s="211"/>
      <c r="AJ400" s="211"/>
      <c r="AK400" s="211"/>
      <c r="AL400" s="211"/>
      <c r="AM400" s="211"/>
      <c r="AN400" s="211"/>
      <c r="AO400" s="211"/>
      <c r="AP400" s="211"/>
      <c r="AQ400" s="211"/>
      <c r="AR400" s="211"/>
      <c r="AS400" s="211"/>
      <c r="AT400" s="211"/>
      <c r="AU400" s="211"/>
      <c r="AV400" s="211"/>
      <c r="AW400" s="211"/>
      <c r="AX400" s="211"/>
      <c r="AY400" s="211"/>
      <c r="AZ400" s="211"/>
    </row>
    <row r="401" spans="1:52" s="213" customFormat="1" x14ac:dyDescent="0.35">
      <c r="A401" s="211"/>
      <c r="B401" s="211"/>
      <c r="C401" s="211"/>
      <c r="D401" s="211"/>
      <c r="E401" s="211"/>
      <c r="F401" s="211"/>
      <c r="G401" s="211"/>
      <c r="H401" s="211"/>
      <c r="I401" s="212"/>
      <c r="J401" s="212"/>
      <c r="K401" s="212"/>
      <c r="L401" s="212"/>
      <c r="M401" s="212"/>
      <c r="N401" s="212"/>
      <c r="O401" s="212"/>
      <c r="P401" s="211"/>
      <c r="Q401" s="211"/>
      <c r="R401" s="211"/>
      <c r="S401" s="211"/>
      <c r="T401" s="211"/>
      <c r="U401" s="211"/>
      <c r="V401" s="211"/>
      <c r="W401" s="211"/>
      <c r="X401" s="211"/>
      <c r="Y401" s="211"/>
      <c r="Z401" s="211"/>
      <c r="AD401" s="211"/>
      <c r="AE401" s="211"/>
      <c r="AF401" s="211"/>
      <c r="AG401" s="211"/>
      <c r="AH401" s="211"/>
      <c r="AI401" s="211"/>
      <c r="AJ401" s="211"/>
      <c r="AK401" s="211"/>
      <c r="AL401" s="211"/>
      <c r="AM401" s="211"/>
      <c r="AN401" s="211"/>
      <c r="AO401" s="211"/>
      <c r="AP401" s="211"/>
      <c r="AQ401" s="211"/>
      <c r="AR401" s="211"/>
      <c r="AS401" s="211"/>
      <c r="AT401" s="211"/>
      <c r="AU401" s="211"/>
      <c r="AV401" s="211"/>
      <c r="AW401" s="211"/>
      <c r="AX401" s="211"/>
      <c r="AY401" s="211"/>
      <c r="AZ401" s="211"/>
    </row>
    <row r="402" spans="1:52" s="213" customFormat="1" x14ac:dyDescent="0.35">
      <c r="A402" s="211"/>
      <c r="B402" s="211"/>
      <c r="C402" s="211"/>
      <c r="D402" s="211"/>
      <c r="E402" s="211"/>
      <c r="F402" s="211"/>
      <c r="G402" s="211"/>
      <c r="H402" s="211"/>
      <c r="I402" s="212"/>
      <c r="J402" s="212"/>
      <c r="K402" s="212"/>
      <c r="L402" s="212"/>
      <c r="M402" s="212"/>
      <c r="N402" s="212"/>
      <c r="O402" s="212"/>
      <c r="P402" s="211"/>
      <c r="Q402" s="211"/>
      <c r="R402" s="211"/>
      <c r="S402" s="211"/>
      <c r="T402" s="211"/>
      <c r="U402" s="211"/>
      <c r="V402" s="211"/>
      <c r="W402" s="211"/>
      <c r="X402" s="211"/>
      <c r="Y402" s="211"/>
      <c r="Z402" s="211"/>
      <c r="AD402" s="211"/>
      <c r="AE402" s="211"/>
      <c r="AF402" s="211"/>
      <c r="AG402" s="211"/>
      <c r="AH402" s="211"/>
      <c r="AI402" s="211"/>
      <c r="AJ402" s="211"/>
      <c r="AK402" s="211"/>
      <c r="AL402" s="211"/>
      <c r="AM402" s="211"/>
      <c r="AN402" s="211"/>
      <c r="AO402" s="211"/>
      <c r="AP402" s="211"/>
      <c r="AQ402" s="211"/>
      <c r="AR402" s="211"/>
      <c r="AS402" s="211"/>
      <c r="AT402" s="211"/>
      <c r="AU402" s="211"/>
      <c r="AV402" s="211"/>
      <c r="AW402" s="211"/>
      <c r="AX402" s="211"/>
      <c r="AY402" s="211"/>
      <c r="AZ402" s="211"/>
    </row>
    <row r="403" spans="1:52" s="213" customFormat="1" x14ac:dyDescent="0.35">
      <c r="A403" s="211"/>
      <c r="B403" s="211"/>
      <c r="C403" s="211"/>
      <c r="D403" s="211"/>
      <c r="E403" s="211"/>
      <c r="F403" s="211"/>
      <c r="G403" s="211"/>
      <c r="H403" s="211"/>
      <c r="I403" s="212"/>
      <c r="J403" s="212"/>
      <c r="K403" s="212"/>
      <c r="L403" s="212"/>
      <c r="M403" s="212"/>
      <c r="N403" s="212"/>
      <c r="O403" s="212"/>
      <c r="P403" s="211"/>
      <c r="Q403" s="211"/>
      <c r="R403" s="211"/>
      <c r="S403" s="211"/>
      <c r="T403" s="211"/>
      <c r="U403" s="211"/>
      <c r="V403" s="211"/>
      <c r="W403" s="211"/>
      <c r="X403" s="211"/>
      <c r="Y403" s="211"/>
      <c r="Z403" s="211"/>
      <c r="AD403" s="211"/>
      <c r="AE403" s="211"/>
      <c r="AF403" s="211"/>
      <c r="AG403" s="211"/>
      <c r="AH403" s="211"/>
      <c r="AI403" s="211"/>
      <c r="AJ403" s="211"/>
      <c r="AK403" s="211"/>
      <c r="AL403" s="211"/>
      <c r="AM403" s="211"/>
      <c r="AN403" s="211"/>
      <c r="AO403" s="211"/>
      <c r="AP403" s="211"/>
      <c r="AQ403" s="211"/>
      <c r="AR403" s="211"/>
      <c r="AS403" s="211"/>
      <c r="AT403" s="211"/>
      <c r="AU403" s="211"/>
      <c r="AV403" s="211"/>
      <c r="AW403" s="211"/>
      <c r="AX403" s="211"/>
      <c r="AY403" s="211"/>
      <c r="AZ403" s="211"/>
    </row>
    <row r="404" spans="1:52" s="213" customFormat="1" x14ac:dyDescent="0.35">
      <c r="A404" s="211"/>
      <c r="B404" s="211"/>
      <c r="C404" s="211"/>
      <c r="D404" s="211"/>
      <c r="E404" s="211"/>
      <c r="F404" s="211"/>
      <c r="G404" s="211"/>
      <c r="H404" s="211"/>
      <c r="I404" s="212"/>
      <c r="J404" s="212"/>
      <c r="K404" s="212"/>
      <c r="L404" s="212"/>
      <c r="M404" s="212"/>
      <c r="N404" s="212"/>
      <c r="O404" s="212"/>
      <c r="P404" s="211"/>
      <c r="Q404" s="211"/>
      <c r="R404" s="211"/>
      <c r="S404" s="211"/>
      <c r="T404" s="211"/>
      <c r="U404" s="211"/>
      <c r="V404" s="211"/>
      <c r="W404" s="211"/>
      <c r="X404" s="211"/>
      <c r="Y404" s="211"/>
      <c r="Z404" s="211"/>
      <c r="AD404" s="211"/>
      <c r="AE404" s="211"/>
      <c r="AF404" s="211"/>
      <c r="AG404" s="211"/>
      <c r="AH404" s="211"/>
      <c r="AI404" s="211"/>
      <c r="AJ404" s="211"/>
      <c r="AK404" s="211"/>
      <c r="AL404" s="211"/>
      <c r="AM404" s="211"/>
      <c r="AN404" s="211"/>
      <c r="AO404" s="211"/>
      <c r="AP404" s="211"/>
      <c r="AQ404" s="211"/>
      <c r="AR404" s="211"/>
      <c r="AS404" s="211"/>
      <c r="AT404" s="211"/>
      <c r="AU404" s="211"/>
      <c r="AV404" s="211"/>
      <c r="AW404" s="211"/>
      <c r="AX404" s="211"/>
      <c r="AY404" s="211"/>
      <c r="AZ404" s="211"/>
    </row>
    <row r="405" spans="1:52" s="213" customFormat="1" x14ac:dyDescent="0.35">
      <c r="A405" s="211"/>
      <c r="B405" s="211"/>
      <c r="C405" s="211"/>
      <c r="D405" s="211"/>
      <c r="E405" s="211"/>
      <c r="F405" s="211"/>
      <c r="G405" s="211"/>
      <c r="H405" s="211"/>
      <c r="I405" s="212"/>
      <c r="J405" s="212"/>
      <c r="K405" s="212"/>
      <c r="L405" s="212"/>
      <c r="M405" s="212"/>
      <c r="N405" s="212"/>
      <c r="O405" s="212"/>
      <c r="P405" s="211"/>
      <c r="Q405" s="211"/>
      <c r="R405" s="211"/>
      <c r="S405" s="211"/>
      <c r="T405" s="211"/>
      <c r="U405" s="211"/>
      <c r="V405" s="211"/>
      <c r="W405" s="211"/>
      <c r="X405" s="211"/>
      <c r="Y405" s="211"/>
      <c r="Z405" s="211"/>
      <c r="AD405" s="211"/>
      <c r="AE405" s="211"/>
      <c r="AF405" s="211"/>
      <c r="AG405" s="211"/>
      <c r="AH405" s="211"/>
      <c r="AI405" s="211"/>
      <c r="AJ405" s="211"/>
      <c r="AK405" s="211"/>
      <c r="AL405" s="211"/>
      <c r="AM405" s="211"/>
      <c r="AN405" s="211"/>
      <c r="AO405" s="211"/>
      <c r="AP405" s="211"/>
      <c r="AQ405" s="211"/>
      <c r="AR405" s="211"/>
      <c r="AS405" s="211"/>
      <c r="AT405" s="211"/>
      <c r="AU405" s="211"/>
      <c r="AV405" s="211"/>
      <c r="AW405" s="211"/>
      <c r="AX405" s="211"/>
      <c r="AY405" s="211"/>
      <c r="AZ405" s="211"/>
    </row>
    <row r="406" spans="1:52" s="213" customFormat="1" x14ac:dyDescent="0.35">
      <c r="A406" s="211"/>
      <c r="B406" s="211"/>
      <c r="C406" s="211"/>
      <c r="D406" s="211"/>
      <c r="E406" s="211"/>
      <c r="F406" s="211"/>
      <c r="G406" s="211"/>
      <c r="H406" s="211"/>
      <c r="I406" s="212"/>
      <c r="J406" s="212"/>
      <c r="K406" s="212"/>
      <c r="L406" s="212"/>
      <c r="M406" s="212"/>
      <c r="N406" s="212"/>
      <c r="O406" s="212"/>
      <c r="P406" s="211"/>
      <c r="Q406" s="211"/>
      <c r="R406" s="211"/>
      <c r="S406" s="211"/>
      <c r="T406" s="211"/>
      <c r="U406" s="211"/>
      <c r="V406" s="211"/>
      <c r="W406" s="211"/>
      <c r="X406" s="211"/>
      <c r="Y406" s="211"/>
      <c r="Z406" s="211"/>
      <c r="AD406" s="211"/>
      <c r="AE406" s="211"/>
      <c r="AF406" s="211"/>
      <c r="AG406" s="211"/>
      <c r="AH406" s="211"/>
      <c r="AI406" s="211"/>
      <c r="AJ406" s="211"/>
      <c r="AK406" s="211"/>
      <c r="AL406" s="211"/>
      <c r="AM406" s="211"/>
      <c r="AN406" s="211"/>
      <c r="AO406" s="211"/>
      <c r="AP406" s="211"/>
      <c r="AQ406" s="211"/>
      <c r="AR406" s="211"/>
      <c r="AS406" s="211"/>
      <c r="AT406" s="211"/>
      <c r="AU406" s="211"/>
      <c r="AV406" s="211"/>
      <c r="AW406" s="211"/>
      <c r="AX406" s="211"/>
      <c r="AY406" s="211"/>
      <c r="AZ406" s="211"/>
    </row>
    <row r="407" spans="1:52" s="213" customFormat="1" x14ac:dyDescent="0.35">
      <c r="A407" s="211"/>
      <c r="B407" s="211"/>
      <c r="C407" s="211"/>
      <c r="D407" s="211"/>
      <c r="E407" s="211"/>
      <c r="F407" s="211"/>
      <c r="G407" s="211"/>
      <c r="H407" s="211"/>
      <c r="I407" s="212"/>
      <c r="J407" s="212"/>
      <c r="K407" s="212"/>
      <c r="L407" s="212"/>
      <c r="M407" s="212"/>
      <c r="N407" s="212"/>
      <c r="O407" s="212"/>
      <c r="P407" s="211"/>
      <c r="Q407" s="211"/>
      <c r="R407" s="211"/>
      <c r="S407" s="211"/>
      <c r="T407" s="211"/>
      <c r="U407" s="211"/>
      <c r="V407" s="211"/>
      <c r="W407" s="211"/>
      <c r="X407" s="211"/>
      <c r="Y407" s="211"/>
      <c r="Z407" s="211"/>
      <c r="AD407" s="211"/>
      <c r="AE407" s="211"/>
      <c r="AF407" s="211"/>
      <c r="AG407" s="211"/>
      <c r="AH407" s="211"/>
      <c r="AI407" s="211"/>
      <c r="AJ407" s="211"/>
      <c r="AK407" s="211"/>
      <c r="AL407" s="211"/>
      <c r="AM407" s="211"/>
      <c r="AN407" s="211"/>
      <c r="AO407" s="211"/>
      <c r="AP407" s="211"/>
      <c r="AQ407" s="211"/>
      <c r="AR407" s="211"/>
      <c r="AS407" s="211"/>
      <c r="AT407" s="211"/>
      <c r="AU407" s="211"/>
      <c r="AV407" s="211"/>
      <c r="AW407" s="211"/>
      <c r="AX407" s="211"/>
      <c r="AY407" s="211"/>
      <c r="AZ407" s="211"/>
    </row>
    <row r="408" spans="1:52" s="213" customFormat="1" x14ac:dyDescent="0.35">
      <c r="A408" s="211"/>
      <c r="B408" s="211"/>
      <c r="C408" s="211"/>
      <c r="D408" s="211"/>
      <c r="E408" s="211"/>
      <c r="F408" s="211"/>
      <c r="G408" s="211"/>
      <c r="H408" s="211"/>
      <c r="I408" s="212"/>
      <c r="J408" s="212"/>
      <c r="K408" s="212"/>
      <c r="L408" s="212"/>
      <c r="M408" s="212"/>
      <c r="N408" s="212"/>
      <c r="O408" s="212"/>
      <c r="P408" s="211"/>
      <c r="Q408" s="211"/>
      <c r="R408" s="211"/>
      <c r="S408" s="211"/>
      <c r="T408" s="211"/>
      <c r="U408" s="211"/>
      <c r="V408" s="211"/>
      <c r="W408" s="211"/>
      <c r="X408" s="211"/>
      <c r="Y408" s="211"/>
      <c r="Z408" s="211"/>
      <c r="AD408" s="211"/>
      <c r="AE408" s="211"/>
      <c r="AF408" s="211"/>
      <c r="AG408" s="211"/>
      <c r="AH408" s="211"/>
      <c r="AI408" s="211"/>
      <c r="AJ408" s="211"/>
      <c r="AK408" s="211"/>
      <c r="AL408" s="211"/>
      <c r="AM408" s="211"/>
      <c r="AN408" s="211"/>
      <c r="AO408" s="211"/>
      <c r="AP408" s="211"/>
      <c r="AQ408" s="211"/>
      <c r="AR408" s="211"/>
      <c r="AS408" s="211"/>
      <c r="AT408" s="211"/>
      <c r="AU408" s="211"/>
      <c r="AV408" s="211"/>
      <c r="AW408" s="211"/>
      <c r="AX408" s="211"/>
      <c r="AY408" s="211"/>
      <c r="AZ408" s="211"/>
    </row>
    <row r="409" spans="1:52" s="213" customFormat="1" x14ac:dyDescent="0.35">
      <c r="A409" s="211"/>
      <c r="B409" s="211"/>
      <c r="C409" s="211"/>
      <c r="D409" s="211"/>
      <c r="E409" s="211"/>
      <c r="F409" s="211"/>
      <c r="G409" s="211"/>
      <c r="H409" s="211"/>
      <c r="I409" s="212"/>
      <c r="J409" s="212"/>
      <c r="K409" s="212"/>
      <c r="L409" s="212"/>
      <c r="M409" s="212"/>
      <c r="N409" s="212"/>
      <c r="O409" s="212"/>
      <c r="P409" s="211"/>
      <c r="Q409" s="211"/>
      <c r="R409" s="211"/>
      <c r="S409" s="211"/>
      <c r="T409" s="211"/>
      <c r="U409" s="211"/>
      <c r="V409" s="211"/>
      <c r="W409" s="211"/>
      <c r="X409" s="211"/>
      <c r="Y409" s="211"/>
      <c r="Z409" s="211"/>
      <c r="AD409" s="211"/>
      <c r="AE409" s="211"/>
      <c r="AF409" s="211"/>
      <c r="AG409" s="211"/>
      <c r="AH409" s="211"/>
      <c r="AI409" s="211"/>
      <c r="AJ409" s="211"/>
      <c r="AK409" s="211"/>
      <c r="AL409" s="211"/>
      <c r="AM409" s="211"/>
      <c r="AN409" s="211"/>
      <c r="AO409" s="211"/>
      <c r="AP409" s="211"/>
      <c r="AQ409" s="211"/>
      <c r="AR409" s="211"/>
      <c r="AS409" s="211"/>
      <c r="AT409" s="211"/>
      <c r="AU409" s="211"/>
      <c r="AV409" s="211"/>
      <c r="AW409" s="211"/>
      <c r="AX409" s="211"/>
      <c r="AY409" s="211"/>
      <c r="AZ409" s="211"/>
    </row>
    <row r="410" spans="1:52" s="213" customFormat="1" x14ac:dyDescent="0.35">
      <c r="A410" s="211"/>
      <c r="B410" s="211"/>
      <c r="C410" s="211"/>
      <c r="D410" s="211"/>
      <c r="E410" s="211"/>
      <c r="F410" s="211"/>
      <c r="G410" s="211"/>
      <c r="H410" s="211"/>
      <c r="I410" s="212"/>
      <c r="J410" s="212"/>
      <c r="K410" s="212"/>
      <c r="L410" s="212"/>
      <c r="M410" s="212"/>
      <c r="N410" s="212"/>
      <c r="O410" s="212"/>
      <c r="P410" s="211"/>
      <c r="Q410" s="211"/>
      <c r="R410" s="211"/>
      <c r="S410" s="211"/>
      <c r="T410" s="211"/>
      <c r="U410" s="211"/>
      <c r="V410" s="211"/>
      <c r="W410" s="211"/>
      <c r="X410" s="211"/>
      <c r="Y410" s="211"/>
      <c r="Z410" s="211"/>
      <c r="AD410" s="211"/>
      <c r="AE410" s="211"/>
      <c r="AF410" s="211"/>
      <c r="AG410" s="211"/>
      <c r="AH410" s="211"/>
      <c r="AI410" s="211"/>
      <c r="AJ410" s="211"/>
      <c r="AK410" s="211"/>
      <c r="AL410" s="211"/>
      <c r="AM410" s="211"/>
      <c r="AN410" s="211"/>
      <c r="AO410" s="211"/>
      <c r="AP410" s="211"/>
      <c r="AQ410" s="211"/>
      <c r="AR410" s="211"/>
      <c r="AS410" s="211"/>
      <c r="AT410" s="211"/>
      <c r="AU410" s="211"/>
      <c r="AV410" s="211"/>
      <c r="AW410" s="211"/>
      <c r="AX410" s="211"/>
      <c r="AY410" s="211"/>
      <c r="AZ410" s="211"/>
    </row>
    <row r="411" spans="1:52" s="213" customFormat="1" x14ac:dyDescent="0.35">
      <c r="A411" s="211"/>
      <c r="B411" s="211"/>
      <c r="C411" s="211"/>
      <c r="D411" s="211"/>
      <c r="E411" s="211"/>
      <c r="F411" s="211"/>
      <c r="G411" s="211"/>
      <c r="H411" s="211"/>
      <c r="I411" s="212"/>
      <c r="J411" s="212"/>
      <c r="K411" s="212"/>
      <c r="L411" s="212"/>
      <c r="M411" s="212"/>
      <c r="N411" s="212"/>
      <c r="O411" s="212"/>
      <c r="P411" s="211"/>
      <c r="Q411" s="211"/>
      <c r="R411" s="211"/>
      <c r="S411" s="211"/>
      <c r="T411" s="211"/>
      <c r="U411" s="211"/>
      <c r="V411" s="211"/>
      <c r="W411" s="211"/>
      <c r="X411" s="211"/>
      <c r="Y411" s="211"/>
      <c r="Z411" s="211"/>
      <c r="AD411" s="211"/>
      <c r="AE411" s="211"/>
      <c r="AF411" s="211"/>
      <c r="AG411" s="211"/>
      <c r="AH411" s="211"/>
      <c r="AI411" s="211"/>
      <c r="AJ411" s="211"/>
      <c r="AK411" s="211"/>
      <c r="AL411" s="211"/>
      <c r="AM411" s="211"/>
      <c r="AN411" s="211"/>
      <c r="AO411" s="211"/>
      <c r="AP411" s="211"/>
      <c r="AQ411" s="211"/>
      <c r="AR411" s="211"/>
      <c r="AS411" s="211"/>
      <c r="AT411" s="211"/>
      <c r="AU411" s="211"/>
      <c r="AV411" s="211"/>
      <c r="AW411" s="211"/>
      <c r="AX411" s="211"/>
      <c r="AY411" s="211"/>
      <c r="AZ411" s="211"/>
    </row>
    <row r="412" spans="1:52" s="213" customFormat="1" x14ac:dyDescent="0.35">
      <c r="A412" s="211"/>
      <c r="B412" s="211"/>
      <c r="C412" s="211"/>
      <c r="D412" s="211"/>
      <c r="E412" s="211"/>
      <c r="F412" s="211"/>
      <c r="G412" s="211"/>
      <c r="H412" s="211"/>
      <c r="I412" s="212"/>
      <c r="J412" s="212"/>
      <c r="K412" s="212"/>
      <c r="L412" s="212"/>
      <c r="M412" s="212"/>
      <c r="N412" s="212"/>
      <c r="O412" s="212"/>
      <c r="P412" s="211"/>
      <c r="Q412" s="211"/>
      <c r="R412" s="211"/>
      <c r="S412" s="211"/>
      <c r="T412" s="211"/>
      <c r="U412" s="211"/>
      <c r="V412" s="211"/>
      <c r="W412" s="211"/>
      <c r="X412" s="211"/>
      <c r="Y412" s="211"/>
      <c r="Z412" s="211"/>
      <c r="AD412" s="211"/>
      <c r="AE412" s="211"/>
      <c r="AF412" s="211"/>
      <c r="AG412" s="211"/>
      <c r="AH412" s="211"/>
      <c r="AI412" s="211"/>
      <c r="AJ412" s="211"/>
      <c r="AK412" s="211"/>
      <c r="AL412" s="211"/>
      <c r="AM412" s="211"/>
      <c r="AN412" s="211"/>
      <c r="AO412" s="211"/>
      <c r="AP412" s="211"/>
      <c r="AQ412" s="211"/>
      <c r="AR412" s="211"/>
      <c r="AS412" s="211"/>
      <c r="AT412" s="211"/>
      <c r="AU412" s="211"/>
      <c r="AV412" s="211"/>
      <c r="AW412" s="211"/>
      <c r="AX412" s="211"/>
      <c r="AY412" s="211"/>
      <c r="AZ412" s="211"/>
    </row>
    <row r="413" spans="1:52" s="213" customFormat="1" x14ac:dyDescent="0.35">
      <c r="A413" s="211"/>
      <c r="B413" s="211"/>
      <c r="C413" s="211"/>
      <c r="D413" s="211"/>
      <c r="E413" s="211"/>
      <c r="F413" s="211"/>
      <c r="G413" s="211"/>
      <c r="H413" s="211"/>
      <c r="I413" s="212"/>
      <c r="J413" s="212"/>
      <c r="K413" s="212"/>
      <c r="L413" s="212"/>
      <c r="M413" s="212"/>
      <c r="N413" s="212"/>
      <c r="O413" s="212"/>
      <c r="P413" s="211"/>
      <c r="Q413" s="211"/>
      <c r="R413" s="211"/>
      <c r="S413" s="211"/>
      <c r="T413" s="211"/>
      <c r="U413" s="211"/>
      <c r="V413" s="211"/>
      <c r="W413" s="211"/>
      <c r="X413" s="211"/>
      <c r="Y413" s="211"/>
      <c r="Z413" s="211"/>
      <c r="AD413" s="211"/>
      <c r="AE413" s="211"/>
      <c r="AF413" s="211"/>
      <c r="AG413" s="211"/>
      <c r="AH413" s="211"/>
      <c r="AI413" s="211"/>
      <c r="AJ413" s="211"/>
      <c r="AK413" s="211"/>
      <c r="AL413" s="211"/>
      <c r="AM413" s="211"/>
      <c r="AN413" s="211"/>
      <c r="AO413" s="211"/>
      <c r="AP413" s="211"/>
      <c r="AQ413" s="211"/>
      <c r="AR413" s="211"/>
      <c r="AS413" s="211"/>
      <c r="AT413" s="211"/>
      <c r="AU413" s="211"/>
      <c r="AV413" s="211"/>
      <c r="AW413" s="211"/>
      <c r="AX413" s="211"/>
      <c r="AY413" s="211"/>
      <c r="AZ413" s="211"/>
    </row>
    <row r="414" spans="1:52" s="213" customFormat="1" x14ac:dyDescent="0.35">
      <c r="A414" s="211"/>
      <c r="B414" s="211"/>
      <c r="C414" s="211"/>
      <c r="D414" s="211"/>
      <c r="E414" s="211"/>
      <c r="F414" s="211"/>
      <c r="G414" s="211"/>
      <c r="H414" s="211"/>
      <c r="I414" s="212"/>
      <c r="J414" s="212"/>
      <c r="K414" s="212"/>
      <c r="L414" s="212"/>
      <c r="M414" s="212"/>
      <c r="N414" s="212"/>
      <c r="O414" s="212"/>
      <c r="P414" s="211"/>
      <c r="Q414" s="211"/>
      <c r="R414" s="211"/>
      <c r="S414" s="211"/>
      <c r="T414" s="211"/>
      <c r="U414" s="211"/>
      <c r="V414" s="211"/>
      <c r="W414" s="211"/>
      <c r="X414" s="211"/>
      <c r="Y414" s="211"/>
      <c r="Z414" s="211"/>
      <c r="AD414" s="211"/>
      <c r="AE414" s="211"/>
      <c r="AF414" s="211"/>
      <c r="AG414" s="211"/>
      <c r="AH414" s="211"/>
      <c r="AI414" s="211"/>
      <c r="AJ414" s="211"/>
      <c r="AK414" s="211"/>
      <c r="AL414" s="211"/>
      <c r="AM414" s="211"/>
      <c r="AN414" s="211"/>
      <c r="AO414" s="211"/>
      <c r="AP414" s="211"/>
      <c r="AQ414" s="211"/>
      <c r="AR414" s="211"/>
      <c r="AS414" s="211"/>
      <c r="AT414" s="211"/>
      <c r="AU414" s="211"/>
      <c r="AV414" s="211"/>
      <c r="AW414" s="211"/>
      <c r="AX414" s="211"/>
      <c r="AY414" s="211"/>
      <c r="AZ414" s="211"/>
    </row>
    <row r="415" spans="1:52" s="213" customFormat="1" x14ac:dyDescent="0.35">
      <c r="A415" s="211"/>
      <c r="B415" s="211"/>
      <c r="C415" s="211"/>
      <c r="D415" s="211"/>
      <c r="E415" s="211"/>
      <c r="F415" s="211"/>
      <c r="G415" s="211"/>
      <c r="H415" s="211"/>
      <c r="I415" s="212"/>
      <c r="J415" s="212"/>
      <c r="K415" s="212"/>
      <c r="L415" s="212"/>
      <c r="M415" s="212"/>
      <c r="N415" s="212"/>
      <c r="O415" s="212"/>
      <c r="P415" s="211"/>
      <c r="Q415" s="211"/>
      <c r="R415" s="211"/>
      <c r="S415" s="211"/>
      <c r="T415" s="211"/>
      <c r="U415" s="211"/>
      <c r="V415" s="211"/>
      <c r="W415" s="211"/>
      <c r="X415" s="211"/>
      <c r="Y415" s="211"/>
      <c r="Z415" s="211"/>
      <c r="AD415" s="211"/>
      <c r="AE415" s="211"/>
      <c r="AF415" s="211"/>
      <c r="AG415" s="211"/>
      <c r="AH415" s="211"/>
      <c r="AI415" s="211"/>
      <c r="AJ415" s="211"/>
      <c r="AK415" s="211"/>
      <c r="AL415" s="211"/>
      <c r="AM415" s="211"/>
      <c r="AN415" s="211"/>
      <c r="AO415" s="211"/>
      <c r="AP415" s="211"/>
      <c r="AQ415" s="211"/>
      <c r="AR415" s="211"/>
      <c r="AS415" s="211"/>
      <c r="AT415" s="211"/>
      <c r="AU415" s="211"/>
      <c r="AV415" s="211"/>
      <c r="AW415" s="211"/>
      <c r="AX415" s="211"/>
      <c r="AY415" s="211"/>
      <c r="AZ415" s="211"/>
    </row>
    <row r="416" spans="1:52" s="213" customFormat="1" x14ac:dyDescent="0.35">
      <c r="A416" s="211"/>
      <c r="B416" s="211"/>
      <c r="C416" s="211"/>
      <c r="D416" s="211"/>
      <c r="E416" s="211"/>
      <c r="F416" s="211"/>
      <c r="G416" s="211"/>
      <c r="H416" s="211"/>
      <c r="I416" s="212"/>
      <c r="J416" s="212"/>
      <c r="K416" s="212"/>
      <c r="L416" s="212"/>
      <c r="M416" s="212"/>
      <c r="N416" s="212"/>
      <c r="O416" s="212"/>
      <c r="P416" s="211"/>
      <c r="Q416" s="211"/>
      <c r="R416" s="211"/>
      <c r="S416" s="211"/>
      <c r="T416" s="211"/>
      <c r="U416" s="211"/>
      <c r="V416" s="211"/>
      <c r="W416" s="211"/>
      <c r="X416" s="211"/>
      <c r="Y416" s="211"/>
      <c r="Z416" s="211"/>
      <c r="AD416" s="211"/>
      <c r="AE416" s="211"/>
      <c r="AF416" s="211"/>
      <c r="AG416" s="211"/>
      <c r="AH416" s="211"/>
      <c r="AI416" s="211"/>
      <c r="AJ416" s="211"/>
      <c r="AK416" s="211"/>
      <c r="AL416" s="211"/>
      <c r="AM416" s="211"/>
      <c r="AN416" s="211"/>
      <c r="AO416" s="211"/>
      <c r="AP416" s="211"/>
      <c r="AQ416" s="211"/>
      <c r="AR416" s="211"/>
      <c r="AS416" s="211"/>
      <c r="AT416" s="211"/>
      <c r="AU416" s="211"/>
      <c r="AV416" s="211"/>
      <c r="AW416" s="211"/>
      <c r="AX416" s="211"/>
      <c r="AY416" s="211"/>
      <c r="AZ416" s="211"/>
    </row>
    <row r="417" spans="1:52" s="213" customFormat="1" x14ac:dyDescent="0.35">
      <c r="A417" s="211"/>
      <c r="B417" s="211"/>
      <c r="C417" s="211"/>
      <c r="D417" s="211"/>
      <c r="E417" s="211"/>
      <c r="F417" s="211"/>
      <c r="G417" s="211"/>
      <c r="H417" s="211"/>
      <c r="I417" s="212"/>
      <c r="J417" s="212"/>
      <c r="K417" s="212"/>
      <c r="L417" s="212"/>
      <c r="M417" s="212"/>
      <c r="N417" s="212"/>
      <c r="O417" s="212"/>
      <c r="P417" s="211"/>
      <c r="Q417" s="211"/>
      <c r="R417" s="211"/>
      <c r="S417" s="211"/>
      <c r="T417" s="211"/>
      <c r="U417" s="211"/>
      <c r="V417" s="211"/>
      <c r="W417" s="211"/>
      <c r="X417" s="211"/>
      <c r="Y417" s="211"/>
      <c r="Z417" s="211"/>
      <c r="AD417" s="211"/>
      <c r="AE417" s="211"/>
      <c r="AF417" s="211"/>
      <c r="AG417" s="211"/>
      <c r="AH417" s="211"/>
      <c r="AI417" s="211"/>
      <c r="AJ417" s="211"/>
      <c r="AK417" s="211"/>
      <c r="AL417" s="211"/>
      <c r="AM417" s="211"/>
      <c r="AN417" s="211"/>
      <c r="AO417" s="211"/>
      <c r="AP417" s="211"/>
      <c r="AQ417" s="211"/>
      <c r="AR417" s="211"/>
      <c r="AS417" s="211"/>
      <c r="AT417" s="211"/>
      <c r="AU417" s="211"/>
      <c r="AV417" s="211"/>
      <c r="AW417" s="211"/>
      <c r="AX417" s="211"/>
      <c r="AY417" s="211"/>
      <c r="AZ417" s="211"/>
    </row>
    <row r="418" spans="1:52" s="213" customFormat="1" x14ac:dyDescent="0.35">
      <c r="A418" s="211"/>
      <c r="B418" s="211"/>
      <c r="C418" s="211"/>
      <c r="D418" s="211"/>
      <c r="E418" s="211"/>
      <c r="F418" s="211"/>
      <c r="G418" s="211"/>
      <c r="H418" s="211"/>
      <c r="I418" s="212"/>
      <c r="J418" s="212"/>
      <c r="K418" s="212"/>
      <c r="L418" s="212"/>
      <c r="M418" s="212"/>
      <c r="N418" s="212"/>
      <c r="O418" s="212"/>
      <c r="P418" s="211"/>
      <c r="Q418" s="211"/>
      <c r="R418" s="211"/>
      <c r="S418" s="211"/>
      <c r="T418" s="211"/>
      <c r="U418" s="211"/>
      <c r="V418" s="211"/>
      <c r="W418" s="211"/>
      <c r="X418" s="211"/>
      <c r="Y418" s="211"/>
      <c r="Z418" s="211"/>
      <c r="AD418" s="211"/>
      <c r="AE418" s="211"/>
      <c r="AF418" s="211"/>
      <c r="AG418" s="211"/>
      <c r="AH418" s="211"/>
      <c r="AI418" s="211"/>
      <c r="AJ418" s="211"/>
      <c r="AK418" s="211"/>
      <c r="AL418" s="211"/>
      <c r="AM418" s="211"/>
      <c r="AN418" s="211"/>
      <c r="AO418" s="211"/>
      <c r="AP418" s="211"/>
      <c r="AQ418" s="211"/>
      <c r="AR418" s="211"/>
      <c r="AS418" s="211"/>
      <c r="AT418" s="211"/>
      <c r="AU418" s="211"/>
      <c r="AV418" s="211"/>
      <c r="AW418" s="211"/>
      <c r="AX418" s="211"/>
      <c r="AY418" s="211"/>
      <c r="AZ418" s="211"/>
    </row>
    <row r="419" spans="1:52" s="213" customFormat="1" x14ac:dyDescent="0.35">
      <c r="A419" s="211"/>
      <c r="B419" s="211"/>
      <c r="C419" s="211"/>
      <c r="D419" s="211"/>
      <c r="E419" s="211"/>
      <c r="F419" s="211"/>
      <c r="G419" s="211"/>
      <c r="H419" s="211"/>
      <c r="I419" s="212"/>
      <c r="J419" s="212"/>
      <c r="K419" s="212"/>
      <c r="L419" s="212"/>
      <c r="M419" s="212"/>
      <c r="N419" s="212"/>
      <c r="O419" s="212"/>
      <c r="P419" s="211"/>
      <c r="Q419" s="211"/>
      <c r="R419" s="211"/>
      <c r="S419" s="211"/>
      <c r="T419" s="211"/>
      <c r="U419" s="211"/>
      <c r="V419" s="211"/>
      <c r="W419" s="211"/>
      <c r="X419" s="211"/>
      <c r="Y419" s="211"/>
      <c r="Z419" s="211"/>
      <c r="AD419" s="211"/>
      <c r="AE419" s="211"/>
      <c r="AF419" s="211"/>
      <c r="AG419" s="211"/>
      <c r="AH419" s="211"/>
      <c r="AI419" s="211"/>
      <c r="AJ419" s="211"/>
      <c r="AK419" s="211"/>
      <c r="AL419" s="211"/>
      <c r="AM419" s="211"/>
      <c r="AN419" s="211"/>
      <c r="AO419" s="211"/>
      <c r="AP419" s="211"/>
      <c r="AQ419" s="211"/>
      <c r="AR419" s="211"/>
      <c r="AS419" s="211"/>
      <c r="AT419" s="211"/>
      <c r="AU419" s="211"/>
      <c r="AV419" s="211"/>
      <c r="AW419" s="211"/>
      <c r="AX419" s="211"/>
      <c r="AY419" s="211"/>
      <c r="AZ419" s="211"/>
    </row>
    <row r="420" spans="1:52" s="213" customFormat="1" x14ac:dyDescent="0.35">
      <c r="A420" s="211"/>
      <c r="B420" s="211"/>
      <c r="C420" s="211"/>
      <c r="D420" s="211"/>
      <c r="E420" s="211"/>
      <c r="F420" s="211"/>
      <c r="G420" s="211"/>
      <c r="H420" s="211"/>
      <c r="I420" s="212"/>
      <c r="J420" s="212"/>
      <c r="K420" s="212"/>
      <c r="L420" s="212"/>
      <c r="M420" s="212"/>
      <c r="N420" s="212"/>
      <c r="O420" s="212"/>
      <c r="P420" s="211"/>
      <c r="Q420" s="211"/>
      <c r="R420" s="211"/>
      <c r="S420" s="211"/>
      <c r="T420" s="211"/>
      <c r="U420" s="211"/>
      <c r="V420" s="211"/>
      <c r="W420" s="211"/>
      <c r="X420" s="211"/>
      <c r="Y420" s="211"/>
      <c r="Z420" s="211"/>
      <c r="AD420" s="211"/>
      <c r="AE420" s="211"/>
      <c r="AF420" s="211"/>
      <c r="AG420" s="211"/>
      <c r="AH420" s="211"/>
      <c r="AI420" s="211"/>
      <c r="AJ420" s="211"/>
      <c r="AK420" s="211"/>
      <c r="AL420" s="211"/>
      <c r="AM420" s="211"/>
      <c r="AN420" s="211"/>
      <c r="AO420" s="211"/>
      <c r="AP420" s="211"/>
      <c r="AQ420" s="211"/>
      <c r="AR420" s="211"/>
      <c r="AS420" s="211"/>
      <c r="AT420" s="211"/>
      <c r="AU420" s="211"/>
      <c r="AV420" s="211"/>
      <c r="AW420" s="211"/>
      <c r="AX420" s="211"/>
      <c r="AY420" s="211"/>
      <c r="AZ420" s="211"/>
    </row>
    <row r="421" spans="1:52" s="213" customFormat="1" x14ac:dyDescent="0.35">
      <c r="A421" s="211"/>
      <c r="B421" s="211"/>
      <c r="C421" s="211"/>
      <c r="D421" s="211"/>
      <c r="E421" s="211"/>
      <c r="F421" s="211"/>
      <c r="G421" s="211"/>
      <c r="H421" s="211"/>
      <c r="I421" s="212"/>
      <c r="J421" s="212"/>
      <c r="K421" s="212"/>
      <c r="L421" s="212"/>
      <c r="M421" s="212"/>
      <c r="N421" s="212"/>
      <c r="O421" s="212"/>
      <c r="P421" s="211"/>
      <c r="Q421" s="211"/>
      <c r="R421" s="211"/>
      <c r="S421" s="211"/>
      <c r="T421" s="211"/>
      <c r="U421" s="211"/>
      <c r="V421" s="211"/>
      <c r="W421" s="211"/>
      <c r="X421" s="211"/>
      <c r="Y421" s="211"/>
      <c r="Z421" s="211"/>
      <c r="AD421" s="211"/>
      <c r="AE421" s="211"/>
      <c r="AF421" s="211"/>
      <c r="AG421" s="211"/>
      <c r="AH421" s="211"/>
      <c r="AI421" s="211"/>
      <c r="AJ421" s="211"/>
      <c r="AK421" s="211"/>
      <c r="AL421" s="211"/>
      <c r="AM421" s="211"/>
      <c r="AN421" s="211"/>
      <c r="AO421" s="211"/>
      <c r="AP421" s="211"/>
      <c r="AQ421" s="211"/>
      <c r="AR421" s="211"/>
      <c r="AS421" s="211"/>
      <c r="AT421" s="211"/>
      <c r="AU421" s="211"/>
      <c r="AV421" s="211"/>
      <c r="AW421" s="211"/>
      <c r="AX421" s="211"/>
      <c r="AY421" s="211"/>
      <c r="AZ421" s="211"/>
    </row>
    <row r="422" spans="1:52" s="213" customFormat="1" x14ac:dyDescent="0.35">
      <c r="A422" s="211"/>
      <c r="B422" s="211"/>
      <c r="C422" s="211"/>
      <c r="D422" s="211"/>
      <c r="E422" s="211"/>
      <c r="F422" s="211"/>
      <c r="G422" s="211"/>
      <c r="H422" s="211"/>
      <c r="I422" s="212"/>
      <c r="J422" s="212"/>
      <c r="K422" s="212"/>
      <c r="L422" s="212"/>
      <c r="M422" s="212"/>
      <c r="N422" s="212"/>
      <c r="O422" s="212"/>
      <c r="P422" s="211"/>
      <c r="Q422" s="211"/>
      <c r="R422" s="211"/>
      <c r="S422" s="211"/>
      <c r="T422" s="211"/>
      <c r="U422" s="211"/>
      <c r="V422" s="211"/>
      <c r="W422" s="211"/>
      <c r="X422" s="211"/>
      <c r="Y422" s="211"/>
      <c r="Z422" s="211"/>
      <c r="AD422" s="211"/>
      <c r="AE422" s="211"/>
      <c r="AF422" s="211"/>
      <c r="AG422" s="211"/>
      <c r="AH422" s="211"/>
      <c r="AI422" s="211"/>
      <c r="AJ422" s="211"/>
      <c r="AK422" s="211"/>
      <c r="AL422" s="211"/>
      <c r="AM422" s="211"/>
      <c r="AN422" s="211"/>
      <c r="AO422" s="211"/>
      <c r="AP422" s="211"/>
      <c r="AQ422" s="211"/>
      <c r="AR422" s="211"/>
      <c r="AS422" s="211"/>
      <c r="AT422" s="211"/>
      <c r="AU422" s="211"/>
      <c r="AV422" s="211"/>
      <c r="AW422" s="211"/>
      <c r="AX422" s="211"/>
      <c r="AY422" s="211"/>
      <c r="AZ422" s="211"/>
    </row>
    <row r="423" spans="1:52" s="213" customFormat="1" x14ac:dyDescent="0.35">
      <c r="A423" s="211"/>
      <c r="B423" s="211"/>
      <c r="C423" s="211"/>
      <c r="D423" s="211"/>
      <c r="E423" s="211"/>
      <c r="F423" s="211"/>
      <c r="G423" s="211"/>
      <c r="H423" s="211"/>
      <c r="I423" s="212"/>
      <c r="J423" s="212"/>
      <c r="K423" s="212"/>
      <c r="L423" s="212"/>
      <c r="M423" s="212"/>
      <c r="N423" s="212"/>
      <c r="O423" s="212"/>
      <c r="P423" s="211"/>
      <c r="Q423" s="211"/>
      <c r="R423" s="211"/>
      <c r="S423" s="211"/>
      <c r="T423" s="211"/>
      <c r="U423" s="211"/>
      <c r="V423" s="211"/>
      <c r="W423" s="211"/>
      <c r="X423" s="211"/>
      <c r="Y423" s="211"/>
      <c r="Z423" s="211"/>
      <c r="AD423" s="211"/>
      <c r="AE423" s="211"/>
      <c r="AF423" s="211"/>
      <c r="AG423" s="211"/>
      <c r="AH423" s="211"/>
      <c r="AI423" s="211"/>
      <c r="AJ423" s="211"/>
      <c r="AK423" s="211"/>
      <c r="AL423" s="211"/>
      <c r="AM423" s="211"/>
      <c r="AN423" s="211"/>
      <c r="AO423" s="211"/>
      <c r="AP423" s="211"/>
      <c r="AQ423" s="211"/>
      <c r="AR423" s="211"/>
      <c r="AS423" s="211"/>
      <c r="AT423" s="211"/>
      <c r="AU423" s="211"/>
      <c r="AV423" s="211"/>
      <c r="AW423" s="211"/>
      <c r="AX423" s="211"/>
      <c r="AY423" s="211"/>
      <c r="AZ423" s="211"/>
    </row>
    <row r="424" spans="1:52" s="213" customFormat="1" x14ac:dyDescent="0.35">
      <c r="A424" s="211"/>
      <c r="B424" s="211"/>
      <c r="C424" s="211"/>
      <c r="D424" s="211"/>
      <c r="E424" s="211"/>
      <c r="F424" s="211"/>
      <c r="G424" s="211"/>
      <c r="H424" s="211"/>
      <c r="I424" s="212"/>
      <c r="J424" s="212"/>
      <c r="K424" s="212"/>
      <c r="L424" s="212"/>
      <c r="M424" s="212"/>
      <c r="N424" s="212"/>
      <c r="O424" s="212"/>
      <c r="P424" s="211"/>
      <c r="Q424" s="211"/>
      <c r="R424" s="211"/>
      <c r="S424" s="211"/>
      <c r="T424" s="211"/>
      <c r="U424" s="211"/>
      <c r="V424" s="211"/>
      <c r="W424" s="211"/>
      <c r="X424" s="211"/>
      <c r="Y424" s="211"/>
      <c r="Z424" s="211"/>
      <c r="AD424" s="211"/>
      <c r="AE424" s="211"/>
      <c r="AF424" s="211"/>
      <c r="AG424" s="211"/>
      <c r="AH424" s="211"/>
      <c r="AI424" s="211"/>
      <c r="AJ424" s="211"/>
      <c r="AK424" s="211"/>
      <c r="AL424" s="211"/>
      <c r="AM424" s="211"/>
      <c r="AN424" s="211"/>
      <c r="AO424" s="211"/>
      <c r="AP424" s="211"/>
      <c r="AQ424" s="211"/>
      <c r="AR424" s="211"/>
      <c r="AS424" s="211"/>
      <c r="AT424" s="211"/>
      <c r="AU424" s="211"/>
      <c r="AV424" s="211"/>
      <c r="AW424" s="211"/>
      <c r="AX424" s="211"/>
      <c r="AY424" s="211"/>
      <c r="AZ424" s="211"/>
    </row>
    <row r="425" spans="1:52" s="213" customFormat="1" x14ac:dyDescent="0.35">
      <c r="A425" s="211"/>
      <c r="B425" s="211"/>
      <c r="C425" s="211"/>
      <c r="D425" s="211"/>
      <c r="E425" s="211"/>
      <c r="F425" s="211"/>
      <c r="G425" s="211"/>
      <c r="H425" s="211"/>
      <c r="I425" s="212"/>
      <c r="J425" s="212"/>
      <c r="K425" s="212"/>
      <c r="L425" s="212"/>
      <c r="M425" s="212"/>
      <c r="N425" s="212"/>
      <c r="O425" s="212"/>
      <c r="P425" s="211"/>
      <c r="Q425" s="211"/>
      <c r="R425" s="211"/>
      <c r="S425" s="211"/>
      <c r="T425" s="211"/>
      <c r="U425" s="211"/>
      <c r="V425" s="211"/>
      <c r="W425" s="211"/>
      <c r="X425" s="211"/>
      <c r="Y425" s="211"/>
      <c r="Z425" s="211"/>
      <c r="AD425" s="211"/>
      <c r="AE425" s="211"/>
      <c r="AF425" s="211"/>
      <c r="AG425" s="211"/>
      <c r="AH425" s="211"/>
      <c r="AI425" s="211"/>
      <c r="AJ425" s="211"/>
      <c r="AK425" s="211"/>
      <c r="AL425" s="211"/>
      <c r="AM425" s="211"/>
      <c r="AN425" s="211"/>
      <c r="AO425" s="211"/>
      <c r="AP425" s="211"/>
      <c r="AQ425" s="211"/>
      <c r="AR425" s="211"/>
      <c r="AS425" s="211"/>
      <c r="AT425" s="211"/>
      <c r="AU425" s="211"/>
      <c r="AV425" s="211"/>
      <c r="AW425" s="211"/>
      <c r="AX425" s="211"/>
      <c r="AY425" s="211"/>
      <c r="AZ425" s="211"/>
    </row>
    <row r="426" spans="1:52" s="213" customFormat="1" x14ac:dyDescent="0.35">
      <c r="A426" s="211"/>
      <c r="B426" s="211"/>
      <c r="C426" s="211"/>
      <c r="D426" s="211"/>
      <c r="E426" s="211"/>
      <c r="F426" s="211"/>
      <c r="G426" s="211"/>
      <c r="H426" s="211"/>
      <c r="I426" s="212"/>
      <c r="J426" s="212"/>
      <c r="K426" s="212"/>
      <c r="L426" s="212"/>
      <c r="M426" s="212"/>
      <c r="N426" s="212"/>
      <c r="O426" s="212"/>
      <c r="P426" s="211"/>
      <c r="Q426" s="211"/>
      <c r="R426" s="211"/>
      <c r="S426" s="211"/>
      <c r="T426" s="211"/>
      <c r="U426" s="211"/>
      <c r="V426" s="211"/>
      <c r="W426" s="211"/>
      <c r="X426" s="211"/>
      <c r="Y426" s="211"/>
      <c r="Z426" s="211"/>
      <c r="AD426" s="211"/>
      <c r="AE426" s="211"/>
      <c r="AF426" s="211"/>
      <c r="AG426" s="211"/>
      <c r="AH426" s="211"/>
      <c r="AI426" s="211"/>
      <c r="AJ426" s="211"/>
      <c r="AK426" s="211"/>
      <c r="AL426" s="211"/>
      <c r="AM426" s="211"/>
      <c r="AN426" s="211"/>
      <c r="AO426" s="211"/>
      <c r="AP426" s="211"/>
      <c r="AQ426" s="211"/>
      <c r="AR426" s="211"/>
      <c r="AS426" s="211"/>
      <c r="AT426" s="211"/>
      <c r="AU426" s="211"/>
      <c r="AV426" s="211"/>
      <c r="AW426" s="211"/>
      <c r="AX426" s="211"/>
      <c r="AY426" s="211"/>
      <c r="AZ426" s="211"/>
    </row>
    <row r="427" spans="1:52" s="213" customFormat="1" x14ac:dyDescent="0.35">
      <c r="A427" s="211"/>
      <c r="B427" s="211"/>
      <c r="C427" s="211"/>
      <c r="D427" s="211"/>
      <c r="E427" s="211"/>
      <c r="F427" s="211"/>
      <c r="G427" s="211"/>
      <c r="H427" s="211"/>
      <c r="I427" s="212"/>
      <c r="J427" s="212"/>
      <c r="K427" s="212"/>
      <c r="L427" s="212"/>
      <c r="M427" s="212"/>
      <c r="N427" s="212"/>
      <c r="O427" s="212"/>
      <c r="P427" s="211"/>
      <c r="Q427" s="211"/>
      <c r="R427" s="211"/>
      <c r="S427" s="211"/>
      <c r="T427" s="211"/>
      <c r="U427" s="211"/>
      <c r="V427" s="211"/>
      <c r="W427" s="211"/>
      <c r="X427" s="211"/>
      <c r="Y427" s="211"/>
      <c r="Z427" s="211"/>
      <c r="AD427" s="211"/>
      <c r="AE427" s="211"/>
      <c r="AF427" s="211"/>
      <c r="AG427" s="211"/>
      <c r="AH427" s="211"/>
      <c r="AI427" s="211"/>
      <c r="AJ427" s="211"/>
      <c r="AK427" s="211"/>
      <c r="AL427" s="211"/>
      <c r="AM427" s="211"/>
      <c r="AN427" s="211"/>
      <c r="AO427" s="211"/>
      <c r="AP427" s="211"/>
      <c r="AQ427" s="211"/>
      <c r="AR427" s="211"/>
      <c r="AS427" s="211"/>
      <c r="AT427" s="211"/>
      <c r="AU427" s="211"/>
      <c r="AV427" s="211"/>
      <c r="AW427" s="211"/>
      <c r="AX427" s="211"/>
      <c r="AY427" s="211"/>
      <c r="AZ427" s="211"/>
    </row>
    <row r="428" spans="1:52" s="213" customFormat="1" x14ac:dyDescent="0.35">
      <c r="A428" s="211"/>
      <c r="B428" s="211"/>
      <c r="C428" s="211"/>
      <c r="D428" s="211"/>
      <c r="E428" s="211"/>
      <c r="F428" s="211"/>
      <c r="G428" s="211"/>
      <c r="H428" s="211"/>
      <c r="I428" s="212"/>
      <c r="J428" s="212"/>
      <c r="K428" s="212"/>
      <c r="L428" s="212"/>
      <c r="M428" s="212"/>
      <c r="N428" s="212"/>
      <c r="O428" s="212"/>
      <c r="P428" s="211"/>
      <c r="Q428" s="211"/>
      <c r="R428" s="211"/>
      <c r="S428" s="211"/>
      <c r="T428" s="211"/>
      <c r="U428" s="211"/>
      <c r="V428" s="211"/>
      <c r="W428" s="211"/>
      <c r="X428" s="211"/>
      <c r="Y428" s="211"/>
      <c r="Z428" s="211"/>
      <c r="AD428" s="211"/>
      <c r="AE428" s="211"/>
      <c r="AF428" s="211"/>
      <c r="AG428" s="211"/>
      <c r="AH428" s="211"/>
      <c r="AI428" s="211"/>
      <c r="AJ428" s="211"/>
      <c r="AK428" s="211"/>
      <c r="AL428" s="211"/>
      <c r="AM428" s="211"/>
      <c r="AN428" s="211"/>
      <c r="AO428" s="211"/>
      <c r="AP428" s="211"/>
      <c r="AQ428" s="211"/>
      <c r="AR428" s="211"/>
      <c r="AS428" s="211"/>
      <c r="AT428" s="211"/>
      <c r="AU428" s="211"/>
      <c r="AV428" s="211"/>
      <c r="AW428" s="211"/>
      <c r="AX428" s="211"/>
      <c r="AY428" s="211"/>
      <c r="AZ428" s="211"/>
    </row>
    <row r="429" spans="1:52" s="213" customFormat="1" x14ac:dyDescent="0.35">
      <c r="A429" s="211"/>
      <c r="B429" s="211"/>
      <c r="C429" s="211"/>
      <c r="D429" s="211"/>
      <c r="E429" s="211"/>
      <c r="F429" s="211"/>
      <c r="G429" s="211"/>
      <c r="H429" s="211"/>
      <c r="I429" s="212"/>
      <c r="J429" s="212"/>
      <c r="K429" s="212"/>
      <c r="L429" s="212"/>
      <c r="M429" s="212"/>
      <c r="N429" s="212"/>
      <c r="O429" s="212"/>
      <c r="P429" s="211"/>
      <c r="Q429" s="211"/>
      <c r="R429" s="211"/>
      <c r="S429" s="211"/>
      <c r="T429" s="211"/>
      <c r="U429" s="211"/>
      <c r="V429" s="211"/>
      <c r="W429" s="211"/>
      <c r="X429" s="211"/>
      <c r="Y429" s="211"/>
      <c r="Z429" s="211"/>
      <c r="AD429" s="211"/>
      <c r="AE429" s="211"/>
      <c r="AF429" s="211"/>
      <c r="AG429" s="211"/>
      <c r="AH429" s="211"/>
      <c r="AI429" s="211"/>
      <c r="AJ429" s="211"/>
      <c r="AK429" s="211"/>
      <c r="AL429" s="211"/>
      <c r="AM429" s="211"/>
      <c r="AN429" s="211"/>
      <c r="AO429" s="211"/>
      <c r="AP429" s="211"/>
      <c r="AQ429" s="211"/>
      <c r="AR429" s="211"/>
      <c r="AS429" s="211"/>
      <c r="AT429" s="211"/>
      <c r="AU429" s="211"/>
      <c r="AV429" s="211"/>
      <c r="AW429" s="211"/>
      <c r="AX429" s="211"/>
      <c r="AY429" s="211"/>
      <c r="AZ429" s="211"/>
    </row>
    <row r="430" spans="1:52" s="213" customFormat="1" x14ac:dyDescent="0.35">
      <c r="A430" s="211"/>
      <c r="B430" s="211"/>
      <c r="C430" s="211"/>
      <c r="D430" s="211"/>
      <c r="E430" s="211"/>
      <c r="F430" s="211"/>
      <c r="G430" s="211"/>
      <c r="H430" s="211"/>
      <c r="I430" s="212"/>
      <c r="J430" s="212"/>
      <c r="K430" s="212"/>
      <c r="L430" s="212"/>
      <c r="M430" s="212"/>
      <c r="N430" s="212"/>
      <c r="O430" s="212"/>
      <c r="P430" s="211"/>
      <c r="Q430" s="211"/>
      <c r="R430" s="211"/>
      <c r="S430" s="211"/>
      <c r="T430" s="211"/>
      <c r="U430" s="211"/>
      <c r="V430" s="211"/>
      <c r="W430" s="211"/>
      <c r="X430" s="211"/>
      <c r="Y430" s="211"/>
      <c r="Z430" s="211"/>
      <c r="AD430" s="211"/>
      <c r="AE430" s="211"/>
      <c r="AF430" s="211"/>
      <c r="AG430" s="211"/>
      <c r="AH430" s="211"/>
      <c r="AI430" s="211"/>
      <c r="AJ430" s="211"/>
      <c r="AK430" s="211"/>
      <c r="AL430" s="211"/>
      <c r="AM430" s="211"/>
      <c r="AN430" s="211"/>
      <c r="AO430" s="211"/>
      <c r="AP430" s="211"/>
      <c r="AQ430" s="211"/>
      <c r="AR430" s="211"/>
      <c r="AS430" s="211"/>
      <c r="AT430" s="211"/>
      <c r="AU430" s="211"/>
      <c r="AV430" s="211"/>
      <c r="AW430" s="211"/>
      <c r="AX430" s="211"/>
      <c r="AY430" s="211"/>
      <c r="AZ430" s="211"/>
    </row>
    <row r="431" spans="1:52" s="213" customFormat="1" x14ac:dyDescent="0.35">
      <c r="A431" s="211"/>
      <c r="B431" s="211"/>
      <c r="C431" s="211"/>
      <c r="D431" s="211"/>
      <c r="E431" s="211"/>
      <c r="F431" s="211"/>
      <c r="G431" s="211"/>
      <c r="H431" s="211"/>
      <c r="I431" s="212"/>
      <c r="J431" s="212"/>
      <c r="K431" s="212"/>
      <c r="L431" s="212"/>
      <c r="M431" s="212"/>
      <c r="N431" s="212"/>
      <c r="O431" s="212"/>
      <c r="P431" s="211"/>
      <c r="Q431" s="211"/>
      <c r="R431" s="211"/>
      <c r="S431" s="211"/>
      <c r="T431" s="211"/>
      <c r="U431" s="211"/>
      <c r="V431" s="211"/>
      <c r="W431" s="211"/>
      <c r="X431" s="211"/>
      <c r="Y431" s="211"/>
      <c r="Z431" s="211"/>
      <c r="AD431" s="211"/>
      <c r="AE431" s="211"/>
      <c r="AF431" s="211"/>
      <c r="AG431" s="211"/>
      <c r="AH431" s="211"/>
      <c r="AI431" s="211"/>
      <c r="AJ431" s="211"/>
      <c r="AK431" s="211"/>
      <c r="AL431" s="211"/>
      <c r="AM431" s="211"/>
      <c r="AN431" s="211"/>
      <c r="AO431" s="211"/>
      <c r="AP431" s="211"/>
      <c r="AQ431" s="211"/>
      <c r="AR431" s="211"/>
      <c r="AS431" s="211"/>
      <c r="AT431" s="211"/>
      <c r="AU431" s="211"/>
      <c r="AV431" s="211"/>
      <c r="AW431" s="211"/>
      <c r="AX431" s="211"/>
      <c r="AY431" s="211"/>
      <c r="AZ431" s="211"/>
    </row>
    <row r="432" spans="1:52" s="213" customFormat="1" x14ac:dyDescent="0.35">
      <c r="A432" s="211"/>
      <c r="B432" s="211"/>
      <c r="C432" s="211"/>
      <c r="D432" s="211"/>
      <c r="E432" s="211"/>
      <c r="F432" s="211"/>
      <c r="G432" s="211"/>
      <c r="H432" s="211"/>
      <c r="I432" s="212"/>
      <c r="J432" s="212"/>
      <c r="K432" s="212"/>
      <c r="L432" s="212"/>
      <c r="M432" s="212"/>
      <c r="N432" s="212"/>
      <c r="O432" s="212"/>
      <c r="P432" s="211"/>
      <c r="Q432" s="211"/>
      <c r="R432" s="211"/>
      <c r="S432" s="211"/>
      <c r="T432" s="211"/>
      <c r="U432" s="211"/>
      <c r="V432" s="211"/>
      <c r="W432" s="211"/>
      <c r="X432" s="211"/>
      <c r="Y432" s="211"/>
      <c r="Z432" s="211"/>
      <c r="AD432" s="211"/>
      <c r="AE432" s="211"/>
      <c r="AF432" s="211"/>
      <c r="AG432" s="211"/>
      <c r="AH432" s="211"/>
      <c r="AI432" s="211"/>
      <c r="AJ432" s="211"/>
      <c r="AK432" s="211"/>
      <c r="AL432" s="211"/>
      <c r="AM432" s="211"/>
      <c r="AN432" s="211"/>
      <c r="AO432" s="211"/>
      <c r="AP432" s="211"/>
      <c r="AQ432" s="211"/>
      <c r="AR432" s="211"/>
      <c r="AS432" s="211"/>
      <c r="AT432" s="211"/>
      <c r="AU432" s="211"/>
      <c r="AV432" s="211"/>
      <c r="AW432" s="211"/>
      <c r="AX432" s="211"/>
      <c r="AY432" s="211"/>
      <c r="AZ432" s="211"/>
    </row>
    <row r="433" spans="1:52" s="213" customFormat="1" x14ac:dyDescent="0.35">
      <c r="A433" s="211"/>
      <c r="B433" s="211"/>
      <c r="C433" s="211"/>
      <c r="D433" s="211"/>
      <c r="E433" s="211"/>
      <c r="F433" s="211"/>
      <c r="G433" s="211"/>
      <c r="H433" s="211"/>
      <c r="I433" s="212"/>
      <c r="J433" s="212"/>
      <c r="K433" s="212"/>
      <c r="L433" s="212"/>
      <c r="M433" s="212"/>
      <c r="N433" s="212"/>
      <c r="O433" s="212"/>
      <c r="P433" s="211"/>
      <c r="Q433" s="211"/>
      <c r="R433" s="211"/>
      <c r="S433" s="211"/>
      <c r="T433" s="211"/>
      <c r="U433" s="211"/>
      <c r="V433" s="211"/>
      <c r="W433" s="211"/>
      <c r="X433" s="211"/>
      <c r="Y433" s="211"/>
      <c r="Z433" s="211"/>
      <c r="AD433" s="211"/>
      <c r="AE433" s="211"/>
      <c r="AF433" s="211"/>
      <c r="AG433" s="211"/>
      <c r="AH433" s="211"/>
      <c r="AI433" s="211"/>
      <c r="AJ433" s="211"/>
      <c r="AK433" s="211"/>
      <c r="AL433" s="211"/>
      <c r="AM433" s="211"/>
      <c r="AN433" s="211"/>
      <c r="AO433" s="211"/>
      <c r="AP433" s="211"/>
      <c r="AQ433" s="211"/>
      <c r="AR433" s="211"/>
      <c r="AS433" s="211"/>
      <c r="AT433" s="211"/>
      <c r="AU433" s="211"/>
      <c r="AV433" s="211"/>
      <c r="AW433" s="211"/>
      <c r="AX433" s="211"/>
      <c r="AY433" s="211"/>
      <c r="AZ433" s="211"/>
    </row>
    <row r="434" spans="1:52" s="213" customFormat="1" x14ac:dyDescent="0.35">
      <c r="A434" s="211"/>
      <c r="B434" s="211"/>
      <c r="C434" s="211"/>
      <c r="D434" s="211"/>
      <c r="E434" s="211"/>
      <c r="F434" s="211"/>
      <c r="G434" s="211"/>
      <c r="H434" s="211"/>
      <c r="I434" s="212"/>
      <c r="J434" s="212"/>
      <c r="K434" s="212"/>
      <c r="L434" s="212"/>
      <c r="M434" s="212"/>
      <c r="N434" s="212"/>
      <c r="O434" s="212"/>
      <c r="P434" s="211"/>
      <c r="Q434" s="211"/>
      <c r="R434" s="211"/>
      <c r="S434" s="211"/>
      <c r="T434" s="211"/>
      <c r="U434" s="211"/>
      <c r="V434" s="211"/>
      <c r="W434" s="211"/>
      <c r="X434" s="211"/>
      <c r="Y434" s="211"/>
      <c r="Z434" s="211"/>
      <c r="AD434" s="211"/>
      <c r="AE434" s="211"/>
      <c r="AF434" s="211"/>
      <c r="AG434" s="211"/>
      <c r="AH434" s="211"/>
      <c r="AI434" s="211"/>
      <c r="AJ434" s="211"/>
      <c r="AK434" s="211"/>
      <c r="AL434" s="211"/>
      <c r="AM434" s="211"/>
      <c r="AN434" s="211"/>
      <c r="AO434" s="211"/>
      <c r="AP434" s="211"/>
      <c r="AQ434" s="211"/>
      <c r="AR434" s="211"/>
      <c r="AS434" s="211"/>
      <c r="AT434" s="211"/>
      <c r="AU434" s="211"/>
      <c r="AV434" s="211"/>
      <c r="AW434" s="211"/>
      <c r="AX434" s="211"/>
      <c r="AY434" s="211"/>
      <c r="AZ434" s="211"/>
    </row>
    <row r="435" spans="1:52" s="213" customFormat="1" x14ac:dyDescent="0.35">
      <c r="A435" s="211"/>
      <c r="B435" s="211"/>
      <c r="C435" s="211"/>
      <c r="D435" s="211"/>
      <c r="E435" s="211"/>
      <c r="F435" s="211"/>
      <c r="G435" s="211"/>
      <c r="H435" s="211"/>
      <c r="I435" s="212"/>
      <c r="J435" s="212"/>
      <c r="K435" s="212"/>
      <c r="L435" s="212"/>
      <c r="M435" s="212"/>
      <c r="N435" s="212"/>
      <c r="O435" s="212"/>
      <c r="P435" s="211"/>
      <c r="Q435" s="211"/>
      <c r="R435" s="211"/>
      <c r="S435" s="211"/>
      <c r="T435" s="211"/>
      <c r="U435" s="211"/>
      <c r="V435" s="211"/>
      <c r="W435" s="211"/>
      <c r="X435" s="211"/>
      <c r="Y435" s="211"/>
      <c r="Z435" s="211"/>
      <c r="AD435" s="211"/>
      <c r="AE435" s="211"/>
      <c r="AF435" s="211"/>
      <c r="AG435" s="211"/>
      <c r="AH435" s="211"/>
      <c r="AI435" s="211"/>
      <c r="AJ435" s="211"/>
      <c r="AK435" s="211"/>
      <c r="AL435" s="211"/>
      <c r="AM435" s="211"/>
      <c r="AN435" s="211"/>
      <c r="AO435" s="211"/>
      <c r="AP435" s="211"/>
      <c r="AQ435" s="211"/>
      <c r="AR435" s="211"/>
      <c r="AS435" s="211"/>
      <c r="AT435" s="211"/>
      <c r="AU435" s="211"/>
      <c r="AV435" s="211"/>
      <c r="AW435" s="211"/>
      <c r="AX435" s="211"/>
      <c r="AY435" s="211"/>
      <c r="AZ435" s="211"/>
    </row>
    <row r="436" spans="1:52" s="213" customFormat="1" x14ac:dyDescent="0.35">
      <c r="A436" s="211"/>
      <c r="B436" s="211"/>
      <c r="C436" s="211"/>
      <c r="D436" s="211"/>
      <c r="E436" s="211"/>
      <c r="F436" s="211"/>
      <c r="G436" s="211"/>
      <c r="H436" s="211"/>
      <c r="I436" s="212"/>
      <c r="J436" s="212"/>
      <c r="K436" s="212"/>
      <c r="L436" s="212"/>
      <c r="M436" s="212"/>
      <c r="N436" s="212"/>
      <c r="O436" s="212"/>
      <c r="P436" s="211"/>
      <c r="Q436" s="211"/>
      <c r="R436" s="211"/>
      <c r="S436" s="211"/>
      <c r="T436" s="211"/>
      <c r="U436" s="211"/>
      <c r="V436" s="211"/>
      <c r="W436" s="211"/>
      <c r="X436" s="211"/>
      <c r="Y436" s="211"/>
      <c r="Z436" s="211"/>
      <c r="AD436" s="211"/>
      <c r="AE436" s="211"/>
      <c r="AF436" s="211"/>
      <c r="AG436" s="211"/>
      <c r="AH436" s="211"/>
      <c r="AI436" s="211"/>
      <c r="AJ436" s="211"/>
      <c r="AK436" s="211"/>
      <c r="AL436" s="211"/>
      <c r="AM436" s="211"/>
      <c r="AN436" s="211"/>
      <c r="AO436" s="211"/>
      <c r="AP436" s="211"/>
      <c r="AQ436" s="211"/>
      <c r="AR436" s="211"/>
      <c r="AS436" s="211"/>
      <c r="AT436" s="211"/>
      <c r="AU436" s="211"/>
      <c r="AV436" s="211"/>
      <c r="AW436" s="211"/>
      <c r="AX436" s="211"/>
      <c r="AY436" s="211"/>
      <c r="AZ436" s="211"/>
    </row>
    <row r="437" spans="1:52" s="213" customFormat="1" x14ac:dyDescent="0.35">
      <c r="A437" s="211"/>
      <c r="B437" s="211"/>
      <c r="C437" s="211"/>
      <c r="D437" s="211"/>
      <c r="E437" s="211"/>
      <c r="F437" s="211"/>
      <c r="G437" s="211"/>
      <c r="H437" s="211"/>
      <c r="I437" s="212"/>
      <c r="J437" s="212"/>
      <c r="K437" s="212"/>
      <c r="L437" s="212"/>
      <c r="M437" s="212"/>
      <c r="N437" s="212"/>
      <c r="O437" s="212"/>
      <c r="P437" s="211"/>
      <c r="Q437" s="211"/>
      <c r="R437" s="211"/>
      <c r="S437" s="211"/>
      <c r="T437" s="211"/>
      <c r="U437" s="211"/>
      <c r="V437" s="211"/>
      <c r="W437" s="211"/>
      <c r="X437" s="211"/>
      <c r="Y437" s="211"/>
      <c r="Z437" s="211"/>
      <c r="AD437" s="211"/>
      <c r="AE437" s="211"/>
      <c r="AF437" s="211"/>
      <c r="AG437" s="211"/>
      <c r="AH437" s="211"/>
      <c r="AI437" s="211"/>
      <c r="AJ437" s="211"/>
      <c r="AK437" s="211"/>
      <c r="AL437" s="211"/>
      <c r="AM437" s="211"/>
      <c r="AN437" s="211"/>
      <c r="AO437" s="211"/>
      <c r="AP437" s="211"/>
      <c r="AQ437" s="211"/>
      <c r="AR437" s="211"/>
      <c r="AS437" s="211"/>
      <c r="AT437" s="211"/>
      <c r="AU437" s="211"/>
      <c r="AV437" s="211"/>
      <c r="AW437" s="211"/>
      <c r="AX437" s="211"/>
      <c r="AY437" s="211"/>
      <c r="AZ437" s="211"/>
    </row>
    <row r="438" spans="1:52" s="213" customFormat="1" x14ac:dyDescent="0.35">
      <c r="A438" s="211"/>
      <c r="B438" s="211"/>
      <c r="C438" s="211"/>
      <c r="D438" s="211"/>
      <c r="E438" s="211"/>
      <c r="F438" s="211"/>
      <c r="G438" s="211"/>
      <c r="H438" s="211"/>
      <c r="I438" s="212"/>
      <c r="J438" s="212"/>
      <c r="K438" s="212"/>
      <c r="L438" s="212"/>
      <c r="M438" s="212"/>
      <c r="N438" s="212"/>
      <c r="O438" s="212"/>
      <c r="P438" s="211"/>
      <c r="Q438" s="211"/>
      <c r="R438" s="211"/>
      <c r="S438" s="211"/>
      <c r="T438" s="211"/>
      <c r="U438" s="211"/>
      <c r="V438" s="211"/>
      <c r="W438" s="211"/>
      <c r="X438" s="211"/>
      <c r="Y438" s="211"/>
      <c r="Z438" s="211"/>
      <c r="AD438" s="211"/>
      <c r="AE438" s="211"/>
      <c r="AF438" s="211"/>
      <c r="AG438" s="211"/>
      <c r="AH438" s="211"/>
      <c r="AI438" s="211"/>
      <c r="AJ438" s="211"/>
      <c r="AK438" s="211"/>
      <c r="AL438" s="211"/>
      <c r="AM438" s="211"/>
      <c r="AN438" s="211"/>
      <c r="AO438" s="211"/>
      <c r="AP438" s="211"/>
      <c r="AQ438" s="211"/>
      <c r="AR438" s="211"/>
      <c r="AS438" s="211"/>
      <c r="AT438" s="211"/>
      <c r="AU438" s="211"/>
      <c r="AV438" s="211"/>
      <c r="AW438" s="211"/>
      <c r="AX438" s="211"/>
      <c r="AY438" s="211"/>
      <c r="AZ438" s="211"/>
    </row>
    <row r="439" spans="1:52" s="213" customFormat="1" x14ac:dyDescent="0.35">
      <c r="A439" s="211"/>
      <c r="B439" s="211"/>
      <c r="C439" s="211"/>
      <c r="D439" s="211"/>
      <c r="E439" s="211"/>
      <c r="F439" s="211"/>
      <c r="G439" s="211"/>
      <c r="H439" s="211"/>
      <c r="I439" s="212"/>
      <c r="J439" s="212"/>
      <c r="K439" s="212"/>
      <c r="L439" s="212"/>
      <c r="M439" s="212"/>
      <c r="N439" s="212"/>
      <c r="O439" s="212"/>
      <c r="P439" s="211"/>
      <c r="Q439" s="211"/>
      <c r="R439" s="211"/>
      <c r="S439" s="211"/>
      <c r="T439" s="211"/>
      <c r="U439" s="211"/>
      <c r="V439" s="211"/>
      <c r="W439" s="211"/>
      <c r="X439" s="211"/>
      <c r="Y439" s="211"/>
      <c r="Z439" s="211"/>
      <c r="AD439" s="211"/>
      <c r="AE439" s="211"/>
      <c r="AF439" s="211"/>
      <c r="AG439" s="211"/>
      <c r="AH439" s="211"/>
      <c r="AI439" s="211"/>
      <c r="AJ439" s="211"/>
      <c r="AK439" s="211"/>
      <c r="AL439" s="211"/>
      <c r="AM439" s="211"/>
      <c r="AN439" s="211"/>
      <c r="AO439" s="211"/>
      <c r="AP439" s="211"/>
      <c r="AQ439" s="211"/>
      <c r="AR439" s="211"/>
      <c r="AS439" s="211"/>
      <c r="AT439" s="211"/>
      <c r="AU439" s="211"/>
      <c r="AV439" s="211"/>
      <c r="AW439" s="211"/>
      <c r="AX439" s="211"/>
      <c r="AY439" s="211"/>
      <c r="AZ439" s="211"/>
    </row>
    <row r="440" spans="1:52" s="213" customFormat="1" x14ac:dyDescent="0.35">
      <c r="A440" s="211"/>
      <c r="B440" s="211"/>
      <c r="C440" s="211"/>
      <c r="D440" s="211"/>
      <c r="E440" s="211"/>
      <c r="F440" s="211"/>
      <c r="G440" s="211"/>
      <c r="H440" s="211"/>
      <c r="I440" s="212"/>
      <c r="J440" s="212"/>
      <c r="K440" s="212"/>
      <c r="L440" s="212"/>
      <c r="M440" s="212"/>
      <c r="N440" s="212"/>
      <c r="O440" s="212"/>
      <c r="P440" s="211"/>
      <c r="Q440" s="211"/>
      <c r="R440" s="211"/>
      <c r="S440" s="211"/>
      <c r="T440" s="211"/>
      <c r="U440" s="211"/>
      <c r="V440" s="211"/>
      <c r="W440" s="211"/>
      <c r="X440" s="211"/>
      <c r="Y440" s="211"/>
      <c r="Z440" s="211"/>
      <c r="AD440" s="211"/>
      <c r="AE440" s="211"/>
      <c r="AF440" s="211"/>
      <c r="AG440" s="211"/>
      <c r="AH440" s="211"/>
      <c r="AI440" s="211"/>
      <c r="AJ440" s="211"/>
      <c r="AK440" s="211"/>
      <c r="AL440" s="211"/>
      <c r="AM440" s="211"/>
      <c r="AN440" s="211"/>
      <c r="AO440" s="211"/>
      <c r="AP440" s="211"/>
      <c r="AQ440" s="211"/>
      <c r="AR440" s="211"/>
      <c r="AS440" s="211"/>
      <c r="AT440" s="211"/>
      <c r="AU440" s="211"/>
      <c r="AV440" s="211"/>
      <c r="AW440" s="211"/>
      <c r="AX440" s="211"/>
      <c r="AY440" s="211"/>
      <c r="AZ440" s="211"/>
    </row>
    <row r="441" spans="1:52" s="213" customFormat="1" x14ac:dyDescent="0.35">
      <c r="A441" s="211"/>
      <c r="B441" s="211"/>
      <c r="C441" s="211"/>
      <c r="D441" s="211"/>
      <c r="E441" s="211"/>
      <c r="F441" s="211"/>
      <c r="G441" s="211"/>
      <c r="H441" s="211"/>
      <c r="I441" s="212"/>
      <c r="J441" s="212"/>
      <c r="K441" s="212"/>
      <c r="L441" s="212"/>
      <c r="M441" s="212"/>
      <c r="N441" s="212"/>
      <c r="O441" s="212"/>
      <c r="P441" s="211"/>
      <c r="Q441" s="211"/>
      <c r="R441" s="211"/>
      <c r="S441" s="211"/>
      <c r="T441" s="211"/>
      <c r="U441" s="211"/>
      <c r="V441" s="211"/>
      <c r="W441" s="211"/>
      <c r="X441" s="211"/>
      <c r="Y441" s="211"/>
      <c r="Z441" s="211"/>
      <c r="AD441" s="211"/>
      <c r="AE441" s="211"/>
      <c r="AF441" s="211"/>
      <c r="AG441" s="211"/>
      <c r="AH441" s="211"/>
      <c r="AI441" s="211"/>
      <c r="AJ441" s="211"/>
      <c r="AK441" s="211"/>
      <c r="AL441" s="211"/>
      <c r="AM441" s="211"/>
      <c r="AN441" s="211"/>
      <c r="AO441" s="211"/>
      <c r="AP441" s="211"/>
      <c r="AQ441" s="211"/>
      <c r="AR441" s="211"/>
      <c r="AS441" s="211"/>
      <c r="AT441" s="211"/>
      <c r="AU441" s="211"/>
      <c r="AV441" s="211"/>
      <c r="AW441" s="211"/>
      <c r="AX441" s="211"/>
      <c r="AY441" s="211"/>
      <c r="AZ441" s="211"/>
    </row>
    <row r="442" spans="1:52" s="213" customFormat="1" x14ac:dyDescent="0.35">
      <c r="A442" s="211"/>
      <c r="B442" s="211"/>
      <c r="C442" s="211"/>
      <c r="D442" s="211"/>
      <c r="E442" s="211"/>
      <c r="F442" s="211"/>
      <c r="G442" s="211"/>
      <c r="H442" s="211"/>
      <c r="I442" s="212"/>
      <c r="J442" s="212"/>
      <c r="K442" s="212"/>
      <c r="L442" s="212"/>
      <c r="M442" s="212"/>
      <c r="N442" s="212"/>
      <c r="O442" s="212"/>
      <c r="P442" s="211"/>
      <c r="Q442" s="211"/>
      <c r="R442" s="211"/>
      <c r="S442" s="211"/>
      <c r="T442" s="211"/>
      <c r="U442" s="211"/>
      <c r="V442" s="211"/>
      <c r="W442" s="211"/>
      <c r="X442" s="211"/>
      <c r="Y442" s="211"/>
      <c r="Z442" s="211"/>
      <c r="AD442" s="211"/>
      <c r="AE442" s="211"/>
      <c r="AF442" s="211"/>
      <c r="AG442" s="211"/>
      <c r="AH442" s="211"/>
      <c r="AI442" s="211"/>
      <c r="AJ442" s="211"/>
      <c r="AK442" s="211"/>
      <c r="AL442" s="211"/>
      <c r="AM442" s="211"/>
      <c r="AN442" s="211"/>
      <c r="AO442" s="211"/>
      <c r="AP442" s="211"/>
      <c r="AQ442" s="211"/>
      <c r="AR442" s="211"/>
      <c r="AS442" s="211"/>
      <c r="AT442" s="211"/>
      <c r="AU442" s="211"/>
      <c r="AV442" s="211"/>
      <c r="AW442" s="211"/>
      <c r="AX442" s="211"/>
      <c r="AY442" s="211"/>
      <c r="AZ442" s="211"/>
    </row>
    <row r="443" spans="1:52" s="213" customFormat="1" x14ac:dyDescent="0.35">
      <c r="A443" s="211"/>
      <c r="B443" s="211"/>
      <c r="C443" s="211"/>
      <c r="D443" s="211"/>
      <c r="E443" s="211"/>
      <c r="F443" s="211"/>
      <c r="G443" s="211"/>
      <c r="H443" s="211"/>
      <c r="I443" s="212"/>
      <c r="J443" s="212"/>
      <c r="K443" s="212"/>
      <c r="L443" s="212"/>
      <c r="M443" s="212"/>
      <c r="N443" s="212"/>
      <c r="O443" s="212"/>
      <c r="P443" s="211"/>
      <c r="Q443" s="211"/>
      <c r="R443" s="211"/>
      <c r="S443" s="211"/>
      <c r="T443" s="211"/>
      <c r="U443" s="211"/>
      <c r="V443" s="211"/>
      <c r="W443" s="211"/>
      <c r="X443" s="211"/>
      <c r="Y443" s="211"/>
      <c r="Z443" s="211"/>
      <c r="AD443" s="211"/>
      <c r="AE443" s="211"/>
      <c r="AF443" s="211"/>
      <c r="AG443" s="211"/>
      <c r="AH443" s="211"/>
      <c r="AI443" s="211"/>
      <c r="AJ443" s="211"/>
      <c r="AK443" s="211"/>
      <c r="AL443" s="211"/>
      <c r="AM443" s="211"/>
      <c r="AN443" s="211"/>
      <c r="AO443" s="211"/>
      <c r="AP443" s="211"/>
      <c r="AQ443" s="211"/>
      <c r="AR443" s="211"/>
      <c r="AS443" s="211"/>
      <c r="AT443" s="211"/>
      <c r="AU443" s="211"/>
      <c r="AV443" s="211"/>
      <c r="AW443" s="211"/>
      <c r="AX443" s="211"/>
      <c r="AY443" s="211"/>
      <c r="AZ443" s="211"/>
    </row>
    <row r="444" spans="1:52" s="213" customFormat="1" x14ac:dyDescent="0.35">
      <c r="A444" s="211"/>
      <c r="B444" s="211"/>
      <c r="C444" s="211"/>
      <c r="D444" s="211"/>
      <c r="E444" s="211"/>
      <c r="F444" s="211"/>
      <c r="G444" s="211"/>
      <c r="H444" s="211"/>
      <c r="I444" s="212"/>
      <c r="J444" s="212"/>
      <c r="K444" s="212"/>
      <c r="L444" s="212"/>
      <c r="M444" s="212"/>
      <c r="N444" s="212"/>
      <c r="O444" s="212"/>
      <c r="P444" s="211"/>
      <c r="Q444" s="211"/>
      <c r="R444" s="211"/>
      <c r="S444" s="211"/>
      <c r="T444" s="211"/>
      <c r="U444" s="211"/>
      <c r="V444" s="211"/>
      <c r="W444" s="211"/>
      <c r="X444" s="211"/>
      <c r="Y444" s="211"/>
      <c r="Z444" s="211"/>
      <c r="AD444" s="211"/>
      <c r="AE444" s="211"/>
      <c r="AF444" s="211"/>
      <c r="AG444" s="211"/>
      <c r="AH444" s="211"/>
      <c r="AI444" s="211"/>
      <c r="AJ444" s="211"/>
      <c r="AK444" s="211"/>
      <c r="AL444" s="211"/>
      <c r="AM444" s="211"/>
      <c r="AN444" s="211"/>
      <c r="AO444" s="211"/>
      <c r="AP444" s="211"/>
      <c r="AQ444" s="211"/>
      <c r="AR444" s="211"/>
      <c r="AS444" s="211"/>
      <c r="AT444" s="211"/>
      <c r="AU444" s="211"/>
      <c r="AV444" s="211"/>
      <c r="AW444" s="211"/>
      <c r="AX444" s="211"/>
      <c r="AY444" s="211"/>
      <c r="AZ444" s="211"/>
    </row>
    <row r="445" spans="1:52" s="213" customFormat="1" x14ac:dyDescent="0.35">
      <c r="A445" s="211"/>
      <c r="B445" s="211"/>
      <c r="C445" s="211"/>
      <c r="D445" s="211"/>
      <c r="E445" s="211"/>
      <c r="F445" s="211"/>
      <c r="G445" s="211"/>
      <c r="H445" s="211"/>
      <c r="I445" s="212"/>
      <c r="J445" s="212"/>
      <c r="K445" s="212"/>
      <c r="L445" s="212"/>
      <c r="M445" s="212"/>
      <c r="N445" s="212"/>
      <c r="O445" s="212"/>
      <c r="P445" s="211"/>
      <c r="Q445" s="211"/>
      <c r="R445" s="211"/>
      <c r="S445" s="211"/>
      <c r="T445" s="211"/>
      <c r="U445" s="211"/>
      <c r="V445" s="211"/>
      <c r="W445" s="211"/>
      <c r="X445" s="211"/>
      <c r="Y445" s="211"/>
      <c r="Z445" s="211"/>
      <c r="AD445" s="211"/>
      <c r="AE445" s="211"/>
      <c r="AF445" s="211"/>
      <c r="AG445" s="211"/>
      <c r="AH445" s="211"/>
      <c r="AI445" s="211"/>
      <c r="AJ445" s="211"/>
      <c r="AK445" s="211"/>
      <c r="AL445" s="211"/>
      <c r="AM445" s="211"/>
      <c r="AN445" s="211"/>
      <c r="AO445" s="211"/>
      <c r="AP445" s="211"/>
      <c r="AQ445" s="211"/>
      <c r="AR445" s="211"/>
      <c r="AS445" s="211"/>
      <c r="AT445" s="211"/>
      <c r="AU445" s="211"/>
      <c r="AV445" s="211"/>
      <c r="AW445" s="211"/>
      <c r="AX445" s="211"/>
      <c r="AY445" s="211"/>
      <c r="AZ445" s="211"/>
    </row>
    <row r="446" spans="1:52" s="213" customFormat="1" x14ac:dyDescent="0.35">
      <c r="A446" s="211"/>
      <c r="B446" s="211"/>
      <c r="C446" s="211"/>
      <c r="D446" s="211"/>
      <c r="E446" s="211"/>
      <c r="F446" s="211"/>
      <c r="G446" s="211"/>
      <c r="H446" s="211"/>
      <c r="I446" s="212"/>
      <c r="J446" s="212"/>
      <c r="K446" s="212"/>
      <c r="L446" s="212"/>
      <c r="M446" s="212"/>
      <c r="N446" s="212"/>
      <c r="O446" s="212"/>
      <c r="P446" s="211"/>
      <c r="Q446" s="211"/>
      <c r="R446" s="211"/>
      <c r="S446" s="211"/>
      <c r="T446" s="211"/>
      <c r="U446" s="211"/>
      <c r="V446" s="211"/>
      <c r="W446" s="211"/>
      <c r="X446" s="211"/>
      <c r="Y446" s="211"/>
      <c r="Z446" s="211"/>
      <c r="AD446" s="211"/>
      <c r="AE446" s="211"/>
      <c r="AF446" s="211"/>
      <c r="AG446" s="211"/>
      <c r="AH446" s="211"/>
      <c r="AI446" s="211"/>
      <c r="AJ446" s="211"/>
      <c r="AK446" s="211"/>
      <c r="AL446" s="211"/>
      <c r="AM446" s="211"/>
      <c r="AN446" s="211"/>
      <c r="AO446" s="211"/>
      <c r="AP446" s="211"/>
      <c r="AQ446" s="211"/>
      <c r="AR446" s="211"/>
      <c r="AS446" s="211"/>
      <c r="AT446" s="211"/>
      <c r="AU446" s="211"/>
      <c r="AV446" s="211"/>
      <c r="AW446" s="211"/>
      <c r="AX446" s="211"/>
      <c r="AY446" s="211"/>
      <c r="AZ446" s="211"/>
    </row>
    <row r="447" spans="1:52" s="213" customFormat="1" x14ac:dyDescent="0.35">
      <c r="A447" s="211"/>
      <c r="B447" s="211"/>
      <c r="C447" s="211"/>
      <c r="D447" s="211"/>
      <c r="E447" s="211"/>
      <c r="F447" s="211"/>
      <c r="G447" s="211"/>
      <c r="H447" s="211"/>
      <c r="I447" s="212"/>
      <c r="J447" s="212"/>
      <c r="K447" s="212"/>
      <c r="L447" s="212"/>
      <c r="M447" s="212"/>
      <c r="N447" s="212"/>
      <c r="O447" s="212"/>
      <c r="P447" s="211"/>
      <c r="Q447" s="211"/>
      <c r="R447" s="211"/>
      <c r="S447" s="211"/>
      <c r="T447" s="211"/>
      <c r="U447" s="211"/>
      <c r="V447" s="211"/>
      <c r="W447" s="211"/>
      <c r="X447" s="211"/>
      <c r="Y447" s="211"/>
      <c r="Z447" s="211"/>
      <c r="AD447" s="211"/>
      <c r="AE447" s="211"/>
      <c r="AF447" s="211"/>
      <c r="AG447" s="211"/>
      <c r="AH447" s="211"/>
      <c r="AI447" s="211"/>
      <c r="AJ447" s="211"/>
      <c r="AK447" s="211"/>
      <c r="AL447" s="211"/>
      <c r="AM447" s="211"/>
      <c r="AN447" s="211"/>
      <c r="AO447" s="211"/>
      <c r="AP447" s="211"/>
      <c r="AQ447" s="211"/>
      <c r="AR447" s="211"/>
      <c r="AS447" s="211"/>
      <c r="AT447" s="211"/>
      <c r="AU447" s="211"/>
      <c r="AV447" s="211"/>
      <c r="AW447" s="211"/>
      <c r="AX447" s="211"/>
      <c r="AY447" s="211"/>
      <c r="AZ447" s="211"/>
    </row>
    <row r="448" spans="1:52" s="213" customFormat="1" x14ac:dyDescent="0.35">
      <c r="A448" s="211"/>
      <c r="B448" s="211"/>
      <c r="C448" s="211"/>
      <c r="D448" s="211"/>
      <c r="E448" s="211"/>
      <c r="F448" s="211"/>
      <c r="G448" s="211"/>
      <c r="H448" s="211"/>
      <c r="I448" s="212"/>
      <c r="J448" s="212"/>
      <c r="K448" s="212"/>
      <c r="L448" s="212"/>
      <c r="M448" s="212"/>
      <c r="N448" s="212"/>
      <c r="O448" s="212"/>
      <c r="P448" s="211"/>
      <c r="Q448" s="211"/>
      <c r="R448" s="211"/>
      <c r="S448" s="211"/>
      <c r="T448" s="211"/>
      <c r="U448" s="211"/>
      <c r="V448" s="211"/>
      <c r="W448" s="211"/>
      <c r="X448" s="211"/>
      <c r="Y448" s="211"/>
      <c r="Z448" s="211"/>
      <c r="AD448" s="211"/>
      <c r="AE448" s="211"/>
      <c r="AF448" s="211"/>
      <c r="AG448" s="211"/>
      <c r="AH448" s="211"/>
      <c r="AI448" s="211"/>
      <c r="AJ448" s="211"/>
      <c r="AK448" s="211"/>
      <c r="AL448" s="211"/>
      <c r="AM448" s="211"/>
      <c r="AN448" s="211"/>
      <c r="AO448" s="211"/>
      <c r="AP448" s="211"/>
      <c r="AQ448" s="211"/>
      <c r="AR448" s="211"/>
      <c r="AS448" s="211"/>
      <c r="AT448" s="211"/>
      <c r="AU448" s="211"/>
      <c r="AV448" s="211"/>
      <c r="AW448" s="211"/>
      <c r="AX448" s="211"/>
      <c r="AY448" s="211"/>
      <c r="AZ448" s="211"/>
    </row>
    <row r="449" spans="1:52" s="213" customFormat="1" x14ac:dyDescent="0.35">
      <c r="A449" s="211"/>
      <c r="B449" s="211"/>
      <c r="C449" s="211"/>
      <c r="D449" s="211"/>
      <c r="E449" s="211"/>
      <c r="F449" s="211"/>
      <c r="G449" s="211"/>
      <c r="H449" s="211"/>
      <c r="I449" s="212"/>
      <c r="J449" s="212"/>
      <c r="K449" s="212"/>
      <c r="L449" s="212"/>
      <c r="M449" s="212"/>
      <c r="N449" s="212"/>
      <c r="O449" s="212"/>
      <c r="P449" s="211"/>
      <c r="Q449" s="211"/>
      <c r="R449" s="211"/>
      <c r="S449" s="211"/>
      <c r="T449" s="211"/>
      <c r="U449" s="211"/>
      <c r="V449" s="211"/>
      <c r="W449" s="211"/>
      <c r="X449" s="211"/>
      <c r="Y449" s="211"/>
      <c r="Z449" s="211"/>
      <c r="AD449" s="211"/>
      <c r="AE449" s="211"/>
      <c r="AF449" s="211"/>
      <c r="AG449" s="211"/>
      <c r="AH449" s="211"/>
      <c r="AI449" s="211"/>
      <c r="AJ449" s="211"/>
      <c r="AK449" s="211"/>
      <c r="AL449" s="211"/>
      <c r="AM449" s="211"/>
      <c r="AN449" s="211"/>
      <c r="AO449" s="211"/>
      <c r="AP449" s="211"/>
      <c r="AQ449" s="211"/>
      <c r="AR449" s="211"/>
      <c r="AS449" s="211"/>
      <c r="AT449" s="211"/>
      <c r="AU449" s="211"/>
      <c r="AV449" s="211"/>
      <c r="AW449" s="211"/>
      <c r="AX449" s="211"/>
      <c r="AY449" s="211"/>
      <c r="AZ449" s="211"/>
    </row>
    <row r="450" spans="1:52" s="213" customFormat="1" x14ac:dyDescent="0.35">
      <c r="A450" s="211"/>
      <c r="B450" s="211"/>
      <c r="C450" s="211"/>
      <c r="D450" s="211"/>
      <c r="E450" s="211"/>
      <c r="F450" s="211"/>
      <c r="G450" s="211"/>
      <c r="H450" s="211"/>
      <c r="I450" s="212"/>
      <c r="J450" s="212"/>
      <c r="K450" s="212"/>
      <c r="L450" s="212"/>
      <c r="M450" s="212"/>
      <c r="N450" s="212"/>
      <c r="O450" s="212"/>
      <c r="P450" s="211"/>
      <c r="Q450" s="211"/>
      <c r="R450" s="211"/>
      <c r="S450" s="211"/>
      <c r="T450" s="211"/>
      <c r="U450" s="211"/>
      <c r="V450" s="211"/>
      <c r="W450" s="211"/>
      <c r="X450" s="211"/>
      <c r="Y450" s="211"/>
      <c r="Z450" s="211"/>
      <c r="AD450" s="211"/>
      <c r="AE450" s="211"/>
      <c r="AF450" s="211"/>
      <c r="AG450" s="211"/>
      <c r="AH450" s="211"/>
      <c r="AI450" s="211"/>
      <c r="AJ450" s="211"/>
      <c r="AK450" s="211"/>
      <c r="AL450" s="211"/>
      <c r="AM450" s="211"/>
      <c r="AN450" s="211"/>
      <c r="AO450" s="211"/>
      <c r="AP450" s="211"/>
      <c r="AQ450" s="211"/>
      <c r="AR450" s="211"/>
      <c r="AS450" s="211"/>
      <c r="AT450" s="211"/>
      <c r="AU450" s="211"/>
      <c r="AV450" s="211"/>
      <c r="AW450" s="211"/>
      <c r="AX450" s="211"/>
      <c r="AY450" s="211"/>
      <c r="AZ450" s="211"/>
    </row>
    <row r="451" spans="1:52" s="213" customFormat="1" x14ac:dyDescent="0.35">
      <c r="A451" s="211"/>
      <c r="B451" s="211"/>
      <c r="C451" s="211"/>
      <c r="D451" s="211"/>
      <c r="E451" s="211"/>
      <c r="F451" s="211"/>
      <c r="G451" s="211"/>
      <c r="H451" s="211"/>
      <c r="I451" s="212"/>
      <c r="J451" s="212"/>
      <c r="K451" s="212"/>
      <c r="L451" s="212"/>
      <c r="M451" s="212"/>
      <c r="N451" s="212"/>
      <c r="O451" s="212"/>
      <c r="P451" s="211"/>
      <c r="Q451" s="211"/>
      <c r="R451" s="211"/>
      <c r="S451" s="211"/>
      <c r="T451" s="211"/>
      <c r="U451" s="211"/>
      <c r="V451" s="211"/>
      <c r="W451" s="211"/>
      <c r="X451" s="211"/>
      <c r="Y451" s="211"/>
      <c r="Z451" s="211"/>
      <c r="AD451" s="211"/>
      <c r="AE451" s="211"/>
      <c r="AF451" s="211"/>
      <c r="AG451" s="211"/>
      <c r="AH451" s="211"/>
      <c r="AI451" s="211"/>
      <c r="AJ451" s="211"/>
      <c r="AK451" s="211"/>
      <c r="AL451" s="211"/>
      <c r="AM451" s="211"/>
      <c r="AN451" s="211"/>
      <c r="AO451" s="211"/>
      <c r="AP451" s="211"/>
      <c r="AQ451" s="211"/>
      <c r="AR451" s="211"/>
      <c r="AS451" s="211"/>
      <c r="AT451" s="211"/>
      <c r="AU451" s="211"/>
      <c r="AV451" s="211"/>
      <c r="AW451" s="211"/>
      <c r="AX451" s="211"/>
      <c r="AY451" s="211"/>
      <c r="AZ451" s="211"/>
    </row>
    <row r="452" spans="1:52" s="213" customFormat="1" x14ac:dyDescent="0.35">
      <c r="A452" s="211"/>
      <c r="B452" s="211"/>
      <c r="C452" s="211"/>
      <c r="D452" s="211"/>
      <c r="E452" s="211"/>
      <c r="F452" s="211"/>
      <c r="G452" s="211"/>
      <c r="H452" s="211"/>
      <c r="I452" s="212"/>
      <c r="J452" s="212"/>
      <c r="K452" s="212"/>
      <c r="L452" s="212"/>
      <c r="M452" s="212"/>
      <c r="N452" s="212"/>
      <c r="O452" s="212"/>
      <c r="P452" s="211"/>
      <c r="Q452" s="211"/>
      <c r="R452" s="211"/>
      <c r="S452" s="211"/>
      <c r="T452" s="211"/>
      <c r="U452" s="211"/>
      <c r="V452" s="211"/>
      <c r="W452" s="211"/>
      <c r="X452" s="211"/>
      <c r="Y452" s="211"/>
      <c r="Z452" s="211"/>
      <c r="AD452" s="211"/>
      <c r="AE452" s="211"/>
      <c r="AF452" s="211"/>
      <c r="AG452" s="211"/>
      <c r="AH452" s="211"/>
      <c r="AI452" s="211"/>
      <c r="AJ452" s="211"/>
      <c r="AK452" s="211"/>
      <c r="AL452" s="211"/>
      <c r="AM452" s="211"/>
      <c r="AN452" s="211"/>
      <c r="AO452" s="211"/>
      <c r="AP452" s="211"/>
      <c r="AQ452" s="211"/>
      <c r="AR452" s="211"/>
      <c r="AS452" s="211"/>
      <c r="AT452" s="211"/>
      <c r="AU452" s="211"/>
      <c r="AV452" s="211"/>
      <c r="AW452" s="211"/>
      <c r="AX452" s="211"/>
      <c r="AY452" s="211"/>
      <c r="AZ452" s="211"/>
    </row>
    <row r="453" spans="1:52" s="213" customFormat="1" x14ac:dyDescent="0.35">
      <c r="A453" s="211"/>
      <c r="B453" s="211"/>
      <c r="C453" s="211"/>
      <c r="D453" s="211"/>
      <c r="E453" s="211"/>
      <c r="F453" s="211"/>
      <c r="G453" s="211"/>
      <c r="H453" s="211"/>
      <c r="I453" s="212"/>
      <c r="J453" s="212"/>
      <c r="K453" s="212"/>
      <c r="L453" s="212"/>
      <c r="M453" s="212"/>
      <c r="N453" s="212"/>
      <c r="O453" s="212"/>
      <c r="P453" s="211"/>
      <c r="Q453" s="211"/>
      <c r="R453" s="211"/>
      <c r="S453" s="211"/>
      <c r="T453" s="211"/>
      <c r="U453" s="211"/>
      <c r="V453" s="211"/>
      <c r="W453" s="211"/>
      <c r="X453" s="211"/>
      <c r="Y453" s="211"/>
      <c r="Z453" s="211"/>
      <c r="AD453" s="211"/>
      <c r="AE453" s="211"/>
      <c r="AF453" s="211"/>
      <c r="AG453" s="211"/>
      <c r="AH453" s="211"/>
      <c r="AI453" s="211"/>
      <c r="AJ453" s="211"/>
      <c r="AK453" s="211"/>
      <c r="AL453" s="211"/>
      <c r="AM453" s="211"/>
      <c r="AN453" s="211"/>
      <c r="AO453" s="211"/>
      <c r="AP453" s="211"/>
      <c r="AQ453" s="211"/>
      <c r="AR453" s="211"/>
      <c r="AS453" s="211"/>
      <c r="AT453" s="211"/>
      <c r="AU453" s="211"/>
      <c r="AV453" s="211"/>
      <c r="AW453" s="211"/>
      <c r="AX453" s="211"/>
      <c r="AY453" s="211"/>
      <c r="AZ453" s="211"/>
    </row>
    <row r="454" spans="1:52" s="213" customFormat="1" x14ac:dyDescent="0.35">
      <c r="A454" s="211"/>
      <c r="B454" s="211"/>
      <c r="C454" s="211"/>
      <c r="D454" s="211"/>
      <c r="E454" s="211"/>
      <c r="F454" s="211"/>
      <c r="G454" s="211"/>
      <c r="H454" s="211"/>
      <c r="I454" s="212"/>
      <c r="J454" s="212"/>
      <c r="K454" s="212"/>
      <c r="L454" s="212"/>
      <c r="M454" s="212"/>
      <c r="N454" s="212"/>
      <c r="O454" s="212"/>
      <c r="P454" s="211"/>
      <c r="Q454" s="211"/>
      <c r="R454" s="211"/>
      <c r="S454" s="211"/>
      <c r="T454" s="211"/>
      <c r="U454" s="211"/>
      <c r="V454" s="211"/>
      <c r="W454" s="211"/>
      <c r="X454" s="211"/>
      <c r="Y454" s="211"/>
      <c r="Z454" s="211"/>
      <c r="AD454" s="211"/>
      <c r="AE454" s="211"/>
      <c r="AF454" s="211"/>
      <c r="AG454" s="211"/>
      <c r="AH454" s="211"/>
      <c r="AI454" s="211"/>
      <c r="AJ454" s="211"/>
      <c r="AK454" s="211"/>
      <c r="AL454" s="211"/>
      <c r="AM454" s="211"/>
      <c r="AN454" s="211"/>
      <c r="AO454" s="211"/>
      <c r="AP454" s="211"/>
      <c r="AQ454" s="211"/>
      <c r="AR454" s="211"/>
      <c r="AS454" s="211"/>
      <c r="AT454" s="211"/>
      <c r="AU454" s="211"/>
      <c r="AV454" s="211"/>
      <c r="AW454" s="211"/>
      <c r="AX454" s="211"/>
      <c r="AY454" s="211"/>
      <c r="AZ454" s="211"/>
    </row>
    <row r="455" spans="1:52" s="213" customFormat="1" x14ac:dyDescent="0.35">
      <c r="A455" s="211"/>
      <c r="B455" s="211"/>
      <c r="C455" s="211"/>
      <c r="D455" s="211"/>
      <c r="E455" s="211"/>
      <c r="F455" s="211"/>
      <c r="G455" s="211"/>
      <c r="H455" s="211"/>
      <c r="I455" s="212"/>
      <c r="J455" s="212"/>
      <c r="K455" s="212"/>
      <c r="L455" s="212"/>
      <c r="M455" s="212"/>
      <c r="N455" s="212"/>
      <c r="O455" s="212"/>
      <c r="P455" s="211"/>
      <c r="Q455" s="211"/>
      <c r="R455" s="211"/>
      <c r="S455" s="211"/>
      <c r="T455" s="211"/>
      <c r="U455" s="211"/>
      <c r="V455" s="211"/>
      <c r="W455" s="211"/>
      <c r="X455" s="211"/>
      <c r="Y455" s="211"/>
      <c r="Z455" s="211"/>
      <c r="AD455" s="211"/>
      <c r="AE455" s="211"/>
      <c r="AF455" s="211"/>
      <c r="AG455" s="211"/>
      <c r="AH455" s="211"/>
      <c r="AI455" s="211"/>
      <c r="AJ455" s="211"/>
      <c r="AK455" s="211"/>
      <c r="AL455" s="211"/>
      <c r="AM455" s="211"/>
      <c r="AN455" s="211"/>
      <c r="AO455" s="211"/>
      <c r="AP455" s="211"/>
      <c r="AQ455" s="211"/>
      <c r="AR455" s="211"/>
      <c r="AS455" s="211"/>
      <c r="AT455" s="211"/>
      <c r="AU455" s="211"/>
      <c r="AV455" s="211"/>
      <c r="AW455" s="211"/>
      <c r="AX455" s="211"/>
      <c r="AY455" s="211"/>
      <c r="AZ455" s="211"/>
    </row>
    <row r="456" spans="1:52" s="213" customFormat="1" x14ac:dyDescent="0.35">
      <c r="A456" s="211"/>
      <c r="B456" s="211"/>
      <c r="C456" s="211"/>
      <c r="D456" s="211"/>
      <c r="E456" s="211"/>
      <c r="F456" s="211"/>
      <c r="G456" s="211"/>
      <c r="H456" s="211"/>
      <c r="I456" s="212"/>
      <c r="J456" s="212"/>
      <c r="K456" s="212"/>
      <c r="L456" s="212"/>
      <c r="M456" s="212"/>
      <c r="N456" s="212"/>
      <c r="O456" s="212"/>
      <c r="P456" s="211"/>
      <c r="Q456" s="211"/>
      <c r="R456" s="211"/>
      <c r="S456" s="211"/>
      <c r="T456" s="211"/>
      <c r="U456" s="211"/>
      <c r="V456" s="211"/>
      <c r="W456" s="211"/>
      <c r="X456" s="211"/>
      <c r="Y456" s="211"/>
      <c r="Z456" s="211"/>
      <c r="AD456" s="211"/>
      <c r="AE456" s="211"/>
      <c r="AF456" s="211"/>
      <c r="AG456" s="211"/>
      <c r="AH456" s="211"/>
      <c r="AI456" s="211"/>
      <c r="AJ456" s="211"/>
      <c r="AK456" s="211"/>
      <c r="AL456" s="211"/>
      <c r="AM456" s="211"/>
      <c r="AN456" s="211"/>
      <c r="AO456" s="211"/>
      <c r="AP456" s="211"/>
      <c r="AQ456" s="211"/>
      <c r="AR456" s="211"/>
      <c r="AS456" s="211"/>
      <c r="AT456" s="211"/>
      <c r="AU456" s="211"/>
      <c r="AV456" s="211"/>
      <c r="AW456" s="211"/>
      <c r="AX456" s="211"/>
      <c r="AY456" s="211"/>
      <c r="AZ456" s="211"/>
    </row>
    <row r="457" spans="1:52" s="213" customFormat="1" x14ac:dyDescent="0.35">
      <c r="A457" s="211"/>
      <c r="B457" s="211"/>
      <c r="C457" s="211"/>
      <c r="D457" s="211"/>
      <c r="E457" s="211"/>
      <c r="F457" s="211"/>
      <c r="G457" s="211"/>
      <c r="H457" s="211"/>
      <c r="I457" s="212"/>
      <c r="J457" s="212"/>
      <c r="K457" s="212"/>
      <c r="L457" s="212"/>
      <c r="M457" s="212"/>
      <c r="N457" s="212"/>
      <c r="O457" s="212"/>
      <c r="P457" s="211"/>
      <c r="Q457" s="211"/>
      <c r="R457" s="211"/>
      <c r="S457" s="211"/>
      <c r="T457" s="211"/>
      <c r="U457" s="211"/>
      <c r="V457" s="211"/>
      <c r="W457" s="211"/>
      <c r="X457" s="211"/>
      <c r="Y457" s="211"/>
      <c r="Z457" s="211"/>
      <c r="AD457" s="211"/>
      <c r="AE457" s="211"/>
      <c r="AF457" s="211"/>
      <c r="AG457" s="211"/>
      <c r="AH457" s="211"/>
      <c r="AI457" s="211"/>
      <c r="AJ457" s="211"/>
      <c r="AK457" s="211"/>
      <c r="AL457" s="211"/>
      <c r="AM457" s="211"/>
      <c r="AN457" s="211"/>
      <c r="AO457" s="211"/>
      <c r="AP457" s="211"/>
      <c r="AQ457" s="211"/>
      <c r="AR457" s="211"/>
      <c r="AS457" s="211"/>
      <c r="AT457" s="211"/>
      <c r="AU457" s="211"/>
      <c r="AV457" s="211"/>
      <c r="AW457" s="211"/>
      <c r="AX457" s="211"/>
      <c r="AY457" s="211"/>
      <c r="AZ457" s="211"/>
    </row>
    <row r="458" spans="1:52" s="213" customFormat="1" x14ac:dyDescent="0.35">
      <c r="A458" s="211"/>
      <c r="B458" s="211"/>
      <c r="C458" s="211"/>
      <c r="D458" s="211"/>
      <c r="E458" s="211"/>
      <c r="F458" s="211"/>
      <c r="G458" s="211"/>
      <c r="H458" s="211"/>
      <c r="I458" s="212"/>
      <c r="J458" s="212"/>
      <c r="K458" s="212"/>
      <c r="L458" s="212"/>
      <c r="M458" s="212"/>
      <c r="N458" s="212"/>
      <c r="O458" s="212"/>
      <c r="P458" s="211"/>
      <c r="Q458" s="211"/>
      <c r="R458" s="211"/>
      <c r="S458" s="211"/>
      <c r="T458" s="211"/>
      <c r="U458" s="211"/>
      <c r="V458" s="211"/>
      <c r="W458" s="211"/>
      <c r="X458" s="211"/>
      <c r="Y458" s="211"/>
      <c r="Z458" s="211"/>
      <c r="AD458" s="211"/>
      <c r="AE458" s="211"/>
      <c r="AF458" s="211"/>
      <c r="AG458" s="211"/>
      <c r="AH458" s="211"/>
      <c r="AI458" s="211"/>
      <c r="AJ458" s="211"/>
      <c r="AK458" s="211"/>
      <c r="AL458" s="211"/>
      <c r="AM458" s="211"/>
      <c r="AN458" s="211"/>
      <c r="AO458" s="211"/>
      <c r="AP458" s="211"/>
      <c r="AQ458" s="211"/>
      <c r="AR458" s="211"/>
      <c r="AS458" s="211"/>
      <c r="AT458" s="211"/>
      <c r="AU458" s="211"/>
      <c r="AV458" s="211"/>
      <c r="AW458" s="211"/>
      <c r="AX458" s="211"/>
      <c r="AY458" s="211"/>
      <c r="AZ458" s="211"/>
    </row>
    <row r="459" spans="1:52" s="213" customFormat="1" x14ac:dyDescent="0.35">
      <c r="A459" s="211"/>
      <c r="B459" s="211"/>
      <c r="C459" s="211"/>
      <c r="D459" s="211"/>
      <c r="E459" s="211"/>
      <c r="F459" s="211"/>
      <c r="G459" s="211"/>
      <c r="H459" s="211"/>
      <c r="I459" s="212"/>
      <c r="J459" s="212"/>
      <c r="K459" s="212"/>
      <c r="L459" s="212"/>
      <c r="M459" s="212"/>
      <c r="N459" s="212"/>
      <c r="O459" s="212"/>
      <c r="P459" s="211"/>
      <c r="Q459" s="211"/>
      <c r="R459" s="211"/>
      <c r="S459" s="211"/>
      <c r="T459" s="211"/>
      <c r="U459" s="211"/>
      <c r="V459" s="211"/>
      <c r="W459" s="211"/>
      <c r="X459" s="211"/>
      <c r="Y459" s="211"/>
      <c r="Z459" s="211"/>
      <c r="AD459" s="211"/>
      <c r="AE459" s="211"/>
      <c r="AF459" s="211"/>
      <c r="AG459" s="211"/>
      <c r="AH459" s="211"/>
      <c r="AI459" s="211"/>
      <c r="AJ459" s="211"/>
      <c r="AK459" s="211"/>
      <c r="AL459" s="211"/>
      <c r="AM459" s="211"/>
      <c r="AN459" s="211"/>
      <c r="AO459" s="211"/>
      <c r="AP459" s="211"/>
      <c r="AQ459" s="211"/>
      <c r="AR459" s="211"/>
      <c r="AS459" s="211"/>
      <c r="AT459" s="211"/>
      <c r="AU459" s="211"/>
      <c r="AV459" s="211"/>
      <c r="AW459" s="211"/>
      <c r="AX459" s="211"/>
      <c r="AY459" s="211"/>
      <c r="AZ459" s="211"/>
    </row>
    <row r="460" spans="1:52" s="213" customFormat="1" x14ac:dyDescent="0.35">
      <c r="A460" s="211"/>
      <c r="B460" s="211"/>
      <c r="C460" s="211"/>
      <c r="D460" s="211"/>
      <c r="E460" s="211"/>
      <c r="F460" s="211"/>
      <c r="G460" s="211"/>
      <c r="H460" s="211"/>
      <c r="I460" s="212"/>
      <c r="J460" s="212"/>
      <c r="K460" s="212"/>
      <c r="L460" s="212"/>
      <c r="M460" s="212"/>
      <c r="N460" s="212"/>
      <c r="O460" s="212"/>
      <c r="P460" s="211"/>
      <c r="Q460" s="211"/>
      <c r="R460" s="211"/>
      <c r="S460" s="211"/>
      <c r="T460" s="211"/>
      <c r="U460" s="211"/>
      <c r="V460" s="211"/>
      <c r="W460" s="211"/>
      <c r="X460" s="211"/>
      <c r="Y460" s="211"/>
      <c r="Z460" s="211"/>
      <c r="AD460" s="211"/>
      <c r="AE460" s="211"/>
      <c r="AF460" s="211"/>
      <c r="AG460" s="211"/>
      <c r="AH460" s="211"/>
      <c r="AI460" s="211"/>
      <c r="AJ460" s="211"/>
      <c r="AK460" s="211"/>
      <c r="AL460" s="211"/>
      <c r="AM460" s="211"/>
      <c r="AN460" s="211"/>
      <c r="AO460" s="211"/>
      <c r="AP460" s="211"/>
      <c r="AQ460" s="211"/>
      <c r="AR460" s="211"/>
      <c r="AS460" s="211"/>
      <c r="AT460" s="211"/>
      <c r="AU460" s="211"/>
      <c r="AV460" s="211"/>
      <c r="AW460" s="211"/>
      <c r="AX460" s="211"/>
      <c r="AY460" s="211"/>
      <c r="AZ460" s="211"/>
    </row>
    <row r="461" spans="1:52" s="213" customFormat="1" x14ac:dyDescent="0.35">
      <c r="A461" s="211"/>
      <c r="B461" s="211"/>
      <c r="C461" s="211"/>
      <c r="D461" s="211"/>
      <c r="E461" s="211"/>
      <c r="F461" s="211"/>
      <c r="G461" s="211"/>
      <c r="H461" s="211"/>
      <c r="I461" s="212"/>
      <c r="J461" s="212"/>
      <c r="K461" s="212"/>
      <c r="L461" s="212"/>
      <c r="M461" s="212"/>
      <c r="N461" s="212"/>
      <c r="O461" s="212"/>
      <c r="P461" s="211"/>
      <c r="Q461" s="211"/>
      <c r="R461" s="211"/>
      <c r="S461" s="211"/>
      <c r="T461" s="211"/>
      <c r="U461" s="211"/>
      <c r="V461" s="211"/>
      <c r="W461" s="211"/>
      <c r="X461" s="211"/>
      <c r="Y461" s="211"/>
      <c r="Z461" s="211"/>
      <c r="AD461" s="211"/>
      <c r="AE461" s="211"/>
      <c r="AF461" s="211"/>
      <c r="AG461" s="211"/>
      <c r="AH461" s="211"/>
      <c r="AI461" s="211"/>
      <c r="AJ461" s="211"/>
      <c r="AK461" s="211"/>
      <c r="AL461" s="211"/>
      <c r="AM461" s="211"/>
      <c r="AN461" s="211"/>
      <c r="AO461" s="211"/>
      <c r="AP461" s="211"/>
      <c r="AQ461" s="211"/>
      <c r="AR461" s="211"/>
      <c r="AS461" s="211"/>
      <c r="AT461" s="211"/>
      <c r="AU461" s="211"/>
      <c r="AV461" s="211"/>
      <c r="AW461" s="211"/>
      <c r="AX461" s="211"/>
      <c r="AY461" s="211"/>
      <c r="AZ461" s="211"/>
    </row>
    <row r="462" spans="1:52" s="213" customFormat="1" x14ac:dyDescent="0.35">
      <c r="A462" s="211"/>
      <c r="B462" s="211"/>
      <c r="C462" s="211"/>
      <c r="D462" s="211"/>
      <c r="E462" s="211"/>
      <c r="F462" s="211"/>
      <c r="G462" s="211"/>
      <c r="H462" s="211"/>
      <c r="I462" s="212"/>
      <c r="J462" s="212"/>
      <c r="K462" s="212"/>
      <c r="L462" s="212"/>
      <c r="M462" s="212"/>
      <c r="N462" s="212"/>
      <c r="O462" s="212"/>
      <c r="P462" s="211"/>
      <c r="Q462" s="211"/>
      <c r="R462" s="211"/>
      <c r="S462" s="211"/>
      <c r="T462" s="211"/>
      <c r="U462" s="211"/>
      <c r="V462" s="211"/>
      <c r="W462" s="211"/>
      <c r="X462" s="211"/>
      <c r="Y462" s="211"/>
      <c r="Z462" s="211"/>
      <c r="AD462" s="211"/>
      <c r="AE462" s="211"/>
      <c r="AF462" s="211"/>
      <c r="AG462" s="211"/>
      <c r="AH462" s="211"/>
      <c r="AI462" s="211"/>
      <c r="AJ462" s="211"/>
      <c r="AK462" s="211"/>
      <c r="AL462" s="211"/>
      <c r="AM462" s="211"/>
      <c r="AN462" s="211"/>
      <c r="AO462" s="211"/>
      <c r="AP462" s="211"/>
      <c r="AQ462" s="211"/>
      <c r="AR462" s="211"/>
      <c r="AS462" s="211"/>
      <c r="AT462" s="211"/>
      <c r="AU462" s="211"/>
      <c r="AV462" s="211"/>
      <c r="AW462" s="211"/>
      <c r="AX462" s="211"/>
      <c r="AY462" s="211"/>
      <c r="AZ462" s="211"/>
    </row>
    <row r="463" spans="1:52" s="213" customFormat="1" x14ac:dyDescent="0.35">
      <c r="A463" s="211"/>
      <c r="B463" s="211"/>
      <c r="C463" s="211"/>
      <c r="D463" s="211"/>
      <c r="E463" s="211"/>
      <c r="F463" s="211"/>
      <c r="G463" s="211"/>
      <c r="H463" s="211"/>
      <c r="I463" s="212"/>
      <c r="J463" s="212"/>
      <c r="K463" s="212"/>
      <c r="L463" s="212"/>
      <c r="M463" s="212"/>
      <c r="N463" s="212"/>
      <c r="O463" s="212"/>
      <c r="P463" s="211"/>
      <c r="Q463" s="211"/>
      <c r="R463" s="211"/>
      <c r="S463" s="211"/>
      <c r="T463" s="211"/>
      <c r="U463" s="211"/>
      <c r="V463" s="211"/>
      <c r="W463" s="211"/>
      <c r="X463" s="211"/>
      <c r="Y463" s="211"/>
      <c r="Z463" s="211"/>
      <c r="AD463" s="211"/>
      <c r="AE463" s="211"/>
      <c r="AF463" s="211"/>
      <c r="AG463" s="211"/>
      <c r="AH463" s="211"/>
      <c r="AI463" s="211"/>
      <c r="AJ463" s="211"/>
      <c r="AK463" s="211"/>
      <c r="AL463" s="211"/>
      <c r="AM463" s="211"/>
      <c r="AN463" s="211"/>
      <c r="AO463" s="211"/>
      <c r="AP463" s="211"/>
      <c r="AQ463" s="211"/>
      <c r="AR463" s="211"/>
      <c r="AS463" s="211"/>
      <c r="AT463" s="211"/>
      <c r="AU463" s="211"/>
      <c r="AV463" s="211"/>
      <c r="AW463" s="211"/>
      <c r="AX463" s="211"/>
      <c r="AY463" s="211"/>
      <c r="AZ463" s="211"/>
    </row>
    <row r="464" spans="1:52" s="213" customFormat="1" x14ac:dyDescent="0.35">
      <c r="A464" s="211"/>
      <c r="B464" s="211"/>
      <c r="C464" s="211"/>
      <c r="D464" s="211"/>
      <c r="E464" s="211"/>
      <c r="F464" s="211"/>
      <c r="G464" s="211"/>
      <c r="H464" s="211"/>
      <c r="I464" s="212"/>
      <c r="J464" s="212"/>
      <c r="K464" s="212"/>
      <c r="L464" s="212"/>
      <c r="M464" s="212"/>
      <c r="N464" s="212"/>
      <c r="O464" s="212"/>
      <c r="P464" s="211"/>
      <c r="Q464" s="211"/>
      <c r="R464" s="211"/>
      <c r="S464" s="211"/>
      <c r="T464" s="211"/>
      <c r="U464" s="211"/>
      <c r="V464" s="211"/>
      <c r="W464" s="211"/>
      <c r="X464" s="211"/>
      <c r="Y464" s="211"/>
      <c r="Z464" s="211"/>
      <c r="AD464" s="211"/>
      <c r="AE464" s="211"/>
      <c r="AF464" s="211"/>
      <c r="AG464" s="211"/>
      <c r="AH464" s="211"/>
      <c r="AI464" s="211"/>
      <c r="AJ464" s="211"/>
      <c r="AK464" s="211"/>
      <c r="AL464" s="211"/>
      <c r="AM464" s="211"/>
      <c r="AN464" s="211"/>
      <c r="AO464" s="211"/>
      <c r="AP464" s="211"/>
      <c r="AQ464" s="211"/>
      <c r="AR464" s="211"/>
      <c r="AS464" s="211"/>
      <c r="AT464" s="211"/>
      <c r="AU464" s="211"/>
      <c r="AV464" s="211"/>
      <c r="AW464" s="211"/>
      <c r="AX464" s="211"/>
      <c r="AY464" s="211"/>
      <c r="AZ464" s="211"/>
    </row>
    <row r="465" spans="1:52" s="213" customFormat="1" x14ac:dyDescent="0.35">
      <c r="A465" s="211"/>
      <c r="B465" s="211"/>
      <c r="C465" s="211"/>
      <c r="D465" s="211"/>
      <c r="E465" s="211"/>
      <c r="F465" s="211"/>
      <c r="G465" s="211"/>
      <c r="H465" s="211"/>
      <c r="I465" s="212"/>
      <c r="J465" s="212"/>
      <c r="K465" s="212"/>
      <c r="L465" s="212"/>
      <c r="M465" s="212"/>
      <c r="N465" s="212"/>
      <c r="O465" s="212"/>
      <c r="P465" s="211"/>
      <c r="Q465" s="211"/>
      <c r="R465" s="211"/>
      <c r="S465" s="211"/>
      <c r="T465" s="211"/>
      <c r="U465" s="211"/>
      <c r="V465" s="211"/>
      <c r="W465" s="211"/>
      <c r="X465" s="211"/>
      <c r="Y465" s="211"/>
      <c r="Z465" s="211"/>
      <c r="AD465" s="211"/>
      <c r="AE465" s="211"/>
      <c r="AF465" s="211"/>
      <c r="AG465" s="211"/>
      <c r="AH465" s="211"/>
      <c r="AI465" s="211"/>
      <c r="AJ465" s="211"/>
      <c r="AK465" s="211"/>
      <c r="AL465" s="211"/>
      <c r="AM465" s="211"/>
      <c r="AN465" s="211"/>
      <c r="AO465" s="211"/>
      <c r="AP465" s="211"/>
      <c r="AQ465" s="211"/>
      <c r="AR465" s="211"/>
      <c r="AS465" s="211"/>
      <c r="AT465" s="211"/>
      <c r="AU465" s="211"/>
      <c r="AV465" s="211"/>
      <c r="AW465" s="211"/>
      <c r="AX465" s="211"/>
      <c r="AY465" s="211"/>
      <c r="AZ465" s="211"/>
    </row>
    <row r="466" spans="1:52" s="213" customFormat="1" x14ac:dyDescent="0.35">
      <c r="A466" s="211"/>
      <c r="B466" s="211"/>
      <c r="C466" s="211"/>
      <c r="D466" s="211"/>
      <c r="E466" s="211"/>
      <c r="F466" s="211"/>
      <c r="G466" s="211"/>
      <c r="H466" s="211"/>
      <c r="I466" s="212"/>
      <c r="J466" s="212"/>
      <c r="K466" s="212"/>
      <c r="L466" s="212"/>
      <c r="M466" s="212"/>
      <c r="N466" s="212"/>
      <c r="O466" s="212"/>
      <c r="P466" s="211"/>
      <c r="Q466" s="211"/>
      <c r="R466" s="211"/>
      <c r="S466" s="211"/>
      <c r="T466" s="211"/>
      <c r="U466" s="211"/>
      <c r="V466" s="211"/>
      <c r="W466" s="211"/>
      <c r="X466" s="211"/>
      <c r="Y466" s="211"/>
      <c r="Z466" s="211"/>
      <c r="AD466" s="211"/>
      <c r="AE466" s="211"/>
      <c r="AF466" s="211"/>
      <c r="AG466" s="211"/>
      <c r="AH466" s="211"/>
      <c r="AI466" s="211"/>
      <c r="AJ466" s="211"/>
      <c r="AK466" s="211"/>
      <c r="AL466" s="211"/>
      <c r="AM466" s="211"/>
      <c r="AN466" s="211"/>
      <c r="AO466" s="211"/>
      <c r="AP466" s="211"/>
      <c r="AQ466" s="211"/>
      <c r="AR466" s="211"/>
      <c r="AS466" s="211"/>
      <c r="AT466" s="211"/>
      <c r="AU466" s="211"/>
      <c r="AV466" s="211"/>
      <c r="AW466" s="211"/>
      <c r="AX466" s="211"/>
      <c r="AY466" s="211"/>
      <c r="AZ466" s="211"/>
    </row>
    <row r="467" spans="1:52" s="213" customFormat="1" x14ac:dyDescent="0.35">
      <c r="A467" s="211"/>
      <c r="B467" s="211"/>
      <c r="C467" s="211"/>
      <c r="D467" s="211"/>
      <c r="E467" s="211"/>
      <c r="F467" s="211"/>
      <c r="G467" s="211"/>
      <c r="H467" s="211"/>
      <c r="I467" s="212"/>
      <c r="J467" s="212"/>
      <c r="K467" s="212"/>
      <c r="L467" s="212"/>
      <c r="M467" s="212"/>
      <c r="N467" s="212"/>
      <c r="O467" s="212"/>
      <c r="P467" s="211"/>
      <c r="Q467" s="211"/>
      <c r="R467" s="211"/>
      <c r="S467" s="211"/>
      <c r="T467" s="211"/>
      <c r="U467" s="211"/>
      <c r="V467" s="211"/>
      <c r="W467" s="211"/>
      <c r="X467" s="211"/>
      <c r="Y467" s="211"/>
      <c r="Z467" s="211"/>
      <c r="AD467" s="211"/>
      <c r="AE467" s="211"/>
      <c r="AF467" s="211"/>
      <c r="AG467" s="211"/>
      <c r="AH467" s="211"/>
      <c r="AI467" s="211"/>
      <c r="AJ467" s="211"/>
      <c r="AK467" s="211"/>
      <c r="AL467" s="211"/>
      <c r="AM467" s="211"/>
      <c r="AN467" s="211"/>
      <c r="AO467" s="211"/>
      <c r="AP467" s="211"/>
      <c r="AQ467" s="211"/>
      <c r="AR467" s="211"/>
      <c r="AS467" s="211"/>
      <c r="AT467" s="211"/>
      <c r="AU467" s="211"/>
      <c r="AV467" s="211"/>
      <c r="AW467" s="211"/>
      <c r="AX467" s="211"/>
      <c r="AY467" s="211"/>
      <c r="AZ467" s="211"/>
    </row>
    <row r="468" spans="1:52" s="213" customFormat="1" x14ac:dyDescent="0.35">
      <c r="A468" s="211"/>
      <c r="B468" s="211"/>
      <c r="C468" s="211"/>
      <c r="D468" s="211"/>
      <c r="E468" s="211"/>
      <c r="F468" s="211"/>
      <c r="G468" s="211"/>
      <c r="H468" s="211"/>
      <c r="I468" s="212"/>
      <c r="J468" s="212"/>
      <c r="K468" s="212"/>
      <c r="L468" s="212"/>
      <c r="M468" s="212"/>
      <c r="N468" s="212"/>
      <c r="O468" s="212"/>
      <c r="P468" s="211"/>
      <c r="Q468" s="211"/>
      <c r="R468" s="211"/>
      <c r="S468" s="211"/>
      <c r="T468" s="211"/>
      <c r="U468" s="211"/>
      <c r="V468" s="211"/>
      <c r="W468" s="211"/>
      <c r="X468" s="211"/>
      <c r="Y468" s="211"/>
      <c r="Z468" s="211"/>
      <c r="AD468" s="211"/>
      <c r="AE468" s="211"/>
      <c r="AF468" s="211"/>
      <c r="AG468" s="211"/>
      <c r="AH468" s="211"/>
      <c r="AI468" s="211"/>
      <c r="AJ468" s="211"/>
      <c r="AK468" s="211"/>
      <c r="AL468" s="211"/>
      <c r="AM468" s="211"/>
      <c r="AN468" s="211"/>
      <c r="AO468" s="211"/>
      <c r="AP468" s="211"/>
      <c r="AQ468" s="211"/>
      <c r="AR468" s="211"/>
      <c r="AS468" s="211"/>
      <c r="AT468" s="211"/>
      <c r="AU468" s="211"/>
      <c r="AV468" s="211"/>
      <c r="AW468" s="211"/>
      <c r="AX468" s="211"/>
      <c r="AY468" s="211"/>
      <c r="AZ468" s="211"/>
    </row>
    <row r="469" spans="1:52" s="213" customFormat="1" x14ac:dyDescent="0.35">
      <c r="A469" s="211"/>
      <c r="B469" s="211"/>
      <c r="C469" s="211"/>
      <c r="D469" s="211"/>
      <c r="E469" s="211"/>
      <c r="F469" s="211"/>
      <c r="G469" s="211"/>
      <c r="H469" s="211"/>
      <c r="I469" s="212"/>
      <c r="J469" s="212"/>
      <c r="K469" s="212"/>
      <c r="L469" s="212"/>
      <c r="M469" s="212"/>
      <c r="N469" s="212"/>
      <c r="O469" s="212"/>
      <c r="P469" s="211"/>
      <c r="Q469" s="211"/>
      <c r="R469" s="211"/>
      <c r="S469" s="211"/>
      <c r="T469" s="211"/>
      <c r="U469" s="211"/>
      <c r="V469" s="211"/>
      <c r="W469" s="211"/>
      <c r="X469" s="211"/>
      <c r="Y469" s="211"/>
      <c r="Z469" s="211"/>
      <c r="AD469" s="211"/>
      <c r="AE469" s="211"/>
      <c r="AF469" s="211"/>
      <c r="AG469" s="211"/>
      <c r="AH469" s="211"/>
      <c r="AI469" s="211"/>
      <c r="AJ469" s="211"/>
      <c r="AK469" s="211"/>
      <c r="AL469" s="211"/>
      <c r="AM469" s="211"/>
      <c r="AN469" s="211"/>
      <c r="AO469" s="211"/>
      <c r="AP469" s="211"/>
      <c r="AQ469" s="211"/>
      <c r="AR469" s="211"/>
      <c r="AS469" s="211"/>
      <c r="AT469" s="211"/>
      <c r="AU469" s="211"/>
      <c r="AV469" s="211"/>
      <c r="AW469" s="211"/>
      <c r="AX469" s="211"/>
      <c r="AY469" s="211"/>
      <c r="AZ469" s="211"/>
    </row>
    <row r="470" spans="1:52" s="213" customFormat="1" x14ac:dyDescent="0.35">
      <c r="A470" s="211"/>
      <c r="B470" s="211"/>
      <c r="C470" s="211"/>
      <c r="D470" s="211"/>
      <c r="E470" s="211"/>
      <c r="F470" s="211"/>
      <c r="G470" s="211"/>
      <c r="H470" s="211"/>
      <c r="I470" s="212"/>
      <c r="J470" s="212"/>
      <c r="K470" s="212"/>
      <c r="L470" s="212"/>
      <c r="M470" s="212"/>
      <c r="N470" s="212"/>
      <c r="O470" s="212"/>
      <c r="P470" s="211"/>
      <c r="Q470" s="211"/>
      <c r="R470" s="211"/>
      <c r="S470" s="211"/>
      <c r="T470" s="211"/>
      <c r="U470" s="211"/>
      <c r="V470" s="211"/>
      <c r="W470" s="211"/>
      <c r="X470" s="211"/>
      <c r="Y470" s="211"/>
      <c r="Z470" s="211"/>
      <c r="AD470" s="211"/>
      <c r="AE470" s="211"/>
      <c r="AF470" s="211"/>
      <c r="AG470" s="211"/>
      <c r="AH470" s="211"/>
      <c r="AI470" s="211"/>
      <c r="AJ470" s="211"/>
      <c r="AK470" s="211"/>
      <c r="AL470" s="211"/>
      <c r="AM470" s="211"/>
      <c r="AN470" s="211"/>
      <c r="AO470" s="211"/>
      <c r="AP470" s="211"/>
      <c r="AQ470" s="211"/>
      <c r="AR470" s="211"/>
      <c r="AS470" s="211"/>
      <c r="AT470" s="211"/>
      <c r="AU470" s="211"/>
      <c r="AV470" s="211"/>
      <c r="AW470" s="211"/>
      <c r="AX470" s="211"/>
      <c r="AY470" s="211"/>
      <c r="AZ470" s="211"/>
    </row>
    <row r="471" spans="1:52" s="213" customFormat="1" x14ac:dyDescent="0.35">
      <c r="A471" s="211"/>
      <c r="B471" s="211"/>
      <c r="C471" s="211"/>
      <c r="D471" s="211"/>
      <c r="E471" s="211"/>
      <c r="F471" s="211"/>
      <c r="G471" s="211"/>
      <c r="H471" s="211"/>
      <c r="I471" s="212"/>
      <c r="J471" s="212"/>
      <c r="K471" s="212"/>
      <c r="L471" s="212"/>
      <c r="M471" s="212"/>
      <c r="N471" s="212"/>
      <c r="O471" s="212"/>
      <c r="P471" s="211"/>
      <c r="Q471" s="211"/>
      <c r="R471" s="211"/>
      <c r="S471" s="211"/>
      <c r="T471" s="211"/>
      <c r="U471" s="211"/>
      <c r="V471" s="211"/>
      <c r="W471" s="211"/>
      <c r="X471" s="211"/>
      <c r="Y471" s="211"/>
      <c r="Z471" s="211"/>
      <c r="AD471" s="211"/>
      <c r="AE471" s="211"/>
      <c r="AF471" s="211"/>
      <c r="AG471" s="211"/>
      <c r="AH471" s="211"/>
      <c r="AI471" s="211"/>
      <c r="AJ471" s="211"/>
      <c r="AK471" s="211"/>
      <c r="AL471" s="211"/>
      <c r="AM471" s="211"/>
      <c r="AN471" s="211"/>
      <c r="AO471" s="211"/>
      <c r="AP471" s="211"/>
      <c r="AQ471" s="211"/>
      <c r="AR471" s="211"/>
      <c r="AS471" s="211"/>
      <c r="AT471" s="211"/>
      <c r="AU471" s="211"/>
      <c r="AV471" s="211"/>
      <c r="AW471" s="211"/>
      <c r="AX471" s="211"/>
      <c r="AY471" s="211"/>
      <c r="AZ471" s="211"/>
    </row>
    <row r="472" spans="1:52" s="213" customFormat="1" x14ac:dyDescent="0.35">
      <c r="A472" s="211"/>
      <c r="B472" s="211"/>
      <c r="C472" s="211"/>
      <c r="D472" s="211"/>
      <c r="E472" s="211"/>
      <c r="F472" s="211"/>
      <c r="G472" s="211"/>
      <c r="H472" s="211"/>
      <c r="I472" s="212"/>
      <c r="J472" s="212"/>
      <c r="K472" s="212"/>
      <c r="L472" s="212"/>
      <c r="M472" s="212"/>
      <c r="N472" s="212"/>
      <c r="O472" s="212"/>
      <c r="P472" s="211"/>
      <c r="Q472" s="211"/>
      <c r="R472" s="211"/>
      <c r="S472" s="211"/>
      <c r="T472" s="211"/>
      <c r="U472" s="211"/>
      <c r="V472" s="211"/>
      <c r="W472" s="211"/>
      <c r="X472" s="211"/>
      <c r="Y472" s="211"/>
      <c r="Z472" s="211"/>
      <c r="AD472" s="211"/>
      <c r="AE472" s="211"/>
      <c r="AF472" s="211"/>
      <c r="AG472" s="211"/>
      <c r="AH472" s="211"/>
      <c r="AI472" s="211"/>
      <c r="AJ472" s="211"/>
      <c r="AK472" s="211"/>
      <c r="AL472" s="211"/>
      <c r="AM472" s="211"/>
      <c r="AN472" s="211"/>
      <c r="AO472" s="211"/>
      <c r="AP472" s="211"/>
      <c r="AQ472" s="211"/>
      <c r="AR472" s="211"/>
      <c r="AS472" s="211"/>
      <c r="AT472" s="211"/>
      <c r="AU472" s="211"/>
      <c r="AV472" s="211"/>
      <c r="AW472" s="211"/>
      <c r="AX472" s="211"/>
      <c r="AY472" s="211"/>
      <c r="AZ472" s="211"/>
    </row>
    <row r="473" spans="1:52" s="213" customFormat="1" x14ac:dyDescent="0.35">
      <c r="A473" s="211"/>
      <c r="B473" s="211"/>
      <c r="C473" s="211"/>
      <c r="D473" s="211"/>
      <c r="E473" s="211"/>
      <c r="F473" s="211"/>
      <c r="G473" s="211"/>
      <c r="H473" s="211"/>
      <c r="I473" s="212"/>
      <c r="J473" s="212"/>
      <c r="K473" s="212"/>
      <c r="L473" s="212"/>
      <c r="M473" s="212"/>
      <c r="N473" s="212"/>
      <c r="O473" s="212"/>
      <c r="P473" s="211"/>
      <c r="Q473" s="211"/>
      <c r="R473" s="211"/>
      <c r="S473" s="211"/>
      <c r="T473" s="211"/>
      <c r="U473" s="211"/>
      <c r="V473" s="211"/>
      <c r="W473" s="211"/>
      <c r="X473" s="211"/>
      <c r="Y473" s="211"/>
      <c r="Z473" s="211"/>
      <c r="AD473" s="211"/>
      <c r="AE473" s="211"/>
      <c r="AF473" s="211"/>
      <c r="AG473" s="211"/>
      <c r="AH473" s="211"/>
      <c r="AI473" s="211"/>
      <c r="AJ473" s="211"/>
      <c r="AK473" s="211"/>
      <c r="AL473" s="211"/>
      <c r="AM473" s="211"/>
      <c r="AN473" s="211"/>
      <c r="AO473" s="211"/>
      <c r="AP473" s="211"/>
      <c r="AQ473" s="211"/>
      <c r="AR473" s="211"/>
      <c r="AS473" s="211"/>
      <c r="AT473" s="211"/>
      <c r="AU473" s="211"/>
      <c r="AV473" s="211"/>
      <c r="AW473" s="211"/>
      <c r="AX473" s="211"/>
      <c r="AY473" s="211"/>
      <c r="AZ473" s="211"/>
    </row>
    <row r="474" spans="1:52" s="213" customFormat="1" x14ac:dyDescent="0.35">
      <c r="A474" s="211"/>
      <c r="B474" s="211"/>
      <c r="C474" s="211"/>
      <c r="D474" s="211"/>
      <c r="E474" s="211"/>
      <c r="F474" s="211"/>
      <c r="G474" s="211"/>
      <c r="H474" s="211"/>
      <c r="I474" s="212"/>
      <c r="J474" s="212"/>
      <c r="K474" s="212"/>
      <c r="L474" s="212"/>
      <c r="M474" s="212"/>
      <c r="N474" s="212"/>
      <c r="O474" s="212"/>
      <c r="P474" s="211"/>
      <c r="Q474" s="211"/>
      <c r="R474" s="211"/>
      <c r="S474" s="211"/>
      <c r="T474" s="211"/>
      <c r="U474" s="211"/>
      <c r="V474" s="211"/>
      <c r="W474" s="211"/>
      <c r="X474" s="211"/>
      <c r="Y474" s="211"/>
      <c r="Z474" s="211"/>
      <c r="AD474" s="211"/>
      <c r="AE474" s="211"/>
      <c r="AF474" s="211"/>
      <c r="AG474" s="211"/>
      <c r="AH474" s="211"/>
      <c r="AI474" s="211"/>
      <c r="AJ474" s="211"/>
      <c r="AK474" s="211"/>
      <c r="AL474" s="211"/>
      <c r="AM474" s="211"/>
      <c r="AN474" s="211"/>
      <c r="AO474" s="211"/>
      <c r="AP474" s="211"/>
      <c r="AQ474" s="211"/>
      <c r="AR474" s="211"/>
      <c r="AS474" s="211"/>
      <c r="AT474" s="211"/>
      <c r="AU474" s="211"/>
      <c r="AV474" s="211"/>
      <c r="AW474" s="211"/>
      <c r="AX474" s="211"/>
      <c r="AY474" s="211"/>
      <c r="AZ474" s="211"/>
    </row>
    <row r="475" spans="1:52" s="213" customFormat="1" x14ac:dyDescent="0.35">
      <c r="A475" s="211"/>
      <c r="B475" s="211"/>
      <c r="C475" s="211"/>
      <c r="D475" s="211"/>
      <c r="E475" s="211"/>
      <c r="F475" s="211"/>
      <c r="G475" s="211"/>
      <c r="H475" s="211"/>
      <c r="I475" s="212"/>
      <c r="J475" s="212"/>
      <c r="K475" s="212"/>
      <c r="L475" s="212"/>
      <c r="M475" s="212"/>
      <c r="N475" s="212"/>
      <c r="O475" s="212"/>
      <c r="P475" s="211"/>
      <c r="Q475" s="211"/>
      <c r="R475" s="211"/>
      <c r="S475" s="211"/>
      <c r="T475" s="211"/>
      <c r="U475" s="211"/>
      <c r="V475" s="211"/>
      <c r="W475" s="211"/>
      <c r="X475" s="211"/>
      <c r="Y475" s="211"/>
      <c r="Z475" s="211"/>
      <c r="AD475" s="211"/>
      <c r="AE475" s="211"/>
      <c r="AF475" s="211"/>
      <c r="AG475" s="211"/>
      <c r="AH475" s="211"/>
      <c r="AI475" s="211"/>
      <c r="AJ475" s="211"/>
      <c r="AK475" s="211"/>
      <c r="AL475" s="211"/>
      <c r="AM475" s="211"/>
      <c r="AN475" s="211"/>
      <c r="AO475" s="211"/>
      <c r="AP475" s="211"/>
      <c r="AQ475" s="211"/>
      <c r="AR475" s="211"/>
      <c r="AS475" s="211"/>
      <c r="AT475" s="211"/>
      <c r="AU475" s="211"/>
      <c r="AV475" s="211"/>
      <c r="AW475" s="211"/>
      <c r="AX475" s="211"/>
      <c r="AY475" s="211"/>
      <c r="AZ475" s="211"/>
    </row>
    <row r="476" spans="1:52" s="213" customFormat="1" x14ac:dyDescent="0.35">
      <c r="A476" s="211"/>
      <c r="B476" s="211"/>
      <c r="C476" s="211"/>
      <c r="D476" s="211"/>
      <c r="E476" s="211"/>
      <c r="F476" s="211"/>
      <c r="G476" s="211"/>
      <c r="H476" s="211"/>
      <c r="I476" s="212"/>
      <c r="J476" s="212"/>
      <c r="K476" s="212"/>
      <c r="L476" s="212"/>
      <c r="M476" s="212"/>
      <c r="N476" s="212"/>
      <c r="O476" s="212"/>
      <c r="P476" s="211"/>
      <c r="Q476" s="211"/>
      <c r="R476" s="211"/>
      <c r="S476" s="211"/>
      <c r="T476" s="211"/>
      <c r="U476" s="211"/>
      <c r="V476" s="211"/>
      <c r="W476" s="211"/>
      <c r="X476" s="211"/>
      <c r="Y476" s="211"/>
      <c r="Z476" s="211"/>
      <c r="AD476" s="211"/>
      <c r="AE476" s="211"/>
      <c r="AF476" s="211"/>
      <c r="AG476" s="211"/>
      <c r="AH476" s="211"/>
      <c r="AI476" s="211"/>
      <c r="AJ476" s="211"/>
      <c r="AK476" s="211"/>
      <c r="AL476" s="211"/>
      <c r="AM476" s="211"/>
      <c r="AN476" s="211"/>
      <c r="AO476" s="211"/>
      <c r="AP476" s="211"/>
      <c r="AQ476" s="211"/>
      <c r="AR476" s="211"/>
      <c r="AS476" s="211"/>
      <c r="AT476" s="211"/>
      <c r="AU476" s="211"/>
      <c r="AV476" s="211"/>
      <c r="AW476" s="211"/>
      <c r="AX476" s="211"/>
      <c r="AY476" s="211"/>
      <c r="AZ476" s="211"/>
    </row>
    <row r="477" spans="1:52" s="213" customFormat="1" x14ac:dyDescent="0.35">
      <c r="A477" s="211"/>
      <c r="B477" s="211"/>
      <c r="C477" s="211"/>
      <c r="D477" s="211"/>
      <c r="E477" s="211"/>
      <c r="F477" s="211"/>
      <c r="G477" s="211"/>
      <c r="H477" s="211"/>
      <c r="I477" s="212"/>
      <c r="J477" s="212"/>
      <c r="K477" s="212"/>
      <c r="L477" s="212"/>
      <c r="M477" s="212"/>
      <c r="N477" s="212"/>
      <c r="O477" s="212"/>
      <c r="P477" s="211"/>
      <c r="Q477" s="211"/>
      <c r="R477" s="211"/>
      <c r="S477" s="211"/>
      <c r="T477" s="211"/>
      <c r="U477" s="211"/>
      <c r="V477" s="211"/>
      <c r="W477" s="211"/>
      <c r="X477" s="211"/>
      <c r="Y477" s="211"/>
      <c r="Z477" s="211"/>
      <c r="AD477" s="211"/>
      <c r="AE477" s="211"/>
      <c r="AF477" s="211"/>
      <c r="AG477" s="211"/>
      <c r="AH477" s="211"/>
      <c r="AI477" s="211"/>
      <c r="AJ477" s="211"/>
      <c r="AK477" s="211"/>
      <c r="AL477" s="211"/>
      <c r="AM477" s="211"/>
      <c r="AN477" s="211"/>
      <c r="AO477" s="211"/>
      <c r="AP477" s="211"/>
      <c r="AQ477" s="211"/>
      <c r="AR477" s="211"/>
      <c r="AS477" s="211"/>
      <c r="AT477" s="211"/>
      <c r="AU477" s="211"/>
      <c r="AV477" s="211"/>
      <c r="AW477" s="211"/>
      <c r="AX477" s="211"/>
      <c r="AY477" s="211"/>
      <c r="AZ477" s="211"/>
    </row>
    <row r="478" spans="1:52" s="213" customFormat="1" x14ac:dyDescent="0.35">
      <c r="A478" s="211"/>
      <c r="B478" s="211"/>
      <c r="C478" s="211"/>
      <c r="D478" s="211"/>
      <c r="E478" s="211"/>
      <c r="F478" s="211"/>
      <c r="G478" s="211"/>
      <c r="H478" s="211"/>
      <c r="I478" s="212"/>
      <c r="J478" s="212"/>
      <c r="K478" s="212"/>
      <c r="L478" s="212"/>
      <c r="M478" s="212"/>
      <c r="N478" s="212"/>
      <c r="O478" s="212"/>
      <c r="P478" s="211"/>
      <c r="Q478" s="211"/>
      <c r="R478" s="211"/>
      <c r="S478" s="211"/>
      <c r="T478" s="211"/>
      <c r="U478" s="211"/>
      <c r="V478" s="211"/>
      <c r="W478" s="211"/>
      <c r="X478" s="211"/>
      <c r="Y478" s="211"/>
      <c r="Z478" s="211"/>
      <c r="AD478" s="211"/>
      <c r="AE478" s="211"/>
      <c r="AF478" s="211"/>
      <c r="AG478" s="211"/>
      <c r="AH478" s="211"/>
      <c r="AI478" s="211"/>
      <c r="AJ478" s="211"/>
      <c r="AK478" s="211"/>
      <c r="AL478" s="211"/>
      <c r="AM478" s="211"/>
      <c r="AN478" s="211"/>
      <c r="AO478" s="211"/>
      <c r="AP478" s="211"/>
      <c r="AQ478" s="211"/>
      <c r="AR478" s="211"/>
      <c r="AS478" s="211"/>
      <c r="AT478" s="211"/>
      <c r="AU478" s="211"/>
      <c r="AV478" s="211"/>
      <c r="AW478" s="211"/>
      <c r="AX478" s="211"/>
      <c r="AY478" s="211"/>
      <c r="AZ478" s="211"/>
    </row>
    <row r="479" spans="1:52" s="213" customFormat="1" x14ac:dyDescent="0.35">
      <c r="A479" s="211"/>
      <c r="B479" s="211"/>
      <c r="C479" s="211"/>
      <c r="D479" s="211"/>
      <c r="E479" s="211"/>
      <c r="F479" s="211"/>
      <c r="G479" s="211"/>
      <c r="H479" s="211"/>
      <c r="I479" s="212"/>
      <c r="J479" s="212"/>
      <c r="K479" s="212"/>
      <c r="L479" s="212"/>
      <c r="M479" s="212"/>
      <c r="N479" s="212"/>
      <c r="O479" s="212"/>
      <c r="P479" s="211"/>
      <c r="Q479" s="211"/>
      <c r="R479" s="211"/>
      <c r="S479" s="211"/>
      <c r="T479" s="211"/>
      <c r="U479" s="211"/>
      <c r="V479" s="211"/>
      <c r="W479" s="211"/>
      <c r="X479" s="211"/>
      <c r="Y479" s="211"/>
      <c r="Z479" s="211"/>
      <c r="AD479" s="211"/>
      <c r="AE479" s="211"/>
      <c r="AF479" s="211"/>
      <c r="AG479" s="211"/>
      <c r="AH479" s="211"/>
      <c r="AI479" s="211"/>
      <c r="AJ479" s="211"/>
      <c r="AK479" s="211"/>
      <c r="AL479" s="211"/>
      <c r="AM479" s="211"/>
      <c r="AN479" s="211"/>
      <c r="AO479" s="211"/>
      <c r="AP479" s="211"/>
      <c r="AQ479" s="211"/>
      <c r="AR479" s="211"/>
      <c r="AS479" s="211"/>
      <c r="AT479" s="211"/>
      <c r="AU479" s="211"/>
      <c r="AV479" s="211"/>
      <c r="AW479" s="211"/>
      <c r="AX479" s="211"/>
      <c r="AY479" s="211"/>
      <c r="AZ479" s="211"/>
    </row>
    <row r="480" spans="1:52" s="213" customFormat="1" x14ac:dyDescent="0.35">
      <c r="A480" s="211"/>
      <c r="B480" s="211"/>
      <c r="C480" s="211"/>
      <c r="D480" s="211"/>
      <c r="E480" s="211"/>
      <c r="F480" s="211"/>
      <c r="G480" s="211"/>
      <c r="H480" s="211"/>
      <c r="I480" s="212"/>
      <c r="J480" s="212"/>
      <c r="K480" s="212"/>
      <c r="L480" s="212"/>
      <c r="M480" s="212"/>
      <c r="N480" s="212"/>
      <c r="O480" s="212"/>
      <c r="P480" s="211"/>
      <c r="Q480" s="211"/>
      <c r="R480" s="211"/>
      <c r="S480" s="211"/>
      <c r="T480" s="211"/>
      <c r="U480" s="211"/>
      <c r="V480" s="211"/>
      <c r="W480" s="211"/>
      <c r="X480" s="211"/>
      <c r="Y480" s="211"/>
      <c r="Z480" s="211"/>
      <c r="AD480" s="211"/>
      <c r="AE480" s="211"/>
      <c r="AF480" s="211"/>
      <c r="AG480" s="211"/>
      <c r="AH480" s="211"/>
      <c r="AI480" s="211"/>
      <c r="AJ480" s="211"/>
      <c r="AK480" s="211"/>
      <c r="AL480" s="211"/>
      <c r="AM480" s="211"/>
      <c r="AN480" s="211"/>
      <c r="AO480" s="211"/>
      <c r="AP480" s="211"/>
      <c r="AQ480" s="211"/>
      <c r="AR480" s="211"/>
      <c r="AS480" s="211"/>
      <c r="AT480" s="211"/>
      <c r="AU480" s="211"/>
      <c r="AV480" s="211"/>
      <c r="AW480" s="211"/>
      <c r="AX480" s="211"/>
      <c r="AY480" s="211"/>
      <c r="AZ480" s="211"/>
    </row>
    <row r="481" spans="1:52" s="213" customFormat="1" x14ac:dyDescent="0.35">
      <c r="A481" s="211"/>
      <c r="B481" s="211"/>
      <c r="C481" s="211"/>
      <c r="D481" s="211"/>
      <c r="E481" s="211"/>
      <c r="F481" s="211"/>
      <c r="G481" s="211"/>
      <c r="H481" s="211"/>
      <c r="I481" s="212"/>
      <c r="J481" s="212"/>
      <c r="K481" s="212"/>
      <c r="L481" s="212"/>
      <c r="M481" s="212"/>
      <c r="N481" s="212"/>
      <c r="O481" s="212"/>
      <c r="P481" s="211"/>
      <c r="Q481" s="211"/>
      <c r="R481" s="211"/>
      <c r="S481" s="211"/>
      <c r="T481" s="211"/>
      <c r="U481" s="211"/>
      <c r="V481" s="211"/>
      <c r="W481" s="211"/>
      <c r="X481" s="211"/>
      <c r="Y481" s="211"/>
      <c r="Z481" s="211"/>
      <c r="AD481" s="211"/>
      <c r="AE481" s="211"/>
      <c r="AF481" s="211"/>
      <c r="AG481" s="211"/>
      <c r="AH481" s="211"/>
      <c r="AI481" s="211"/>
      <c r="AJ481" s="211"/>
      <c r="AK481" s="211"/>
      <c r="AL481" s="211"/>
      <c r="AM481" s="211"/>
      <c r="AN481" s="211"/>
      <c r="AO481" s="211"/>
      <c r="AP481" s="211"/>
      <c r="AQ481" s="211"/>
      <c r="AR481" s="211"/>
      <c r="AS481" s="211"/>
      <c r="AT481" s="211"/>
      <c r="AU481" s="211"/>
      <c r="AV481" s="211"/>
      <c r="AW481" s="211"/>
      <c r="AX481" s="211"/>
      <c r="AY481" s="211"/>
      <c r="AZ481" s="211"/>
    </row>
    <row r="482" spans="1:52" s="213" customFormat="1" x14ac:dyDescent="0.35">
      <c r="A482" s="211"/>
      <c r="B482" s="211"/>
      <c r="C482" s="211"/>
      <c r="D482" s="211"/>
      <c r="E482" s="211"/>
      <c r="F482" s="211"/>
      <c r="G482" s="211"/>
      <c r="H482" s="211"/>
      <c r="I482" s="212"/>
      <c r="J482" s="212"/>
      <c r="K482" s="212"/>
      <c r="L482" s="212"/>
      <c r="M482" s="212"/>
      <c r="N482" s="212"/>
      <c r="O482" s="212"/>
      <c r="P482" s="211"/>
      <c r="Q482" s="211"/>
      <c r="R482" s="211"/>
      <c r="S482" s="211"/>
      <c r="T482" s="211"/>
      <c r="U482" s="211"/>
      <c r="V482" s="211"/>
      <c r="W482" s="211"/>
      <c r="X482" s="211"/>
      <c r="Y482" s="211"/>
      <c r="Z482" s="211"/>
      <c r="AD482" s="211"/>
      <c r="AE482" s="211"/>
      <c r="AF482" s="211"/>
      <c r="AG482" s="211"/>
      <c r="AH482" s="211"/>
      <c r="AI482" s="211"/>
      <c r="AJ482" s="211"/>
      <c r="AK482" s="211"/>
      <c r="AL482" s="211"/>
      <c r="AM482" s="211"/>
      <c r="AN482" s="211"/>
      <c r="AO482" s="211"/>
      <c r="AP482" s="211"/>
      <c r="AQ482" s="211"/>
      <c r="AR482" s="211"/>
      <c r="AS482" s="211"/>
      <c r="AT482" s="211"/>
      <c r="AU482" s="211"/>
      <c r="AV482" s="211"/>
      <c r="AW482" s="211"/>
      <c r="AX482" s="211"/>
      <c r="AY482" s="211"/>
      <c r="AZ482" s="211"/>
    </row>
    <row r="483" spans="1:52" s="213" customFormat="1" x14ac:dyDescent="0.35">
      <c r="A483" s="211"/>
      <c r="B483" s="211"/>
      <c r="C483" s="211"/>
      <c r="D483" s="211"/>
      <c r="E483" s="211"/>
      <c r="F483" s="211"/>
      <c r="G483" s="211"/>
      <c r="H483" s="211"/>
      <c r="I483" s="212"/>
      <c r="J483" s="212"/>
      <c r="K483" s="212"/>
      <c r="L483" s="212"/>
      <c r="M483" s="212"/>
      <c r="N483" s="212"/>
      <c r="O483" s="212"/>
      <c r="P483" s="211"/>
      <c r="Q483" s="211"/>
      <c r="R483" s="211"/>
      <c r="S483" s="211"/>
      <c r="T483" s="211"/>
      <c r="U483" s="211"/>
      <c r="V483" s="211"/>
      <c r="W483" s="211"/>
      <c r="X483" s="211"/>
      <c r="Y483" s="211"/>
      <c r="Z483" s="211"/>
      <c r="AD483" s="211"/>
      <c r="AE483" s="211"/>
      <c r="AF483" s="211"/>
      <c r="AG483" s="211"/>
      <c r="AH483" s="211"/>
      <c r="AI483" s="211"/>
      <c r="AJ483" s="211"/>
      <c r="AK483" s="211"/>
      <c r="AL483" s="211"/>
      <c r="AM483" s="211"/>
      <c r="AN483" s="211"/>
      <c r="AO483" s="211"/>
      <c r="AP483" s="211"/>
      <c r="AQ483" s="211"/>
      <c r="AR483" s="211"/>
      <c r="AS483" s="211"/>
      <c r="AT483" s="211"/>
      <c r="AU483" s="211"/>
      <c r="AV483" s="211"/>
      <c r="AW483" s="211"/>
      <c r="AX483" s="211"/>
      <c r="AY483" s="211"/>
      <c r="AZ483" s="211"/>
    </row>
    <row r="484" spans="1:52" s="213" customFormat="1" x14ac:dyDescent="0.35">
      <c r="A484" s="211"/>
      <c r="B484" s="211"/>
      <c r="C484" s="211"/>
      <c r="D484" s="211"/>
      <c r="E484" s="211"/>
      <c r="F484" s="211"/>
      <c r="G484" s="211"/>
      <c r="H484" s="211"/>
      <c r="I484" s="212"/>
      <c r="J484" s="212"/>
      <c r="K484" s="212"/>
      <c r="L484" s="212"/>
      <c r="M484" s="212"/>
      <c r="N484" s="212"/>
      <c r="O484" s="212"/>
      <c r="P484" s="211"/>
      <c r="Q484" s="211"/>
      <c r="R484" s="211"/>
      <c r="S484" s="211"/>
      <c r="T484" s="211"/>
      <c r="U484" s="211"/>
      <c r="V484" s="211"/>
      <c r="W484" s="211"/>
      <c r="X484" s="211"/>
      <c r="Y484" s="211"/>
      <c r="Z484" s="211"/>
      <c r="AD484" s="211"/>
      <c r="AE484" s="211"/>
      <c r="AF484" s="211"/>
      <c r="AG484" s="211"/>
      <c r="AH484" s="211"/>
      <c r="AI484" s="211"/>
      <c r="AJ484" s="211"/>
      <c r="AK484" s="211"/>
      <c r="AL484" s="211"/>
      <c r="AM484" s="211"/>
      <c r="AN484" s="211"/>
      <c r="AO484" s="211"/>
      <c r="AP484" s="211"/>
      <c r="AQ484" s="211"/>
      <c r="AR484" s="211"/>
      <c r="AS484" s="211"/>
      <c r="AT484" s="211"/>
      <c r="AU484" s="211"/>
      <c r="AV484" s="211"/>
      <c r="AW484" s="211"/>
      <c r="AX484" s="211"/>
      <c r="AY484" s="211"/>
      <c r="AZ484" s="211"/>
    </row>
    <row r="485" spans="1:52" s="213" customFormat="1" x14ac:dyDescent="0.35">
      <c r="A485" s="211"/>
      <c r="B485" s="211"/>
      <c r="C485" s="211"/>
      <c r="D485" s="211"/>
      <c r="E485" s="211"/>
      <c r="F485" s="211"/>
      <c r="G485" s="211"/>
      <c r="H485" s="211"/>
      <c r="I485" s="212"/>
      <c r="J485" s="212"/>
      <c r="K485" s="212"/>
      <c r="L485" s="212"/>
      <c r="M485" s="212"/>
      <c r="N485" s="212"/>
      <c r="O485" s="212"/>
      <c r="P485" s="211"/>
      <c r="Q485" s="211"/>
      <c r="R485" s="211"/>
      <c r="S485" s="211"/>
      <c r="T485" s="211"/>
      <c r="U485" s="211"/>
      <c r="V485" s="211"/>
      <c r="W485" s="211"/>
      <c r="X485" s="211"/>
      <c r="Y485" s="211"/>
      <c r="Z485" s="211"/>
      <c r="AD485" s="211"/>
      <c r="AE485" s="211"/>
      <c r="AF485" s="211"/>
      <c r="AG485" s="211"/>
      <c r="AH485" s="211"/>
      <c r="AI485" s="211"/>
      <c r="AJ485" s="211"/>
      <c r="AK485" s="211"/>
      <c r="AL485" s="211"/>
      <c r="AM485" s="211"/>
      <c r="AN485" s="211"/>
      <c r="AO485" s="211"/>
      <c r="AP485" s="211"/>
      <c r="AQ485" s="211"/>
      <c r="AR485" s="211"/>
      <c r="AS485" s="211"/>
      <c r="AT485" s="211"/>
      <c r="AU485" s="211"/>
      <c r="AV485" s="211"/>
      <c r="AW485" s="211"/>
      <c r="AX485" s="211"/>
      <c r="AY485" s="211"/>
      <c r="AZ485" s="211"/>
    </row>
    <row r="486" spans="1:52" s="213" customFormat="1" x14ac:dyDescent="0.35">
      <c r="A486" s="211"/>
      <c r="B486" s="211"/>
      <c r="C486" s="211"/>
      <c r="D486" s="211"/>
      <c r="E486" s="211"/>
      <c r="F486" s="211"/>
      <c r="G486" s="211"/>
      <c r="H486" s="211"/>
      <c r="I486" s="212"/>
      <c r="J486" s="212"/>
      <c r="K486" s="212"/>
      <c r="L486" s="212"/>
      <c r="M486" s="212"/>
      <c r="N486" s="212"/>
      <c r="O486" s="212"/>
      <c r="P486" s="211"/>
      <c r="Q486" s="211"/>
      <c r="R486" s="211"/>
      <c r="S486" s="211"/>
      <c r="T486" s="211"/>
      <c r="U486" s="211"/>
      <c r="V486" s="211"/>
      <c r="W486" s="211"/>
      <c r="X486" s="211"/>
      <c r="Y486" s="211"/>
      <c r="Z486" s="211"/>
      <c r="AD486" s="211"/>
      <c r="AE486" s="211"/>
      <c r="AF486" s="211"/>
      <c r="AG486" s="211"/>
      <c r="AH486" s="211"/>
      <c r="AI486" s="211"/>
      <c r="AJ486" s="211"/>
      <c r="AK486" s="211"/>
      <c r="AL486" s="211"/>
      <c r="AM486" s="211"/>
      <c r="AN486" s="211"/>
      <c r="AO486" s="211"/>
      <c r="AP486" s="211"/>
      <c r="AQ486" s="211"/>
      <c r="AR486" s="211"/>
      <c r="AS486" s="211"/>
      <c r="AT486" s="211"/>
      <c r="AU486" s="211"/>
      <c r="AV486" s="211"/>
      <c r="AW486" s="211"/>
      <c r="AX486" s="211"/>
      <c r="AY486" s="211"/>
      <c r="AZ486" s="211"/>
    </row>
    <row r="487" spans="1:52" s="213" customFormat="1" x14ac:dyDescent="0.35">
      <c r="A487" s="211"/>
      <c r="B487" s="211"/>
      <c r="C487" s="211"/>
      <c r="D487" s="211"/>
      <c r="E487" s="211"/>
      <c r="F487" s="211"/>
      <c r="G487" s="211"/>
      <c r="H487" s="211"/>
      <c r="I487" s="212"/>
      <c r="J487" s="212"/>
      <c r="K487" s="212"/>
      <c r="L487" s="212"/>
      <c r="M487" s="212"/>
      <c r="N487" s="212"/>
      <c r="O487" s="212"/>
      <c r="P487" s="211"/>
      <c r="Q487" s="211"/>
      <c r="R487" s="211"/>
      <c r="S487" s="211"/>
      <c r="T487" s="211"/>
      <c r="U487" s="211"/>
      <c r="V487" s="211"/>
      <c r="W487" s="211"/>
      <c r="X487" s="211"/>
      <c r="Y487" s="211"/>
      <c r="Z487" s="211"/>
      <c r="AD487" s="211"/>
      <c r="AE487" s="211"/>
      <c r="AF487" s="211"/>
      <c r="AG487" s="211"/>
      <c r="AH487" s="211"/>
      <c r="AI487" s="211"/>
      <c r="AJ487" s="211"/>
      <c r="AK487" s="211"/>
      <c r="AL487" s="211"/>
      <c r="AM487" s="211"/>
      <c r="AN487" s="211"/>
      <c r="AO487" s="211"/>
      <c r="AP487" s="211"/>
      <c r="AQ487" s="211"/>
      <c r="AR487" s="211"/>
      <c r="AS487" s="211"/>
      <c r="AT487" s="211"/>
      <c r="AU487" s="211"/>
      <c r="AV487" s="211"/>
      <c r="AW487" s="211"/>
      <c r="AX487" s="211"/>
      <c r="AY487" s="211"/>
      <c r="AZ487" s="211"/>
    </row>
    <row r="488" spans="1:52" s="213" customFormat="1" x14ac:dyDescent="0.35">
      <c r="A488" s="211"/>
      <c r="B488" s="211"/>
      <c r="C488" s="211"/>
      <c r="D488" s="211"/>
      <c r="E488" s="211"/>
      <c r="F488" s="211"/>
      <c r="G488" s="211"/>
      <c r="H488" s="211"/>
      <c r="I488" s="212"/>
      <c r="J488" s="212"/>
      <c r="K488" s="212"/>
      <c r="L488" s="212"/>
      <c r="M488" s="212"/>
      <c r="N488" s="212"/>
      <c r="O488" s="212"/>
      <c r="P488" s="211"/>
      <c r="Q488" s="211"/>
      <c r="R488" s="211"/>
      <c r="S488" s="211"/>
      <c r="T488" s="211"/>
      <c r="U488" s="211"/>
      <c r="V488" s="211"/>
      <c r="W488" s="211"/>
      <c r="X488" s="211"/>
      <c r="Y488" s="211"/>
      <c r="Z488" s="211"/>
      <c r="AD488" s="211"/>
      <c r="AE488" s="211"/>
      <c r="AF488" s="211"/>
      <c r="AG488" s="211"/>
      <c r="AH488" s="211"/>
      <c r="AI488" s="211"/>
      <c r="AJ488" s="211"/>
      <c r="AK488" s="211"/>
      <c r="AL488" s="211"/>
      <c r="AM488" s="211"/>
      <c r="AN488" s="211"/>
      <c r="AO488" s="211"/>
      <c r="AP488" s="211"/>
      <c r="AQ488" s="211"/>
      <c r="AR488" s="211"/>
      <c r="AS488" s="211"/>
      <c r="AT488" s="211"/>
      <c r="AU488" s="211"/>
      <c r="AV488" s="211"/>
      <c r="AW488" s="211"/>
      <c r="AX488" s="211"/>
      <c r="AY488" s="211"/>
      <c r="AZ488" s="211"/>
    </row>
    <row r="489" spans="1:52" s="213" customFormat="1" x14ac:dyDescent="0.35">
      <c r="A489" s="211"/>
      <c r="B489" s="211"/>
      <c r="C489" s="211"/>
      <c r="D489" s="211"/>
      <c r="E489" s="211"/>
      <c r="F489" s="211"/>
      <c r="G489" s="211"/>
      <c r="H489" s="211"/>
      <c r="I489" s="212"/>
      <c r="J489" s="212"/>
      <c r="K489" s="212"/>
      <c r="L489" s="212"/>
      <c r="M489" s="212"/>
      <c r="N489" s="212"/>
      <c r="O489" s="212"/>
      <c r="P489" s="211"/>
      <c r="Q489" s="211"/>
      <c r="R489" s="211"/>
      <c r="S489" s="211"/>
      <c r="T489" s="211"/>
      <c r="U489" s="211"/>
      <c r="V489" s="211"/>
      <c r="W489" s="211"/>
      <c r="X489" s="211"/>
      <c r="Y489" s="211"/>
      <c r="Z489" s="211"/>
      <c r="AD489" s="211"/>
      <c r="AE489" s="211"/>
      <c r="AF489" s="211"/>
      <c r="AG489" s="211"/>
      <c r="AH489" s="211"/>
      <c r="AI489" s="211"/>
      <c r="AJ489" s="211"/>
      <c r="AK489" s="211"/>
      <c r="AL489" s="211"/>
      <c r="AM489" s="211"/>
      <c r="AN489" s="211"/>
      <c r="AO489" s="211"/>
      <c r="AP489" s="211"/>
      <c r="AQ489" s="211"/>
      <c r="AR489" s="211"/>
      <c r="AS489" s="211"/>
      <c r="AT489" s="211"/>
      <c r="AU489" s="211"/>
      <c r="AV489" s="211"/>
      <c r="AW489" s="211"/>
      <c r="AX489" s="211"/>
      <c r="AY489" s="211"/>
      <c r="AZ489" s="211"/>
    </row>
    <row r="490" spans="1:52" s="213" customFormat="1" x14ac:dyDescent="0.35">
      <c r="A490" s="211"/>
      <c r="B490" s="211"/>
      <c r="C490" s="211"/>
      <c r="D490" s="211"/>
      <c r="E490" s="211"/>
      <c r="F490" s="211"/>
      <c r="G490" s="211"/>
      <c r="H490" s="211"/>
      <c r="I490" s="212"/>
      <c r="J490" s="212"/>
      <c r="K490" s="212"/>
      <c r="L490" s="212"/>
      <c r="M490" s="212"/>
      <c r="N490" s="212"/>
      <c r="O490" s="212"/>
      <c r="P490" s="211"/>
      <c r="Q490" s="211"/>
      <c r="R490" s="211"/>
      <c r="S490" s="211"/>
      <c r="T490" s="211"/>
      <c r="U490" s="211"/>
      <c r="V490" s="211"/>
      <c r="W490" s="211"/>
      <c r="X490" s="211"/>
      <c r="Y490" s="211"/>
      <c r="Z490" s="211"/>
      <c r="AD490" s="211"/>
      <c r="AE490" s="211"/>
      <c r="AF490" s="211"/>
      <c r="AG490" s="211"/>
      <c r="AH490" s="211"/>
      <c r="AI490" s="211"/>
      <c r="AJ490" s="211"/>
      <c r="AK490" s="211"/>
      <c r="AL490" s="211"/>
      <c r="AM490" s="211"/>
      <c r="AN490" s="211"/>
      <c r="AO490" s="211"/>
      <c r="AP490" s="211"/>
      <c r="AQ490" s="211"/>
      <c r="AR490" s="211"/>
      <c r="AS490" s="211"/>
      <c r="AT490" s="211"/>
      <c r="AU490" s="211"/>
      <c r="AV490" s="211"/>
      <c r="AW490" s="211"/>
      <c r="AX490" s="211"/>
      <c r="AY490" s="211"/>
      <c r="AZ490" s="211"/>
    </row>
    <row r="491" spans="1:52" s="213" customFormat="1" x14ac:dyDescent="0.35">
      <c r="A491" s="211"/>
      <c r="B491" s="211"/>
      <c r="C491" s="211"/>
      <c r="D491" s="211"/>
      <c r="E491" s="211"/>
      <c r="F491" s="211"/>
      <c r="G491" s="211"/>
      <c r="H491" s="211"/>
      <c r="I491" s="212"/>
      <c r="J491" s="212"/>
      <c r="K491" s="212"/>
      <c r="L491" s="212"/>
      <c r="M491" s="212"/>
      <c r="N491" s="212"/>
      <c r="O491" s="212"/>
      <c r="P491" s="211"/>
      <c r="Q491" s="211"/>
      <c r="R491" s="211"/>
      <c r="S491" s="211"/>
      <c r="T491" s="211"/>
      <c r="U491" s="211"/>
      <c r="V491" s="211"/>
      <c r="W491" s="211"/>
      <c r="X491" s="211"/>
      <c r="Y491" s="211"/>
      <c r="Z491" s="211"/>
      <c r="AD491" s="211"/>
      <c r="AE491" s="211"/>
      <c r="AF491" s="211"/>
      <c r="AG491" s="211"/>
      <c r="AH491" s="211"/>
      <c r="AI491" s="211"/>
      <c r="AJ491" s="211"/>
      <c r="AK491" s="211"/>
      <c r="AL491" s="211"/>
      <c r="AM491" s="211"/>
      <c r="AN491" s="211"/>
      <c r="AO491" s="211"/>
      <c r="AP491" s="211"/>
      <c r="AQ491" s="211"/>
      <c r="AR491" s="211"/>
      <c r="AS491" s="211"/>
      <c r="AT491" s="211"/>
      <c r="AU491" s="211"/>
      <c r="AV491" s="211"/>
      <c r="AW491" s="211"/>
      <c r="AX491" s="211"/>
      <c r="AY491" s="211"/>
      <c r="AZ491" s="211"/>
    </row>
    <row r="492" spans="1:52" s="213" customFormat="1" x14ac:dyDescent="0.35">
      <c r="A492" s="211"/>
      <c r="B492" s="211"/>
      <c r="C492" s="211"/>
      <c r="D492" s="211"/>
      <c r="E492" s="211"/>
      <c r="F492" s="211"/>
      <c r="G492" s="211"/>
      <c r="H492" s="211"/>
      <c r="I492" s="212"/>
      <c r="J492" s="212"/>
      <c r="K492" s="212"/>
      <c r="L492" s="212"/>
      <c r="M492" s="212"/>
      <c r="N492" s="212"/>
      <c r="O492" s="212"/>
      <c r="P492" s="211"/>
      <c r="Q492" s="211"/>
      <c r="R492" s="211"/>
      <c r="S492" s="211"/>
      <c r="T492" s="211"/>
      <c r="U492" s="211"/>
      <c r="V492" s="211"/>
      <c r="W492" s="211"/>
      <c r="X492" s="211"/>
      <c r="Y492" s="211"/>
      <c r="Z492" s="211"/>
      <c r="AD492" s="211"/>
      <c r="AE492" s="211"/>
      <c r="AF492" s="211"/>
      <c r="AG492" s="211"/>
      <c r="AH492" s="211"/>
      <c r="AI492" s="211"/>
      <c r="AJ492" s="211"/>
      <c r="AK492" s="211"/>
      <c r="AL492" s="211"/>
      <c r="AM492" s="211"/>
      <c r="AN492" s="211"/>
      <c r="AO492" s="211"/>
      <c r="AP492" s="211"/>
      <c r="AQ492" s="211"/>
      <c r="AR492" s="211"/>
      <c r="AS492" s="211"/>
      <c r="AT492" s="211"/>
      <c r="AU492" s="211"/>
      <c r="AV492" s="211"/>
      <c r="AW492" s="211"/>
      <c r="AX492" s="211"/>
      <c r="AY492" s="211"/>
      <c r="AZ492" s="211"/>
    </row>
    <row r="493" spans="1:52" s="213" customFormat="1" x14ac:dyDescent="0.35">
      <c r="A493" s="211"/>
      <c r="B493" s="211"/>
      <c r="C493" s="211"/>
      <c r="D493" s="211"/>
      <c r="E493" s="211"/>
      <c r="F493" s="211"/>
      <c r="G493" s="211"/>
      <c r="H493" s="211"/>
      <c r="I493" s="212"/>
      <c r="J493" s="212"/>
      <c r="K493" s="212"/>
      <c r="L493" s="212"/>
      <c r="M493" s="212"/>
      <c r="N493" s="212"/>
      <c r="O493" s="212"/>
      <c r="P493" s="211"/>
      <c r="Q493" s="211"/>
      <c r="R493" s="211"/>
      <c r="S493" s="211"/>
      <c r="T493" s="211"/>
      <c r="U493" s="211"/>
      <c r="V493" s="211"/>
      <c r="W493" s="211"/>
      <c r="X493" s="211"/>
      <c r="Y493" s="211"/>
      <c r="Z493" s="211"/>
      <c r="AD493" s="211"/>
      <c r="AE493" s="211"/>
      <c r="AF493" s="211"/>
      <c r="AG493" s="211"/>
      <c r="AH493" s="211"/>
      <c r="AI493" s="211"/>
      <c r="AJ493" s="211"/>
      <c r="AK493" s="211"/>
      <c r="AL493" s="211"/>
      <c r="AM493" s="211"/>
      <c r="AN493" s="211"/>
      <c r="AO493" s="211"/>
      <c r="AP493" s="211"/>
      <c r="AQ493" s="211"/>
      <c r="AR493" s="211"/>
      <c r="AS493" s="211"/>
      <c r="AT493" s="211"/>
      <c r="AU493" s="211"/>
      <c r="AV493" s="211"/>
      <c r="AW493" s="211"/>
      <c r="AX493" s="211"/>
      <c r="AY493" s="211"/>
      <c r="AZ493" s="211"/>
    </row>
    <row r="494" spans="1:52" s="213" customFormat="1" x14ac:dyDescent="0.35">
      <c r="A494" s="211"/>
      <c r="B494" s="211"/>
      <c r="C494" s="211"/>
      <c r="D494" s="211"/>
      <c r="E494" s="211"/>
      <c r="F494" s="211"/>
      <c r="G494" s="211"/>
      <c r="H494" s="211"/>
      <c r="I494" s="212"/>
      <c r="J494" s="212"/>
      <c r="K494" s="212"/>
      <c r="L494" s="212"/>
      <c r="M494" s="212"/>
      <c r="N494" s="212"/>
      <c r="O494" s="212"/>
      <c r="P494" s="211"/>
      <c r="Q494" s="211"/>
      <c r="R494" s="211"/>
      <c r="S494" s="211"/>
      <c r="T494" s="211"/>
      <c r="U494" s="211"/>
      <c r="V494" s="211"/>
      <c r="W494" s="211"/>
      <c r="X494" s="211"/>
      <c r="Y494" s="211"/>
      <c r="Z494" s="211"/>
      <c r="AD494" s="211"/>
      <c r="AE494" s="211"/>
      <c r="AF494" s="211"/>
      <c r="AG494" s="211"/>
      <c r="AH494" s="211"/>
      <c r="AI494" s="211"/>
      <c r="AJ494" s="211"/>
      <c r="AK494" s="211"/>
      <c r="AL494" s="211"/>
      <c r="AM494" s="211"/>
      <c r="AN494" s="211"/>
      <c r="AO494" s="211"/>
      <c r="AP494" s="211"/>
      <c r="AQ494" s="211"/>
      <c r="AR494" s="211"/>
      <c r="AS494" s="211"/>
      <c r="AT494" s="211"/>
      <c r="AU494" s="211"/>
      <c r="AV494" s="211"/>
      <c r="AW494" s="211"/>
      <c r="AX494" s="211"/>
      <c r="AY494" s="211"/>
      <c r="AZ494" s="211"/>
    </row>
    <row r="495" spans="1:52" s="213" customFormat="1" x14ac:dyDescent="0.35">
      <c r="A495" s="211"/>
      <c r="B495" s="211"/>
      <c r="C495" s="211"/>
      <c r="D495" s="211"/>
      <c r="E495" s="211"/>
      <c r="F495" s="211"/>
      <c r="G495" s="211"/>
      <c r="H495" s="211"/>
      <c r="I495" s="212"/>
      <c r="J495" s="212"/>
      <c r="K495" s="212"/>
      <c r="L495" s="212"/>
      <c r="M495" s="212"/>
      <c r="N495" s="212"/>
      <c r="O495" s="212"/>
      <c r="P495" s="211"/>
      <c r="Q495" s="211"/>
      <c r="R495" s="211"/>
      <c r="S495" s="211"/>
      <c r="T495" s="211"/>
      <c r="U495" s="211"/>
      <c r="V495" s="211"/>
      <c r="W495" s="211"/>
      <c r="X495" s="211"/>
      <c r="Y495" s="211"/>
      <c r="Z495" s="211"/>
      <c r="AD495" s="211"/>
      <c r="AE495" s="211"/>
      <c r="AF495" s="211"/>
      <c r="AG495" s="211"/>
      <c r="AH495" s="211"/>
      <c r="AI495" s="211"/>
      <c r="AJ495" s="211"/>
      <c r="AK495" s="211"/>
      <c r="AL495" s="211"/>
      <c r="AM495" s="211"/>
      <c r="AN495" s="211"/>
      <c r="AO495" s="211"/>
      <c r="AP495" s="211"/>
      <c r="AQ495" s="211"/>
      <c r="AR495" s="211"/>
      <c r="AS495" s="211"/>
      <c r="AT495" s="211"/>
      <c r="AU495" s="211"/>
      <c r="AV495" s="211"/>
      <c r="AW495" s="211"/>
      <c r="AX495" s="211"/>
      <c r="AY495" s="211"/>
      <c r="AZ495" s="211"/>
    </row>
    <row r="496" spans="1:52" s="213" customFormat="1" x14ac:dyDescent="0.35">
      <c r="A496" s="211"/>
      <c r="B496" s="211"/>
      <c r="C496" s="211"/>
      <c r="D496" s="211"/>
      <c r="E496" s="211"/>
      <c r="F496" s="211"/>
      <c r="G496" s="211"/>
      <c r="H496" s="211"/>
      <c r="I496" s="212"/>
      <c r="J496" s="212"/>
      <c r="K496" s="212"/>
      <c r="L496" s="212"/>
      <c r="M496" s="212"/>
      <c r="N496" s="212"/>
      <c r="O496" s="212"/>
      <c r="P496" s="211"/>
      <c r="Q496" s="211"/>
      <c r="R496" s="211"/>
      <c r="S496" s="211"/>
      <c r="T496" s="211"/>
      <c r="U496" s="211"/>
      <c r="V496" s="211"/>
      <c r="W496" s="211"/>
      <c r="X496" s="211"/>
      <c r="Y496" s="211"/>
      <c r="Z496" s="211"/>
      <c r="AD496" s="211"/>
      <c r="AE496" s="211"/>
      <c r="AF496" s="211"/>
      <c r="AG496" s="211"/>
      <c r="AH496" s="211"/>
      <c r="AI496" s="211"/>
      <c r="AJ496" s="211"/>
      <c r="AK496" s="211"/>
      <c r="AL496" s="211"/>
      <c r="AM496" s="211"/>
      <c r="AN496" s="211"/>
      <c r="AO496" s="211"/>
      <c r="AP496" s="211"/>
      <c r="AQ496" s="211"/>
      <c r="AR496" s="211"/>
      <c r="AS496" s="211"/>
      <c r="AT496" s="211"/>
      <c r="AU496" s="211"/>
      <c r="AV496" s="211"/>
      <c r="AW496" s="211"/>
      <c r="AX496" s="211"/>
      <c r="AY496" s="211"/>
      <c r="AZ496" s="211"/>
    </row>
    <row r="497" spans="1:52" s="213" customFormat="1" x14ac:dyDescent="0.35">
      <c r="A497" s="211"/>
      <c r="B497" s="211"/>
      <c r="C497" s="211"/>
      <c r="D497" s="211"/>
      <c r="E497" s="211"/>
      <c r="F497" s="211"/>
      <c r="G497" s="211"/>
      <c r="H497" s="211"/>
      <c r="I497" s="212"/>
      <c r="J497" s="212"/>
      <c r="K497" s="212"/>
      <c r="L497" s="212"/>
      <c r="M497" s="212"/>
      <c r="N497" s="212"/>
      <c r="O497" s="212"/>
      <c r="P497" s="211"/>
      <c r="Q497" s="211"/>
      <c r="R497" s="211"/>
      <c r="S497" s="211"/>
      <c r="T497" s="211"/>
      <c r="U497" s="211"/>
      <c r="V497" s="211"/>
      <c r="W497" s="211"/>
      <c r="X497" s="211"/>
      <c r="Y497" s="211"/>
      <c r="Z497" s="211"/>
      <c r="AD497" s="211"/>
      <c r="AE497" s="211"/>
      <c r="AF497" s="211"/>
      <c r="AG497" s="211"/>
      <c r="AH497" s="211"/>
      <c r="AI497" s="211"/>
      <c r="AJ497" s="211"/>
      <c r="AK497" s="211"/>
      <c r="AL497" s="211"/>
      <c r="AM497" s="211"/>
      <c r="AN497" s="211"/>
      <c r="AO497" s="211"/>
      <c r="AP497" s="211"/>
      <c r="AQ497" s="211"/>
      <c r="AR497" s="211"/>
      <c r="AS497" s="211"/>
      <c r="AT497" s="211"/>
      <c r="AU497" s="211"/>
      <c r="AV497" s="211"/>
      <c r="AW497" s="211"/>
      <c r="AX497" s="211"/>
      <c r="AY497" s="211"/>
      <c r="AZ497" s="211"/>
    </row>
    <row r="498" spans="1:52" s="213" customFormat="1" x14ac:dyDescent="0.35">
      <c r="A498" s="211"/>
      <c r="B498" s="211"/>
      <c r="C498" s="211"/>
      <c r="D498" s="211"/>
      <c r="E498" s="211"/>
      <c r="F498" s="211"/>
      <c r="G498" s="211"/>
      <c r="H498" s="211"/>
      <c r="I498" s="212"/>
      <c r="J498" s="212"/>
      <c r="K498" s="212"/>
      <c r="L498" s="212"/>
      <c r="M498" s="212"/>
      <c r="N498" s="212"/>
      <c r="O498" s="212"/>
      <c r="P498" s="211"/>
      <c r="Q498" s="211"/>
      <c r="R498" s="211"/>
      <c r="S498" s="211"/>
      <c r="T498" s="211"/>
      <c r="U498" s="211"/>
      <c r="V498" s="211"/>
      <c r="W498" s="211"/>
      <c r="X498" s="211"/>
      <c r="Y498" s="211"/>
      <c r="Z498" s="211"/>
      <c r="AD498" s="211"/>
      <c r="AE498" s="211"/>
      <c r="AF498" s="211"/>
      <c r="AG498" s="211"/>
      <c r="AH498" s="211"/>
      <c r="AI498" s="211"/>
      <c r="AJ498" s="211"/>
      <c r="AK498" s="211"/>
      <c r="AL498" s="211"/>
      <c r="AM498" s="211"/>
      <c r="AN498" s="211"/>
      <c r="AO498" s="211"/>
      <c r="AP498" s="211"/>
      <c r="AQ498" s="211"/>
      <c r="AR498" s="211"/>
      <c r="AS498" s="211"/>
      <c r="AT498" s="211"/>
      <c r="AU498" s="211"/>
      <c r="AV498" s="211"/>
      <c r="AW498" s="211"/>
      <c r="AX498" s="211"/>
      <c r="AY498" s="211"/>
      <c r="AZ498" s="211"/>
    </row>
    <row r="499" spans="1:52" s="213" customFormat="1" x14ac:dyDescent="0.35">
      <c r="A499" s="211"/>
      <c r="B499" s="211"/>
      <c r="C499" s="211"/>
      <c r="D499" s="211"/>
      <c r="E499" s="211"/>
      <c r="F499" s="211"/>
      <c r="G499" s="211"/>
      <c r="H499" s="211"/>
      <c r="I499" s="212"/>
      <c r="J499" s="212"/>
      <c r="K499" s="212"/>
      <c r="L499" s="212"/>
      <c r="M499" s="212"/>
      <c r="N499" s="212"/>
      <c r="O499" s="212"/>
      <c r="P499" s="211"/>
      <c r="Q499" s="211"/>
      <c r="R499" s="211"/>
      <c r="S499" s="211"/>
      <c r="T499" s="211"/>
      <c r="U499" s="211"/>
      <c r="V499" s="211"/>
      <c r="W499" s="211"/>
      <c r="X499" s="211"/>
      <c r="Y499" s="211"/>
      <c r="Z499" s="211"/>
      <c r="AD499" s="211"/>
      <c r="AE499" s="211"/>
      <c r="AF499" s="211"/>
      <c r="AG499" s="211"/>
      <c r="AH499" s="211"/>
      <c r="AI499" s="211"/>
      <c r="AJ499" s="211"/>
      <c r="AK499" s="211"/>
      <c r="AL499" s="211"/>
      <c r="AM499" s="211"/>
      <c r="AN499" s="211"/>
      <c r="AO499" s="211"/>
      <c r="AP499" s="211"/>
      <c r="AQ499" s="211"/>
      <c r="AR499" s="211"/>
      <c r="AS499" s="211"/>
      <c r="AT499" s="211"/>
      <c r="AU499" s="211"/>
      <c r="AV499" s="211"/>
      <c r="AW499" s="211"/>
      <c r="AX499" s="211"/>
      <c r="AY499" s="211"/>
      <c r="AZ499" s="211"/>
    </row>
    <row r="500" spans="1:52" s="213" customFormat="1" x14ac:dyDescent="0.35">
      <c r="A500" s="211"/>
      <c r="B500" s="211"/>
      <c r="C500" s="211"/>
      <c r="D500" s="211"/>
      <c r="E500" s="211"/>
      <c r="F500" s="211"/>
      <c r="G500" s="211"/>
      <c r="H500" s="211"/>
      <c r="I500" s="212"/>
      <c r="J500" s="212"/>
      <c r="K500" s="212"/>
      <c r="L500" s="212"/>
      <c r="M500" s="212"/>
      <c r="N500" s="212"/>
      <c r="O500" s="212"/>
      <c r="P500" s="211"/>
      <c r="Q500" s="211"/>
      <c r="R500" s="211"/>
      <c r="S500" s="211"/>
      <c r="T500" s="211"/>
      <c r="U500" s="211"/>
      <c r="V500" s="211"/>
      <c r="W500" s="211"/>
      <c r="X500" s="211"/>
      <c r="Y500" s="211"/>
      <c r="Z500" s="211"/>
      <c r="AD500" s="211"/>
      <c r="AE500" s="211"/>
      <c r="AF500" s="211"/>
      <c r="AG500" s="211"/>
      <c r="AH500" s="211"/>
      <c r="AI500" s="211"/>
      <c r="AJ500" s="211"/>
      <c r="AK500" s="211"/>
      <c r="AL500" s="211"/>
      <c r="AM500" s="211"/>
      <c r="AN500" s="211"/>
      <c r="AO500" s="211"/>
      <c r="AP500" s="211"/>
      <c r="AQ500" s="211"/>
      <c r="AR500" s="211"/>
      <c r="AS500" s="211"/>
      <c r="AT500" s="211"/>
      <c r="AU500" s="211"/>
      <c r="AV500" s="211"/>
      <c r="AW500" s="211"/>
      <c r="AX500" s="211"/>
      <c r="AY500" s="211"/>
      <c r="AZ500" s="211"/>
    </row>
    <row r="501" spans="1:52" s="213" customFormat="1" x14ac:dyDescent="0.35">
      <c r="A501" s="211"/>
      <c r="B501" s="211"/>
      <c r="C501" s="211"/>
      <c r="D501" s="211"/>
      <c r="E501" s="211"/>
      <c r="F501" s="211"/>
      <c r="G501" s="211"/>
      <c r="H501" s="211"/>
      <c r="I501" s="212"/>
      <c r="J501" s="212"/>
      <c r="K501" s="212"/>
      <c r="L501" s="212"/>
      <c r="M501" s="212"/>
      <c r="N501" s="212"/>
      <c r="O501" s="212"/>
      <c r="P501" s="211"/>
      <c r="Q501" s="211"/>
      <c r="R501" s="211"/>
      <c r="S501" s="211"/>
      <c r="T501" s="211"/>
      <c r="U501" s="211"/>
      <c r="V501" s="211"/>
      <c r="W501" s="211"/>
      <c r="X501" s="211"/>
      <c r="Y501" s="211"/>
      <c r="Z501" s="211"/>
      <c r="AD501" s="211"/>
      <c r="AE501" s="211"/>
      <c r="AF501" s="211"/>
      <c r="AG501" s="211"/>
      <c r="AH501" s="211"/>
      <c r="AI501" s="211"/>
      <c r="AJ501" s="211"/>
      <c r="AK501" s="211"/>
      <c r="AL501" s="211"/>
      <c r="AM501" s="211"/>
      <c r="AN501" s="211"/>
      <c r="AO501" s="211"/>
      <c r="AP501" s="211"/>
      <c r="AQ501" s="211"/>
      <c r="AR501" s="211"/>
      <c r="AS501" s="211"/>
      <c r="AT501" s="211"/>
      <c r="AU501" s="211"/>
      <c r="AV501" s="211"/>
      <c r="AW501" s="211"/>
      <c r="AX501" s="211"/>
      <c r="AY501" s="211"/>
      <c r="AZ501" s="211"/>
    </row>
    <row r="502" spans="1:52" s="213" customFormat="1" x14ac:dyDescent="0.35">
      <c r="A502" s="211"/>
      <c r="B502" s="211"/>
      <c r="C502" s="211"/>
      <c r="D502" s="211"/>
      <c r="E502" s="211"/>
      <c r="F502" s="211"/>
      <c r="G502" s="211"/>
      <c r="H502" s="211"/>
      <c r="I502" s="212"/>
      <c r="J502" s="212"/>
      <c r="K502" s="212"/>
      <c r="L502" s="212"/>
      <c r="M502" s="212"/>
      <c r="N502" s="212"/>
      <c r="O502" s="212"/>
      <c r="P502" s="211"/>
      <c r="Q502" s="211"/>
      <c r="R502" s="211"/>
      <c r="S502" s="211"/>
      <c r="T502" s="211"/>
      <c r="U502" s="211"/>
      <c r="V502" s="211"/>
      <c r="W502" s="211"/>
      <c r="X502" s="211"/>
      <c r="Y502" s="211"/>
      <c r="Z502" s="211"/>
      <c r="AD502" s="211"/>
      <c r="AE502" s="211"/>
      <c r="AF502" s="211"/>
      <c r="AG502" s="211"/>
      <c r="AH502" s="211"/>
      <c r="AI502" s="211"/>
      <c r="AJ502" s="211"/>
      <c r="AK502" s="211"/>
      <c r="AL502" s="211"/>
      <c r="AM502" s="211"/>
      <c r="AN502" s="211"/>
      <c r="AO502" s="211"/>
      <c r="AP502" s="211"/>
      <c r="AQ502" s="211"/>
      <c r="AR502" s="211"/>
      <c r="AS502" s="211"/>
      <c r="AT502" s="211"/>
      <c r="AU502" s="211"/>
      <c r="AV502" s="211"/>
      <c r="AW502" s="211"/>
      <c r="AX502" s="211"/>
      <c r="AY502" s="211"/>
      <c r="AZ502" s="211"/>
    </row>
    <row r="503" spans="1:52" s="213" customFormat="1" x14ac:dyDescent="0.35">
      <c r="A503" s="211"/>
      <c r="B503" s="211"/>
      <c r="C503" s="211"/>
      <c r="D503" s="211"/>
      <c r="E503" s="211"/>
      <c r="F503" s="211"/>
      <c r="G503" s="211"/>
      <c r="H503" s="211"/>
      <c r="I503" s="212"/>
      <c r="J503" s="212"/>
      <c r="K503" s="212"/>
      <c r="L503" s="212"/>
      <c r="M503" s="212"/>
      <c r="N503" s="212"/>
      <c r="O503" s="212"/>
      <c r="P503" s="211"/>
      <c r="Q503" s="211"/>
      <c r="R503" s="211"/>
      <c r="S503" s="211"/>
      <c r="T503" s="211"/>
      <c r="U503" s="211"/>
      <c r="V503" s="211"/>
      <c r="W503" s="211"/>
      <c r="X503" s="211"/>
      <c r="Y503" s="211"/>
      <c r="Z503" s="211"/>
      <c r="AD503" s="211"/>
      <c r="AE503" s="211"/>
      <c r="AF503" s="211"/>
      <c r="AG503" s="211"/>
      <c r="AH503" s="211"/>
      <c r="AI503" s="211"/>
      <c r="AJ503" s="211"/>
      <c r="AK503" s="211"/>
      <c r="AL503" s="211"/>
      <c r="AM503" s="211"/>
      <c r="AN503" s="211"/>
      <c r="AO503" s="211"/>
      <c r="AP503" s="211"/>
      <c r="AQ503" s="211"/>
      <c r="AR503" s="211"/>
      <c r="AS503" s="211"/>
      <c r="AT503" s="211"/>
      <c r="AU503" s="211"/>
      <c r="AV503" s="211"/>
      <c r="AW503" s="211"/>
      <c r="AX503" s="211"/>
      <c r="AY503" s="211"/>
      <c r="AZ503" s="211"/>
    </row>
    <row r="504" spans="1:52" s="213" customFormat="1" x14ac:dyDescent="0.35">
      <c r="A504" s="211"/>
      <c r="B504" s="211"/>
      <c r="C504" s="211"/>
      <c r="D504" s="211"/>
      <c r="E504" s="211"/>
      <c r="F504" s="211"/>
      <c r="G504" s="211"/>
      <c r="H504" s="211"/>
      <c r="I504" s="212"/>
      <c r="J504" s="212"/>
      <c r="K504" s="212"/>
      <c r="L504" s="212"/>
      <c r="M504" s="212"/>
      <c r="N504" s="212"/>
      <c r="O504" s="212"/>
      <c r="P504" s="211"/>
      <c r="Q504" s="211"/>
      <c r="R504" s="211"/>
      <c r="S504" s="211"/>
      <c r="T504" s="211"/>
      <c r="U504" s="211"/>
      <c r="V504" s="211"/>
      <c r="W504" s="211"/>
      <c r="X504" s="211"/>
      <c r="Y504" s="211"/>
      <c r="Z504" s="211"/>
      <c r="AD504" s="211"/>
      <c r="AE504" s="211"/>
      <c r="AF504" s="211"/>
      <c r="AG504" s="211"/>
      <c r="AH504" s="211"/>
      <c r="AI504" s="211"/>
      <c r="AJ504" s="211"/>
      <c r="AK504" s="211"/>
      <c r="AL504" s="211"/>
      <c r="AM504" s="211"/>
      <c r="AN504" s="211"/>
      <c r="AO504" s="211"/>
      <c r="AP504" s="211"/>
      <c r="AQ504" s="211"/>
      <c r="AR504" s="211"/>
      <c r="AS504" s="211"/>
      <c r="AT504" s="211"/>
      <c r="AU504" s="211"/>
      <c r="AV504" s="211"/>
      <c r="AW504" s="211"/>
      <c r="AX504" s="211"/>
      <c r="AY504" s="211"/>
      <c r="AZ504" s="211"/>
    </row>
    <row r="505" spans="1:52" s="213" customFormat="1" x14ac:dyDescent="0.35">
      <c r="A505" s="211"/>
      <c r="B505" s="211"/>
      <c r="C505" s="211"/>
      <c r="D505" s="211"/>
      <c r="E505" s="211"/>
      <c r="F505" s="211"/>
      <c r="G505" s="211"/>
      <c r="H505" s="211"/>
      <c r="I505" s="212"/>
      <c r="J505" s="212"/>
      <c r="K505" s="212"/>
      <c r="L505" s="212"/>
      <c r="M505" s="212"/>
      <c r="N505" s="212"/>
      <c r="O505" s="212"/>
      <c r="P505" s="211"/>
      <c r="Q505" s="211"/>
      <c r="R505" s="211"/>
      <c r="S505" s="211"/>
      <c r="T505" s="211"/>
      <c r="U505" s="211"/>
      <c r="V505" s="211"/>
      <c r="W505" s="211"/>
      <c r="X505" s="211"/>
      <c r="Y505" s="211"/>
      <c r="Z505" s="211"/>
      <c r="AD505" s="211"/>
      <c r="AE505" s="211"/>
      <c r="AF505" s="211"/>
      <c r="AG505" s="211"/>
      <c r="AH505" s="211"/>
      <c r="AI505" s="211"/>
      <c r="AJ505" s="211"/>
      <c r="AK505" s="211"/>
      <c r="AL505" s="211"/>
      <c r="AM505" s="211"/>
      <c r="AN505" s="211"/>
      <c r="AO505" s="211"/>
      <c r="AP505" s="211"/>
      <c r="AQ505" s="211"/>
      <c r="AR505" s="211"/>
      <c r="AS505" s="211"/>
      <c r="AT505" s="211"/>
      <c r="AU505" s="211"/>
      <c r="AV505" s="211"/>
      <c r="AW505" s="211"/>
      <c r="AX505" s="211"/>
      <c r="AY505" s="211"/>
      <c r="AZ505" s="211"/>
    </row>
    <row r="506" spans="1:52" s="213" customFormat="1" x14ac:dyDescent="0.35">
      <c r="A506" s="211"/>
      <c r="B506" s="211"/>
      <c r="C506" s="211"/>
      <c r="D506" s="211"/>
      <c r="E506" s="211"/>
      <c r="F506" s="211"/>
      <c r="G506" s="211"/>
      <c r="H506" s="211"/>
      <c r="I506" s="212"/>
      <c r="J506" s="212"/>
      <c r="K506" s="212"/>
      <c r="L506" s="212"/>
      <c r="M506" s="212"/>
      <c r="N506" s="212"/>
      <c r="O506" s="212"/>
      <c r="P506" s="211"/>
      <c r="Q506" s="211"/>
      <c r="R506" s="211"/>
      <c r="S506" s="211"/>
      <c r="T506" s="211"/>
      <c r="U506" s="211"/>
      <c r="V506" s="211"/>
      <c r="W506" s="211"/>
      <c r="X506" s="211"/>
      <c r="Y506" s="211"/>
      <c r="Z506" s="211"/>
      <c r="AD506" s="211"/>
      <c r="AE506" s="211"/>
      <c r="AF506" s="211"/>
      <c r="AG506" s="211"/>
      <c r="AH506" s="211"/>
      <c r="AI506" s="211"/>
      <c r="AJ506" s="211"/>
      <c r="AK506" s="211"/>
      <c r="AL506" s="211"/>
      <c r="AM506" s="211"/>
      <c r="AN506" s="211"/>
      <c r="AO506" s="211"/>
      <c r="AP506" s="211"/>
      <c r="AQ506" s="211"/>
      <c r="AR506" s="211"/>
      <c r="AS506" s="211"/>
      <c r="AT506" s="211"/>
      <c r="AU506" s="211"/>
      <c r="AV506" s="211"/>
      <c r="AW506" s="211"/>
      <c r="AX506" s="211"/>
      <c r="AY506" s="211"/>
      <c r="AZ506" s="211"/>
    </row>
    <row r="507" spans="1:52" s="213" customFormat="1" x14ac:dyDescent="0.35">
      <c r="A507" s="211"/>
      <c r="B507" s="211"/>
      <c r="C507" s="211"/>
      <c r="D507" s="211"/>
      <c r="E507" s="211"/>
      <c r="F507" s="211"/>
      <c r="G507" s="211"/>
      <c r="H507" s="211"/>
      <c r="I507" s="212"/>
      <c r="J507" s="212"/>
      <c r="K507" s="212"/>
      <c r="L507" s="212"/>
      <c r="M507" s="212"/>
      <c r="N507" s="212"/>
      <c r="O507" s="212"/>
      <c r="P507" s="211"/>
      <c r="Q507" s="211"/>
      <c r="R507" s="211"/>
      <c r="S507" s="211"/>
      <c r="T507" s="211"/>
      <c r="U507" s="211"/>
      <c r="V507" s="211"/>
      <c r="W507" s="211"/>
      <c r="X507" s="211"/>
      <c r="Y507" s="211"/>
      <c r="Z507" s="211"/>
      <c r="AD507" s="211"/>
      <c r="AE507" s="211"/>
      <c r="AF507" s="211"/>
      <c r="AG507" s="211"/>
      <c r="AH507" s="211"/>
      <c r="AI507" s="211"/>
      <c r="AJ507" s="211"/>
      <c r="AK507" s="211"/>
      <c r="AL507" s="211"/>
      <c r="AM507" s="211"/>
      <c r="AN507" s="211"/>
      <c r="AO507" s="211"/>
      <c r="AP507" s="211"/>
      <c r="AQ507" s="211"/>
      <c r="AR507" s="211"/>
      <c r="AS507" s="211"/>
      <c r="AT507" s="211"/>
      <c r="AU507" s="211"/>
      <c r="AV507" s="211"/>
      <c r="AW507" s="211"/>
      <c r="AX507" s="211"/>
      <c r="AY507" s="211"/>
      <c r="AZ507" s="211"/>
    </row>
    <row r="508" spans="1:52" s="213" customFormat="1" x14ac:dyDescent="0.35">
      <c r="A508" s="211"/>
      <c r="B508" s="211"/>
      <c r="C508" s="211"/>
      <c r="D508" s="211"/>
      <c r="E508" s="211"/>
      <c r="F508" s="211"/>
      <c r="G508" s="211"/>
      <c r="H508" s="211"/>
      <c r="I508" s="212"/>
      <c r="J508" s="212"/>
      <c r="K508" s="212"/>
      <c r="L508" s="212"/>
      <c r="M508" s="212"/>
      <c r="N508" s="212"/>
      <c r="O508" s="212"/>
      <c r="P508" s="211"/>
      <c r="Q508" s="211"/>
      <c r="R508" s="211"/>
      <c r="S508" s="211"/>
      <c r="T508" s="211"/>
      <c r="U508" s="211"/>
      <c r="V508" s="211"/>
      <c r="W508" s="211"/>
      <c r="X508" s="211"/>
      <c r="Y508" s="211"/>
      <c r="Z508" s="211"/>
      <c r="AD508" s="211"/>
      <c r="AE508" s="211"/>
      <c r="AF508" s="211"/>
      <c r="AG508" s="211"/>
      <c r="AH508" s="211"/>
      <c r="AI508" s="211"/>
      <c r="AJ508" s="211"/>
      <c r="AK508" s="211"/>
      <c r="AL508" s="211"/>
      <c r="AM508" s="211"/>
      <c r="AN508" s="211"/>
      <c r="AO508" s="211"/>
      <c r="AP508" s="211"/>
      <c r="AQ508" s="211"/>
      <c r="AR508" s="211"/>
      <c r="AS508" s="211"/>
      <c r="AT508" s="211"/>
      <c r="AU508" s="211"/>
      <c r="AV508" s="211"/>
      <c r="AW508" s="211"/>
      <c r="AX508" s="211"/>
      <c r="AY508" s="211"/>
      <c r="AZ508" s="211"/>
    </row>
    <row r="509" spans="1:52" s="213" customFormat="1" x14ac:dyDescent="0.35">
      <c r="A509" s="211"/>
      <c r="B509" s="211"/>
      <c r="C509" s="211"/>
      <c r="D509" s="211"/>
      <c r="E509" s="211"/>
      <c r="F509" s="211"/>
      <c r="G509" s="211"/>
      <c r="H509" s="211"/>
      <c r="I509" s="212"/>
      <c r="J509" s="212"/>
      <c r="K509" s="212"/>
      <c r="L509" s="212"/>
      <c r="M509" s="212"/>
      <c r="N509" s="212"/>
      <c r="O509" s="212"/>
      <c r="P509" s="211"/>
      <c r="Q509" s="211"/>
      <c r="R509" s="211"/>
      <c r="S509" s="211"/>
      <c r="T509" s="211"/>
      <c r="U509" s="211"/>
      <c r="V509" s="211"/>
      <c r="W509" s="211"/>
      <c r="X509" s="211"/>
      <c r="Y509" s="211"/>
      <c r="Z509" s="211"/>
      <c r="AD509" s="211"/>
      <c r="AE509" s="211"/>
      <c r="AF509" s="211"/>
      <c r="AG509" s="211"/>
      <c r="AH509" s="211"/>
      <c r="AI509" s="211"/>
      <c r="AJ509" s="211"/>
      <c r="AK509" s="211"/>
      <c r="AL509" s="211"/>
      <c r="AM509" s="211"/>
      <c r="AN509" s="211"/>
      <c r="AO509" s="211"/>
      <c r="AP509" s="211"/>
      <c r="AQ509" s="211"/>
      <c r="AR509" s="211"/>
      <c r="AS509" s="211"/>
      <c r="AT509" s="211"/>
      <c r="AU509" s="211"/>
      <c r="AV509" s="211"/>
      <c r="AW509" s="211"/>
      <c r="AX509" s="211"/>
      <c r="AY509" s="211"/>
      <c r="AZ509" s="211"/>
    </row>
    <row r="510" spans="1:52" s="213" customFormat="1" x14ac:dyDescent="0.35">
      <c r="A510" s="211"/>
      <c r="B510" s="211"/>
      <c r="C510" s="211"/>
      <c r="D510" s="211"/>
      <c r="E510" s="211"/>
      <c r="F510" s="211"/>
      <c r="G510" s="211"/>
      <c r="H510" s="211"/>
      <c r="I510" s="212"/>
      <c r="J510" s="212"/>
      <c r="K510" s="212"/>
      <c r="L510" s="212"/>
      <c r="M510" s="212"/>
      <c r="N510" s="212"/>
      <c r="O510" s="212"/>
      <c r="P510" s="211"/>
      <c r="Q510" s="211"/>
      <c r="R510" s="211"/>
      <c r="S510" s="211"/>
      <c r="T510" s="211"/>
      <c r="U510" s="211"/>
      <c r="V510" s="211"/>
      <c r="W510" s="211"/>
      <c r="X510" s="211"/>
      <c r="Y510" s="211"/>
      <c r="Z510" s="211"/>
      <c r="AD510" s="211"/>
      <c r="AE510" s="211"/>
      <c r="AF510" s="211"/>
      <c r="AG510" s="211"/>
      <c r="AH510" s="211"/>
      <c r="AI510" s="211"/>
      <c r="AJ510" s="211"/>
      <c r="AK510" s="211"/>
      <c r="AL510" s="211"/>
      <c r="AM510" s="211"/>
      <c r="AN510" s="211"/>
      <c r="AO510" s="211"/>
      <c r="AP510" s="211"/>
      <c r="AQ510" s="211"/>
      <c r="AR510" s="211"/>
      <c r="AS510" s="211"/>
      <c r="AT510" s="211"/>
      <c r="AU510" s="211"/>
      <c r="AV510" s="211"/>
      <c r="AW510" s="211"/>
      <c r="AX510" s="211"/>
      <c r="AY510" s="211"/>
      <c r="AZ510" s="211"/>
    </row>
    <row r="511" spans="1:52" s="213" customFormat="1" x14ac:dyDescent="0.35">
      <c r="A511" s="211"/>
      <c r="B511" s="211"/>
      <c r="C511" s="211"/>
      <c r="D511" s="211"/>
      <c r="E511" s="211"/>
      <c r="F511" s="211"/>
      <c r="G511" s="211"/>
      <c r="H511" s="211"/>
      <c r="I511" s="212"/>
      <c r="J511" s="212"/>
      <c r="K511" s="212"/>
      <c r="L511" s="212"/>
      <c r="M511" s="212"/>
      <c r="N511" s="212"/>
      <c r="O511" s="212"/>
      <c r="P511" s="211"/>
      <c r="Q511" s="211"/>
      <c r="R511" s="211"/>
      <c r="S511" s="211"/>
      <c r="T511" s="211"/>
      <c r="U511" s="211"/>
      <c r="V511" s="211"/>
      <c r="W511" s="211"/>
      <c r="X511" s="211"/>
      <c r="Y511" s="211"/>
      <c r="Z511" s="211"/>
      <c r="AD511" s="211"/>
      <c r="AE511" s="211"/>
      <c r="AF511" s="211"/>
      <c r="AG511" s="211"/>
      <c r="AH511" s="211"/>
      <c r="AI511" s="211"/>
      <c r="AJ511" s="211"/>
      <c r="AK511" s="211"/>
      <c r="AL511" s="211"/>
      <c r="AM511" s="211"/>
      <c r="AN511" s="211"/>
      <c r="AO511" s="211"/>
      <c r="AP511" s="211"/>
      <c r="AQ511" s="211"/>
      <c r="AR511" s="211"/>
      <c r="AS511" s="211"/>
      <c r="AT511" s="211"/>
      <c r="AU511" s="211"/>
      <c r="AV511" s="211"/>
      <c r="AW511" s="211"/>
      <c r="AX511" s="211"/>
      <c r="AY511" s="211"/>
      <c r="AZ511" s="211"/>
    </row>
    <row r="512" spans="1:52" s="213" customFormat="1" x14ac:dyDescent="0.35">
      <c r="A512" s="211"/>
      <c r="B512" s="211"/>
      <c r="C512" s="211"/>
      <c r="D512" s="211"/>
      <c r="E512" s="211"/>
      <c r="F512" s="211"/>
      <c r="G512" s="211"/>
      <c r="H512" s="211"/>
      <c r="I512" s="212"/>
      <c r="J512" s="212"/>
      <c r="K512" s="212"/>
      <c r="L512" s="212"/>
      <c r="M512" s="212"/>
      <c r="N512" s="212"/>
      <c r="O512" s="212"/>
      <c r="P512" s="211"/>
      <c r="Q512" s="211"/>
      <c r="R512" s="211"/>
      <c r="S512" s="211"/>
      <c r="T512" s="211"/>
      <c r="U512" s="211"/>
      <c r="V512" s="211"/>
      <c r="W512" s="211"/>
      <c r="X512" s="211"/>
      <c r="Y512" s="211"/>
      <c r="Z512" s="211"/>
      <c r="AD512" s="211"/>
      <c r="AE512" s="211"/>
      <c r="AF512" s="211"/>
      <c r="AG512" s="211"/>
      <c r="AH512" s="211"/>
      <c r="AI512" s="211"/>
      <c r="AJ512" s="211"/>
      <c r="AK512" s="211"/>
      <c r="AL512" s="211"/>
      <c r="AM512" s="211"/>
      <c r="AN512" s="211"/>
      <c r="AO512" s="211"/>
      <c r="AP512" s="211"/>
      <c r="AQ512" s="211"/>
      <c r="AR512" s="211"/>
      <c r="AS512" s="211"/>
      <c r="AT512" s="211"/>
      <c r="AU512" s="211"/>
      <c r="AV512" s="211"/>
      <c r="AW512" s="211"/>
      <c r="AX512" s="211"/>
      <c r="AY512" s="211"/>
      <c r="AZ512" s="211"/>
    </row>
    <row r="513" spans="1:52" s="213" customFormat="1" x14ac:dyDescent="0.35">
      <c r="A513" s="211"/>
      <c r="B513" s="211"/>
      <c r="C513" s="211"/>
      <c r="D513" s="211"/>
      <c r="E513" s="211"/>
      <c r="F513" s="211"/>
      <c r="G513" s="211"/>
      <c r="H513" s="211"/>
      <c r="I513" s="212"/>
      <c r="J513" s="212"/>
      <c r="K513" s="212"/>
      <c r="L513" s="212"/>
      <c r="M513" s="212"/>
      <c r="N513" s="212"/>
      <c r="O513" s="212"/>
      <c r="P513" s="211"/>
      <c r="Q513" s="211"/>
      <c r="R513" s="211"/>
      <c r="S513" s="211"/>
      <c r="T513" s="211"/>
      <c r="U513" s="211"/>
      <c r="V513" s="211"/>
      <c r="W513" s="211"/>
      <c r="X513" s="211"/>
      <c r="Y513" s="211"/>
      <c r="Z513" s="211"/>
      <c r="AD513" s="211"/>
      <c r="AE513" s="211"/>
      <c r="AF513" s="211"/>
      <c r="AG513" s="211"/>
      <c r="AH513" s="211"/>
      <c r="AI513" s="211"/>
      <c r="AJ513" s="211"/>
      <c r="AK513" s="211"/>
      <c r="AL513" s="211"/>
      <c r="AM513" s="211"/>
      <c r="AN513" s="211"/>
      <c r="AO513" s="211"/>
      <c r="AP513" s="211"/>
      <c r="AQ513" s="211"/>
      <c r="AR513" s="211"/>
      <c r="AS513" s="211"/>
      <c r="AT513" s="211"/>
      <c r="AU513" s="211"/>
      <c r="AV513" s="211"/>
      <c r="AW513" s="211"/>
      <c r="AX513" s="211"/>
      <c r="AY513" s="211"/>
      <c r="AZ513" s="211"/>
    </row>
    <row r="514" spans="1:52" s="213" customFormat="1" x14ac:dyDescent="0.35">
      <c r="A514" s="211"/>
      <c r="B514" s="211"/>
      <c r="C514" s="211"/>
      <c r="D514" s="211"/>
      <c r="E514" s="211"/>
      <c r="F514" s="211"/>
      <c r="G514" s="211"/>
      <c r="H514" s="211"/>
      <c r="I514" s="212"/>
      <c r="J514" s="212"/>
      <c r="K514" s="212"/>
      <c r="L514" s="212"/>
      <c r="M514" s="212"/>
      <c r="N514" s="212"/>
      <c r="O514" s="212"/>
      <c r="P514" s="211"/>
      <c r="Q514" s="211"/>
      <c r="R514" s="211"/>
      <c r="S514" s="211"/>
      <c r="T514" s="211"/>
      <c r="U514" s="211"/>
      <c r="V514" s="211"/>
      <c r="W514" s="211"/>
      <c r="X514" s="211"/>
      <c r="Y514" s="211"/>
      <c r="Z514" s="211"/>
      <c r="AD514" s="211"/>
      <c r="AE514" s="211"/>
      <c r="AF514" s="211"/>
      <c r="AG514" s="211"/>
      <c r="AH514" s="211"/>
      <c r="AI514" s="211"/>
      <c r="AJ514" s="211"/>
      <c r="AK514" s="211"/>
      <c r="AL514" s="211"/>
      <c r="AM514" s="211"/>
      <c r="AN514" s="211"/>
      <c r="AO514" s="211"/>
      <c r="AP514" s="211"/>
      <c r="AQ514" s="211"/>
      <c r="AR514" s="211"/>
      <c r="AS514" s="211"/>
      <c r="AT514" s="211"/>
      <c r="AU514" s="211"/>
      <c r="AV514" s="211"/>
      <c r="AW514" s="211"/>
      <c r="AX514" s="211"/>
      <c r="AY514" s="211"/>
      <c r="AZ514" s="211"/>
    </row>
    <row r="515" spans="1:52" s="213" customFormat="1" x14ac:dyDescent="0.35">
      <c r="A515" s="211"/>
      <c r="B515" s="211"/>
      <c r="C515" s="211"/>
      <c r="D515" s="211"/>
      <c r="E515" s="211"/>
      <c r="F515" s="211"/>
      <c r="G515" s="211"/>
      <c r="H515" s="211"/>
      <c r="I515" s="212"/>
      <c r="J515" s="212"/>
      <c r="K515" s="212"/>
      <c r="L515" s="212"/>
      <c r="M515" s="212"/>
      <c r="N515" s="212"/>
      <c r="O515" s="212"/>
      <c r="P515" s="211"/>
      <c r="Q515" s="211"/>
      <c r="R515" s="211"/>
      <c r="S515" s="211"/>
      <c r="T515" s="211"/>
      <c r="U515" s="211"/>
      <c r="V515" s="211"/>
      <c r="W515" s="211"/>
      <c r="X515" s="211"/>
      <c r="Y515" s="211"/>
      <c r="Z515" s="211"/>
      <c r="AD515" s="211"/>
      <c r="AE515" s="211"/>
      <c r="AF515" s="211"/>
      <c r="AG515" s="211"/>
      <c r="AH515" s="211"/>
      <c r="AI515" s="211"/>
      <c r="AJ515" s="211"/>
      <c r="AK515" s="211"/>
      <c r="AL515" s="211"/>
      <c r="AM515" s="211"/>
      <c r="AN515" s="211"/>
      <c r="AO515" s="211"/>
      <c r="AP515" s="211"/>
      <c r="AQ515" s="211"/>
      <c r="AR515" s="211"/>
      <c r="AS515" s="211"/>
      <c r="AT515" s="211"/>
      <c r="AU515" s="211"/>
      <c r="AV515" s="211"/>
      <c r="AW515" s="211"/>
      <c r="AX515" s="211"/>
      <c r="AY515" s="211"/>
      <c r="AZ515" s="211"/>
    </row>
    <row r="516" spans="1:52" s="213" customFormat="1" x14ac:dyDescent="0.35">
      <c r="A516" s="211"/>
      <c r="B516" s="211"/>
      <c r="C516" s="211"/>
      <c r="D516" s="211"/>
      <c r="E516" s="211"/>
      <c r="F516" s="211"/>
      <c r="G516" s="211"/>
      <c r="H516" s="211"/>
      <c r="I516" s="212"/>
      <c r="J516" s="212"/>
      <c r="K516" s="212"/>
      <c r="L516" s="212"/>
      <c r="M516" s="212"/>
      <c r="N516" s="212"/>
      <c r="O516" s="212"/>
      <c r="P516" s="211"/>
      <c r="Q516" s="211"/>
      <c r="R516" s="211"/>
      <c r="S516" s="211"/>
      <c r="T516" s="211"/>
      <c r="U516" s="211"/>
      <c r="V516" s="211"/>
      <c r="W516" s="211"/>
      <c r="X516" s="211"/>
      <c r="Y516" s="211"/>
      <c r="Z516" s="211"/>
      <c r="AD516" s="211"/>
      <c r="AE516" s="211"/>
      <c r="AF516" s="211"/>
      <c r="AG516" s="211"/>
      <c r="AH516" s="211"/>
      <c r="AI516" s="211"/>
      <c r="AJ516" s="211"/>
      <c r="AK516" s="211"/>
      <c r="AL516" s="211"/>
      <c r="AM516" s="211"/>
      <c r="AN516" s="211"/>
      <c r="AO516" s="211"/>
      <c r="AP516" s="211"/>
      <c r="AQ516" s="211"/>
      <c r="AR516" s="211"/>
      <c r="AS516" s="211"/>
      <c r="AT516" s="211"/>
      <c r="AU516" s="211"/>
      <c r="AV516" s="211"/>
      <c r="AW516" s="211"/>
      <c r="AX516" s="211"/>
      <c r="AY516" s="211"/>
      <c r="AZ516" s="211"/>
    </row>
    <row r="517" spans="1:52" s="213" customFormat="1" x14ac:dyDescent="0.35">
      <c r="A517" s="211"/>
      <c r="B517" s="211"/>
      <c r="C517" s="211"/>
      <c r="D517" s="211"/>
      <c r="E517" s="211"/>
      <c r="F517" s="211"/>
      <c r="G517" s="211"/>
      <c r="H517" s="211"/>
      <c r="I517" s="212"/>
      <c r="J517" s="212"/>
      <c r="K517" s="212"/>
      <c r="L517" s="212"/>
      <c r="M517" s="212"/>
      <c r="N517" s="212"/>
      <c r="O517" s="212"/>
      <c r="P517" s="211"/>
      <c r="Q517" s="211"/>
      <c r="R517" s="211"/>
      <c r="S517" s="211"/>
      <c r="T517" s="211"/>
      <c r="U517" s="211"/>
      <c r="V517" s="211"/>
      <c r="W517" s="211"/>
      <c r="X517" s="211"/>
      <c r="Y517" s="211"/>
      <c r="Z517" s="211"/>
      <c r="AD517" s="211"/>
      <c r="AE517" s="211"/>
      <c r="AF517" s="211"/>
      <c r="AG517" s="211"/>
      <c r="AH517" s="211"/>
      <c r="AI517" s="211"/>
      <c r="AJ517" s="211"/>
      <c r="AK517" s="211"/>
      <c r="AL517" s="211"/>
      <c r="AM517" s="211"/>
      <c r="AN517" s="211"/>
      <c r="AO517" s="211"/>
      <c r="AP517" s="211"/>
      <c r="AQ517" s="211"/>
      <c r="AR517" s="211"/>
      <c r="AS517" s="211"/>
      <c r="AT517" s="211"/>
      <c r="AU517" s="211"/>
      <c r="AV517" s="211"/>
      <c r="AW517" s="211"/>
      <c r="AX517" s="211"/>
      <c r="AY517" s="211"/>
      <c r="AZ517" s="211"/>
    </row>
    <row r="518" spans="1:52" s="213" customFormat="1" x14ac:dyDescent="0.35">
      <c r="A518" s="211"/>
      <c r="B518" s="211"/>
      <c r="C518" s="211"/>
      <c r="D518" s="211"/>
      <c r="E518" s="211"/>
      <c r="F518" s="211"/>
      <c r="G518" s="211"/>
      <c r="H518" s="211"/>
      <c r="I518" s="212"/>
      <c r="J518" s="212"/>
      <c r="K518" s="212"/>
      <c r="L518" s="212"/>
      <c r="M518" s="212"/>
      <c r="N518" s="212"/>
      <c r="O518" s="212"/>
      <c r="P518" s="211"/>
      <c r="Q518" s="211"/>
      <c r="R518" s="211"/>
      <c r="S518" s="211"/>
      <c r="T518" s="211"/>
      <c r="U518" s="211"/>
      <c r="V518" s="211"/>
      <c r="W518" s="211"/>
      <c r="X518" s="211"/>
      <c r="Y518" s="211"/>
      <c r="Z518" s="211"/>
      <c r="AD518" s="211"/>
      <c r="AE518" s="211"/>
      <c r="AF518" s="211"/>
      <c r="AG518" s="211"/>
      <c r="AH518" s="211"/>
      <c r="AI518" s="211"/>
      <c r="AJ518" s="211"/>
      <c r="AK518" s="211"/>
      <c r="AL518" s="211"/>
      <c r="AM518" s="211"/>
      <c r="AN518" s="211"/>
      <c r="AO518" s="211"/>
      <c r="AP518" s="211"/>
      <c r="AQ518" s="211"/>
      <c r="AR518" s="211"/>
      <c r="AS518" s="211"/>
      <c r="AT518" s="211"/>
      <c r="AU518" s="211"/>
      <c r="AV518" s="211"/>
      <c r="AW518" s="211"/>
      <c r="AX518" s="211"/>
      <c r="AY518" s="211"/>
      <c r="AZ518" s="211"/>
    </row>
    <row r="519" spans="1:52" s="213" customFormat="1" x14ac:dyDescent="0.35">
      <c r="A519" s="211"/>
      <c r="B519" s="211"/>
      <c r="C519" s="211"/>
      <c r="D519" s="211"/>
      <c r="E519" s="211"/>
      <c r="F519" s="211"/>
      <c r="G519" s="211"/>
      <c r="H519" s="211"/>
      <c r="I519" s="212"/>
      <c r="J519" s="212"/>
      <c r="K519" s="212"/>
      <c r="L519" s="212"/>
      <c r="M519" s="212"/>
      <c r="N519" s="212"/>
      <c r="O519" s="212"/>
      <c r="P519" s="211"/>
      <c r="Q519" s="211"/>
      <c r="R519" s="211"/>
      <c r="S519" s="211"/>
      <c r="T519" s="211"/>
      <c r="U519" s="211"/>
      <c r="V519" s="211"/>
      <c r="W519" s="211"/>
      <c r="X519" s="211"/>
      <c r="Y519" s="211"/>
      <c r="Z519" s="211"/>
      <c r="AD519" s="211"/>
      <c r="AE519" s="211"/>
      <c r="AF519" s="211"/>
      <c r="AG519" s="211"/>
      <c r="AH519" s="211"/>
      <c r="AI519" s="211"/>
      <c r="AJ519" s="211"/>
      <c r="AK519" s="211"/>
      <c r="AL519" s="211"/>
      <c r="AM519" s="211"/>
      <c r="AN519" s="211"/>
      <c r="AO519" s="211"/>
      <c r="AP519" s="211"/>
      <c r="AQ519" s="211"/>
      <c r="AR519" s="211"/>
      <c r="AS519" s="211"/>
      <c r="AT519" s="211"/>
      <c r="AU519" s="211"/>
      <c r="AV519" s="211"/>
      <c r="AW519" s="211"/>
      <c r="AX519" s="211"/>
      <c r="AY519" s="211"/>
      <c r="AZ519" s="211"/>
    </row>
    <row r="520" spans="1:52" s="213" customFormat="1" x14ac:dyDescent="0.35">
      <c r="A520" s="211"/>
      <c r="B520" s="211"/>
      <c r="C520" s="211"/>
      <c r="D520" s="211"/>
      <c r="E520" s="211"/>
      <c r="F520" s="211"/>
      <c r="G520" s="211"/>
      <c r="H520" s="211"/>
      <c r="I520" s="212"/>
      <c r="J520" s="212"/>
      <c r="K520" s="212"/>
      <c r="L520" s="212"/>
      <c r="M520" s="212"/>
      <c r="N520" s="212"/>
      <c r="O520" s="212"/>
      <c r="P520" s="211"/>
      <c r="Q520" s="211"/>
      <c r="R520" s="211"/>
      <c r="S520" s="211"/>
      <c r="T520" s="211"/>
      <c r="U520" s="211"/>
      <c r="V520" s="211"/>
      <c r="W520" s="211"/>
      <c r="X520" s="211"/>
      <c r="Y520" s="211"/>
      <c r="Z520" s="211"/>
      <c r="AD520" s="211"/>
      <c r="AE520" s="211"/>
      <c r="AF520" s="211"/>
      <c r="AG520" s="211"/>
      <c r="AH520" s="211"/>
      <c r="AI520" s="211"/>
      <c r="AJ520" s="211"/>
      <c r="AK520" s="211"/>
      <c r="AL520" s="211"/>
      <c r="AM520" s="211"/>
      <c r="AN520" s="211"/>
      <c r="AO520" s="211"/>
      <c r="AP520" s="211"/>
      <c r="AQ520" s="211"/>
      <c r="AR520" s="211"/>
      <c r="AS520" s="211"/>
      <c r="AT520" s="211"/>
      <c r="AU520" s="211"/>
      <c r="AV520" s="211"/>
      <c r="AW520" s="211"/>
      <c r="AX520" s="211"/>
      <c r="AY520" s="211"/>
      <c r="AZ520" s="211"/>
    </row>
    <row r="521" spans="1:52" s="213" customFormat="1" x14ac:dyDescent="0.35">
      <c r="A521" s="211"/>
      <c r="B521" s="211"/>
      <c r="C521" s="211"/>
      <c r="D521" s="211"/>
      <c r="E521" s="211"/>
      <c r="F521" s="211"/>
      <c r="G521" s="211"/>
      <c r="H521" s="211"/>
      <c r="I521" s="212"/>
      <c r="J521" s="212"/>
      <c r="K521" s="212"/>
      <c r="L521" s="212"/>
      <c r="M521" s="212"/>
      <c r="N521" s="212"/>
      <c r="O521" s="212"/>
      <c r="P521" s="211"/>
      <c r="Q521" s="211"/>
      <c r="R521" s="211"/>
      <c r="S521" s="211"/>
      <c r="T521" s="211"/>
      <c r="U521" s="211"/>
      <c r="V521" s="211"/>
      <c r="W521" s="211"/>
      <c r="X521" s="211"/>
      <c r="Y521" s="211"/>
      <c r="Z521" s="211"/>
      <c r="AD521" s="211"/>
      <c r="AE521" s="211"/>
      <c r="AF521" s="211"/>
      <c r="AG521" s="211"/>
      <c r="AH521" s="211"/>
      <c r="AI521" s="211"/>
      <c r="AJ521" s="211"/>
      <c r="AK521" s="211"/>
      <c r="AL521" s="211"/>
      <c r="AM521" s="211"/>
      <c r="AN521" s="211"/>
      <c r="AO521" s="211"/>
      <c r="AP521" s="211"/>
      <c r="AQ521" s="211"/>
      <c r="AR521" s="211"/>
      <c r="AS521" s="211"/>
      <c r="AT521" s="211"/>
      <c r="AU521" s="211"/>
      <c r="AV521" s="211"/>
      <c r="AW521" s="211"/>
      <c r="AX521" s="211"/>
      <c r="AY521" s="211"/>
      <c r="AZ521" s="211"/>
    </row>
    <row r="522" spans="1:52" s="213" customFormat="1" x14ac:dyDescent="0.35">
      <c r="A522" s="211"/>
      <c r="B522" s="211"/>
      <c r="C522" s="211"/>
      <c r="D522" s="211"/>
      <c r="E522" s="211"/>
      <c r="F522" s="211"/>
      <c r="G522" s="211"/>
      <c r="H522" s="211"/>
      <c r="I522" s="212"/>
      <c r="J522" s="212"/>
      <c r="K522" s="212"/>
      <c r="L522" s="212"/>
      <c r="M522" s="212"/>
      <c r="N522" s="212"/>
      <c r="O522" s="212"/>
      <c r="P522" s="211"/>
      <c r="Q522" s="211"/>
      <c r="R522" s="211"/>
      <c r="S522" s="211"/>
      <c r="T522" s="211"/>
      <c r="U522" s="211"/>
      <c r="V522" s="211"/>
      <c r="W522" s="211"/>
      <c r="X522" s="211"/>
      <c r="Y522" s="211"/>
      <c r="Z522" s="211"/>
      <c r="AD522" s="211"/>
      <c r="AE522" s="211"/>
      <c r="AF522" s="211"/>
      <c r="AG522" s="211"/>
      <c r="AH522" s="211"/>
      <c r="AI522" s="211"/>
      <c r="AJ522" s="211"/>
      <c r="AK522" s="211"/>
      <c r="AL522" s="211"/>
      <c r="AM522" s="211"/>
      <c r="AN522" s="211"/>
      <c r="AO522" s="211"/>
      <c r="AP522" s="211"/>
      <c r="AQ522" s="211"/>
      <c r="AR522" s="211"/>
      <c r="AS522" s="211"/>
      <c r="AT522" s="211"/>
      <c r="AU522" s="211"/>
      <c r="AV522" s="211"/>
      <c r="AW522" s="211"/>
      <c r="AX522" s="211"/>
      <c r="AY522" s="211"/>
      <c r="AZ522" s="211"/>
    </row>
    <row r="523" spans="1:52" s="213" customFormat="1" x14ac:dyDescent="0.35">
      <c r="A523" s="211"/>
      <c r="B523" s="211"/>
      <c r="C523" s="211"/>
      <c r="D523" s="211"/>
      <c r="E523" s="211"/>
      <c r="F523" s="211"/>
      <c r="G523" s="211"/>
      <c r="H523" s="211"/>
      <c r="I523" s="212"/>
      <c r="J523" s="212"/>
      <c r="K523" s="212"/>
      <c r="L523" s="212"/>
      <c r="M523" s="212"/>
      <c r="N523" s="212"/>
      <c r="O523" s="212"/>
      <c r="P523" s="211"/>
      <c r="Q523" s="211"/>
      <c r="R523" s="211"/>
      <c r="S523" s="211"/>
      <c r="T523" s="211"/>
      <c r="U523" s="211"/>
      <c r="V523" s="211"/>
      <c r="W523" s="211"/>
      <c r="X523" s="211"/>
      <c r="Y523" s="211"/>
      <c r="Z523" s="211"/>
      <c r="AD523" s="211"/>
      <c r="AE523" s="211"/>
      <c r="AF523" s="211"/>
      <c r="AG523" s="211"/>
      <c r="AH523" s="211"/>
      <c r="AI523" s="211"/>
      <c r="AJ523" s="211"/>
      <c r="AK523" s="211"/>
      <c r="AL523" s="211"/>
      <c r="AM523" s="211"/>
      <c r="AN523" s="211"/>
      <c r="AO523" s="211"/>
      <c r="AP523" s="211"/>
      <c r="AQ523" s="211"/>
      <c r="AR523" s="211"/>
      <c r="AS523" s="211"/>
      <c r="AT523" s="211"/>
      <c r="AU523" s="211"/>
      <c r="AV523" s="211"/>
      <c r="AW523" s="211"/>
      <c r="AX523" s="211"/>
      <c r="AY523" s="211"/>
      <c r="AZ523" s="211"/>
    </row>
    <row r="524" spans="1:52" s="213" customFormat="1" x14ac:dyDescent="0.35">
      <c r="A524" s="211"/>
      <c r="B524" s="211"/>
      <c r="C524" s="211"/>
      <c r="D524" s="211"/>
      <c r="E524" s="211"/>
      <c r="F524" s="211"/>
      <c r="G524" s="211"/>
      <c r="H524" s="211"/>
      <c r="I524" s="212"/>
      <c r="J524" s="212"/>
      <c r="K524" s="212"/>
      <c r="L524" s="212"/>
      <c r="M524" s="212"/>
      <c r="N524" s="212"/>
      <c r="O524" s="212"/>
      <c r="P524" s="211"/>
      <c r="Q524" s="211"/>
      <c r="R524" s="211"/>
      <c r="S524" s="211"/>
      <c r="T524" s="211"/>
      <c r="U524" s="211"/>
      <c r="V524" s="211"/>
      <c r="W524" s="211"/>
      <c r="X524" s="211"/>
      <c r="Y524" s="211"/>
      <c r="Z524" s="211"/>
      <c r="AD524" s="211"/>
      <c r="AE524" s="211"/>
      <c r="AF524" s="211"/>
      <c r="AG524" s="211"/>
      <c r="AH524" s="211"/>
      <c r="AI524" s="211"/>
      <c r="AJ524" s="211"/>
      <c r="AK524" s="211"/>
      <c r="AL524" s="211"/>
      <c r="AM524" s="211"/>
      <c r="AN524" s="211"/>
      <c r="AO524" s="211"/>
      <c r="AP524" s="211"/>
      <c r="AQ524" s="211"/>
      <c r="AR524" s="211"/>
      <c r="AS524" s="211"/>
      <c r="AT524" s="211"/>
      <c r="AU524" s="211"/>
      <c r="AV524" s="211"/>
      <c r="AW524" s="211"/>
      <c r="AX524" s="211"/>
      <c r="AY524" s="211"/>
      <c r="AZ524" s="211"/>
    </row>
    <row r="525" spans="1:52" s="213" customFormat="1" x14ac:dyDescent="0.35">
      <c r="A525" s="211"/>
      <c r="B525" s="211"/>
      <c r="C525" s="211"/>
      <c r="D525" s="211"/>
      <c r="E525" s="211"/>
      <c r="F525" s="211"/>
      <c r="G525" s="211"/>
      <c r="H525" s="211"/>
      <c r="I525" s="212"/>
      <c r="J525" s="212"/>
      <c r="K525" s="212"/>
      <c r="L525" s="212"/>
      <c r="M525" s="212"/>
      <c r="N525" s="212"/>
      <c r="O525" s="212"/>
      <c r="P525" s="211"/>
      <c r="Q525" s="211"/>
      <c r="R525" s="211"/>
      <c r="S525" s="211"/>
      <c r="T525" s="211"/>
      <c r="U525" s="211"/>
      <c r="V525" s="211"/>
      <c r="W525" s="211"/>
      <c r="X525" s="211"/>
      <c r="Y525" s="211"/>
      <c r="Z525" s="211"/>
      <c r="AD525" s="211"/>
      <c r="AE525" s="211"/>
      <c r="AF525" s="211"/>
      <c r="AG525" s="211"/>
      <c r="AH525" s="211"/>
      <c r="AI525" s="211"/>
      <c r="AJ525" s="211"/>
      <c r="AK525" s="211"/>
      <c r="AL525" s="211"/>
      <c r="AM525" s="211"/>
      <c r="AN525" s="211"/>
      <c r="AO525" s="211"/>
      <c r="AP525" s="211"/>
      <c r="AQ525" s="211"/>
      <c r="AR525" s="211"/>
      <c r="AS525" s="211"/>
      <c r="AT525" s="211"/>
      <c r="AU525" s="211"/>
      <c r="AV525" s="211"/>
      <c r="AW525" s="211"/>
      <c r="AX525" s="211"/>
      <c r="AY525" s="211"/>
      <c r="AZ525" s="211"/>
    </row>
    <row r="526" spans="1:52" s="213" customFormat="1" x14ac:dyDescent="0.35">
      <c r="A526" s="211"/>
      <c r="B526" s="211"/>
      <c r="C526" s="211"/>
      <c r="D526" s="211"/>
      <c r="E526" s="211"/>
      <c r="F526" s="211"/>
      <c r="G526" s="211"/>
      <c r="H526" s="211"/>
      <c r="I526" s="212"/>
      <c r="J526" s="212"/>
      <c r="K526" s="212"/>
      <c r="L526" s="212"/>
      <c r="M526" s="212"/>
      <c r="N526" s="212"/>
      <c r="O526" s="212"/>
      <c r="P526" s="211"/>
      <c r="Q526" s="211"/>
      <c r="R526" s="211"/>
      <c r="S526" s="211"/>
      <c r="T526" s="211"/>
      <c r="U526" s="211"/>
      <c r="V526" s="211"/>
      <c r="W526" s="211"/>
      <c r="X526" s="211"/>
      <c r="Y526" s="211"/>
      <c r="Z526" s="211"/>
      <c r="AD526" s="211"/>
      <c r="AE526" s="211"/>
      <c r="AF526" s="211"/>
      <c r="AG526" s="211"/>
      <c r="AH526" s="211"/>
      <c r="AI526" s="211"/>
      <c r="AJ526" s="211"/>
      <c r="AK526" s="211"/>
      <c r="AL526" s="211"/>
      <c r="AM526" s="211"/>
      <c r="AN526" s="211"/>
      <c r="AO526" s="211"/>
      <c r="AP526" s="211"/>
      <c r="AQ526" s="211"/>
      <c r="AR526" s="211"/>
      <c r="AS526" s="211"/>
      <c r="AT526" s="211"/>
      <c r="AU526" s="211"/>
      <c r="AV526" s="211"/>
      <c r="AW526" s="211"/>
      <c r="AX526" s="211"/>
      <c r="AY526" s="211"/>
      <c r="AZ526" s="211"/>
    </row>
    <row r="527" spans="1:52" s="213" customFormat="1" x14ac:dyDescent="0.35">
      <c r="A527" s="211"/>
      <c r="B527" s="211"/>
      <c r="C527" s="211"/>
      <c r="D527" s="211"/>
      <c r="E527" s="211"/>
      <c r="F527" s="211"/>
      <c r="G527" s="211"/>
      <c r="H527" s="211"/>
      <c r="I527" s="212"/>
      <c r="J527" s="212"/>
      <c r="K527" s="212"/>
      <c r="L527" s="212"/>
      <c r="M527" s="212"/>
      <c r="N527" s="212"/>
      <c r="O527" s="212"/>
      <c r="P527" s="211"/>
      <c r="Q527" s="211"/>
      <c r="R527" s="211"/>
      <c r="S527" s="211"/>
      <c r="T527" s="211"/>
      <c r="U527" s="211"/>
      <c r="V527" s="211"/>
      <c r="W527" s="211"/>
      <c r="X527" s="211"/>
      <c r="Y527" s="211"/>
      <c r="Z527" s="211"/>
      <c r="AD527" s="211"/>
      <c r="AE527" s="211"/>
      <c r="AF527" s="211"/>
      <c r="AG527" s="211"/>
      <c r="AH527" s="211"/>
      <c r="AI527" s="211"/>
      <c r="AJ527" s="211"/>
      <c r="AK527" s="211"/>
      <c r="AL527" s="211"/>
      <c r="AM527" s="211"/>
      <c r="AN527" s="211"/>
      <c r="AO527" s="211"/>
      <c r="AP527" s="211"/>
      <c r="AQ527" s="211"/>
      <c r="AR527" s="211"/>
      <c r="AS527" s="211"/>
      <c r="AT527" s="211"/>
      <c r="AU527" s="211"/>
      <c r="AV527" s="211"/>
      <c r="AW527" s="211"/>
      <c r="AX527" s="211"/>
      <c r="AY527" s="211"/>
      <c r="AZ527" s="211"/>
    </row>
    <row r="528" spans="1:52" s="213" customFormat="1" x14ac:dyDescent="0.35">
      <c r="A528" s="211"/>
      <c r="B528" s="211"/>
      <c r="C528" s="211"/>
      <c r="D528" s="211"/>
      <c r="E528" s="211"/>
      <c r="F528" s="211"/>
      <c r="G528" s="211"/>
      <c r="H528" s="211"/>
      <c r="I528" s="212"/>
      <c r="J528" s="212"/>
      <c r="K528" s="212"/>
      <c r="L528" s="212"/>
      <c r="M528" s="212"/>
      <c r="N528" s="212"/>
      <c r="O528" s="212"/>
      <c r="P528" s="211"/>
      <c r="Q528" s="211"/>
      <c r="R528" s="211"/>
      <c r="S528" s="211"/>
      <c r="T528" s="211"/>
      <c r="U528" s="211"/>
      <c r="V528" s="211"/>
      <c r="W528" s="211"/>
      <c r="X528" s="211"/>
      <c r="Y528" s="211"/>
      <c r="Z528" s="211"/>
      <c r="AD528" s="211"/>
      <c r="AE528" s="211"/>
      <c r="AF528" s="211"/>
      <c r="AG528" s="211"/>
      <c r="AH528" s="211"/>
      <c r="AI528" s="211"/>
      <c r="AJ528" s="211"/>
      <c r="AK528" s="211"/>
      <c r="AL528" s="211"/>
      <c r="AM528" s="211"/>
      <c r="AN528" s="211"/>
      <c r="AO528" s="211"/>
      <c r="AP528" s="211"/>
      <c r="AQ528" s="211"/>
      <c r="AR528" s="211"/>
      <c r="AS528" s="211"/>
      <c r="AT528" s="211"/>
      <c r="AU528" s="211"/>
      <c r="AV528" s="211"/>
      <c r="AW528" s="211"/>
      <c r="AX528" s="211"/>
      <c r="AY528" s="211"/>
      <c r="AZ528" s="211"/>
    </row>
    <row r="529" spans="1:52" s="213" customFormat="1" x14ac:dyDescent="0.35">
      <c r="A529" s="211"/>
      <c r="B529" s="211"/>
      <c r="C529" s="211"/>
      <c r="D529" s="211"/>
      <c r="E529" s="211"/>
      <c r="F529" s="211"/>
      <c r="G529" s="211"/>
      <c r="H529" s="211"/>
      <c r="I529" s="212"/>
      <c r="J529" s="212"/>
      <c r="K529" s="212"/>
      <c r="L529" s="212"/>
      <c r="M529" s="212"/>
      <c r="N529" s="212"/>
      <c r="O529" s="212"/>
      <c r="P529" s="211"/>
      <c r="Q529" s="211"/>
      <c r="R529" s="211"/>
      <c r="S529" s="211"/>
      <c r="T529" s="211"/>
      <c r="U529" s="211"/>
      <c r="V529" s="211"/>
      <c r="W529" s="211"/>
      <c r="X529" s="211"/>
      <c r="Y529" s="211"/>
      <c r="Z529" s="211"/>
      <c r="AD529" s="211"/>
      <c r="AE529" s="211"/>
      <c r="AF529" s="211"/>
      <c r="AG529" s="211"/>
      <c r="AH529" s="211"/>
      <c r="AI529" s="211"/>
      <c r="AJ529" s="211"/>
      <c r="AK529" s="211"/>
      <c r="AL529" s="211"/>
      <c r="AM529" s="211"/>
      <c r="AN529" s="211"/>
      <c r="AO529" s="211"/>
      <c r="AP529" s="211"/>
      <c r="AQ529" s="211"/>
      <c r="AR529" s="211"/>
      <c r="AS529" s="211"/>
      <c r="AT529" s="211"/>
      <c r="AU529" s="211"/>
      <c r="AV529" s="211"/>
      <c r="AW529" s="211"/>
      <c r="AX529" s="211"/>
      <c r="AY529" s="211"/>
      <c r="AZ529" s="211"/>
    </row>
    <row r="530" spans="1:52" s="213" customFormat="1" x14ac:dyDescent="0.35">
      <c r="A530" s="211"/>
      <c r="B530" s="211"/>
      <c r="C530" s="211"/>
      <c r="D530" s="211"/>
      <c r="E530" s="211"/>
      <c r="F530" s="211"/>
      <c r="G530" s="211"/>
      <c r="H530" s="211"/>
      <c r="I530" s="212"/>
      <c r="J530" s="212"/>
      <c r="K530" s="212"/>
      <c r="L530" s="212"/>
      <c r="M530" s="212"/>
      <c r="N530" s="212"/>
      <c r="O530" s="212"/>
      <c r="P530" s="211"/>
      <c r="Q530" s="211"/>
      <c r="R530" s="211"/>
      <c r="S530" s="211"/>
      <c r="T530" s="211"/>
      <c r="U530" s="211"/>
      <c r="V530" s="211"/>
      <c r="W530" s="211"/>
      <c r="X530" s="211"/>
      <c r="Y530" s="211"/>
      <c r="Z530" s="211"/>
      <c r="AD530" s="211"/>
      <c r="AE530" s="211"/>
      <c r="AF530" s="211"/>
      <c r="AG530" s="211"/>
      <c r="AH530" s="211"/>
      <c r="AI530" s="211"/>
      <c r="AJ530" s="211"/>
      <c r="AK530" s="211"/>
      <c r="AL530" s="211"/>
      <c r="AM530" s="211"/>
      <c r="AN530" s="211"/>
      <c r="AO530" s="211"/>
      <c r="AP530" s="211"/>
      <c r="AQ530" s="211"/>
      <c r="AR530" s="211"/>
      <c r="AS530" s="211"/>
      <c r="AT530" s="211"/>
      <c r="AU530" s="211"/>
      <c r="AV530" s="211"/>
      <c r="AW530" s="211"/>
      <c r="AX530" s="211"/>
      <c r="AY530" s="211"/>
      <c r="AZ530" s="211"/>
    </row>
    <row r="531" spans="1:52" s="213" customFormat="1" x14ac:dyDescent="0.35">
      <c r="A531" s="211"/>
      <c r="B531" s="211"/>
      <c r="C531" s="211"/>
      <c r="D531" s="211"/>
      <c r="E531" s="211"/>
      <c r="F531" s="211"/>
      <c r="G531" s="211"/>
      <c r="H531" s="211"/>
      <c r="I531" s="212"/>
      <c r="J531" s="212"/>
      <c r="K531" s="212"/>
      <c r="L531" s="212"/>
      <c r="M531" s="212"/>
      <c r="N531" s="212"/>
      <c r="O531" s="212"/>
      <c r="P531" s="211"/>
      <c r="Q531" s="211"/>
      <c r="R531" s="211"/>
      <c r="S531" s="211"/>
      <c r="T531" s="211"/>
      <c r="U531" s="211"/>
      <c r="V531" s="211"/>
      <c r="W531" s="211"/>
      <c r="X531" s="211"/>
      <c r="Y531" s="211"/>
      <c r="Z531" s="211"/>
      <c r="AD531" s="211"/>
      <c r="AE531" s="211"/>
      <c r="AF531" s="211"/>
      <c r="AG531" s="211"/>
      <c r="AH531" s="211"/>
      <c r="AI531" s="211"/>
      <c r="AJ531" s="211"/>
      <c r="AK531" s="211"/>
      <c r="AL531" s="211"/>
      <c r="AM531" s="211"/>
      <c r="AN531" s="211"/>
      <c r="AO531" s="211"/>
      <c r="AP531" s="211"/>
      <c r="AQ531" s="211"/>
      <c r="AR531" s="211"/>
      <c r="AS531" s="211"/>
      <c r="AT531" s="211"/>
      <c r="AU531" s="211"/>
      <c r="AV531" s="211"/>
      <c r="AW531" s="211"/>
      <c r="AX531" s="211"/>
      <c r="AY531" s="211"/>
      <c r="AZ531" s="211"/>
    </row>
    <row r="532" spans="1:52" s="213" customFormat="1" x14ac:dyDescent="0.35">
      <c r="A532" s="211"/>
      <c r="B532" s="211"/>
      <c r="C532" s="211"/>
      <c r="D532" s="211"/>
      <c r="E532" s="211"/>
      <c r="F532" s="211"/>
      <c r="G532" s="211"/>
      <c r="H532" s="211"/>
      <c r="I532" s="212"/>
      <c r="J532" s="212"/>
      <c r="K532" s="212"/>
      <c r="L532" s="212"/>
      <c r="M532" s="212"/>
      <c r="N532" s="212"/>
      <c r="O532" s="212"/>
      <c r="P532" s="211"/>
      <c r="Q532" s="211"/>
      <c r="R532" s="211"/>
      <c r="S532" s="211"/>
      <c r="T532" s="211"/>
      <c r="U532" s="211"/>
      <c r="V532" s="211"/>
      <c r="W532" s="211"/>
      <c r="X532" s="211"/>
      <c r="Y532" s="211"/>
      <c r="Z532" s="211"/>
      <c r="AD532" s="211"/>
      <c r="AE532" s="211"/>
      <c r="AF532" s="211"/>
      <c r="AG532" s="211"/>
      <c r="AH532" s="211"/>
      <c r="AI532" s="211"/>
      <c r="AJ532" s="211"/>
      <c r="AK532" s="211"/>
      <c r="AL532" s="211"/>
      <c r="AM532" s="211"/>
      <c r="AN532" s="211"/>
      <c r="AO532" s="211"/>
      <c r="AP532" s="211"/>
      <c r="AQ532" s="211"/>
      <c r="AR532" s="211"/>
      <c r="AS532" s="211"/>
      <c r="AT532" s="211"/>
      <c r="AU532" s="211"/>
      <c r="AV532" s="211"/>
      <c r="AW532" s="211"/>
      <c r="AX532" s="211"/>
      <c r="AY532" s="211"/>
      <c r="AZ532" s="211"/>
    </row>
    <row r="533" spans="1:52" s="213" customFormat="1" x14ac:dyDescent="0.35">
      <c r="A533" s="211"/>
      <c r="B533" s="211"/>
      <c r="C533" s="211"/>
      <c r="D533" s="211"/>
      <c r="E533" s="211"/>
      <c r="F533" s="211"/>
      <c r="G533" s="211"/>
      <c r="H533" s="211"/>
      <c r="I533" s="212"/>
      <c r="J533" s="212"/>
      <c r="K533" s="212"/>
      <c r="L533" s="212"/>
      <c r="M533" s="212"/>
      <c r="N533" s="212"/>
      <c r="O533" s="212"/>
      <c r="P533" s="211"/>
      <c r="Q533" s="211"/>
      <c r="R533" s="211"/>
      <c r="S533" s="211"/>
      <c r="T533" s="211"/>
      <c r="U533" s="211"/>
      <c r="V533" s="211"/>
      <c r="W533" s="211"/>
      <c r="X533" s="211"/>
      <c r="Y533" s="211"/>
      <c r="Z533" s="211"/>
      <c r="AD533" s="211"/>
      <c r="AE533" s="211"/>
      <c r="AF533" s="211"/>
      <c r="AG533" s="211"/>
      <c r="AH533" s="211"/>
      <c r="AI533" s="211"/>
      <c r="AJ533" s="211"/>
      <c r="AK533" s="211"/>
      <c r="AL533" s="211"/>
      <c r="AM533" s="211"/>
      <c r="AN533" s="211"/>
      <c r="AO533" s="211"/>
      <c r="AP533" s="211"/>
      <c r="AQ533" s="211"/>
      <c r="AR533" s="211"/>
      <c r="AS533" s="211"/>
      <c r="AT533" s="211"/>
      <c r="AU533" s="211"/>
      <c r="AV533" s="211"/>
      <c r="AW533" s="211"/>
      <c r="AX533" s="211"/>
      <c r="AY533" s="211"/>
      <c r="AZ533" s="211"/>
    </row>
    <row r="534" spans="1:52" s="213" customFormat="1" x14ac:dyDescent="0.35">
      <c r="A534" s="211"/>
      <c r="B534" s="211"/>
      <c r="C534" s="211"/>
      <c r="D534" s="211"/>
      <c r="E534" s="211"/>
      <c r="F534" s="211"/>
      <c r="G534" s="211"/>
      <c r="H534" s="211"/>
      <c r="I534" s="212"/>
      <c r="J534" s="212"/>
      <c r="K534" s="212"/>
      <c r="L534" s="212"/>
      <c r="M534" s="212"/>
      <c r="N534" s="212"/>
      <c r="O534" s="212"/>
      <c r="P534" s="211"/>
      <c r="Q534" s="211"/>
      <c r="R534" s="211"/>
      <c r="S534" s="211"/>
      <c r="T534" s="211"/>
      <c r="U534" s="211"/>
      <c r="V534" s="211"/>
      <c r="W534" s="211"/>
      <c r="X534" s="211"/>
      <c r="Y534" s="211"/>
      <c r="Z534" s="211"/>
      <c r="AD534" s="211"/>
      <c r="AE534" s="211"/>
      <c r="AF534" s="211"/>
      <c r="AG534" s="211"/>
      <c r="AH534" s="211"/>
      <c r="AI534" s="211"/>
      <c r="AJ534" s="211"/>
      <c r="AK534" s="211"/>
      <c r="AL534" s="211"/>
      <c r="AM534" s="211"/>
      <c r="AN534" s="211"/>
      <c r="AO534" s="211"/>
      <c r="AP534" s="211"/>
      <c r="AQ534" s="211"/>
      <c r="AR534" s="211"/>
      <c r="AS534" s="211"/>
      <c r="AT534" s="211"/>
      <c r="AU534" s="211"/>
      <c r="AV534" s="211"/>
      <c r="AW534" s="211"/>
      <c r="AX534" s="211"/>
      <c r="AY534" s="211"/>
      <c r="AZ534" s="211"/>
    </row>
    <row r="535" spans="1:52" s="213" customFormat="1" x14ac:dyDescent="0.35">
      <c r="A535" s="211"/>
      <c r="B535" s="211"/>
      <c r="C535" s="211"/>
      <c r="D535" s="211"/>
      <c r="E535" s="211"/>
      <c r="F535" s="211"/>
      <c r="G535" s="211"/>
      <c r="H535" s="211"/>
      <c r="I535" s="212"/>
      <c r="J535" s="212"/>
      <c r="K535" s="212"/>
      <c r="L535" s="212"/>
      <c r="M535" s="212"/>
      <c r="N535" s="212"/>
      <c r="O535" s="212"/>
      <c r="P535" s="211"/>
      <c r="Q535" s="211"/>
      <c r="R535" s="211"/>
      <c r="S535" s="211"/>
      <c r="T535" s="211"/>
      <c r="U535" s="211"/>
      <c r="V535" s="211"/>
      <c r="W535" s="211"/>
      <c r="X535" s="211"/>
      <c r="Y535" s="211"/>
      <c r="Z535" s="211"/>
      <c r="AD535" s="211"/>
      <c r="AE535" s="211"/>
      <c r="AF535" s="211"/>
      <c r="AG535" s="211"/>
      <c r="AH535" s="211"/>
      <c r="AI535" s="211"/>
      <c r="AJ535" s="211"/>
      <c r="AK535" s="211"/>
      <c r="AL535" s="211"/>
      <c r="AM535" s="211"/>
      <c r="AN535" s="211"/>
      <c r="AO535" s="211"/>
      <c r="AP535" s="211"/>
      <c r="AQ535" s="211"/>
      <c r="AR535" s="211"/>
      <c r="AS535" s="211"/>
      <c r="AT535" s="211"/>
      <c r="AU535" s="211"/>
      <c r="AV535" s="211"/>
      <c r="AW535" s="211"/>
      <c r="AX535" s="211"/>
      <c r="AY535" s="211"/>
      <c r="AZ535" s="211"/>
    </row>
    <row r="536" spans="1:52" s="213" customFormat="1" x14ac:dyDescent="0.35">
      <c r="A536" s="211"/>
      <c r="B536" s="211"/>
      <c r="C536" s="211"/>
      <c r="D536" s="211"/>
      <c r="E536" s="211"/>
      <c r="F536" s="211"/>
      <c r="G536" s="211"/>
      <c r="H536" s="211"/>
      <c r="I536" s="212"/>
      <c r="J536" s="212"/>
      <c r="K536" s="212"/>
      <c r="L536" s="212"/>
      <c r="M536" s="212"/>
      <c r="N536" s="212"/>
      <c r="O536" s="212"/>
      <c r="P536" s="211"/>
      <c r="Q536" s="211"/>
      <c r="R536" s="211"/>
      <c r="S536" s="211"/>
      <c r="T536" s="211"/>
      <c r="U536" s="211"/>
      <c r="V536" s="211"/>
      <c r="W536" s="211"/>
      <c r="X536" s="211"/>
      <c r="Y536" s="211"/>
      <c r="Z536" s="211"/>
      <c r="AD536" s="211"/>
      <c r="AE536" s="211"/>
      <c r="AF536" s="211"/>
      <c r="AG536" s="211"/>
      <c r="AH536" s="211"/>
      <c r="AI536" s="211"/>
      <c r="AJ536" s="211"/>
      <c r="AK536" s="211"/>
      <c r="AL536" s="211"/>
      <c r="AM536" s="211"/>
      <c r="AN536" s="211"/>
      <c r="AO536" s="211"/>
      <c r="AP536" s="211"/>
      <c r="AQ536" s="211"/>
      <c r="AR536" s="211"/>
      <c r="AS536" s="211"/>
      <c r="AT536" s="211"/>
      <c r="AU536" s="211"/>
      <c r="AV536" s="211"/>
      <c r="AW536" s="211"/>
      <c r="AX536" s="211"/>
      <c r="AY536" s="211"/>
      <c r="AZ536" s="211"/>
    </row>
    <row r="537" spans="1:52" s="213" customFormat="1" x14ac:dyDescent="0.35">
      <c r="A537" s="211"/>
      <c r="B537" s="211"/>
      <c r="C537" s="211"/>
      <c r="D537" s="211"/>
      <c r="E537" s="211"/>
      <c r="F537" s="211"/>
      <c r="G537" s="211"/>
      <c r="H537" s="211"/>
      <c r="I537" s="212"/>
      <c r="J537" s="212"/>
      <c r="K537" s="212"/>
      <c r="L537" s="212"/>
      <c r="M537" s="212"/>
      <c r="N537" s="212"/>
      <c r="O537" s="212"/>
      <c r="P537" s="211"/>
      <c r="Q537" s="211"/>
      <c r="R537" s="211"/>
      <c r="S537" s="211"/>
      <c r="T537" s="211"/>
      <c r="U537" s="211"/>
      <c r="V537" s="211"/>
      <c r="W537" s="211"/>
      <c r="X537" s="211"/>
      <c r="Y537" s="211"/>
      <c r="Z537" s="211"/>
      <c r="AD537" s="211"/>
      <c r="AE537" s="211"/>
      <c r="AF537" s="211"/>
      <c r="AG537" s="211"/>
      <c r="AH537" s="211"/>
      <c r="AI537" s="211"/>
      <c r="AJ537" s="211"/>
      <c r="AK537" s="211"/>
      <c r="AL537" s="211"/>
      <c r="AM537" s="211"/>
      <c r="AN537" s="211"/>
      <c r="AO537" s="211"/>
      <c r="AP537" s="211"/>
      <c r="AQ537" s="211"/>
      <c r="AR537" s="211"/>
      <c r="AS537" s="211"/>
      <c r="AT537" s="211"/>
      <c r="AU537" s="211"/>
      <c r="AV537" s="211"/>
      <c r="AW537" s="211"/>
      <c r="AX537" s="211"/>
      <c r="AY537" s="211"/>
      <c r="AZ537" s="211"/>
    </row>
    <row r="538" spans="1:52" s="213" customFormat="1" x14ac:dyDescent="0.35">
      <c r="A538" s="211"/>
      <c r="B538" s="211"/>
      <c r="C538" s="211"/>
      <c r="D538" s="211"/>
      <c r="E538" s="211"/>
      <c r="F538" s="211"/>
      <c r="G538" s="211"/>
      <c r="H538" s="211"/>
      <c r="I538" s="212"/>
      <c r="J538" s="212"/>
      <c r="K538" s="212"/>
      <c r="L538" s="212"/>
      <c r="M538" s="212"/>
      <c r="N538" s="212"/>
      <c r="O538" s="212"/>
      <c r="P538" s="211"/>
      <c r="Q538" s="211"/>
      <c r="R538" s="211"/>
      <c r="S538" s="211"/>
      <c r="T538" s="211"/>
      <c r="U538" s="211"/>
      <c r="V538" s="211"/>
      <c r="W538" s="211"/>
      <c r="X538" s="211"/>
      <c r="Y538" s="211"/>
      <c r="Z538" s="211"/>
      <c r="AD538" s="211"/>
      <c r="AE538" s="211"/>
      <c r="AF538" s="211"/>
      <c r="AG538" s="211"/>
      <c r="AH538" s="211"/>
      <c r="AI538" s="211"/>
      <c r="AJ538" s="211"/>
      <c r="AK538" s="211"/>
      <c r="AL538" s="211"/>
      <c r="AM538" s="211"/>
      <c r="AN538" s="211"/>
      <c r="AO538" s="211"/>
      <c r="AP538" s="211"/>
      <c r="AQ538" s="211"/>
      <c r="AR538" s="211"/>
      <c r="AS538" s="211"/>
      <c r="AT538" s="211"/>
      <c r="AU538" s="211"/>
      <c r="AV538" s="211"/>
      <c r="AW538" s="211"/>
      <c r="AX538" s="211"/>
      <c r="AY538" s="211"/>
      <c r="AZ538" s="211"/>
    </row>
    <row r="539" spans="1:52" s="213" customFormat="1" x14ac:dyDescent="0.35">
      <c r="A539" s="211"/>
      <c r="B539" s="211"/>
      <c r="C539" s="211"/>
      <c r="D539" s="211"/>
      <c r="E539" s="211"/>
      <c r="F539" s="211"/>
      <c r="G539" s="211"/>
      <c r="H539" s="211"/>
      <c r="I539" s="212"/>
      <c r="J539" s="212"/>
      <c r="K539" s="212"/>
      <c r="L539" s="212"/>
      <c r="M539" s="212"/>
      <c r="N539" s="212"/>
      <c r="O539" s="212"/>
      <c r="P539" s="211"/>
      <c r="Q539" s="211"/>
      <c r="R539" s="211"/>
      <c r="S539" s="211"/>
      <c r="T539" s="211"/>
      <c r="U539" s="211"/>
      <c r="V539" s="211"/>
      <c r="W539" s="211"/>
      <c r="X539" s="211"/>
      <c r="Y539" s="211"/>
      <c r="Z539" s="211"/>
      <c r="AD539" s="211"/>
      <c r="AE539" s="211"/>
      <c r="AF539" s="211"/>
      <c r="AG539" s="211"/>
      <c r="AH539" s="211"/>
      <c r="AI539" s="211"/>
      <c r="AJ539" s="211"/>
      <c r="AK539" s="211"/>
      <c r="AL539" s="211"/>
      <c r="AM539" s="211"/>
      <c r="AN539" s="211"/>
      <c r="AO539" s="211"/>
      <c r="AP539" s="211"/>
      <c r="AQ539" s="211"/>
      <c r="AR539" s="211"/>
      <c r="AS539" s="211"/>
      <c r="AT539" s="211"/>
      <c r="AU539" s="211"/>
      <c r="AV539" s="211"/>
      <c r="AW539" s="211"/>
      <c r="AX539" s="211"/>
      <c r="AY539" s="211"/>
      <c r="AZ539" s="211"/>
    </row>
    <row r="540" spans="1:52" s="213" customFormat="1" x14ac:dyDescent="0.35">
      <c r="A540" s="211"/>
      <c r="B540" s="211"/>
      <c r="C540" s="211"/>
      <c r="D540" s="211"/>
      <c r="E540" s="211"/>
      <c r="F540" s="211"/>
      <c r="G540" s="211"/>
      <c r="H540" s="211"/>
      <c r="I540" s="212"/>
      <c r="J540" s="212"/>
      <c r="K540" s="212"/>
      <c r="L540" s="212"/>
      <c r="M540" s="212"/>
      <c r="N540" s="212"/>
      <c r="O540" s="212"/>
      <c r="P540" s="211"/>
      <c r="Q540" s="211"/>
      <c r="R540" s="211"/>
      <c r="S540" s="211"/>
      <c r="T540" s="211"/>
      <c r="U540" s="211"/>
      <c r="V540" s="211"/>
      <c r="W540" s="211"/>
      <c r="X540" s="211"/>
      <c r="Y540" s="211"/>
      <c r="Z540" s="211"/>
      <c r="AD540" s="211"/>
      <c r="AE540" s="211"/>
      <c r="AF540" s="211"/>
      <c r="AG540" s="211"/>
      <c r="AH540" s="211"/>
      <c r="AI540" s="211"/>
      <c r="AJ540" s="211"/>
      <c r="AK540" s="211"/>
      <c r="AL540" s="211"/>
      <c r="AM540" s="211"/>
      <c r="AN540" s="211"/>
      <c r="AO540" s="211"/>
      <c r="AP540" s="211"/>
      <c r="AQ540" s="211"/>
      <c r="AR540" s="211"/>
      <c r="AS540" s="211"/>
      <c r="AT540" s="211"/>
      <c r="AU540" s="211"/>
      <c r="AV540" s="211"/>
      <c r="AW540" s="211"/>
      <c r="AX540" s="211"/>
      <c r="AY540" s="211"/>
      <c r="AZ540" s="211"/>
    </row>
    <row r="541" spans="1:52" s="213" customFormat="1" x14ac:dyDescent="0.35">
      <c r="A541" s="211"/>
      <c r="B541" s="211"/>
      <c r="C541" s="211"/>
      <c r="D541" s="211"/>
      <c r="E541" s="211"/>
      <c r="F541" s="211"/>
      <c r="G541" s="211"/>
      <c r="H541" s="211"/>
      <c r="I541" s="212"/>
      <c r="J541" s="212"/>
      <c r="K541" s="212"/>
      <c r="L541" s="212"/>
      <c r="M541" s="212"/>
      <c r="N541" s="212"/>
      <c r="O541" s="212"/>
      <c r="P541" s="211"/>
      <c r="Q541" s="211"/>
      <c r="R541" s="211"/>
      <c r="S541" s="211"/>
      <c r="T541" s="211"/>
      <c r="U541" s="211"/>
      <c r="V541" s="211"/>
      <c r="W541" s="211"/>
      <c r="X541" s="211"/>
      <c r="Y541" s="211"/>
      <c r="Z541" s="211"/>
      <c r="AD541" s="211"/>
      <c r="AE541" s="211"/>
      <c r="AF541" s="211"/>
      <c r="AG541" s="211"/>
      <c r="AH541" s="211"/>
      <c r="AI541" s="211"/>
      <c r="AJ541" s="211"/>
      <c r="AK541" s="211"/>
      <c r="AL541" s="211"/>
      <c r="AM541" s="211"/>
      <c r="AN541" s="211"/>
      <c r="AO541" s="211"/>
      <c r="AP541" s="211"/>
      <c r="AQ541" s="211"/>
      <c r="AR541" s="211"/>
      <c r="AS541" s="211"/>
      <c r="AT541" s="211"/>
      <c r="AU541" s="211"/>
      <c r="AV541" s="211"/>
      <c r="AW541" s="211"/>
      <c r="AX541" s="211"/>
      <c r="AY541" s="211"/>
      <c r="AZ541" s="211"/>
    </row>
    <row r="542" spans="1:52" s="213" customFormat="1" x14ac:dyDescent="0.35">
      <c r="A542" s="211"/>
      <c r="B542" s="211"/>
      <c r="C542" s="211"/>
      <c r="D542" s="211"/>
      <c r="E542" s="211"/>
      <c r="F542" s="211"/>
      <c r="G542" s="211"/>
      <c r="H542" s="211"/>
      <c r="I542" s="212"/>
      <c r="J542" s="212"/>
      <c r="K542" s="212"/>
      <c r="L542" s="212"/>
      <c r="M542" s="212"/>
      <c r="N542" s="212"/>
      <c r="O542" s="212"/>
      <c r="P542" s="211"/>
      <c r="Q542" s="211"/>
      <c r="R542" s="211"/>
      <c r="S542" s="211"/>
      <c r="T542" s="211"/>
      <c r="U542" s="211"/>
      <c r="V542" s="211"/>
      <c r="W542" s="211"/>
      <c r="X542" s="211"/>
      <c r="Y542" s="211"/>
      <c r="Z542" s="211"/>
      <c r="AD542" s="211"/>
      <c r="AE542" s="211"/>
      <c r="AF542" s="211"/>
      <c r="AG542" s="211"/>
      <c r="AH542" s="211"/>
      <c r="AI542" s="211"/>
      <c r="AJ542" s="211"/>
      <c r="AK542" s="211"/>
      <c r="AL542" s="211"/>
      <c r="AM542" s="211"/>
      <c r="AN542" s="211"/>
      <c r="AO542" s="211"/>
      <c r="AP542" s="211"/>
      <c r="AQ542" s="211"/>
      <c r="AR542" s="211"/>
      <c r="AS542" s="211"/>
      <c r="AT542" s="211"/>
      <c r="AU542" s="211"/>
      <c r="AV542" s="211"/>
      <c r="AW542" s="211"/>
      <c r="AX542" s="211"/>
      <c r="AY542" s="211"/>
      <c r="AZ542" s="211"/>
    </row>
    <row r="543" spans="1:52" s="213" customFormat="1" x14ac:dyDescent="0.35">
      <c r="A543" s="211"/>
      <c r="B543" s="211"/>
      <c r="C543" s="211"/>
      <c r="D543" s="211"/>
      <c r="E543" s="211"/>
      <c r="F543" s="211"/>
      <c r="G543" s="211"/>
      <c r="H543" s="211"/>
      <c r="I543" s="212"/>
      <c r="J543" s="212"/>
      <c r="K543" s="212"/>
      <c r="L543" s="212"/>
      <c r="M543" s="212"/>
      <c r="N543" s="212"/>
      <c r="O543" s="212"/>
      <c r="P543" s="211"/>
      <c r="Q543" s="211"/>
      <c r="R543" s="211"/>
      <c r="S543" s="211"/>
      <c r="T543" s="211"/>
      <c r="U543" s="211"/>
      <c r="V543" s="211"/>
      <c r="W543" s="211"/>
      <c r="X543" s="211"/>
      <c r="Y543" s="211"/>
      <c r="Z543" s="211"/>
      <c r="AD543" s="211"/>
      <c r="AE543" s="211"/>
      <c r="AF543" s="211"/>
      <c r="AG543" s="211"/>
      <c r="AH543" s="211"/>
      <c r="AI543" s="211"/>
      <c r="AJ543" s="211"/>
      <c r="AK543" s="211"/>
      <c r="AL543" s="211"/>
      <c r="AM543" s="211"/>
      <c r="AN543" s="211"/>
      <c r="AO543" s="211"/>
      <c r="AP543" s="211"/>
      <c r="AQ543" s="211"/>
      <c r="AR543" s="211"/>
      <c r="AS543" s="211"/>
      <c r="AT543" s="211"/>
      <c r="AU543" s="211"/>
      <c r="AV543" s="211"/>
      <c r="AW543" s="211"/>
      <c r="AX543" s="211"/>
      <c r="AY543" s="211"/>
      <c r="AZ543" s="211"/>
    </row>
    <row r="544" spans="1:52" s="213" customFormat="1" x14ac:dyDescent="0.35">
      <c r="A544" s="211"/>
      <c r="B544" s="211"/>
      <c r="C544" s="211"/>
      <c r="D544" s="211"/>
      <c r="E544" s="211"/>
      <c r="F544" s="211"/>
      <c r="G544" s="211"/>
      <c r="H544" s="211"/>
      <c r="I544" s="212"/>
      <c r="J544" s="212"/>
      <c r="K544" s="212"/>
      <c r="L544" s="212"/>
      <c r="M544" s="212"/>
      <c r="N544" s="212"/>
      <c r="O544" s="212"/>
      <c r="P544" s="211"/>
      <c r="Q544" s="211"/>
      <c r="R544" s="211"/>
      <c r="S544" s="211"/>
      <c r="T544" s="211"/>
      <c r="U544" s="211"/>
      <c r="V544" s="211"/>
      <c r="W544" s="211"/>
      <c r="X544" s="211"/>
      <c r="Y544" s="211"/>
      <c r="Z544" s="211"/>
      <c r="AD544" s="211"/>
      <c r="AE544" s="211"/>
      <c r="AF544" s="211"/>
      <c r="AG544" s="211"/>
      <c r="AH544" s="211"/>
      <c r="AI544" s="211"/>
      <c r="AJ544" s="211"/>
      <c r="AK544" s="211"/>
      <c r="AL544" s="211"/>
      <c r="AM544" s="211"/>
      <c r="AN544" s="211"/>
      <c r="AO544" s="211"/>
      <c r="AP544" s="211"/>
      <c r="AQ544" s="211"/>
      <c r="AR544" s="211"/>
      <c r="AS544" s="211"/>
      <c r="AT544" s="211"/>
      <c r="AU544" s="211"/>
      <c r="AV544" s="211"/>
      <c r="AW544" s="211"/>
      <c r="AX544" s="211"/>
      <c r="AY544" s="211"/>
      <c r="AZ544" s="211"/>
    </row>
    <row r="545" spans="1:52" s="213" customFormat="1" x14ac:dyDescent="0.35">
      <c r="A545" s="211"/>
      <c r="B545" s="211"/>
      <c r="C545" s="211"/>
      <c r="D545" s="211"/>
      <c r="E545" s="211"/>
      <c r="F545" s="211"/>
      <c r="G545" s="211"/>
      <c r="H545" s="211"/>
      <c r="I545" s="212"/>
      <c r="J545" s="212"/>
      <c r="K545" s="212"/>
      <c r="L545" s="212"/>
      <c r="M545" s="212"/>
      <c r="N545" s="212"/>
      <c r="O545" s="212"/>
      <c r="P545" s="211"/>
      <c r="Q545" s="211"/>
      <c r="R545" s="211"/>
      <c r="S545" s="211"/>
      <c r="T545" s="211"/>
      <c r="U545" s="211"/>
      <c r="V545" s="211"/>
      <c r="W545" s="211"/>
      <c r="X545" s="211"/>
      <c r="Y545" s="211"/>
      <c r="Z545" s="211"/>
      <c r="AD545" s="211"/>
      <c r="AE545" s="211"/>
      <c r="AF545" s="211"/>
      <c r="AG545" s="211"/>
      <c r="AH545" s="211"/>
      <c r="AI545" s="211"/>
      <c r="AJ545" s="211"/>
      <c r="AK545" s="211"/>
      <c r="AL545" s="211"/>
      <c r="AM545" s="211"/>
      <c r="AN545" s="211"/>
      <c r="AO545" s="211"/>
      <c r="AP545" s="211"/>
      <c r="AQ545" s="211"/>
      <c r="AR545" s="211"/>
      <c r="AS545" s="211"/>
      <c r="AT545" s="211"/>
      <c r="AU545" s="211"/>
      <c r="AV545" s="211"/>
      <c r="AW545" s="211"/>
      <c r="AX545" s="211"/>
      <c r="AY545" s="211"/>
      <c r="AZ545" s="211"/>
    </row>
    <row r="546" spans="1:52" s="213" customFormat="1" x14ac:dyDescent="0.35">
      <c r="A546" s="211"/>
      <c r="B546" s="211"/>
      <c r="C546" s="211"/>
      <c r="D546" s="211"/>
      <c r="E546" s="211"/>
      <c r="F546" s="211"/>
      <c r="G546" s="211"/>
      <c r="H546" s="211"/>
      <c r="I546" s="212"/>
      <c r="J546" s="212"/>
      <c r="K546" s="212"/>
      <c r="L546" s="212"/>
      <c r="M546" s="212"/>
      <c r="N546" s="212"/>
      <c r="O546" s="212"/>
      <c r="P546" s="211"/>
      <c r="Q546" s="211"/>
      <c r="R546" s="211"/>
      <c r="S546" s="211"/>
      <c r="T546" s="211"/>
      <c r="U546" s="211"/>
      <c r="V546" s="211"/>
      <c r="W546" s="211"/>
      <c r="X546" s="211"/>
      <c r="Y546" s="211"/>
      <c r="Z546" s="211"/>
      <c r="AD546" s="211"/>
      <c r="AE546" s="211"/>
      <c r="AF546" s="211"/>
      <c r="AG546" s="211"/>
      <c r="AH546" s="211"/>
      <c r="AI546" s="211"/>
      <c r="AJ546" s="211"/>
      <c r="AK546" s="211"/>
      <c r="AL546" s="211"/>
      <c r="AM546" s="211"/>
      <c r="AN546" s="211"/>
      <c r="AO546" s="211"/>
      <c r="AP546" s="211"/>
      <c r="AQ546" s="211"/>
      <c r="AR546" s="211"/>
      <c r="AS546" s="211"/>
      <c r="AT546" s="211"/>
      <c r="AU546" s="211"/>
      <c r="AV546" s="211"/>
      <c r="AW546" s="211"/>
      <c r="AX546" s="211"/>
      <c r="AY546" s="211"/>
      <c r="AZ546" s="211"/>
    </row>
    <row r="547" spans="1:52" s="213" customFormat="1" x14ac:dyDescent="0.35">
      <c r="A547" s="211"/>
      <c r="B547" s="211"/>
      <c r="C547" s="211"/>
      <c r="D547" s="211"/>
      <c r="E547" s="211"/>
      <c r="F547" s="211"/>
      <c r="G547" s="211"/>
      <c r="H547" s="211"/>
      <c r="I547" s="212"/>
      <c r="J547" s="212"/>
      <c r="K547" s="212"/>
      <c r="L547" s="212"/>
      <c r="M547" s="212"/>
      <c r="N547" s="212"/>
      <c r="O547" s="212"/>
      <c r="P547" s="211"/>
      <c r="Q547" s="211"/>
      <c r="R547" s="211"/>
      <c r="S547" s="211"/>
      <c r="T547" s="211"/>
      <c r="U547" s="211"/>
      <c r="V547" s="211"/>
      <c r="W547" s="211"/>
      <c r="X547" s="211"/>
      <c r="Y547" s="211"/>
      <c r="Z547" s="211"/>
      <c r="AD547" s="211"/>
      <c r="AE547" s="211"/>
      <c r="AF547" s="211"/>
      <c r="AG547" s="211"/>
      <c r="AH547" s="211"/>
      <c r="AI547" s="211"/>
      <c r="AJ547" s="211"/>
      <c r="AK547" s="211"/>
      <c r="AL547" s="211"/>
      <c r="AM547" s="211"/>
      <c r="AN547" s="211"/>
      <c r="AO547" s="211"/>
      <c r="AP547" s="211"/>
      <c r="AQ547" s="211"/>
      <c r="AR547" s="211"/>
      <c r="AS547" s="211"/>
      <c r="AT547" s="211"/>
      <c r="AU547" s="211"/>
      <c r="AV547" s="211"/>
      <c r="AW547" s="211"/>
      <c r="AX547" s="211"/>
      <c r="AY547" s="211"/>
      <c r="AZ547" s="211"/>
    </row>
    <row r="548" spans="1:52" s="213" customFormat="1" x14ac:dyDescent="0.35">
      <c r="A548" s="211"/>
      <c r="B548" s="211"/>
      <c r="C548" s="211"/>
      <c r="D548" s="211"/>
      <c r="E548" s="211"/>
      <c r="F548" s="211"/>
      <c r="G548" s="211"/>
      <c r="H548" s="211"/>
      <c r="I548" s="212"/>
      <c r="J548" s="212"/>
      <c r="K548" s="212"/>
      <c r="L548" s="212"/>
      <c r="M548" s="212"/>
      <c r="N548" s="212"/>
      <c r="O548" s="212"/>
      <c r="P548" s="211"/>
      <c r="Q548" s="211"/>
      <c r="R548" s="211"/>
      <c r="S548" s="211"/>
      <c r="T548" s="211"/>
      <c r="U548" s="211"/>
      <c r="V548" s="211"/>
      <c r="W548" s="211"/>
      <c r="X548" s="211"/>
      <c r="Y548" s="211"/>
      <c r="Z548" s="211"/>
      <c r="AD548" s="211"/>
      <c r="AE548" s="211"/>
      <c r="AF548" s="211"/>
      <c r="AG548" s="211"/>
      <c r="AH548" s="211"/>
      <c r="AI548" s="211"/>
      <c r="AJ548" s="211"/>
      <c r="AK548" s="211"/>
      <c r="AL548" s="211"/>
      <c r="AM548" s="211"/>
      <c r="AN548" s="211"/>
      <c r="AO548" s="211"/>
      <c r="AP548" s="211"/>
      <c r="AQ548" s="211"/>
      <c r="AR548" s="211"/>
      <c r="AS548" s="211"/>
      <c r="AT548" s="211"/>
      <c r="AU548" s="211"/>
      <c r="AV548" s="211"/>
      <c r="AW548" s="211"/>
      <c r="AX548" s="211"/>
      <c r="AY548" s="211"/>
      <c r="AZ548" s="211"/>
    </row>
    <row r="549" spans="1:52" s="213" customFormat="1" x14ac:dyDescent="0.35">
      <c r="A549" s="211"/>
      <c r="B549" s="211"/>
      <c r="C549" s="211"/>
      <c r="D549" s="211"/>
      <c r="E549" s="211"/>
      <c r="F549" s="211"/>
      <c r="G549" s="211"/>
      <c r="H549" s="211"/>
      <c r="I549" s="212"/>
      <c r="J549" s="212"/>
      <c r="K549" s="212"/>
      <c r="L549" s="212"/>
      <c r="M549" s="212"/>
      <c r="N549" s="212"/>
      <c r="O549" s="212"/>
      <c r="P549" s="211"/>
      <c r="Q549" s="211"/>
      <c r="R549" s="211"/>
      <c r="S549" s="211"/>
      <c r="T549" s="211"/>
      <c r="U549" s="211"/>
      <c r="V549" s="211"/>
      <c r="W549" s="211"/>
      <c r="X549" s="211"/>
      <c r="Y549" s="211"/>
      <c r="Z549" s="211"/>
      <c r="AD549" s="211"/>
      <c r="AE549" s="211"/>
      <c r="AF549" s="211"/>
      <c r="AG549" s="211"/>
      <c r="AH549" s="211"/>
      <c r="AI549" s="211"/>
      <c r="AJ549" s="211"/>
      <c r="AK549" s="211"/>
      <c r="AL549" s="211"/>
      <c r="AM549" s="211"/>
      <c r="AN549" s="211"/>
      <c r="AO549" s="211"/>
      <c r="AP549" s="211"/>
      <c r="AQ549" s="211"/>
      <c r="AR549" s="211"/>
      <c r="AS549" s="211"/>
      <c r="AT549" s="211"/>
      <c r="AU549" s="211"/>
      <c r="AV549" s="211"/>
      <c r="AW549" s="211"/>
      <c r="AX549" s="211"/>
      <c r="AY549" s="211"/>
      <c r="AZ549" s="211"/>
    </row>
    <row r="550" spans="1:52" s="213" customFormat="1" x14ac:dyDescent="0.35">
      <c r="A550" s="211"/>
      <c r="B550" s="211"/>
      <c r="C550" s="211"/>
      <c r="D550" s="211"/>
      <c r="E550" s="211"/>
      <c r="F550" s="211"/>
      <c r="G550" s="211"/>
      <c r="H550" s="211"/>
      <c r="I550" s="212"/>
      <c r="J550" s="212"/>
      <c r="K550" s="212"/>
      <c r="L550" s="212"/>
      <c r="M550" s="212"/>
      <c r="N550" s="212"/>
      <c r="O550" s="212"/>
      <c r="P550" s="211"/>
      <c r="Q550" s="211"/>
      <c r="R550" s="211"/>
      <c r="S550" s="211"/>
      <c r="T550" s="211"/>
      <c r="U550" s="211"/>
      <c r="V550" s="211"/>
      <c r="W550" s="211"/>
      <c r="X550" s="211"/>
      <c r="Y550" s="211"/>
      <c r="Z550" s="211"/>
      <c r="AD550" s="211"/>
      <c r="AE550" s="211"/>
      <c r="AF550" s="211"/>
      <c r="AG550" s="211"/>
      <c r="AH550" s="211"/>
      <c r="AI550" s="211"/>
      <c r="AJ550" s="211"/>
      <c r="AK550" s="211"/>
      <c r="AL550" s="211"/>
      <c r="AM550" s="211"/>
      <c r="AN550" s="211"/>
      <c r="AO550" s="211"/>
      <c r="AP550" s="211"/>
      <c r="AQ550" s="211"/>
      <c r="AR550" s="211"/>
      <c r="AS550" s="211"/>
      <c r="AT550" s="211"/>
      <c r="AU550" s="211"/>
      <c r="AV550" s="211"/>
      <c r="AW550" s="211"/>
      <c r="AX550" s="211"/>
      <c r="AY550" s="211"/>
      <c r="AZ550" s="211"/>
    </row>
    <row r="551" spans="1:52" s="213" customFormat="1" x14ac:dyDescent="0.35">
      <c r="A551" s="211"/>
      <c r="B551" s="211"/>
      <c r="C551" s="211"/>
      <c r="D551" s="211"/>
      <c r="E551" s="211"/>
      <c r="F551" s="211"/>
      <c r="G551" s="211"/>
      <c r="H551" s="211"/>
      <c r="I551" s="212"/>
      <c r="J551" s="212"/>
      <c r="K551" s="212"/>
      <c r="L551" s="212"/>
      <c r="M551" s="212"/>
      <c r="N551" s="212"/>
      <c r="O551" s="212"/>
      <c r="P551" s="211"/>
      <c r="Q551" s="211"/>
      <c r="R551" s="211"/>
      <c r="S551" s="211"/>
      <c r="T551" s="211"/>
      <c r="U551" s="211"/>
      <c r="V551" s="211"/>
      <c r="W551" s="211"/>
      <c r="X551" s="211"/>
      <c r="Y551" s="211"/>
      <c r="Z551" s="211"/>
      <c r="AD551" s="211"/>
      <c r="AE551" s="211"/>
      <c r="AF551" s="211"/>
      <c r="AG551" s="211"/>
      <c r="AH551" s="211"/>
      <c r="AI551" s="211"/>
      <c r="AJ551" s="211"/>
      <c r="AK551" s="211"/>
      <c r="AL551" s="211"/>
      <c r="AM551" s="211"/>
      <c r="AN551" s="211"/>
      <c r="AO551" s="211"/>
      <c r="AP551" s="211"/>
      <c r="AQ551" s="211"/>
      <c r="AR551" s="211"/>
      <c r="AS551" s="211"/>
      <c r="AT551" s="211"/>
      <c r="AU551" s="211"/>
      <c r="AV551" s="211"/>
      <c r="AW551" s="211"/>
      <c r="AX551" s="211"/>
      <c r="AY551" s="211"/>
      <c r="AZ551" s="211"/>
    </row>
    <row r="552" spans="1:52" s="213" customFormat="1" x14ac:dyDescent="0.35">
      <c r="A552" s="211"/>
      <c r="B552" s="211"/>
      <c r="C552" s="211"/>
      <c r="D552" s="211"/>
      <c r="E552" s="211"/>
      <c r="F552" s="211"/>
      <c r="G552" s="211"/>
      <c r="H552" s="211"/>
      <c r="I552" s="212"/>
      <c r="J552" s="212"/>
      <c r="K552" s="212"/>
      <c r="L552" s="212"/>
      <c r="M552" s="212"/>
      <c r="N552" s="212"/>
      <c r="O552" s="212"/>
      <c r="P552" s="211"/>
      <c r="Q552" s="211"/>
      <c r="R552" s="211"/>
      <c r="S552" s="211"/>
      <c r="T552" s="211"/>
      <c r="U552" s="211"/>
      <c r="V552" s="211"/>
      <c r="W552" s="211"/>
      <c r="X552" s="211"/>
      <c r="Y552" s="211"/>
      <c r="Z552" s="211"/>
      <c r="AD552" s="211"/>
      <c r="AE552" s="211"/>
      <c r="AF552" s="211"/>
      <c r="AG552" s="211"/>
      <c r="AH552" s="211"/>
      <c r="AI552" s="211"/>
      <c r="AJ552" s="211"/>
      <c r="AK552" s="211"/>
      <c r="AL552" s="211"/>
      <c r="AM552" s="211"/>
      <c r="AN552" s="211"/>
      <c r="AO552" s="211"/>
      <c r="AP552" s="211"/>
      <c r="AQ552" s="211"/>
      <c r="AR552" s="211"/>
      <c r="AS552" s="211"/>
      <c r="AT552" s="211"/>
      <c r="AU552" s="211"/>
      <c r="AV552" s="211"/>
      <c r="AW552" s="211"/>
      <c r="AX552" s="211"/>
      <c r="AY552" s="211"/>
      <c r="AZ552" s="211"/>
    </row>
    <row r="553" spans="1:52" s="213" customFormat="1" x14ac:dyDescent="0.35">
      <c r="A553" s="211"/>
      <c r="B553" s="211"/>
      <c r="C553" s="211"/>
      <c r="D553" s="211"/>
      <c r="E553" s="211"/>
      <c r="F553" s="211"/>
      <c r="G553" s="211"/>
      <c r="H553" s="211"/>
      <c r="I553" s="212"/>
      <c r="J553" s="212"/>
      <c r="K553" s="212"/>
      <c r="L553" s="212"/>
      <c r="M553" s="212"/>
      <c r="N553" s="212"/>
      <c r="O553" s="212"/>
      <c r="P553" s="211"/>
      <c r="Q553" s="211"/>
      <c r="R553" s="211"/>
      <c r="S553" s="211"/>
      <c r="T553" s="211"/>
      <c r="U553" s="211"/>
      <c r="V553" s="211"/>
      <c r="W553" s="211"/>
      <c r="X553" s="211"/>
      <c r="Y553" s="211"/>
      <c r="Z553" s="211"/>
      <c r="AD553" s="211"/>
      <c r="AE553" s="211"/>
      <c r="AF553" s="211"/>
      <c r="AG553" s="211"/>
      <c r="AH553" s="211"/>
      <c r="AI553" s="211"/>
      <c r="AJ553" s="211"/>
      <c r="AK553" s="211"/>
      <c r="AL553" s="211"/>
      <c r="AM553" s="211"/>
      <c r="AN553" s="211"/>
      <c r="AO553" s="211"/>
      <c r="AP553" s="211"/>
      <c r="AQ553" s="211"/>
      <c r="AR553" s="211"/>
      <c r="AS553" s="211"/>
      <c r="AT553" s="211"/>
      <c r="AU553" s="211"/>
      <c r="AV553" s="211"/>
      <c r="AW553" s="211"/>
      <c r="AX553" s="211"/>
      <c r="AY553" s="211"/>
      <c r="AZ553" s="211"/>
    </row>
    <row r="554" spans="1:52" s="213" customFormat="1" x14ac:dyDescent="0.35">
      <c r="A554" s="211"/>
      <c r="B554" s="211"/>
      <c r="C554" s="211"/>
      <c r="D554" s="211"/>
      <c r="E554" s="211"/>
      <c r="F554" s="211"/>
      <c r="G554" s="211"/>
      <c r="H554" s="211"/>
      <c r="I554" s="212"/>
      <c r="J554" s="212"/>
      <c r="K554" s="212"/>
      <c r="L554" s="212"/>
      <c r="M554" s="212"/>
      <c r="N554" s="212"/>
      <c r="O554" s="212"/>
      <c r="P554" s="211"/>
      <c r="Q554" s="211"/>
      <c r="R554" s="211"/>
      <c r="S554" s="211"/>
      <c r="T554" s="211"/>
      <c r="U554" s="211"/>
      <c r="V554" s="211"/>
      <c r="W554" s="211"/>
      <c r="X554" s="211"/>
      <c r="Y554" s="211"/>
      <c r="Z554" s="211"/>
      <c r="AD554" s="211"/>
      <c r="AE554" s="211"/>
      <c r="AF554" s="211"/>
      <c r="AG554" s="211"/>
      <c r="AH554" s="211"/>
      <c r="AI554" s="211"/>
      <c r="AJ554" s="211"/>
      <c r="AK554" s="211"/>
      <c r="AL554" s="211"/>
      <c r="AM554" s="211"/>
      <c r="AN554" s="211"/>
      <c r="AO554" s="211"/>
      <c r="AP554" s="211"/>
      <c r="AQ554" s="211"/>
      <c r="AR554" s="211"/>
      <c r="AS554" s="211"/>
      <c r="AT554" s="211"/>
      <c r="AU554" s="211"/>
      <c r="AV554" s="211"/>
      <c r="AW554" s="211"/>
      <c r="AX554" s="211"/>
      <c r="AY554" s="211"/>
      <c r="AZ554" s="211"/>
    </row>
    <row r="555" spans="1:52" s="213" customFormat="1" x14ac:dyDescent="0.35">
      <c r="A555" s="211"/>
      <c r="B555" s="211"/>
      <c r="C555" s="211"/>
      <c r="D555" s="211"/>
      <c r="E555" s="211"/>
      <c r="F555" s="211"/>
      <c r="G555" s="211"/>
      <c r="H555" s="211"/>
      <c r="I555" s="212"/>
      <c r="J555" s="212"/>
      <c r="K555" s="212"/>
      <c r="L555" s="212"/>
      <c r="M555" s="212"/>
      <c r="N555" s="212"/>
      <c r="O555" s="212"/>
      <c r="P555" s="211"/>
      <c r="Q555" s="211"/>
      <c r="R555" s="211"/>
      <c r="S555" s="211"/>
      <c r="T555" s="211"/>
      <c r="U555" s="211"/>
      <c r="V555" s="211"/>
      <c r="W555" s="211"/>
      <c r="X555" s="211"/>
      <c r="Y555" s="211"/>
      <c r="Z555" s="211"/>
      <c r="AD555" s="211"/>
      <c r="AE555" s="211"/>
      <c r="AF555" s="211"/>
      <c r="AG555" s="211"/>
      <c r="AH555" s="211"/>
      <c r="AI555" s="211"/>
      <c r="AJ555" s="211"/>
      <c r="AK555" s="211"/>
      <c r="AL555" s="211"/>
      <c r="AM555" s="211"/>
      <c r="AN555" s="211"/>
      <c r="AO555" s="211"/>
      <c r="AP555" s="211"/>
      <c r="AQ555" s="211"/>
      <c r="AR555" s="211"/>
      <c r="AS555" s="211"/>
      <c r="AT555" s="211"/>
      <c r="AU555" s="211"/>
      <c r="AV555" s="211"/>
      <c r="AW555" s="211"/>
      <c r="AX555" s="211"/>
      <c r="AY555" s="211"/>
      <c r="AZ555" s="211"/>
    </row>
    <row r="556" spans="1:52" s="213" customFormat="1" x14ac:dyDescent="0.35">
      <c r="A556" s="211"/>
      <c r="B556" s="211"/>
      <c r="C556" s="211"/>
      <c r="D556" s="211"/>
      <c r="E556" s="211"/>
      <c r="F556" s="211"/>
      <c r="G556" s="211"/>
      <c r="H556" s="211"/>
      <c r="I556" s="212"/>
      <c r="J556" s="212"/>
      <c r="K556" s="212"/>
      <c r="L556" s="212"/>
      <c r="M556" s="212"/>
      <c r="N556" s="212"/>
      <c r="O556" s="212"/>
      <c r="P556" s="211"/>
      <c r="Q556" s="211"/>
      <c r="R556" s="211"/>
      <c r="S556" s="211"/>
      <c r="T556" s="211"/>
      <c r="U556" s="211"/>
      <c r="V556" s="211"/>
      <c r="W556" s="211"/>
      <c r="X556" s="211"/>
      <c r="Y556" s="211"/>
      <c r="Z556" s="211"/>
      <c r="AD556" s="211"/>
      <c r="AE556" s="211"/>
      <c r="AF556" s="211"/>
      <c r="AG556" s="211"/>
      <c r="AH556" s="211"/>
      <c r="AI556" s="211"/>
      <c r="AJ556" s="211"/>
      <c r="AK556" s="211"/>
      <c r="AL556" s="211"/>
      <c r="AM556" s="211"/>
      <c r="AN556" s="211"/>
      <c r="AO556" s="211"/>
      <c r="AP556" s="211"/>
      <c r="AQ556" s="211"/>
      <c r="AR556" s="211"/>
      <c r="AS556" s="211"/>
      <c r="AT556" s="211"/>
      <c r="AU556" s="211"/>
      <c r="AV556" s="211"/>
      <c r="AW556" s="211"/>
      <c r="AX556" s="211"/>
      <c r="AY556" s="211"/>
      <c r="AZ556" s="211"/>
    </row>
    <row r="557" spans="1:52" s="213" customFormat="1" x14ac:dyDescent="0.35">
      <c r="A557" s="211"/>
      <c r="B557" s="211"/>
      <c r="C557" s="211"/>
      <c r="D557" s="211"/>
      <c r="E557" s="211"/>
      <c r="F557" s="211"/>
      <c r="G557" s="211"/>
      <c r="H557" s="211"/>
      <c r="I557" s="212"/>
      <c r="J557" s="212"/>
      <c r="K557" s="212"/>
      <c r="L557" s="212"/>
      <c r="M557" s="212"/>
      <c r="N557" s="212"/>
      <c r="O557" s="212"/>
      <c r="P557" s="211"/>
      <c r="Q557" s="211"/>
      <c r="R557" s="211"/>
      <c r="S557" s="211"/>
      <c r="T557" s="211"/>
      <c r="U557" s="211"/>
      <c r="V557" s="211"/>
      <c r="W557" s="211"/>
      <c r="X557" s="211"/>
      <c r="Y557" s="211"/>
      <c r="Z557" s="211"/>
      <c r="AD557" s="211"/>
      <c r="AE557" s="211"/>
      <c r="AF557" s="211"/>
      <c r="AG557" s="211"/>
      <c r="AH557" s="211"/>
      <c r="AI557" s="211"/>
      <c r="AJ557" s="211"/>
      <c r="AK557" s="211"/>
      <c r="AL557" s="211"/>
      <c r="AM557" s="211"/>
      <c r="AN557" s="211"/>
      <c r="AO557" s="211"/>
      <c r="AP557" s="211"/>
      <c r="AQ557" s="211"/>
      <c r="AR557" s="211"/>
      <c r="AS557" s="211"/>
      <c r="AT557" s="211"/>
      <c r="AU557" s="211"/>
      <c r="AV557" s="211"/>
      <c r="AW557" s="211"/>
      <c r="AX557" s="211"/>
      <c r="AY557" s="211"/>
      <c r="AZ557" s="211"/>
    </row>
    <row r="558" spans="1:52" s="213" customFormat="1" x14ac:dyDescent="0.35">
      <c r="A558" s="211"/>
      <c r="B558" s="211"/>
      <c r="C558" s="211"/>
      <c r="D558" s="211"/>
      <c r="E558" s="211"/>
      <c r="F558" s="211"/>
      <c r="G558" s="211"/>
      <c r="H558" s="211"/>
      <c r="I558" s="212"/>
      <c r="J558" s="212"/>
      <c r="K558" s="212"/>
      <c r="L558" s="212"/>
      <c r="M558" s="212"/>
      <c r="N558" s="212"/>
      <c r="O558" s="212"/>
      <c r="P558" s="211"/>
      <c r="Q558" s="211"/>
      <c r="R558" s="211"/>
      <c r="S558" s="211"/>
      <c r="T558" s="211"/>
      <c r="U558" s="211"/>
      <c r="V558" s="211"/>
      <c r="W558" s="211"/>
      <c r="X558" s="211"/>
      <c r="Y558" s="211"/>
      <c r="Z558" s="211"/>
      <c r="AD558" s="211"/>
      <c r="AE558" s="211"/>
      <c r="AF558" s="211"/>
      <c r="AG558" s="211"/>
      <c r="AH558" s="211"/>
      <c r="AI558" s="211"/>
      <c r="AJ558" s="211"/>
      <c r="AK558" s="211"/>
      <c r="AL558" s="211"/>
      <c r="AM558" s="211"/>
      <c r="AN558" s="211"/>
      <c r="AO558" s="211"/>
      <c r="AP558" s="211"/>
      <c r="AQ558" s="211"/>
      <c r="AR558" s="211"/>
      <c r="AS558" s="211"/>
      <c r="AT558" s="211"/>
      <c r="AU558" s="211"/>
      <c r="AV558" s="211"/>
      <c r="AW558" s="211"/>
      <c r="AX558" s="211"/>
      <c r="AY558" s="211"/>
      <c r="AZ558" s="211"/>
    </row>
    <row r="559" spans="1:52" s="213" customFormat="1" x14ac:dyDescent="0.35">
      <c r="A559" s="211"/>
      <c r="B559" s="211"/>
      <c r="C559" s="211"/>
      <c r="D559" s="211"/>
      <c r="E559" s="211"/>
      <c r="F559" s="211"/>
      <c r="G559" s="211"/>
      <c r="H559" s="211"/>
      <c r="I559" s="212"/>
      <c r="J559" s="212"/>
      <c r="K559" s="212"/>
      <c r="L559" s="212"/>
      <c r="M559" s="212"/>
      <c r="N559" s="212"/>
      <c r="O559" s="212"/>
      <c r="P559" s="211"/>
      <c r="Q559" s="211"/>
      <c r="R559" s="211"/>
      <c r="S559" s="211"/>
      <c r="T559" s="211"/>
      <c r="U559" s="211"/>
      <c r="V559" s="211"/>
      <c r="W559" s="211"/>
      <c r="X559" s="211"/>
      <c r="Y559" s="211"/>
      <c r="Z559" s="211"/>
      <c r="AD559" s="211"/>
      <c r="AE559" s="211"/>
      <c r="AF559" s="211"/>
      <c r="AG559" s="211"/>
      <c r="AH559" s="211"/>
      <c r="AI559" s="211"/>
      <c r="AJ559" s="211"/>
      <c r="AK559" s="211"/>
      <c r="AL559" s="211"/>
      <c r="AM559" s="211"/>
      <c r="AN559" s="211"/>
      <c r="AO559" s="211"/>
      <c r="AP559" s="211"/>
      <c r="AQ559" s="211"/>
      <c r="AR559" s="211"/>
      <c r="AS559" s="211"/>
      <c r="AT559" s="211"/>
      <c r="AU559" s="211"/>
      <c r="AV559" s="211"/>
      <c r="AW559" s="211"/>
      <c r="AX559" s="211"/>
      <c r="AY559" s="211"/>
      <c r="AZ559" s="211"/>
    </row>
    <row r="560" spans="1:52" s="213" customFormat="1" x14ac:dyDescent="0.35">
      <c r="A560" s="211"/>
      <c r="B560" s="211"/>
      <c r="C560" s="211"/>
      <c r="D560" s="211"/>
      <c r="E560" s="211"/>
      <c r="F560" s="211"/>
      <c r="G560" s="211"/>
      <c r="H560" s="211"/>
      <c r="I560" s="212"/>
      <c r="J560" s="212"/>
      <c r="K560" s="212"/>
      <c r="L560" s="212"/>
      <c r="M560" s="212"/>
      <c r="N560" s="212"/>
      <c r="O560" s="212"/>
      <c r="P560" s="211"/>
      <c r="Q560" s="211"/>
      <c r="R560" s="211"/>
      <c r="S560" s="211"/>
      <c r="T560" s="211"/>
      <c r="U560" s="211"/>
      <c r="V560" s="211"/>
      <c r="W560" s="211"/>
      <c r="X560" s="211"/>
      <c r="Y560" s="211"/>
      <c r="Z560" s="211"/>
      <c r="AD560" s="211"/>
      <c r="AE560" s="211"/>
      <c r="AF560" s="211"/>
      <c r="AG560" s="211"/>
      <c r="AH560" s="211"/>
      <c r="AI560" s="211"/>
      <c r="AJ560" s="211"/>
      <c r="AK560" s="211"/>
      <c r="AL560" s="211"/>
      <c r="AM560" s="211"/>
      <c r="AN560" s="211"/>
      <c r="AO560" s="211"/>
      <c r="AP560" s="211"/>
      <c r="AQ560" s="211"/>
      <c r="AR560" s="211"/>
      <c r="AS560" s="211"/>
      <c r="AT560" s="211"/>
      <c r="AU560" s="211"/>
      <c r="AV560" s="211"/>
      <c r="AW560" s="211"/>
      <c r="AX560" s="211"/>
      <c r="AY560" s="211"/>
      <c r="AZ560" s="211"/>
    </row>
    <row r="561" spans="1:52" s="213" customFormat="1" x14ac:dyDescent="0.35">
      <c r="A561" s="211"/>
      <c r="B561" s="211"/>
      <c r="C561" s="211"/>
      <c r="D561" s="211"/>
      <c r="E561" s="211"/>
      <c r="F561" s="211"/>
      <c r="G561" s="211"/>
      <c r="H561" s="211"/>
      <c r="I561" s="212"/>
      <c r="J561" s="212"/>
      <c r="K561" s="212"/>
      <c r="L561" s="212"/>
      <c r="M561" s="212"/>
      <c r="N561" s="212"/>
      <c r="O561" s="212"/>
      <c r="P561" s="211"/>
      <c r="Q561" s="211"/>
      <c r="R561" s="211"/>
      <c r="S561" s="211"/>
      <c r="T561" s="211"/>
      <c r="U561" s="211"/>
      <c r="V561" s="211"/>
      <c r="W561" s="211"/>
      <c r="X561" s="211"/>
      <c r="Y561" s="211"/>
      <c r="Z561" s="211"/>
      <c r="AD561" s="211"/>
      <c r="AE561" s="211"/>
      <c r="AF561" s="211"/>
      <c r="AG561" s="211"/>
      <c r="AH561" s="211"/>
      <c r="AI561" s="211"/>
      <c r="AJ561" s="211"/>
      <c r="AK561" s="211"/>
      <c r="AL561" s="211"/>
      <c r="AM561" s="211"/>
      <c r="AN561" s="211"/>
      <c r="AO561" s="211"/>
      <c r="AP561" s="211"/>
      <c r="AQ561" s="211"/>
      <c r="AR561" s="211"/>
      <c r="AS561" s="211"/>
      <c r="AT561" s="211"/>
      <c r="AU561" s="211"/>
      <c r="AV561" s="211"/>
      <c r="AW561" s="211"/>
      <c r="AX561" s="211"/>
      <c r="AY561" s="211"/>
      <c r="AZ561" s="211"/>
    </row>
    <row r="562" spans="1:52" s="213" customFormat="1" x14ac:dyDescent="0.35">
      <c r="A562" s="211"/>
      <c r="B562" s="211"/>
      <c r="C562" s="211"/>
      <c r="D562" s="211"/>
      <c r="E562" s="211"/>
      <c r="F562" s="211"/>
      <c r="G562" s="211"/>
      <c r="H562" s="211"/>
      <c r="I562" s="212"/>
      <c r="J562" s="212"/>
      <c r="K562" s="212"/>
      <c r="L562" s="212"/>
      <c r="M562" s="212"/>
      <c r="N562" s="212"/>
      <c r="O562" s="212"/>
      <c r="P562" s="211"/>
      <c r="Q562" s="211"/>
      <c r="R562" s="211"/>
      <c r="S562" s="211"/>
      <c r="T562" s="211"/>
      <c r="U562" s="211"/>
      <c r="V562" s="211"/>
      <c r="W562" s="211"/>
      <c r="X562" s="211"/>
      <c r="Y562" s="211"/>
      <c r="Z562" s="211"/>
      <c r="AD562" s="211"/>
      <c r="AE562" s="211"/>
      <c r="AF562" s="211"/>
      <c r="AG562" s="211"/>
      <c r="AH562" s="211"/>
      <c r="AI562" s="211"/>
      <c r="AJ562" s="211"/>
      <c r="AK562" s="211"/>
      <c r="AL562" s="211"/>
      <c r="AM562" s="211"/>
      <c r="AN562" s="211"/>
      <c r="AO562" s="211"/>
      <c r="AP562" s="211"/>
      <c r="AQ562" s="211"/>
      <c r="AR562" s="211"/>
      <c r="AS562" s="211"/>
      <c r="AT562" s="211"/>
      <c r="AU562" s="211"/>
      <c r="AV562" s="211"/>
      <c r="AW562" s="211"/>
      <c r="AX562" s="211"/>
      <c r="AY562" s="211"/>
      <c r="AZ562" s="211"/>
    </row>
    <row r="563" spans="1:52" s="213" customFormat="1" x14ac:dyDescent="0.35">
      <c r="A563" s="211"/>
      <c r="B563" s="211"/>
      <c r="C563" s="211"/>
      <c r="D563" s="211"/>
      <c r="E563" s="211"/>
      <c r="F563" s="211"/>
      <c r="G563" s="211"/>
      <c r="H563" s="211"/>
      <c r="I563" s="212"/>
      <c r="J563" s="212"/>
      <c r="K563" s="212"/>
      <c r="L563" s="212"/>
      <c r="M563" s="212"/>
      <c r="N563" s="212"/>
      <c r="O563" s="212"/>
      <c r="P563" s="211"/>
      <c r="Q563" s="211"/>
      <c r="R563" s="211"/>
      <c r="S563" s="211"/>
      <c r="T563" s="211"/>
      <c r="U563" s="211"/>
      <c r="V563" s="211"/>
      <c r="W563" s="211"/>
      <c r="X563" s="211"/>
      <c r="Y563" s="211"/>
      <c r="Z563" s="211"/>
      <c r="AD563" s="211"/>
      <c r="AE563" s="211"/>
      <c r="AF563" s="211"/>
      <c r="AG563" s="211"/>
      <c r="AH563" s="211"/>
      <c r="AI563" s="211"/>
      <c r="AJ563" s="211"/>
      <c r="AK563" s="211"/>
      <c r="AL563" s="211"/>
      <c r="AM563" s="211"/>
      <c r="AN563" s="211"/>
      <c r="AO563" s="211"/>
      <c r="AP563" s="211"/>
      <c r="AQ563" s="211"/>
      <c r="AR563" s="211"/>
      <c r="AS563" s="211"/>
      <c r="AT563" s="211"/>
      <c r="AU563" s="211"/>
      <c r="AV563" s="211"/>
      <c r="AW563" s="211"/>
      <c r="AX563" s="211"/>
      <c r="AY563" s="211"/>
      <c r="AZ563" s="211"/>
    </row>
    <row r="564" spans="1:52" s="213" customFormat="1" x14ac:dyDescent="0.35">
      <c r="A564" s="211"/>
      <c r="B564" s="211"/>
      <c r="C564" s="211"/>
      <c r="D564" s="211"/>
      <c r="E564" s="211"/>
      <c r="F564" s="211"/>
      <c r="G564" s="211"/>
      <c r="H564" s="211"/>
      <c r="I564" s="212"/>
      <c r="J564" s="212"/>
      <c r="K564" s="212"/>
      <c r="L564" s="212"/>
      <c r="M564" s="212"/>
      <c r="N564" s="212"/>
      <c r="O564" s="212"/>
      <c r="P564" s="211"/>
      <c r="Q564" s="211"/>
      <c r="R564" s="211"/>
      <c r="S564" s="211"/>
      <c r="T564" s="211"/>
      <c r="U564" s="211"/>
      <c r="V564" s="211"/>
      <c r="W564" s="211"/>
      <c r="X564" s="211"/>
      <c r="Y564" s="211"/>
      <c r="Z564" s="211"/>
      <c r="AD564" s="211"/>
      <c r="AE564" s="211"/>
      <c r="AF564" s="211"/>
      <c r="AG564" s="211"/>
      <c r="AH564" s="211"/>
      <c r="AI564" s="211"/>
      <c r="AJ564" s="211"/>
      <c r="AK564" s="211"/>
      <c r="AL564" s="211"/>
      <c r="AM564" s="211"/>
      <c r="AN564" s="211"/>
      <c r="AO564" s="211"/>
      <c r="AP564" s="211"/>
      <c r="AQ564" s="211"/>
      <c r="AR564" s="211"/>
      <c r="AS564" s="211"/>
      <c r="AT564" s="211"/>
      <c r="AU564" s="211"/>
      <c r="AV564" s="211"/>
      <c r="AW564" s="211"/>
      <c r="AX564" s="211"/>
      <c r="AY564" s="211"/>
      <c r="AZ564" s="211"/>
    </row>
    <row r="565" spans="1:52" s="213" customFormat="1" x14ac:dyDescent="0.35">
      <c r="A565" s="211"/>
      <c r="B565" s="211"/>
      <c r="C565" s="211"/>
      <c r="D565" s="211"/>
      <c r="E565" s="211"/>
      <c r="F565" s="211"/>
      <c r="G565" s="211"/>
      <c r="H565" s="211"/>
      <c r="I565" s="212"/>
      <c r="J565" s="212"/>
      <c r="K565" s="212"/>
      <c r="L565" s="212"/>
      <c r="M565" s="212"/>
      <c r="N565" s="212"/>
      <c r="O565" s="212"/>
      <c r="P565" s="211"/>
      <c r="Q565" s="211"/>
      <c r="R565" s="211"/>
      <c r="S565" s="211"/>
      <c r="T565" s="211"/>
      <c r="U565" s="211"/>
      <c r="V565" s="211"/>
      <c r="W565" s="211"/>
      <c r="X565" s="211"/>
      <c r="Y565" s="211"/>
      <c r="Z565" s="211"/>
      <c r="AD565" s="211"/>
      <c r="AE565" s="211"/>
      <c r="AF565" s="211"/>
      <c r="AG565" s="211"/>
      <c r="AH565" s="211"/>
      <c r="AI565" s="211"/>
      <c r="AJ565" s="211"/>
      <c r="AK565" s="211"/>
      <c r="AL565" s="211"/>
      <c r="AM565" s="211"/>
      <c r="AN565" s="211"/>
      <c r="AO565" s="211"/>
      <c r="AP565" s="211"/>
      <c r="AQ565" s="211"/>
      <c r="AR565" s="211"/>
      <c r="AS565" s="211"/>
      <c r="AT565" s="211"/>
      <c r="AU565" s="211"/>
      <c r="AV565" s="211"/>
      <c r="AW565" s="211"/>
      <c r="AX565" s="211"/>
      <c r="AY565" s="211"/>
      <c r="AZ565" s="211"/>
    </row>
    <row r="566" spans="1:52" s="213" customFormat="1" x14ac:dyDescent="0.35">
      <c r="A566" s="211"/>
      <c r="B566" s="211"/>
      <c r="C566" s="211"/>
      <c r="D566" s="211"/>
      <c r="E566" s="211"/>
      <c r="F566" s="211"/>
      <c r="G566" s="211"/>
      <c r="H566" s="211"/>
      <c r="I566" s="212"/>
      <c r="J566" s="212"/>
      <c r="K566" s="212"/>
      <c r="L566" s="212"/>
      <c r="M566" s="212"/>
      <c r="N566" s="212"/>
      <c r="O566" s="212"/>
      <c r="P566" s="211"/>
      <c r="Q566" s="211"/>
      <c r="R566" s="211"/>
      <c r="S566" s="211"/>
      <c r="T566" s="211"/>
      <c r="U566" s="211"/>
      <c r="V566" s="211"/>
      <c r="W566" s="211"/>
      <c r="X566" s="211"/>
      <c r="Y566" s="211"/>
      <c r="Z566" s="211"/>
      <c r="AD566" s="211"/>
      <c r="AE566" s="211"/>
      <c r="AF566" s="211"/>
      <c r="AG566" s="211"/>
      <c r="AH566" s="211"/>
      <c r="AI566" s="211"/>
      <c r="AJ566" s="211"/>
      <c r="AK566" s="211"/>
      <c r="AL566" s="211"/>
      <c r="AM566" s="211"/>
      <c r="AN566" s="211"/>
      <c r="AO566" s="211"/>
      <c r="AP566" s="211"/>
      <c r="AQ566" s="211"/>
      <c r="AR566" s="211"/>
      <c r="AS566" s="211"/>
      <c r="AT566" s="211"/>
      <c r="AU566" s="211"/>
      <c r="AV566" s="211"/>
      <c r="AW566" s="211"/>
      <c r="AX566" s="211"/>
      <c r="AY566" s="211"/>
      <c r="AZ566" s="211"/>
    </row>
    <row r="567" spans="1:52" s="213" customFormat="1" x14ac:dyDescent="0.35">
      <c r="A567" s="211"/>
      <c r="B567" s="211"/>
      <c r="C567" s="211"/>
      <c r="D567" s="211"/>
      <c r="E567" s="211"/>
      <c r="F567" s="211"/>
      <c r="G567" s="211"/>
      <c r="H567" s="211"/>
      <c r="I567" s="212"/>
      <c r="J567" s="212"/>
      <c r="K567" s="212"/>
      <c r="L567" s="212"/>
      <c r="M567" s="212"/>
      <c r="N567" s="212"/>
      <c r="O567" s="212"/>
      <c r="P567" s="211"/>
      <c r="Q567" s="211"/>
      <c r="R567" s="211"/>
      <c r="S567" s="211"/>
      <c r="T567" s="211"/>
      <c r="U567" s="211"/>
      <c r="V567" s="211"/>
      <c r="W567" s="211"/>
      <c r="X567" s="211"/>
      <c r="Y567" s="211"/>
      <c r="Z567" s="211"/>
      <c r="AD567" s="211"/>
      <c r="AE567" s="211"/>
      <c r="AF567" s="211"/>
      <c r="AG567" s="211"/>
      <c r="AH567" s="211"/>
      <c r="AI567" s="211"/>
      <c r="AJ567" s="211"/>
      <c r="AK567" s="211"/>
      <c r="AL567" s="211"/>
      <c r="AM567" s="211"/>
      <c r="AN567" s="211"/>
      <c r="AO567" s="211"/>
      <c r="AP567" s="211"/>
      <c r="AQ567" s="211"/>
      <c r="AR567" s="211"/>
      <c r="AS567" s="211"/>
      <c r="AT567" s="211"/>
      <c r="AU567" s="211"/>
      <c r="AV567" s="211"/>
      <c r="AW567" s="211"/>
      <c r="AX567" s="211"/>
      <c r="AY567" s="211"/>
      <c r="AZ567" s="211"/>
    </row>
    <row r="568" spans="1:52" s="213" customFormat="1" x14ac:dyDescent="0.35">
      <c r="A568" s="211"/>
      <c r="B568" s="211"/>
      <c r="C568" s="211"/>
      <c r="D568" s="211"/>
      <c r="E568" s="211"/>
      <c r="F568" s="211"/>
      <c r="G568" s="211"/>
      <c r="H568" s="211"/>
      <c r="I568" s="212"/>
      <c r="J568" s="212"/>
      <c r="K568" s="212"/>
      <c r="L568" s="212"/>
      <c r="M568" s="212"/>
      <c r="N568" s="212"/>
      <c r="O568" s="212"/>
      <c r="P568" s="211"/>
      <c r="Q568" s="211"/>
      <c r="R568" s="211"/>
      <c r="S568" s="211"/>
      <c r="T568" s="211"/>
      <c r="U568" s="211"/>
      <c r="V568" s="211"/>
      <c r="W568" s="211"/>
      <c r="X568" s="211"/>
      <c r="Y568" s="211"/>
      <c r="Z568" s="211"/>
      <c r="AD568" s="211"/>
      <c r="AE568" s="211"/>
      <c r="AF568" s="211"/>
      <c r="AG568" s="211"/>
      <c r="AH568" s="211"/>
      <c r="AI568" s="211"/>
      <c r="AJ568" s="211"/>
      <c r="AK568" s="211"/>
      <c r="AL568" s="211"/>
      <c r="AM568" s="211"/>
      <c r="AN568" s="211"/>
      <c r="AO568" s="211"/>
      <c r="AP568" s="211"/>
      <c r="AQ568" s="211"/>
      <c r="AR568" s="211"/>
      <c r="AS568" s="211"/>
      <c r="AT568" s="211"/>
      <c r="AU568" s="211"/>
      <c r="AV568" s="211"/>
      <c r="AW568" s="211"/>
      <c r="AX568" s="211"/>
      <c r="AY568" s="211"/>
      <c r="AZ568" s="211"/>
    </row>
    <row r="569" spans="1:52" s="213" customFormat="1" x14ac:dyDescent="0.35">
      <c r="A569" s="211"/>
      <c r="B569" s="211"/>
      <c r="C569" s="211"/>
      <c r="D569" s="211"/>
      <c r="E569" s="211"/>
      <c r="F569" s="211"/>
      <c r="G569" s="211"/>
      <c r="H569" s="211"/>
      <c r="I569" s="212"/>
      <c r="J569" s="212"/>
      <c r="K569" s="212"/>
      <c r="L569" s="212"/>
      <c r="M569" s="212"/>
      <c r="N569" s="212"/>
      <c r="O569" s="212"/>
      <c r="P569" s="211"/>
      <c r="Q569" s="211"/>
      <c r="R569" s="211"/>
      <c r="S569" s="211"/>
      <c r="T569" s="211"/>
      <c r="U569" s="211"/>
      <c r="V569" s="211"/>
      <c r="W569" s="211"/>
      <c r="X569" s="211"/>
      <c r="Y569" s="211"/>
      <c r="Z569" s="211"/>
      <c r="AD569" s="211"/>
      <c r="AE569" s="211"/>
      <c r="AF569" s="211"/>
      <c r="AG569" s="211"/>
      <c r="AH569" s="211"/>
      <c r="AI569" s="211"/>
      <c r="AJ569" s="211"/>
      <c r="AK569" s="211"/>
      <c r="AL569" s="211"/>
      <c r="AM569" s="211"/>
      <c r="AN569" s="211"/>
      <c r="AO569" s="211"/>
      <c r="AP569" s="211"/>
      <c r="AQ569" s="211"/>
      <c r="AR569" s="211"/>
      <c r="AS569" s="211"/>
      <c r="AT569" s="211"/>
      <c r="AU569" s="211"/>
      <c r="AV569" s="211"/>
      <c r="AW569" s="211"/>
      <c r="AX569" s="211"/>
      <c r="AY569" s="211"/>
      <c r="AZ569" s="211"/>
    </row>
    <row r="570" spans="1:52" s="213" customFormat="1" x14ac:dyDescent="0.35">
      <c r="A570" s="211"/>
      <c r="B570" s="211"/>
      <c r="C570" s="211"/>
      <c r="D570" s="211"/>
      <c r="E570" s="211"/>
      <c r="F570" s="211"/>
      <c r="G570" s="211"/>
      <c r="H570" s="211"/>
      <c r="I570" s="212"/>
      <c r="J570" s="212"/>
      <c r="K570" s="212"/>
      <c r="L570" s="212"/>
      <c r="M570" s="212"/>
      <c r="N570" s="212"/>
      <c r="O570" s="212"/>
      <c r="P570" s="211"/>
      <c r="Q570" s="211"/>
      <c r="R570" s="211"/>
      <c r="S570" s="211"/>
      <c r="T570" s="211"/>
      <c r="U570" s="211"/>
      <c r="V570" s="211"/>
      <c r="W570" s="211"/>
      <c r="X570" s="211"/>
      <c r="Y570" s="211"/>
      <c r="Z570" s="211"/>
      <c r="AD570" s="211"/>
      <c r="AE570" s="211"/>
      <c r="AF570" s="211"/>
      <c r="AG570" s="211"/>
      <c r="AH570" s="211"/>
      <c r="AI570" s="211"/>
      <c r="AJ570" s="211"/>
      <c r="AK570" s="211"/>
      <c r="AL570" s="211"/>
      <c r="AM570" s="211"/>
      <c r="AN570" s="211"/>
      <c r="AO570" s="211"/>
      <c r="AP570" s="211"/>
      <c r="AQ570" s="211"/>
      <c r="AR570" s="211"/>
      <c r="AS570" s="211"/>
      <c r="AT570" s="211"/>
      <c r="AU570" s="211"/>
      <c r="AV570" s="211"/>
      <c r="AW570" s="211"/>
      <c r="AX570" s="211"/>
      <c r="AY570" s="211"/>
      <c r="AZ570" s="211"/>
    </row>
    <row r="571" spans="1:52" s="213" customFormat="1" x14ac:dyDescent="0.35">
      <c r="A571" s="211"/>
      <c r="B571" s="211"/>
      <c r="C571" s="211"/>
      <c r="D571" s="211"/>
      <c r="E571" s="211"/>
      <c r="F571" s="211"/>
      <c r="G571" s="211"/>
      <c r="H571" s="211"/>
      <c r="I571" s="212"/>
      <c r="J571" s="212"/>
      <c r="K571" s="212"/>
      <c r="L571" s="212"/>
      <c r="M571" s="212"/>
      <c r="N571" s="212"/>
      <c r="O571" s="212"/>
      <c r="P571" s="211"/>
      <c r="Q571" s="211"/>
      <c r="R571" s="211"/>
      <c r="S571" s="211"/>
      <c r="T571" s="211"/>
      <c r="U571" s="211"/>
      <c r="V571" s="211"/>
      <c r="W571" s="211"/>
      <c r="X571" s="211"/>
      <c r="Y571" s="211"/>
      <c r="Z571" s="211"/>
      <c r="AD571" s="211"/>
      <c r="AE571" s="211"/>
      <c r="AF571" s="211"/>
      <c r="AG571" s="211"/>
      <c r="AH571" s="211"/>
      <c r="AI571" s="211"/>
      <c r="AJ571" s="211"/>
      <c r="AK571" s="211"/>
      <c r="AL571" s="211"/>
      <c r="AM571" s="211"/>
      <c r="AN571" s="211"/>
      <c r="AO571" s="211"/>
      <c r="AP571" s="211"/>
      <c r="AQ571" s="211"/>
      <c r="AR571" s="211"/>
      <c r="AS571" s="211"/>
      <c r="AT571" s="211"/>
      <c r="AU571" s="211"/>
      <c r="AV571" s="211"/>
      <c r="AW571" s="211"/>
      <c r="AX571" s="211"/>
      <c r="AY571" s="211"/>
      <c r="AZ571" s="211"/>
    </row>
    <row r="572" spans="1:52" s="213" customFormat="1" x14ac:dyDescent="0.35">
      <c r="A572" s="211"/>
      <c r="B572" s="211"/>
      <c r="C572" s="211"/>
      <c r="D572" s="211"/>
      <c r="E572" s="211"/>
      <c r="F572" s="211"/>
      <c r="G572" s="211"/>
      <c r="H572" s="211"/>
      <c r="I572" s="212"/>
      <c r="J572" s="212"/>
      <c r="K572" s="212"/>
      <c r="L572" s="212"/>
      <c r="M572" s="212"/>
      <c r="N572" s="212"/>
      <c r="O572" s="212"/>
      <c r="P572" s="211"/>
      <c r="Q572" s="211"/>
      <c r="R572" s="211"/>
      <c r="S572" s="211"/>
      <c r="T572" s="211"/>
      <c r="U572" s="211"/>
      <c r="V572" s="211"/>
      <c r="W572" s="211"/>
      <c r="X572" s="211"/>
      <c r="Y572" s="211"/>
      <c r="Z572" s="211"/>
      <c r="AD572" s="211"/>
      <c r="AE572" s="211"/>
      <c r="AF572" s="211"/>
      <c r="AG572" s="211"/>
      <c r="AH572" s="211"/>
      <c r="AI572" s="211"/>
      <c r="AJ572" s="211"/>
      <c r="AK572" s="211"/>
      <c r="AL572" s="211"/>
      <c r="AM572" s="211"/>
      <c r="AN572" s="211"/>
      <c r="AO572" s="211"/>
      <c r="AP572" s="211"/>
      <c r="AQ572" s="211"/>
      <c r="AR572" s="211"/>
      <c r="AS572" s="211"/>
      <c r="AT572" s="211"/>
      <c r="AU572" s="211"/>
      <c r="AV572" s="211"/>
      <c r="AW572" s="211"/>
      <c r="AX572" s="211"/>
      <c r="AY572" s="211"/>
      <c r="AZ572" s="211"/>
    </row>
    <row r="573" spans="1:52" s="213" customFormat="1" x14ac:dyDescent="0.35">
      <c r="A573" s="211"/>
      <c r="B573" s="211"/>
      <c r="C573" s="211"/>
      <c r="D573" s="211"/>
      <c r="E573" s="211"/>
      <c r="F573" s="211"/>
      <c r="G573" s="211"/>
      <c r="H573" s="211"/>
      <c r="I573" s="212"/>
      <c r="J573" s="212"/>
      <c r="K573" s="212"/>
      <c r="L573" s="212"/>
      <c r="M573" s="212"/>
      <c r="N573" s="212"/>
      <c r="O573" s="212"/>
      <c r="P573" s="211"/>
      <c r="Q573" s="211"/>
      <c r="R573" s="211"/>
      <c r="S573" s="211"/>
      <c r="T573" s="211"/>
      <c r="U573" s="211"/>
      <c r="V573" s="211"/>
      <c r="W573" s="211"/>
      <c r="X573" s="211"/>
      <c r="Y573" s="211"/>
      <c r="Z573" s="211"/>
      <c r="AD573" s="211"/>
      <c r="AE573" s="211"/>
      <c r="AF573" s="211"/>
      <c r="AG573" s="211"/>
      <c r="AH573" s="211"/>
      <c r="AI573" s="211"/>
      <c r="AJ573" s="211"/>
      <c r="AK573" s="211"/>
      <c r="AL573" s="211"/>
      <c r="AM573" s="211"/>
      <c r="AN573" s="211"/>
      <c r="AO573" s="211"/>
      <c r="AP573" s="211"/>
      <c r="AQ573" s="211"/>
      <c r="AR573" s="211"/>
      <c r="AS573" s="211"/>
      <c r="AT573" s="211"/>
      <c r="AU573" s="211"/>
      <c r="AV573" s="211"/>
      <c r="AW573" s="211"/>
      <c r="AX573" s="211"/>
      <c r="AY573" s="211"/>
      <c r="AZ573" s="211"/>
    </row>
    <row r="574" spans="1:52" s="213" customFormat="1" x14ac:dyDescent="0.35">
      <c r="A574" s="211"/>
      <c r="B574" s="211"/>
      <c r="C574" s="211"/>
      <c r="D574" s="211"/>
      <c r="E574" s="211"/>
      <c r="F574" s="211"/>
      <c r="G574" s="211"/>
      <c r="H574" s="211"/>
      <c r="I574" s="212"/>
      <c r="J574" s="212"/>
      <c r="K574" s="212"/>
      <c r="L574" s="212"/>
      <c r="M574" s="212"/>
      <c r="N574" s="212"/>
      <c r="O574" s="212"/>
      <c r="P574" s="211"/>
      <c r="Q574" s="211"/>
      <c r="R574" s="211"/>
      <c r="S574" s="211"/>
      <c r="T574" s="211"/>
      <c r="U574" s="211"/>
      <c r="V574" s="211"/>
      <c r="W574" s="211"/>
      <c r="X574" s="211"/>
      <c r="Y574" s="211"/>
      <c r="Z574" s="211"/>
      <c r="AD574" s="211"/>
      <c r="AE574" s="211"/>
      <c r="AF574" s="211"/>
      <c r="AG574" s="211"/>
      <c r="AH574" s="211"/>
      <c r="AI574" s="211"/>
      <c r="AJ574" s="211"/>
      <c r="AK574" s="211"/>
      <c r="AL574" s="211"/>
      <c r="AM574" s="211"/>
      <c r="AN574" s="211"/>
      <c r="AO574" s="211"/>
      <c r="AP574" s="211"/>
      <c r="AQ574" s="211"/>
      <c r="AR574" s="211"/>
      <c r="AS574" s="211"/>
      <c r="AT574" s="211"/>
      <c r="AU574" s="211"/>
      <c r="AV574" s="211"/>
      <c r="AW574" s="211"/>
      <c r="AX574" s="211"/>
      <c r="AY574" s="211"/>
      <c r="AZ574" s="211"/>
    </row>
    <row r="575" spans="1:52" s="213" customFormat="1" x14ac:dyDescent="0.35">
      <c r="A575" s="211"/>
      <c r="B575" s="211"/>
      <c r="C575" s="211"/>
      <c r="D575" s="211"/>
      <c r="E575" s="211"/>
      <c r="F575" s="211"/>
      <c r="G575" s="211"/>
      <c r="H575" s="211"/>
      <c r="I575" s="212"/>
      <c r="J575" s="212"/>
      <c r="K575" s="212"/>
      <c r="L575" s="212"/>
      <c r="M575" s="212"/>
      <c r="N575" s="212"/>
      <c r="O575" s="212"/>
      <c r="P575" s="211"/>
      <c r="Q575" s="211"/>
      <c r="R575" s="211"/>
      <c r="S575" s="211"/>
      <c r="T575" s="211"/>
      <c r="U575" s="211"/>
      <c r="V575" s="211"/>
      <c r="W575" s="211"/>
      <c r="X575" s="211"/>
      <c r="Y575" s="211"/>
      <c r="Z575" s="211"/>
      <c r="AD575" s="211"/>
      <c r="AE575" s="211"/>
      <c r="AF575" s="211"/>
      <c r="AG575" s="211"/>
      <c r="AH575" s="211"/>
      <c r="AI575" s="211"/>
      <c r="AJ575" s="211"/>
      <c r="AK575" s="211"/>
      <c r="AL575" s="211"/>
      <c r="AM575" s="211"/>
      <c r="AN575" s="211"/>
      <c r="AO575" s="211"/>
      <c r="AP575" s="211"/>
      <c r="AQ575" s="211"/>
      <c r="AR575" s="211"/>
      <c r="AS575" s="211"/>
      <c r="AT575" s="211"/>
      <c r="AU575" s="211"/>
      <c r="AV575" s="211"/>
      <c r="AW575" s="211"/>
      <c r="AX575" s="211"/>
      <c r="AY575" s="211"/>
      <c r="AZ575" s="211"/>
    </row>
    <row r="576" spans="1:52" s="213" customFormat="1" x14ac:dyDescent="0.35">
      <c r="A576" s="211"/>
      <c r="B576" s="211"/>
      <c r="C576" s="211"/>
      <c r="D576" s="211"/>
      <c r="E576" s="211"/>
      <c r="F576" s="211"/>
      <c r="G576" s="211"/>
      <c r="H576" s="211"/>
      <c r="I576" s="212"/>
      <c r="J576" s="212"/>
      <c r="K576" s="212"/>
      <c r="L576" s="212"/>
      <c r="M576" s="212"/>
      <c r="N576" s="212"/>
      <c r="O576" s="212"/>
      <c r="P576" s="211"/>
      <c r="Q576" s="211"/>
      <c r="R576" s="211"/>
      <c r="S576" s="211"/>
      <c r="T576" s="211"/>
      <c r="U576" s="211"/>
      <c r="V576" s="211"/>
      <c r="W576" s="211"/>
      <c r="X576" s="211"/>
      <c r="Y576" s="211"/>
      <c r="Z576" s="211"/>
      <c r="AD576" s="211"/>
      <c r="AE576" s="211"/>
      <c r="AF576" s="211"/>
      <c r="AG576" s="211"/>
      <c r="AH576" s="211"/>
      <c r="AI576" s="211"/>
      <c r="AJ576" s="211"/>
      <c r="AK576" s="211"/>
      <c r="AL576" s="211"/>
      <c r="AM576" s="211"/>
      <c r="AN576" s="211"/>
      <c r="AO576" s="211"/>
      <c r="AP576" s="211"/>
      <c r="AQ576" s="211"/>
      <c r="AR576" s="211"/>
      <c r="AS576" s="211"/>
      <c r="AT576" s="211"/>
      <c r="AU576" s="211"/>
      <c r="AV576" s="211"/>
      <c r="AW576" s="211"/>
      <c r="AX576" s="211"/>
      <c r="AY576" s="211"/>
      <c r="AZ576" s="211"/>
    </row>
    <row r="577" spans="1:52" s="213" customFormat="1" x14ac:dyDescent="0.35">
      <c r="A577" s="211"/>
      <c r="B577" s="211"/>
      <c r="C577" s="211"/>
      <c r="D577" s="211"/>
      <c r="E577" s="211"/>
      <c r="F577" s="211"/>
      <c r="G577" s="211"/>
      <c r="H577" s="211"/>
      <c r="I577" s="212"/>
      <c r="J577" s="212"/>
      <c r="K577" s="212"/>
      <c r="L577" s="212"/>
      <c r="M577" s="212"/>
      <c r="N577" s="212"/>
      <c r="O577" s="212"/>
      <c r="P577" s="211"/>
      <c r="Q577" s="211"/>
      <c r="R577" s="211"/>
      <c r="S577" s="211"/>
      <c r="T577" s="211"/>
      <c r="U577" s="211"/>
      <c r="V577" s="211"/>
      <c r="W577" s="211"/>
      <c r="X577" s="211"/>
      <c r="Y577" s="211"/>
      <c r="Z577" s="211"/>
      <c r="AD577" s="211"/>
      <c r="AE577" s="211"/>
      <c r="AF577" s="211"/>
      <c r="AG577" s="211"/>
      <c r="AH577" s="211"/>
      <c r="AI577" s="211"/>
      <c r="AJ577" s="211"/>
      <c r="AK577" s="211"/>
      <c r="AL577" s="211"/>
      <c r="AM577" s="211"/>
      <c r="AN577" s="211"/>
      <c r="AO577" s="211"/>
      <c r="AP577" s="211"/>
      <c r="AQ577" s="211"/>
      <c r="AR577" s="211"/>
      <c r="AS577" s="211"/>
      <c r="AT577" s="211"/>
      <c r="AU577" s="211"/>
      <c r="AV577" s="211"/>
      <c r="AW577" s="211"/>
      <c r="AX577" s="211"/>
      <c r="AY577" s="211"/>
      <c r="AZ577" s="211"/>
    </row>
    <row r="578" spans="1:52" s="213" customFormat="1" x14ac:dyDescent="0.35">
      <c r="A578" s="211"/>
      <c r="B578" s="211"/>
      <c r="C578" s="211"/>
      <c r="D578" s="211"/>
      <c r="E578" s="211"/>
      <c r="F578" s="211"/>
      <c r="G578" s="211"/>
      <c r="H578" s="211"/>
      <c r="I578" s="212"/>
      <c r="J578" s="212"/>
      <c r="K578" s="212"/>
      <c r="L578" s="212"/>
      <c r="M578" s="212"/>
      <c r="N578" s="212"/>
      <c r="O578" s="212"/>
      <c r="P578" s="211"/>
      <c r="Q578" s="211"/>
      <c r="R578" s="211"/>
      <c r="S578" s="211"/>
      <c r="T578" s="211"/>
      <c r="U578" s="211"/>
      <c r="V578" s="211"/>
      <c r="W578" s="211"/>
      <c r="X578" s="211"/>
      <c r="Y578" s="211"/>
      <c r="Z578" s="211"/>
      <c r="AD578" s="211"/>
      <c r="AE578" s="211"/>
      <c r="AF578" s="211"/>
      <c r="AG578" s="211"/>
      <c r="AH578" s="211"/>
      <c r="AI578" s="211"/>
      <c r="AJ578" s="211"/>
      <c r="AK578" s="211"/>
      <c r="AL578" s="211"/>
      <c r="AM578" s="211"/>
      <c r="AN578" s="211"/>
      <c r="AO578" s="211"/>
      <c r="AP578" s="211"/>
      <c r="AQ578" s="211"/>
      <c r="AR578" s="211"/>
      <c r="AS578" s="211"/>
      <c r="AT578" s="211"/>
      <c r="AU578" s="211"/>
      <c r="AV578" s="211"/>
      <c r="AW578" s="211"/>
      <c r="AX578" s="211"/>
      <c r="AY578" s="211"/>
      <c r="AZ578" s="211"/>
    </row>
    <row r="579" spans="1:52" s="213" customFormat="1" x14ac:dyDescent="0.35">
      <c r="A579" s="211"/>
      <c r="B579" s="211"/>
      <c r="C579" s="211"/>
      <c r="D579" s="211"/>
      <c r="E579" s="211"/>
      <c r="F579" s="211"/>
      <c r="G579" s="211"/>
      <c r="H579" s="211"/>
      <c r="I579" s="212"/>
      <c r="J579" s="212"/>
      <c r="K579" s="212"/>
      <c r="L579" s="212"/>
      <c r="M579" s="212"/>
      <c r="N579" s="212"/>
      <c r="O579" s="212"/>
      <c r="P579" s="211"/>
      <c r="Q579" s="211"/>
      <c r="R579" s="211"/>
      <c r="S579" s="211"/>
      <c r="T579" s="211"/>
      <c r="U579" s="211"/>
      <c r="V579" s="211"/>
      <c r="W579" s="211"/>
      <c r="X579" s="211"/>
      <c r="Y579" s="211"/>
      <c r="Z579" s="211"/>
      <c r="AD579" s="211"/>
      <c r="AE579" s="211"/>
      <c r="AF579" s="211"/>
      <c r="AG579" s="211"/>
      <c r="AH579" s="211"/>
      <c r="AI579" s="211"/>
      <c r="AJ579" s="211"/>
      <c r="AK579" s="211"/>
      <c r="AL579" s="211"/>
      <c r="AM579" s="211"/>
      <c r="AN579" s="211"/>
      <c r="AO579" s="211"/>
      <c r="AP579" s="211"/>
      <c r="AQ579" s="211"/>
      <c r="AR579" s="211"/>
      <c r="AS579" s="211"/>
      <c r="AT579" s="211"/>
      <c r="AU579" s="211"/>
      <c r="AV579" s="211"/>
      <c r="AW579" s="211"/>
      <c r="AX579" s="211"/>
      <c r="AY579" s="211"/>
      <c r="AZ579" s="211"/>
    </row>
    <row r="580" spans="1:52" s="213" customFormat="1" x14ac:dyDescent="0.35">
      <c r="A580" s="211"/>
      <c r="B580" s="211"/>
      <c r="C580" s="211"/>
      <c r="D580" s="211"/>
      <c r="E580" s="211"/>
      <c r="F580" s="211"/>
      <c r="G580" s="211"/>
      <c r="H580" s="211"/>
      <c r="I580" s="212"/>
      <c r="J580" s="212"/>
      <c r="K580" s="212"/>
      <c r="L580" s="212"/>
      <c r="M580" s="212"/>
      <c r="N580" s="212"/>
      <c r="O580" s="212"/>
      <c r="P580" s="211"/>
      <c r="Q580" s="211"/>
      <c r="R580" s="211"/>
      <c r="S580" s="211"/>
      <c r="T580" s="211"/>
      <c r="U580" s="211"/>
      <c r="V580" s="211"/>
      <c r="W580" s="211"/>
      <c r="X580" s="211"/>
      <c r="Y580" s="211"/>
      <c r="Z580" s="211"/>
      <c r="AD580" s="211"/>
      <c r="AE580" s="211"/>
      <c r="AF580" s="211"/>
      <c r="AG580" s="211"/>
      <c r="AH580" s="211"/>
      <c r="AI580" s="211"/>
      <c r="AJ580" s="211"/>
      <c r="AK580" s="211"/>
      <c r="AL580" s="211"/>
      <c r="AM580" s="211"/>
      <c r="AN580" s="211"/>
      <c r="AO580" s="211"/>
      <c r="AP580" s="211"/>
      <c r="AQ580" s="211"/>
      <c r="AR580" s="211"/>
      <c r="AS580" s="211"/>
      <c r="AT580" s="211"/>
      <c r="AU580" s="211"/>
      <c r="AV580" s="211"/>
      <c r="AW580" s="211"/>
      <c r="AX580" s="211"/>
      <c r="AY580" s="211"/>
      <c r="AZ580" s="211"/>
    </row>
    <row r="581" spans="1:52" s="213" customFormat="1" x14ac:dyDescent="0.35">
      <c r="A581" s="211"/>
      <c r="B581" s="211"/>
      <c r="C581" s="211"/>
      <c r="D581" s="211"/>
      <c r="E581" s="211"/>
      <c r="F581" s="211"/>
      <c r="G581" s="211"/>
      <c r="H581" s="211"/>
      <c r="I581" s="212"/>
      <c r="J581" s="212"/>
      <c r="K581" s="212"/>
      <c r="L581" s="212"/>
      <c r="M581" s="212"/>
      <c r="N581" s="212"/>
      <c r="O581" s="212"/>
      <c r="P581" s="211"/>
      <c r="Q581" s="211"/>
      <c r="R581" s="211"/>
      <c r="S581" s="211"/>
      <c r="T581" s="211"/>
      <c r="U581" s="211"/>
      <c r="V581" s="211"/>
      <c r="W581" s="211"/>
      <c r="X581" s="211"/>
      <c r="Y581" s="211"/>
      <c r="Z581" s="211"/>
      <c r="AD581" s="211"/>
      <c r="AE581" s="211"/>
      <c r="AF581" s="211"/>
      <c r="AG581" s="211"/>
      <c r="AH581" s="211"/>
      <c r="AI581" s="211"/>
      <c r="AJ581" s="211"/>
      <c r="AK581" s="211"/>
      <c r="AL581" s="211"/>
      <c r="AM581" s="211"/>
      <c r="AN581" s="211"/>
      <c r="AO581" s="211"/>
      <c r="AP581" s="211"/>
      <c r="AQ581" s="211"/>
      <c r="AR581" s="211"/>
      <c r="AS581" s="211"/>
      <c r="AT581" s="211"/>
      <c r="AU581" s="211"/>
      <c r="AV581" s="211"/>
      <c r="AW581" s="211"/>
      <c r="AX581" s="211"/>
      <c r="AY581" s="211"/>
      <c r="AZ581" s="211"/>
    </row>
    <row r="582" spans="1:52" s="213" customFormat="1" x14ac:dyDescent="0.35">
      <c r="A582" s="211"/>
      <c r="B582" s="211"/>
      <c r="C582" s="211"/>
      <c r="D582" s="211"/>
      <c r="E582" s="211"/>
      <c r="F582" s="211"/>
      <c r="G582" s="211"/>
      <c r="H582" s="211"/>
      <c r="I582" s="212"/>
      <c r="J582" s="212"/>
      <c r="K582" s="212"/>
      <c r="L582" s="212"/>
      <c r="M582" s="212"/>
      <c r="N582" s="212"/>
      <c r="O582" s="212"/>
      <c r="P582" s="211"/>
      <c r="Q582" s="211"/>
      <c r="R582" s="211"/>
      <c r="S582" s="211"/>
      <c r="T582" s="211"/>
      <c r="U582" s="211"/>
      <c r="V582" s="211"/>
      <c r="W582" s="211"/>
      <c r="X582" s="211"/>
      <c r="Y582" s="211"/>
      <c r="Z582" s="211"/>
      <c r="AD582" s="211"/>
      <c r="AE582" s="211"/>
      <c r="AF582" s="211"/>
      <c r="AG582" s="211"/>
      <c r="AH582" s="211"/>
      <c r="AI582" s="211"/>
      <c r="AJ582" s="211"/>
      <c r="AK582" s="211"/>
      <c r="AL582" s="211"/>
      <c r="AM582" s="211"/>
      <c r="AN582" s="211"/>
      <c r="AO582" s="211"/>
      <c r="AP582" s="211"/>
      <c r="AQ582" s="211"/>
      <c r="AR582" s="211"/>
      <c r="AS582" s="211"/>
      <c r="AT582" s="211"/>
      <c r="AU582" s="211"/>
      <c r="AV582" s="211"/>
      <c r="AW582" s="211"/>
      <c r="AX582" s="211"/>
      <c r="AY582" s="211"/>
      <c r="AZ582" s="211"/>
    </row>
    <row r="583" spans="1:52" s="213" customFormat="1" x14ac:dyDescent="0.35">
      <c r="A583" s="211"/>
      <c r="B583" s="211"/>
      <c r="C583" s="211"/>
      <c r="D583" s="211"/>
      <c r="E583" s="211"/>
      <c r="F583" s="211"/>
      <c r="G583" s="211"/>
      <c r="H583" s="211"/>
      <c r="I583" s="212"/>
      <c r="J583" s="212"/>
      <c r="K583" s="212"/>
      <c r="L583" s="212"/>
      <c r="M583" s="212"/>
      <c r="N583" s="212"/>
      <c r="O583" s="212"/>
      <c r="P583" s="211"/>
      <c r="Q583" s="211"/>
      <c r="R583" s="211"/>
      <c r="S583" s="211"/>
      <c r="T583" s="211"/>
      <c r="U583" s="211"/>
      <c r="V583" s="211"/>
      <c r="W583" s="211"/>
      <c r="X583" s="211"/>
      <c r="Y583" s="211"/>
      <c r="Z583" s="211"/>
      <c r="AD583" s="211"/>
      <c r="AE583" s="211"/>
      <c r="AF583" s="211"/>
      <c r="AG583" s="211"/>
      <c r="AH583" s="211"/>
      <c r="AI583" s="211"/>
      <c r="AJ583" s="211"/>
      <c r="AK583" s="211"/>
      <c r="AL583" s="211"/>
      <c r="AM583" s="211"/>
      <c r="AN583" s="211"/>
      <c r="AO583" s="211"/>
      <c r="AP583" s="211"/>
      <c r="AQ583" s="211"/>
      <c r="AR583" s="211"/>
      <c r="AS583" s="211"/>
      <c r="AT583" s="211"/>
      <c r="AU583" s="211"/>
      <c r="AV583" s="211"/>
      <c r="AW583" s="211"/>
      <c r="AX583" s="211"/>
      <c r="AY583" s="211"/>
      <c r="AZ583" s="211"/>
    </row>
    <row r="584" spans="1:52" s="213" customFormat="1" x14ac:dyDescent="0.35">
      <c r="A584" s="211"/>
      <c r="B584" s="211"/>
      <c r="C584" s="211"/>
      <c r="D584" s="211"/>
      <c r="E584" s="211"/>
      <c r="F584" s="211"/>
      <c r="G584" s="211"/>
      <c r="H584" s="211"/>
      <c r="I584" s="212"/>
      <c r="J584" s="212"/>
      <c r="K584" s="212"/>
      <c r="L584" s="212"/>
      <c r="M584" s="212"/>
      <c r="N584" s="212"/>
      <c r="O584" s="212"/>
      <c r="P584" s="211"/>
      <c r="Q584" s="211"/>
      <c r="R584" s="211"/>
      <c r="S584" s="211"/>
      <c r="T584" s="211"/>
      <c r="U584" s="211"/>
      <c r="V584" s="211"/>
      <c r="W584" s="211"/>
      <c r="X584" s="211"/>
      <c r="Y584" s="211"/>
      <c r="Z584" s="211"/>
      <c r="AD584" s="211"/>
      <c r="AE584" s="211"/>
      <c r="AF584" s="211"/>
      <c r="AG584" s="211"/>
      <c r="AH584" s="211"/>
      <c r="AI584" s="211"/>
      <c r="AJ584" s="211"/>
      <c r="AK584" s="211"/>
      <c r="AL584" s="211"/>
      <c r="AM584" s="211"/>
      <c r="AN584" s="211"/>
      <c r="AO584" s="211"/>
      <c r="AP584" s="211"/>
      <c r="AQ584" s="211"/>
      <c r="AR584" s="211"/>
      <c r="AS584" s="211"/>
      <c r="AT584" s="211"/>
      <c r="AU584" s="211"/>
      <c r="AV584" s="211"/>
      <c r="AW584" s="211"/>
      <c r="AX584" s="211"/>
      <c r="AY584" s="211"/>
      <c r="AZ584" s="211"/>
    </row>
    <row r="585" spans="1:52" s="213" customFormat="1" x14ac:dyDescent="0.35">
      <c r="A585" s="211"/>
      <c r="B585" s="211"/>
      <c r="C585" s="211"/>
      <c r="D585" s="211"/>
      <c r="E585" s="211"/>
      <c r="F585" s="211"/>
      <c r="G585" s="211"/>
      <c r="H585" s="211"/>
      <c r="I585" s="212"/>
      <c r="J585" s="212"/>
      <c r="K585" s="212"/>
      <c r="L585" s="212"/>
      <c r="M585" s="212"/>
      <c r="N585" s="212"/>
      <c r="O585" s="212"/>
      <c r="P585" s="211"/>
      <c r="Q585" s="211"/>
      <c r="R585" s="211"/>
      <c r="S585" s="211"/>
      <c r="T585" s="211"/>
      <c r="U585" s="211"/>
      <c r="V585" s="211"/>
      <c r="W585" s="211"/>
      <c r="X585" s="211"/>
      <c r="Y585" s="211"/>
      <c r="Z585" s="211"/>
      <c r="AD585" s="211"/>
      <c r="AE585" s="211"/>
      <c r="AF585" s="211"/>
      <c r="AG585" s="211"/>
      <c r="AH585" s="211"/>
      <c r="AI585" s="211"/>
      <c r="AJ585" s="211"/>
      <c r="AK585" s="211"/>
      <c r="AL585" s="211"/>
      <c r="AM585" s="211"/>
      <c r="AN585" s="211"/>
      <c r="AO585" s="211"/>
      <c r="AP585" s="211"/>
      <c r="AQ585" s="211"/>
      <c r="AR585" s="211"/>
      <c r="AS585" s="211"/>
      <c r="AT585" s="211"/>
      <c r="AU585" s="211"/>
      <c r="AV585" s="211"/>
      <c r="AW585" s="211"/>
      <c r="AX585" s="211"/>
      <c r="AY585" s="211"/>
      <c r="AZ585" s="211"/>
    </row>
    <row r="586" spans="1:52" s="213" customFormat="1" x14ac:dyDescent="0.35">
      <c r="A586" s="211"/>
      <c r="B586" s="211"/>
      <c r="C586" s="211"/>
      <c r="D586" s="211"/>
      <c r="E586" s="211"/>
      <c r="F586" s="211"/>
      <c r="G586" s="211"/>
      <c r="H586" s="211"/>
      <c r="I586" s="212"/>
      <c r="J586" s="212"/>
      <c r="K586" s="212"/>
      <c r="L586" s="212"/>
      <c r="M586" s="212"/>
      <c r="N586" s="212"/>
      <c r="O586" s="212"/>
      <c r="P586" s="211"/>
      <c r="Q586" s="211"/>
      <c r="R586" s="211"/>
      <c r="S586" s="211"/>
      <c r="T586" s="211"/>
      <c r="U586" s="211"/>
      <c r="V586" s="211"/>
      <c r="W586" s="211"/>
      <c r="X586" s="211"/>
      <c r="Y586" s="211"/>
      <c r="Z586" s="211"/>
      <c r="AD586" s="211"/>
      <c r="AE586" s="211"/>
      <c r="AF586" s="211"/>
      <c r="AG586" s="211"/>
      <c r="AH586" s="211"/>
      <c r="AI586" s="211"/>
      <c r="AJ586" s="211"/>
      <c r="AK586" s="211"/>
      <c r="AL586" s="211"/>
      <c r="AM586" s="211"/>
      <c r="AN586" s="211"/>
      <c r="AO586" s="211"/>
      <c r="AP586" s="211"/>
      <c r="AQ586" s="211"/>
      <c r="AR586" s="211"/>
      <c r="AS586" s="211"/>
      <c r="AT586" s="211"/>
      <c r="AU586" s="211"/>
      <c r="AV586" s="211"/>
      <c r="AW586" s="211"/>
      <c r="AX586" s="211"/>
      <c r="AY586" s="211"/>
      <c r="AZ586" s="211"/>
    </row>
    <row r="587" spans="1:52" s="213" customFormat="1" x14ac:dyDescent="0.35">
      <c r="A587" s="211"/>
      <c r="B587" s="211"/>
      <c r="C587" s="211"/>
      <c r="D587" s="211"/>
      <c r="E587" s="211"/>
      <c r="F587" s="211"/>
      <c r="G587" s="211"/>
      <c r="H587" s="211"/>
      <c r="I587" s="212"/>
      <c r="J587" s="212"/>
      <c r="K587" s="212"/>
      <c r="L587" s="212"/>
      <c r="M587" s="212"/>
      <c r="N587" s="212"/>
      <c r="O587" s="212"/>
      <c r="P587" s="211"/>
      <c r="Q587" s="211"/>
      <c r="R587" s="211"/>
      <c r="S587" s="211"/>
      <c r="T587" s="211"/>
      <c r="U587" s="211"/>
      <c r="V587" s="211"/>
      <c r="W587" s="211"/>
      <c r="X587" s="211"/>
      <c r="Y587" s="211"/>
      <c r="Z587" s="211"/>
      <c r="AD587" s="211"/>
      <c r="AE587" s="211"/>
      <c r="AF587" s="211"/>
      <c r="AG587" s="211"/>
      <c r="AH587" s="211"/>
      <c r="AI587" s="211"/>
      <c r="AJ587" s="211"/>
      <c r="AK587" s="211"/>
      <c r="AL587" s="211"/>
      <c r="AM587" s="211"/>
      <c r="AN587" s="211"/>
      <c r="AO587" s="211"/>
      <c r="AP587" s="211"/>
      <c r="AQ587" s="211"/>
      <c r="AR587" s="211"/>
      <c r="AS587" s="211"/>
      <c r="AT587" s="211"/>
      <c r="AU587" s="211"/>
      <c r="AV587" s="211"/>
      <c r="AW587" s="211"/>
      <c r="AX587" s="211"/>
      <c r="AY587" s="211"/>
      <c r="AZ587" s="211"/>
    </row>
    <row r="588" spans="1:52" s="213" customFormat="1" x14ac:dyDescent="0.35">
      <c r="A588" s="211"/>
      <c r="B588" s="211"/>
      <c r="C588" s="211"/>
      <c r="D588" s="211"/>
      <c r="E588" s="211"/>
      <c r="F588" s="211"/>
      <c r="G588" s="211"/>
      <c r="H588" s="211"/>
      <c r="I588" s="212"/>
      <c r="J588" s="212"/>
      <c r="K588" s="212"/>
      <c r="L588" s="212"/>
      <c r="M588" s="212"/>
      <c r="N588" s="212"/>
      <c r="O588" s="212"/>
      <c r="P588" s="211"/>
      <c r="Q588" s="211"/>
      <c r="R588" s="211"/>
      <c r="S588" s="211"/>
      <c r="T588" s="211"/>
      <c r="U588" s="211"/>
      <c r="V588" s="211"/>
      <c r="W588" s="211"/>
      <c r="X588" s="211"/>
      <c r="Y588" s="211"/>
      <c r="Z588" s="211"/>
      <c r="AD588" s="211"/>
      <c r="AE588" s="211"/>
      <c r="AF588" s="211"/>
      <c r="AG588" s="211"/>
      <c r="AH588" s="211"/>
      <c r="AI588" s="211"/>
      <c r="AJ588" s="211"/>
      <c r="AK588" s="211"/>
      <c r="AL588" s="211"/>
      <c r="AM588" s="211"/>
      <c r="AN588" s="211"/>
      <c r="AO588" s="211"/>
      <c r="AP588" s="211"/>
      <c r="AQ588" s="211"/>
      <c r="AR588" s="211"/>
      <c r="AS588" s="211"/>
      <c r="AT588" s="211"/>
      <c r="AU588" s="211"/>
      <c r="AV588" s="211"/>
      <c r="AW588" s="211"/>
      <c r="AX588" s="211"/>
      <c r="AY588" s="211"/>
      <c r="AZ588" s="211"/>
    </row>
    <row r="589" spans="1:52" s="213" customFormat="1" x14ac:dyDescent="0.35">
      <c r="A589" s="211"/>
      <c r="B589" s="211"/>
      <c r="C589" s="211"/>
      <c r="D589" s="211"/>
      <c r="E589" s="211"/>
      <c r="F589" s="211"/>
      <c r="G589" s="211"/>
      <c r="H589" s="211"/>
      <c r="I589" s="212"/>
      <c r="J589" s="212"/>
      <c r="K589" s="212"/>
      <c r="L589" s="212"/>
      <c r="M589" s="212"/>
      <c r="N589" s="212"/>
      <c r="O589" s="212"/>
      <c r="P589" s="211"/>
      <c r="Q589" s="211"/>
      <c r="R589" s="211"/>
      <c r="S589" s="211"/>
      <c r="T589" s="211"/>
      <c r="U589" s="211"/>
      <c r="V589" s="211"/>
      <c r="W589" s="211"/>
      <c r="X589" s="211"/>
      <c r="Y589" s="211"/>
      <c r="Z589" s="211"/>
      <c r="AD589" s="211"/>
      <c r="AE589" s="211"/>
      <c r="AF589" s="211"/>
      <c r="AG589" s="211"/>
      <c r="AH589" s="211"/>
      <c r="AI589" s="211"/>
      <c r="AJ589" s="211"/>
      <c r="AK589" s="211"/>
      <c r="AL589" s="211"/>
      <c r="AM589" s="211"/>
      <c r="AN589" s="211"/>
      <c r="AO589" s="211"/>
      <c r="AP589" s="211"/>
      <c r="AQ589" s="211"/>
      <c r="AR589" s="211"/>
      <c r="AS589" s="211"/>
      <c r="AT589" s="211"/>
      <c r="AU589" s="211"/>
      <c r="AV589" s="211"/>
      <c r="AW589" s="211"/>
      <c r="AX589" s="211"/>
      <c r="AY589" s="211"/>
      <c r="AZ589" s="211"/>
    </row>
    <row r="590" spans="1:52" s="213" customFormat="1" x14ac:dyDescent="0.35">
      <c r="A590" s="211"/>
      <c r="B590" s="211"/>
      <c r="C590" s="211"/>
      <c r="D590" s="211"/>
      <c r="E590" s="211"/>
      <c r="F590" s="211"/>
      <c r="G590" s="211"/>
      <c r="H590" s="211"/>
      <c r="I590" s="212"/>
      <c r="J590" s="212"/>
      <c r="K590" s="212"/>
      <c r="L590" s="212"/>
      <c r="M590" s="212"/>
      <c r="N590" s="212"/>
      <c r="O590" s="212"/>
      <c r="P590" s="211"/>
      <c r="Q590" s="211"/>
      <c r="R590" s="211"/>
      <c r="S590" s="211"/>
      <c r="T590" s="211"/>
      <c r="U590" s="211"/>
      <c r="V590" s="211"/>
      <c r="W590" s="211"/>
      <c r="X590" s="211"/>
      <c r="Y590" s="211"/>
      <c r="Z590" s="211"/>
      <c r="AD590" s="211"/>
      <c r="AE590" s="211"/>
      <c r="AF590" s="211"/>
      <c r="AG590" s="211"/>
      <c r="AH590" s="211"/>
      <c r="AI590" s="211"/>
      <c r="AJ590" s="211"/>
      <c r="AK590" s="211"/>
      <c r="AL590" s="211"/>
      <c r="AM590" s="211"/>
      <c r="AN590" s="211"/>
      <c r="AO590" s="211"/>
      <c r="AP590" s="211"/>
      <c r="AQ590" s="211"/>
      <c r="AR590" s="211"/>
      <c r="AS590" s="211"/>
      <c r="AT590" s="211"/>
      <c r="AU590" s="211"/>
      <c r="AV590" s="211"/>
      <c r="AW590" s="211"/>
      <c r="AX590" s="211"/>
      <c r="AY590" s="211"/>
      <c r="AZ590" s="211"/>
    </row>
    <row r="591" spans="1:52" s="213" customFormat="1" x14ac:dyDescent="0.35">
      <c r="A591" s="211"/>
      <c r="B591" s="211"/>
      <c r="C591" s="211"/>
      <c r="D591" s="211"/>
      <c r="E591" s="211"/>
      <c r="F591" s="211"/>
      <c r="G591" s="211"/>
      <c r="H591" s="211"/>
      <c r="I591" s="212"/>
      <c r="J591" s="212"/>
      <c r="K591" s="212"/>
      <c r="L591" s="212"/>
      <c r="M591" s="212"/>
      <c r="N591" s="212"/>
      <c r="O591" s="212"/>
      <c r="P591" s="211"/>
      <c r="Q591" s="211"/>
      <c r="R591" s="211"/>
      <c r="S591" s="211"/>
      <c r="T591" s="211"/>
      <c r="U591" s="211"/>
      <c r="V591" s="211"/>
      <c r="W591" s="211"/>
      <c r="X591" s="211"/>
      <c r="Y591" s="211"/>
      <c r="Z591" s="211"/>
      <c r="AD591" s="211"/>
      <c r="AE591" s="211"/>
      <c r="AF591" s="211"/>
      <c r="AG591" s="211"/>
      <c r="AH591" s="211"/>
      <c r="AI591" s="211"/>
      <c r="AJ591" s="211"/>
      <c r="AK591" s="211"/>
      <c r="AL591" s="211"/>
      <c r="AM591" s="211"/>
      <c r="AN591" s="211"/>
      <c r="AO591" s="211"/>
      <c r="AP591" s="211"/>
      <c r="AQ591" s="211"/>
      <c r="AR591" s="211"/>
      <c r="AS591" s="211"/>
      <c r="AT591" s="211"/>
      <c r="AU591" s="211"/>
      <c r="AV591" s="211"/>
      <c r="AW591" s="211"/>
      <c r="AX591" s="211"/>
      <c r="AY591" s="211"/>
      <c r="AZ591" s="211"/>
    </row>
    <row r="592" spans="1:52" s="213" customFormat="1" x14ac:dyDescent="0.35">
      <c r="A592" s="211"/>
      <c r="B592" s="211"/>
      <c r="C592" s="211"/>
      <c r="D592" s="211"/>
      <c r="E592" s="211"/>
      <c r="F592" s="211"/>
      <c r="G592" s="211"/>
      <c r="H592" s="211"/>
      <c r="I592" s="212"/>
      <c r="J592" s="212"/>
      <c r="K592" s="212"/>
      <c r="L592" s="212"/>
      <c r="M592" s="212"/>
      <c r="N592" s="212"/>
      <c r="O592" s="212"/>
      <c r="P592" s="211"/>
      <c r="Q592" s="211"/>
      <c r="R592" s="211"/>
      <c r="S592" s="211"/>
      <c r="T592" s="211"/>
      <c r="U592" s="211"/>
      <c r="V592" s="211"/>
      <c r="W592" s="211"/>
      <c r="X592" s="211"/>
      <c r="Y592" s="211"/>
      <c r="Z592" s="211"/>
      <c r="AD592" s="211"/>
      <c r="AE592" s="211"/>
      <c r="AF592" s="211"/>
      <c r="AG592" s="211"/>
      <c r="AH592" s="211"/>
      <c r="AI592" s="211"/>
      <c r="AJ592" s="211"/>
      <c r="AK592" s="211"/>
      <c r="AL592" s="211"/>
      <c r="AM592" s="211"/>
      <c r="AN592" s="211"/>
      <c r="AO592" s="211"/>
      <c r="AP592" s="211"/>
      <c r="AQ592" s="211"/>
      <c r="AR592" s="211"/>
      <c r="AS592" s="211"/>
      <c r="AT592" s="211"/>
      <c r="AU592" s="211"/>
      <c r="AV592" s="211"/>
      <c r="AW592" s="211"/>
      <c r="AX592" s="211"/>
      <c r="AY592" s="211"/>
      <c r="AZ592" s="211"/>
    </row>
    <row r="593" spans="1:52" s="213" customFormat="1" x14ac:dyDescent="0.35">
      <c r="A593" s="211"/>
      <c r="B593" s="211"/>
      <c r="C593" s="211"/>
      <c r="D593" s="211"/>
      <c r="E593" s="211"/>
      <c r="F593" s="211"/>
      <c r="G593" s="211"/>
      <c r="H593" s="211"/>
      <c r="I593" s="212"/>
      <c r="J593" s="212"/>
      <c r="K593" s="212"/>
      <c r="L593" s="212"/>
      <c r="M593" s="212"/>
      <c r="N593" s="212"/>
      <c r="O593" s="212"/>
      <c r="P593" s="211"/>
      <c r="Q593" s="211"/>
      <c r="R593" s="211"/>
      <c r="S593" s="211"/>
      <c r="T593" s="211"/>
      <c r="U593" s="211"/>
      <c r="V593" s="211"/>
      <c r="W593" s="211"/>
      <c r="X593" s="211"/>
      <c r="Y593" s="211"/>
      <c r="Z593" s="211"/>
      <c r="AD593" s="211"/>
      <c r="AE593" s="211"/>
      <c r="AF593" s="211"/>
      <c r="AG593" s="211"/>
      <c r="AH593" s="211"/>
      <c r="AI593" s="211"/>
      <c r="AJ593" s="211"/>
      <c r="AK593" s="211"/>
      <c r="AL593" s="211"/>
      <c r="AM593" s="211"/>
      <c r="AN593" s="211"/>
      <c r="AO593" s="211"/>
      <c r="AP593" s="211"/>
      <c r="AQ593" s="211"/>
      <c r="AR593" s="211"/>
      <c r="AS593" s="211"/>
      <c r="AT593" s="211"/>
      <c r="AU593" s="211"/>
      <c r="AV593" s="211"/>
      <c r="AW593" s="211"/>
      <c r="AX593" s="211"/>
      <c r="AY593" s="211"/>
      <c r="AZ593" s="211"/>
    </row>
    <row r="594" spans="1:52" s="213" customFormat="1" x14ac:dyDescent="0.35">
      <c r="A594" s="211"/>
      <c r="B594" s="211"/>
      <c r="C594" s="211"/>
      <c r="D594" s="211"/>
      <c r="E594" s="211"/>
      <c r="F594" s="211"/>
      <c r="G594" s="211"/>
      <c r="H594" s="211"/>
      <c r="I594" s="212"/>
      <c r="J594" s="212"/>
      <c r="K594" s="212"/>
      <c r="L594" s="212"/>
      <c r="M594" s="212"/>
      <c r="N594" s="212"/>
      <c r="O594" s="212"/>
      <c r="P594" s="211"/>
      <c r="Q594" s="211"/>
      <c r="R594" s="211"/>
      <c r="S594" s="211"/>
      <c r="T594" s="211"/>
      <c r="U594" s="211"/>
      <c r="V594" s="211"/>
      <c r="W594" s="211"/>
      <c r="X594" s="211"/>
      <c r="Y594" s="211"/>
      <c r="Z594" s="211"/>
      <c r="AD594" s="211"/>
      <c r="AE594" s="211"/>
      <c r="AF594" s="211"/>
      <c r="AG594" s="211"/>
      <c r="AH594" s="211"/>
      <c r="AI594" s="211"/>
      <c r="AJ594" s="211"/>
      <c r="AK594" s="211"/>
      <c r="AL594" s="211"/>
      <c r="AM594" s="211"/>
      <c r="AN594" s="211"/>
      <c r="AO594" s="211"/>
      <c r="AP594" s="211"/>
      <c r="AQ594" s="211"/>
      <c r="AR594" s="211"/>
      <c r="AS594" s="211"/>
      <c r="AT594" s="211"/>
      <c r="AU594" s="211"/>
      <c r="AV594" s="211"/>
      <c r="AW594" s="211"/>
      <c r="AX594" s="211"/>
      <c r="AY594" s="211"/>
      <c r="AZ594" s="211"/>
    </row>
    <row r="595" spans="1:52" s="213" customFormat="1" x14ac:dyDescent="0.35">
      <c r="A595" s="211"/>
      <c r="B595" s="211"/>
      <c r="C595" s="211"/>
      <c r="D595" s="211"/>
      <c r="E595" s="211"/>
      <c r="F595" s="211"/>
      <c r="G595" s="211"/>
      <c r="H595" s="211"/>
      <c r="I595" s="212"/>
      <c r="J595" s="212"/>
      <c r="K595" s="212"/>
      <c r="L595" s="212"/>
      <c r="M595" s="212"/>
      <c r="N595" s="212"/>
      <c r="O595" s="212"/>
      <c r="P595" s="211"/>
      <c r="Q595" s="211"/>
      <c r="R595" s="211"/>
      <c r="S595" s="211"/>
      <c r="T595" s="211"/>
      <c r="U595" s="211"/>
      <c r="V595" s="211"/>
      <c r="W595" s="211"/>
      <c r="X595" s="211"/>
      <c r="Y595" s="211"/>
      <c r="Z595" s="211"/>
      <c r="AD595" s="211"/>
      <c r="AE595" s="211"/>
      <c r="AF595" s="211"/>
      <c r="AG595" s="211"/>
      <c r="AH595" s="211"/>
      <c r="AI595" s="211"/>
      <c r="AJ595" s="211"/>
      <c r="AK595" s="211"/>
      <c r="AL595" s="211"/>
      <c r="AM595" s="211"/>
      <c r="AN595" s="211"/>
      <c r="AO595" s="211"/>
      <c r="AP595" s="211"/>
      <c r="AQ595" s="211"/>
      <c r="AR595" s="211"/>
      <c r="AS595" s="211"/>
      <c r="AT595" s="211"/>
      <c r="AU595" s="211"/>
      <c r="AV595" s="211"/>
      <c r="AW595" s="211"/>
      <c r="AX595" s="211"/>
      <c r="AY595" s="211"/>
      <c r="AZ595" s="211"/>
    </row>
    <row r="596" spans="1:52" s="213" customFormat="1" x14ac:dyDescent="0.35">
      <c r="A596" s="211"/>
      <c r="B596" s="211"/>
      <c r="C596" s="211"/>
      <c r="D596" s="211"/>
      <c r="E596" s="211"/>
      <c r="F596" s="211"/>
      <c r="G596" s="211"/>
      <c r="H596" s="211"/>
      <c r="I596" s="212"/>
      <c r="J596" s="212"/>
      <c r="K596" s="212"/>
      <c r="L596" s="212"/>
      <c r="M596" s="212"/>
      <c r="N596" s="212"/>
      <c r="O596" s="212"/>
      <c r="P596" s="211"/>
      <c r="Q596" s="211"/>
      <c r="R596" s="211"/>
      <c r="S596" s="211"/>
      <c r="T596" s="211"/>
      <c r="U596" s="211"/>
      <c r="V596" s="211"/>
      <c r="W596" s="211"/>
      <c r="X596" s="211"/>
      <c r="Y596" s="211"/>
      <c r="Z596" s="211"/>
      <c r="AD596" s="211"/>
      <c r="AE596" s="211"/>
      <c r="AF596" s="211"/>
      <c r="AG596" s="211"/>
      <c r="AH596" s="211"/>
      <c r="AI596" s="211"/>
      <c r="AJ596" s="211"/>
      <c r="AK596" s="211"/>
      <c r="AL596" s="211"/>
      <c r="AM596" s="211"/>
      <c r="AN596" s="211"/>
      <c r="AO596" s="211"/>
      <c r="AP596" s="211"/>
      <c r="AQ596" s="211"/>
      <c r="AR596" s="211"/>
      <c r="AS596" s="211"/>
      <c r="AT596" s="211"/>
      <c r="AU596" s="211"/>
      <c r="AV596" s="211"/>
      <c r="AW596" s="211"/>
      <c r="AX596" s="211"/>
      <c r="AY596" s="211"/>
      <c r="AZ596" s="211"/>
    </row>
    <row r="597" spans="1:52" s="213" customFormat="1" x14ac:dyDescent="0.35">
      <c r="A597" s="211"/>
      <c r="B597" s="211"/>
      <c r="C597" s="211"/>
      <c r="D597" s="211"/>
      <c r="E597" s="211"/>
      <c r="F597" s="211"/>
      <c r="G597" s="211"/>
      <c r="H597" s="211"/>
      <c r="I597" s="212"/>
      <c r="J597" s="212"/>
      <c r="K597" s="212"/>
      <c r="L597" s="212"/>
      <c r="M597" s="212"/>
      <c r="N597" s="212"/>
      <c r="O597" s="212"/>
      <c r="P597" s="211"/>
      <c r="Q597" s="211"/>
      <c r="R597" s="211"/>
      <c r="S597" s="211"/>
      <c r="T597" s="211"/>
      <c r="U597" s="211"/>
      <c r="V597" s="211"/>
      <c r="W597" s="211"/>
      <c r="X597" s="211"/>
      <c r="Y597" s="211"/>
      <c r="Z597" s="211"/>
      <c r="AD597" s="211"/>
      <c r="AE597" s="211"/>
      <c r="AF597" s="211"/>
      <c r="AG597" s="211"/>
      <c r="AH597" s="211"/>
      <c r="AI597" s="211"/>
      <c r="AJ597" s="211"/>
      <c r="AK597" s="211"/>
      <c r="AL597" s="211"/>
      <c r="AM597" s="211"/>
      <c r="AN597" s="211"/>
      <c r="AO597" s="211"/>
      <c r="AP597" s="211"/>
      <c r="AQ597" s="211"/>
      <c r="AR597" s="211"/>
      <c r="AS597" s="211"/>
      <c r="AT597" s="211"/>
      <c r="AU597" s="211"/>
      <c r="AV597" s="211"/>
      <c r="AW597" s="211"/>
      <c r="AX597" s="211"/>
      <c r="AY597" s="211"/>
      <c r="AZ597" s="211"/>
    </row>
    <row r="598" spans="1:52" s="213" customFormat="1" x14ac:dyDescent="0.35">
      <c r="A598" s="211"/>
      <c r="B598" s="211"/>
      <c r="C598" s="211"/>
      <c r="D598" s="211"/>
      <c r="E598" s="211"/>
      <c r="F598" s="211"/>
      <c r="G598" s="211"/>
      <c r="H598" s="211"/>
      <c r="I598" s="212"/>
      <c r="J598" s="212"/>
      <c r="K598" s="212"/>
      <c r="L598" s="212"/>
      <c r="M598" s="212"/>
      <c r="N598" s="212"/>
      <c r="O598" s="212"/>
      <c r="P598" s="211"/>
      <c r="Q598" s="211"/>
      <c r="R598" s="211"/>
      <c r="S598" s="211"/>
      <c r="T598" s="211"/>
      <c r="U598" s="211"/>
      <c r="V598" s="211"/>
      <c r="W598" s="211"/>
      <c r="X598" s="211"/>
      <c r="Y598" s="211"/>
      <c r="Z598" s="211"/>
      <c r="AD598" s="211"/>
      <c r="AE598" s="211"/>
      <c r="AF598" s="211"/>
      <c r="AG598" s="211"/>
      <c r="AH598" s="211"/>
      <c r="AI598" s="211"/>
      <c r="AJ598" s="211"/>
      <c r="AK598" s="211"/>
      <c r="AL598" s="211"/>
      <c r="AM598" s="211"/>
      <c r="AN598" s="211"/>
      <c r="AO598" s="211"/>
      <c r="AP598" s="211"/>
      <c r="AQ598" s="211"/>
      <c r="AR598" s="211"/>
      <c r="AS598" s="211"/>
      <c r="AT598" s="211"/>
      <c r="AU598" s="211"/>
      <c r="AV598" s="211"/>
      <c r="AW598" s="211"/>
      <c r="AX598" s="211"/>
      <c r="AY598" s="211"/>
      <c r="AZ598" s="211"/>
    </row>
    <row r="599" spans="1:52" s="213" customFormat="1" x14ac:dyDescent="0.35">
      <c r="A599" s="211"/>
      <c r="B599" s="211"/>
      <c r="C599" s="211"/>
      <c r="D599" s="211"/>
      <c r="E599" s="211"/>
      <c r="F599" s="211"/>
      <c r="G599" s="211"/>
      <c r="H599" s="211"/>
      <c r="I599" s="212"/>
      <c r="J599" s="212"/>
      <c r="K599" s="212"/>
      <c r="L599" s="212"/>
      <c r="M599" s="212"/>
      <c r="N599" s="212"/>
      <c r="O599" s="212"/>
      <c r="P599" s="211"/>
      <c r="Q599" s="211"/>
      <c r="R599" s="211"/>
      <c r="S599" s="211"/>
      <c r="T599" s="211"/>
      <c r="U599" s="211"/>
      <c r="V599" s="211"/>
      <c r="W599" s="211"/>
      <c r="X599" s="211"/>
      <c r="Y599" s="211"/>
      <c r="Z599" s="211"/>
      <c r="AD599" s="211"/>
      <c r="AE599" s="211"/>
      <c r="AF599" s="211"/>
      <c r="AG599" s="211"/>
      <c r="AH599" s="211"/>
      <c r="AI599" s="211"/>
      <c r="AJ599" s="211"/>
      <c r="AK599" s="211"/>
      <c r="AL599" s="211"/>
      <c r="AM599" s="211"/>
      <c r="AN599" s="211"/>
      <c r="AO599" s="211"/>
      <c r="AP599" s="211"/>
      <c r="AQ599" s="211"/>
      <c r="AR599" s="211"/>
      <c r="AS599" s="211"/>
      <c r="AT599" s="211"/>
      <c r="AU599" s="211"/>
      <c r="AV599" s="211"/>
      <c r="AW599" s="211"/>
      <c r="AX599" s="211"/>
      <c r="AY599" s="211"/>
      <c r="AZ599" s="211"/>
    </row>
    <row r="600" spans="1:52" s="213" customFormat="1" x14ac:dyDescent="0.35">
      <c r="A600" s="211"/>
      <c r="B600" s="211"/>
      <c r="C600" s="211"/>
      <c r="D600" s="211"/>
      <c r="E600" s="211"/>
      <c r="F600" s="211"/>
      <c r="G600" s="211"/>
      <c r="H600" s="211"/>
      <c r="I600" s="212"/>
      <c r="J600" s="212"/>
      <c r="K600" s="212"/>
      <c r="L600" s="212"/>
      <c r="M600" s="212"/>
      <c r="N600" s="212"/>
      <c r="O600" s="212"/>
      <c r="P600" s="211"/>
      <c r="Q600" s="211"/>
      <c r="R600" s="211"/>
      <c r="S600" s="211"/>
      <c r="T600" s="211"/>
      <c r="U600" s="211"/>
      <c r="V600" s="211"/>
      <c r="W600" s="211"/>
      <c r="X600" s="211"/>
      <c r="Y600" s="211"/>
      <c r="Z600" s="211"/>
      <c r="AD600" s="211"/>
      <c r="AE600" s="211"/>
      <c r="AF600" s="211"/>
      <c r="AG600" s="211"/>
      <c r="AH600" s="211"/>
      <c r="AI600" s="211"/>
      <c r="AJ600" s="211"/>
      <c r="AK600" s="211"/>
      <c r="AL600" s="211"/>
      <c r="AM600" s="211"/>
      <c r="AN600" s="211"/>
      <c r="AO600" s="211"/>
      <c r="AP600" s="211"/>
      <c r="AQ600" s="211"/>
      <c r="AR600" s="211"/>
      <c r="AS600" s="211"/>
      <c r="AT600" s="211"/>
      <c r="AU600" s="211"/>
      <c r="AV600" s="211"/>
      <c r="AW600" s="211"/>
      <c r="AX600" s="211"/>
      <c r="AY600" s="211"/>
      <c r="AZ600" s="211"/>
    </row>
    <row r="601" spans="1:52" s="213" customFormat="1" x14ac:dyDescent="0.35">
      <c r="A601" s="211"/>
      <c r="B601" s="211"/>
      <c r="C601" s="211"/>
      <c r="D601" s="211"/>
      <c r="E601" s="211"/>
      <c r="F601" s="211"/>
      <c r="G601" s="211"/>
      <c r="H601" s="211"/>
      <c r="I601" s="212"/>
      <c r="J601" s="212"/>
      <c r="K601" s="212"/>
      <c r="L601" s="212"/>
      <c r="M601" s="212"/>
      <c r="N601" s="212"/>
      <c r="O601" s="212"/>
      <c r="P601" s="211"/>
      <c r="Q601" s="211"/>
      <c r="R601" s="211"/>
      <c r="S601" s="211"/>
      <c r="T601" s="211"/>
      <c r="U601" s="211"/>
      <c r="V601" s="211"/>
      <c r="W601" s="211"/>
      <c r="X601" s="211"/>
      <c r="Y601" s="211"/>
      <c r="Z601" s="211"/>
      <c r="AD601" s="211"/>
      <c r="AE601" s="211"/>
      <c r="AF601" s="211"/>
      <c r="AG601" s="211"/>
      <c r="AH601" s="211"/>
      <c r="AI601" s="211"/>
      <c r="AJ601" s="211"/>
      <c r="AK601" s="211"/>
      <c r="AL601" s="211"/>
      <c r="AM601" s="211"/>
      <c r="AN601" s="211"/>
      <c r="AO601" s="211"/>
      <c r="AP601" s="211"/>
      <c r="AQ601" s="211"/>
      <c r="AR601" s="211"/>
      <c r="AS601" s="211"/>
      <c r="AT601" s="211"/>
      <c r="AU601" s="211"/>
      <c r="AV601" s="211"/>
      <c r="AW601" s="211"/>
      <c r="AX601" s="211"/>
      <c r="AY601" s="211"/>
      <c r="AZ601" s="211"/>
    </row>
    <row r="602" spans="1:52" s="213" customFormat="1" x14ac:dyDescent="0.35">
      <c r="A602" s="211"/>
      <c r="B602" s="211"/>
      <c r="C602" s="211"/>
      <c r="D602" s="211"/>
      <c r="E602" s="211"/>
      <c r="F602" s="211"/>
      <c r="G602" s="211"/>
      <c r="H602" s="211"/>
      <c r="I602" s="212"/>
      <c r="J602" s="212"/>
      <c r="K602" s="212"/>
      <c r="L602" s="212"/>
      <c r="M602" s="212"/>
      <c r="N602" s="212"/>
      <c r="O602" s="212"/>
      <c r="P602" s="211"/>
      <c r="Q602" s="211"/>
      <c r="R602" s="211"/>
      <c r="S602" s="211"/>
      <c r="T602" s="211"/>
      <c r="U602" s="211"/>
      <c r="V602" s="211"/>
      <c r="W602" s="211"/>
      <c r="X602" s="211"/>
      <c r="Y602" s="211"/>
      <c r="Z602" s="211"/>
      <c r="AD602" s="211"/>
      <c r="AE602" s="211"/>
      <c r="AF602" s="211"/>
      <c r="AG602" s="211"/>
      <c r="AH602" s="211"/>
      <c r="AI602" s="211"/>
      <c r="AJ602" s="211"/>
      <c r="AK602" s="211"/>
      <c r="AL602" s="211"/>
      <c r="AM602" s="211"/>
      <c r="AN602" s="211"/>
      <c r="AO602" s="211"/>
      <c r="AP602" s="211"/>
      <c r="AQ602" s="211"/>
      <c r="AR602" s="211"/>
      <c r="AS602" s="211"/>
      <c r="AT602" s="211"/>
      <c r="AU602" s="211"/>
      <c r="AV602" s="211"/>
      <c r="AW602" s="211"/>
      <c r="AX602" s="211"/>
      <c r="AY602" s="211"/>
      <c r="AZ602" s="211"/>
    </row>
    <row r="603" spans="1:52" s="213" customFormat="1" x14ac:dyDescent="0.35">
      <c r="A603" s="211"/>
      <c r="B603" s="211"/>
      <c r="C603" s="211"/>
      <c r="D603" s="211"/>
      <c r="E603" s="211"/>
      <c r="F603" s="211"/>
      <c r="G603" s="211"/>
      <c r="H603" s="211"/>
      <c r="I603" s="212"/>
      <c r="J603" s="212"/>
      <c r="K603" s="212"/>
      <c r="L603" s="212"/>
      <c r="M603" s="212"/>
      <c r="N603" s="212"/>
      <c r="O603" s="212"/>
      <c r="P603" s="211"/>
      <c r="Q603" s="211"/>
      <c r="R603" s="211"/>
      <c r="S603" s="211"/>
      <c r="T603" s="211"/>
      <c r="U603" s="211"/>
      <c r="V603" s="211"/>
      <c r="W603" s="211"/>
      <c r="X603" s="211"/>
      <c r="Y603" s="211"/>
      <c r="Z603" s="211"/>
      <c r="AD603" s="211"/>
      <c r="AE603" s="211"/>
      <c r="AF603" s="211"/>
      <c r="AG603" s="211"/>
      <c r="AH603" s="211"/>
      <c r="AI603" s="211"/>
      <c r="AJ603" s="211"/>
      <c r="AK603" s="211"/>
      <c r="AL603" s="211"/>
      <c r="AM603" s="211"/>
      <c r="AN603" s="211"/>
      <c r="AO603" s="211"/>
      <c r="AP603" s="211"/>
      <c r="AQ603" s="211"/>
      <c r="AR603" s="211"/>
      <c r="AS603" s="211"/>
      <c r="AT603" s="211"/>
      <c r="AU603" s="211"/>
      <c r="AV603" s="211"/>
      <c r="AW603" s="211"/>
      <c r="AX603" s="211"/>
      <c r="AY603" s="211"/>
      <c r="AZ603" s="211"/>
    </row>
    <row r="604" spans="1:52" s="213" customFormat="1" x14ac:dyDescent="0.35">
      <c r="A604" s="211"/>
      <c r="B604" s="211"/>
      <c r="C604" s="211"/>
      <c r="D604" s="211"/>
      <c r="E604" s="211"/>
      <c r="F604" s="211"/>
      <c r="G604" s="211"/>
      <c r="H604" s="211"/>
      <c r="I604" s="212"/>
      <c r="J604" s="212"/>
      <c r="K604" s="212"/>
      <c r="L604" s="212"/>
      <c r="M604" s="212"/>
      <c r="N604" s="212"/>
      <c r="O604" s="212"/>
      <c r="P604" s="211"/>
      <c r="Q604" s="211"/>
      <c r="R604" s="211"/>
      <c r="S604" s="211"/>
      <c r="T604" s="211"/>
      <c r="U604" s="211"/>
      <c r="V604" s="211"/>
      <c r="W604" s="211"/>
      <c r="X604" s="211"/>
      <c r="Y604" s="211"/>
      <c r="Z604" s="211"/>
      <c r="AD604" s="211"/>
      <c r="AE604" s="211"/>
      <c r="AF604" s="211"/>
      <c r="AG604" s="211"/>
      <c r="AH604" s="211"/>
      <c r="AI604" s="211"/>
      <c r="AJ604" s="211"/>
      <c r="AK604" s="211"/>
      <c r="AL604" s="211"/>
      <c r="AM604" s="211"/>
      <c r="AN604" s="211"/>
      <c r="AO604" s="211"/>
      <c r="AP604" s="211"/>
      <c r="AQ604" s="211"/>
      <c r="AR604" s="211"/>
      <c r="AS604" s="211"/>
      <c r="AT604" s="211"/>
      <c r="AU604" s="211"/>
      <c r="AV604" s="211"/>
      <c r="AW604" s="211"/>
      <c r="AX604" s="211"/>
      <c r="AY604" s="211"/>
      <c r="AZ604" s="211"/>
    </row>
    <row r="605" spans="1:52" s="213" customFormat="1" x14ac:dyDescent="0.35">
      <c r="A605" s="211"/>
      <c r="B605" s="211"/>
      <c r="C605" s="211"/>
      <c r="D605" s="211"/>
      <c r="E605" s="211"/>
      <c r="F605" s="211"/>
      <c r="G605" s="211"/>
      <c r="H605" s="211"/>
      <c r="I605" s="212"/>
      <c r="J605" s="212"/>
      <c r="K605" s="212"/>
      <c r="L605" s="212"/>
      <c r="M605" s="212"/>
      <c r="N605" s="212"/>
      <c r="O605" s="212"/>
      <c r="P605" s="211"/>
      <c r="Q605" s="211"/>
      <c r="R605" s="211"/>
      <c r="S605" s="211"/>
      <c r="T605" s="211"/>
      <c r="U605" s="211"/>
      <c r="V605" s="211"/>
      <c r="W605" s="211"/>
      <c r="X605" s="211"/>
      <c r="Y605" s="211"/>
      <c r="Z605" s="211"/>
      <c r="AD605" s="211"/>
      <c r="AE605" s="211"/>
      <c r="AF605" s="211"/>
      <c r="AG605" s="211"/>
      <c r="AH605" s="211"/>
      <c r="AI605" s="211"/>
      <c r="AJ605" s="211"/>
      <c r="AK605" s="211"/>
      <c r="AL605" s="211"/>
      <c r="AM605" s="211"/>
      <c r="AN605" s="211"/>
      <c r="AO605" s="211"/>
      <c r="AP605" s="211"/>
      <c r="AQ605" s="211"/>
      <c r="AR605" s="211"/>
      <c r="AS605" s="211"/>
      <c r="AT605" s="211"/>
      <c r="AU605" s="211"/>
      <c r="AV605" s="211"/>
      <c r="AW605" s="211"/>
      <c r="AX605" s="211"/>
      <c r="AY605" s="211"/>
      <c r="AZ605" s="211"/>
    </row>
    <row r="606" spans="1:52" s="213" customFormat="1" x14ac:dyDescent="0.35">
      <c r="A606" s="211"/>
      <c r="B606" s="211"/>
      <c r="C606" s="211"/>
      <c r="D606" s="211"/>
      <c r="E606" s="211"/>
      <c r="F606" s="211"/>
      <c r="G606" s="211"/>
      <c r="H606" s="211"/>
      <c r="I606" s="212"/>
      <c r="J606" s="212"/>
      <c r="K606" s="212"/>
      <c r="L606" s="212"/>
      <c r="M606" s="212"/>
      <c r="N606" s="212"/>
      <c r="O606" s="212"/>
      <c r="P606" s="211"/>
      <c r="Q606" s="211"/>
      <c r="R606" s="211"/>
      <c r="S606" s="211"/>
      <c r="T606" s="211"/>
      <c r="U606" s="211"/>
      <c r="V606" s="211"/>
      <c r="W606" s="211"/>
      <c r="X606" s="211"/>
      <c r="Y606" s="211"/>
      <c r="Z606" s="211"/>
      <c r="AD606" s="211"/>
      <c r="AE606" s="211"/>
      <c r="AF606" s="211"/>
      <c r="AG606" s="211"/>
      <c r="AH606" s="211"/>
      <c r="AI606" s="211"/>
      <c r="AJ606" s="211"/>
      <c r="AK606" s="211"/>
      <c r="AL606" s="211"/>
      <c r="AM606" s="211"/>
      <c r="AN606" s="211"/>
      <c r="AO606" s="211"/>
      <c r="AP606" s="211"/>
      <c r="AQ606" s="211"/>
      <c r="AR606" s="211"/>
      <c r="AS606" s="211"/>
      <c r="AT606" s="211"/>
      <c r="AU606" s="211"/>
      <c r="AV606" s="211"/>
      <c r="AW606" s="211"/>
      <c r="AX606" s="211"/>
      <c r="AY606" s="211"/>
      <c r="AZ606" s="211"/>
    </row>
    <row r="607" spans="1:52" s="213" customFormat="1" x14ac:dyDescent="0.35">
      <c r="A607" s="211"/>
      <c r="B607" s="211"/>
      <c r="C607" s="211"/>
      <c r="D607" s="211"/>
      <c r="E607" s="211"/>
      <c r="F607" s="211"/>
      <c r="G607" s="211"/>
      <c r="H607" s="211"/>
      <c r="I607" s="212"/>
      <c r="J607" s="212"/>
      <c r="K607" s="212"/>
      <c r="L607" s="212"/>
      <c r="M607" s="212"/>
      <c r="N607" s="212"/>
      <c r="O607" s="212"/>
      <c r="P607" s="211"/>
      <c r="Q607" s="211"/>
      <c r="R607" s="211"/>
      <c r="S607" s="211"/>
      <c r="T607" s="211"/>
      <c r="U607" s="211"/>
      <c r="V607" s="211"/>
      <c r="W607" s="211"/>
      <c r="X607" s="211"/>
      <c r="Y607" s="211"/>
      <c r="Z607" s="211"/>
      <c r="AD607" s="211"/>
      <c r="AE607" s="211"/>
      <c r="AF607" s="211"/>
      <c r="AG607" s="211"/>
      <c r="AH607" s="211"/>
      <c r="AI607" s="211"/>
      <c r="AJ607" s="211"/>
      <c r="AK607" s="211"/>
      <c r="AL607" s="211"/>
      <c r="AM607" s="211"/>
      <c r="AN607" s="211"/>
      <c r="AO607" s="211"/>
      <c r="AP607" s="211"/>
      <c r="AQ607" s="211"/>
      <c r="AR607" s="211"/>
      <c r="AS607" s="211"/>
      <c r="AT607" s="211"/>
      <c r="AU607" s="211"/>
      <c r="AV607" s="211"/>
      <c r="AW607" s="211"/>
      <c r="AX607" s="211"/>
      <c r="AY607" s="211"/>
      <c r="AZ607" s="211"/>
    </row>
    <row r="608" spans="1:52" s="213" customFormat="1" x14ac:dyDescent="0.35">
      <c r="A608" s="211"/>
      <c r="B608" s="211"/>
      <c r="C608" s="211"/>
      <c r="D608" s="211"/>
      <c r="E608" s="211"/>
      <c r="F608" s="211"/>
      <c r="G608" s="211"/>
      <c r="H608" s="211"/>
      <c r="I608" s="212"/>
      <c r="J608" s="212"/>
      <c r="K608" s="212"/>
      <c r="L608" s="212"/>
      <c r="M608" s="212"/>
      <c r="N608" s="212"/>
      <c r="O608" s="212"/>
      <c r="P608" s="211"/>
      <c r="Q608" s="211"/>
      <c r="R608" s="211"/>
      <c r="S608" s="211"/>
      <c r="T608" s="211"/>
      <c r="U608" s="211"/>
      <c r="V608" s="211"/>
      <c r="W608" s="211"/>
      <c r="X608" s="211"/>
      <c r="Y608" s="211"/>
      <c r="Z608" s="211"/>
      <c r="AD608" s="211"/>
      <c r="AE608" s="211"/>
      <c r="AF608" s="211"/>
      <c r="AG608" s="211"/>
      <c r="AH608" s="211"/>
      <c r="AI608" s="211"/>
      <c r="AJ608" s="211"/>
      <c r="AK608" s="211"/>
      <c r="AL608" s="211"/>
      <c r="AM608" s="211"/>
      <c r="AN608" s="211"/>
      <c r="AO608" s="211"/>
      <c r="AP608" s="211"/>
      <c r="AQ608" s="211"/>
      <c r="AR608" s="211"/>
      <c r="AS608" s="211"/>
      <c r="AT608" s="211"/>
      <c r="AU608" s="211"/>
      <c r="AV608" s="211"/>
      <c r="AW608" s="211"/>
      <c r="AX608" s="211"/>
      <c r="AY608" s="211"/>
      <c r="AZ608" s="211"/>
    </row>
    <row r="609" spans="1:52" s="213" customFormat="1" x14ac:dyDescent="0.35">
      <c r="A609" s="211"/>
      <c r="B609" s="211"/>
      <c r="C609" s="211"/>
      <c r="D609" s="211"/>
      <c r="E609" s="211"/>
      <c r="F609" s="211"/>
      <c r="G609" s="211"/>
      <c r="H609" s="211"/>
      <c r="I609" s="212"/>
      <c r="J609" s="212"/>
      <c r="K609" s="212"/>
      <c r="L609" s="212"/>
      <c r="M609" s="212"/>
      <c r="N609" s="212"/>
      <c r="O609" s="212"/>
      <c r="P609" s="211"/>
      <c r="Q609" s="211"/>
      <c r="R609" s="211"/>
      <c r="S609" s="211"/>
      <c r="T609" s="211"/>
      <c r="U609" s="211"/>
      <c r="V609" s="211"/>
      <c r="W609" s="211"/>
      <c r="X609" s="211"/>
      <c r="Y609" s="211"/>
      <c r="Z609" s="211"/>
      <c r="AD609" s="211"/>
      <c r="AE609" s="211"/>
      <c r="AF609" s="211"/>
      <c r="AG609" s="211"/>
      <c r="AH609" s="211"/>
      <c r="AI609" s="211"/>
      <c r="AJ609" s="211"/>
      <c r="AK609" s="211"/>
      <c r="AL609" s="211"/>
      <c r="AM609" s="211"/>
      <c r="AN609" s="211"/>
      <c r="AO609" s="211"/>
      <c r="AP609" s="211"/>
      <c r="AQ609" s="211"/>
      <c r="AR609" s="211"/>
      <c r="AS609" s="211"/>
      <c r="AT609" s="211"/>
      <c r="AU609" s="211"/>
      <c r="AV609" s="211"/>
      <c r="AW609" s="211"/>
      <c r="AX609" s="211"/>
      <c r="AY609" s="211"/>
      <c r="AZ609" s="211"/>
    </row>
    <row r="610" spans="1:52" s="213" customFormat="1" x14ac:dyDescent="0.35">
      <c r="A610" s="211"/>
      <c r="B610" s="211"/>
      <c r="C610" s="211"/>
      <c r="D610" s="211"/>
      <c r="E610" s="211"/>
      <c r="F610" s="211"/>
      <c r="G610" s="211"/>
      <c r="H610" s="211"/>
      <c r="I610" s="212"/>
      <c r="J610" s="212"/>
      <c r="K610" s="212"/>
      <c r="L610" s="212"/>
      <c r="M610" s="212"/>
      <c r="N610" s="212"/>
      <c r="O610" s="212"/>
      <c r="P610" s="211"/>
      <c r="Q610" s="211"/>
      <c r="R610" s="211"/>
      <c r="S610" s="211"/>
      <c r="T610" s="211"/>
      <c r="U610" s="211"/>
      <c r="V610" s="211"/>
      <c r="W610" s="211"/>
      <c r="X610" s="211"/>
      <c r="Y610" s="211"/>
      <c r="Z610" s="211"/>
      <c r="AD610" s="211"/>
      <c r="AE610" s="211"/>
      <c r="AF610" s="211"/>
      <c r="AG610" s="211"/>
      <c r="AH610" s="211"/>
      <c r="AI610" s="211"/>
      <c r="AJ610" s="211"/>
      <c r="AK610" s="211"/>
      <c r="AL610" s="211"/>
      <c r="AM610" s="211"/>
      <c r="AN610" s="211"/>
      <c r="AO610" s="211"/>
      <c r="AP610" s="211"/>
      <c r="AQ610" s="211"/>
      <c r="AR610" s="211"/>
      <c r="AS610" s="211"/>
      <c r="AT610" s="211"/>
      <c r="AU610" s="211"/>
      <c r="AV610" s="211"/>
      <c r="AW610" s="211"/>
      <c r="AX610" s="211"/>
      <c r="AY610" s="211"/>
      <c r="AZ610" s="211"/>
    </row>
    <row r="611" spans="1:52" s="213" customFormat="1" x14ac:dyDescent="0.35">
      <c r="A611" s="211"/>
      <c r="B611" s="211"/>
      <c r="C611" s="211"/>
      <c r="D611" s="211"/>
      <c r="E611" s="211"/>
      <c r="F611" s="211"/>
      <c r="G611" s="211"/>
      <c r="H611" s="211"/>
      <c r="I611" s="212"/>
      <c r="J611" s="212"/>
      <c r="K611" s="212"/>
      <c r="L611" s="212"/>
      <c r="M611" s="212"/>
      <c r="N611" s="212"/>
      <c r="O611" s="212"/>
      <c r="P611" s="211"/>
      <c r="Q611" s="211"/>
      <c r="R611" s="211"/>
      <c r="S611" s="211"/>
      <c r="T611" s="211"/>
      <c r="U611" s="211"/>
      <c r="V611" s="211"/>
      <c r="W611" s="211"/>
      <c r="X611" s="211"/>
      <c r="Y611" s="211"/>
      <c r="Z611" s="211"/>
      <c r="AD611" s="211"/>
      <c r="AE611" s="211"/>
      <c r="AF611" s="211"/>
      <c r="AG611" s="211"/>
      <c r="AH611" s="211"/>
      <c r="AI611" s="211"/>
      <c r="AJ611" s="211"/>
      <c r="AK611" s="211"/>
      <c r="AL611" s="211"/>
      <c r="AM611" s="211"/>
      <c r="AN611" s="211"/>
      <c r="AO611" s="211"/>
      <c r="AP611" s="211"/>
      <c r="AQ611" s="211"/>
      <c r="AR611" s="211"/>
      <c r="AS611" s="211"/>
      <c r="AT611" s="211"/>
      <c r="AU611" s="211"/>
      <c r="AV611" s="211"/>
      <c r="AW611" s="211"/>
      <c r="AX611" s="211"/>
      <c r="AY611" s="211"/>
      <c r="AZ611" s="211"/>
    </row>
    <row r="612" spans="1:52" s="213" customFormat="1" x14ac:dyDescent="0.35">
      <c r="A612" s="211"/>
      <c r="B612" s="211"/>
      <c r="C612" s="211"/>
      <c r="D612" s="211"/>
      <c r="E612" s="211"/>
      <c r="F612" s="211"/>
      <c r="G612" s="211"/>
      <c r="H612" s="211"/>
      <c r="I612" s="212"/>
      <c r="J612" s="212"/>
      <c r="K612" s="212"/>
      <c r="L612" s="212"/>
      <c r="M612" s="212"/>
      <c r="N612" s="212"/>
      <c r="O612" s="212"/>
      <c r="P612" s="211"/>
      <c r="Q612" s="211"/>
      <c r="R612" s="211"/>
      <c r="S612" s="211"/>
      <c r="T612" s="211"/>
      <c r="U612" s="211"/>
      <c r="V612" s="211"/>
      <c r="W612" s="211"/>
      <c r="X612" s="211"/>
      <c r="Y612" s="211"/>
      <c r="Z612" s="211"/>
      <c r="AD612" s="211"/>
      <c r="AE612" s="211"/>
      <c r="AF612" s="211"/>
      <c r="AG612" s="211"/>
      <c r="AH612" s="211"/>
      <c r="AI612" s="211"/>
      <c r="AJ612" s="211"/>
      <c r="AK612" s="211"/>
      <c r="AL612" s="211"/>
      <c r="AM612" s="211"/>
      <c r="AN612" s="211"/>
      <c r="AO612" s="211"/>
      <c r="AP612" s="211"/>
      <c r="AQ612" s="211"/>
      <c r="AR612" s="211"/>
      <c r="AS612" s="211"/>
      <c r="AT612" s="211"/>
      <c r="AU612" s="211"/>
      <c r="AV612" s="211"/>
      <c r="AW612" s="211"/>
      <c r="AX612" s="211"/>
      <c r="AY612" s="211"/>
      <c r="AZ612" s="211"/>
    </row>
    <row r="613" spans="1:52" s="213" customFormat="1" x14ac:dyDescent="0.35">
      <c r="A613" s="211"/>
      <c r="B613" s="211"/>
      <c r="C613" s="211"/>
      <c r="D613" s="211"/>
      <c r="E613" s="211"/>
      <c r="F613" s="211"/>
      <c r="G613" s="211"/>
      <c r="H613" s="211"/>
      <c r="I613" s="212"/>
      <c r="J613" s="212"/>
      <c r="K613" s="212"/>
      <c r="L613" s="212"/>
      <c r="M613" s="212"/>
      <c r="N613" s="212"/>
      <c r="O613" s="212"/>
      <c r="P613" s="211"/>
      <c r="Q613" s="211"/>
      <c r="R613" s="211"/>
      <c r="S613" s="211"/>
      <c r="T613" s="211"/>
      <c r="U613" s="211"/>
      <c r="V613" s="211"/>
      <c r="W613" s="211"/>
      <c r="X613" s="211"/>
      <c r="Y613" s="211"/>
      <c r="Z613" s="211"/>
      <c r="AD613" s="211"/>
      <c r="AE613" s="211"/>
      <c r="AF613" s="211"/>
      <c r="AG613" s="211"/>
      <c r="AH613" s="211"/>
      <c r="AI613" s="211"/>
      <c r="AJ613" s="211"/>
      <c r="AK613" s="211"/>
      <c r="AL613" s="211"/>
      <c r="AM613" s="211"/>
      <c r="AN613" s="211"/>
      <c r="AO613" s="211"/>
      <c r="AP613" s="211"/>
      <c r="AQ613" s="211"/>
      <c r="AR613" s="211"/>
      <c r="AS613" s="211"/>
      <c r="AT613" s="211"/>
      <c r="AU613" s="211"/>
      <c r="AV613" s="211"/>
      <c r="AW613" s="211"/>
      <c r="AX613" s="211"/>
      <c r="AY613" s="211"/>
      <c r="AZ613" s="211"/>
    </row>
    <row r="614" spans="1:52" s="213" customFormat="1" x14ac:dyDescent="0.35">
      <c r="A614" s="211"/>
      <c r="B614" s="211"/>
      <c r="C614" s="211"/>
      <c r="D614" s="211"/>
      <c r="E614" s="211"/>
      <c r="F614" s="211"/>
      <c r="G614" s="211"/>
      <c r="H614" s="211"/>
      <c r="I614" s="212"/>
      <c r="J614" s="212"/>
      <c r="K614" s="212"/>
      <c r="L614" s="212"/>
      <c r="M614" s="212"/>
      <c r="N614" s="212"/>
      <c r="O614" s="212"/>
      <c r="P614" s="211"/>
      <c r="Q614" s="211"/>
      <c r="R614" s="211"/>
      <c r="S614" s="211"/>
      <c r="T614" s="211"/>
      <c r="U614" s="211"/>
      <c r="V614" s="211"/>
      <c r="W614" s="211"/>
      <c r="X614" s="211"/>
      <c r="Y614" s="211"/>
      <c r="Z614" s="211"/>
      <c r="AD614" s="211"/>
      <c r="AE614" s="211"/>
      <c r="AF614" s="211"/>
      <c r="AG614" s="211"/>
      <c r="AH614" s="211"/>
      <c r="AI614" s="211"/>
      <c r="AJ614" s="211"/>
      <c r="AK614" s="211"/>
      <c r="AL614" s="211"/>
      <c r="AM614" s="211"/>
      <c r="AN614" s="211"/>
      <c r="AO614" s="211"/>
      <c r="AP614" s="211"/>
      <c r="AQ614" s="211"/>
      <c r="AR614" s="211"/>
      <c r="AS614" s="211"/>
      <c r="AT614" s="211"/>
      <c r="AU614" s="211"/>
      <c r="AV614" s="211"/>
      <c r="AW614" s="211"/>
      <c r="AX614" s="211"/>
      <c r="AY614" s="211"/>
      <c r="AZ614" s="211"/>
    </row>
    <row r="615" spans="1:52" s="213" customFormat="1" x14ac:dyDescent="0.35">
      <c r="A615" s="211"/>
      <c r="B615" s="211"/>
      <c r="C615" s="211"/>
      <c r="D615" s="211"/>
      <c r="E615" s="211"/>
      <c r="F615" s="211"/>
      <c r="G615" s="211"/>
      <c r="H615" s="211"/>
      <c r="I615" s="212"/>
      <c r="J615" s="212"/>
      <c r="K615" s="212"/>
      <c r="L615" s="212"/>
      <c r="M615" s="212"/>
      <c r="N615" s="212"/>
      <c r="O615" s="212"/>
      <c r="P615" s="211"/>
      <c r="Q615" s="211"/>
      <c r="R615" s="211"/>
      <c r="S615" s="211"/>
      <c r="T615" s="211"/>
      <c r="U615" s="211"/>
      <c r="V615" s="211"/>
      <c r="W615" s="211"/>
      <c r="X615" s="211"/>
      <c r="Y615" s="211"/>
      <c r="Z615" s="211"/>
      <c r="AD615" s="211"/>
      <c r="AE615" s="211"/>
      <c r="AF615" s="211"/>
      <c r="AG615" s="211"/>
      <c r="AH615" s="211"/>
      <c r="AI615" s="211"/>
      <c r="AJ615" s="211"/>
      <c r="AK615" s="211"/>
      <c r="AL615" s="211"/>
      <c r="AM615" s="211"/>
      <c r="AN615" s="211"/>
      <c r="AO615" s="211"/>
      <c r="AP615" s="211"/>
      <c r="AQ615" s="211"/>
      <c r="AR615" s="211"/>
      <c r="AS615" s="211"/>
      <c r="AT615" s="211"/>
      <c r="AU615" s="211"/>
      <c r="AV615" s="211"/>
      <c r="AW615" s="211"/>
      <c r="AX615" s="211"/>
      <c r="AY615" s="211"/>
      <c r="AZ615" s="211"/>
    </row>
    <row r="616" spans="1:52" s="213" customFormat="1" x14ac:dyDescent="0.35">
      <c r="A616" s="211"/>
      <c r="B616" s="211"/>
      <c r="C616" s="211"/>
      <c r="D616" s="211"/>
      <c r="E616" s="211"/>
      <c r="F616" s="211"/>
      <c r="G616" s="211"/>
      <c r="H616" s="211"/>
      <c r="I616" s="212"/>
      <c r="J616" s="212"/>
      <c r="K616" s="212"/>
      <c r="L616" s="212"/>
      <c r="M616" s="212"/>
      <c r="N616" s="212"/>
      <c r="O616" s="212"/>
      <c r="P616" s="211"/>
      <c r="Q616" s="211"/>
      <c r="R616" s="211"/>
      <c r="S616" s="211"/>
      <c r="T616" s="211"/>
      <c r="U616" s="211"/>
      <c r="V616" s="211"/>
      <c r="W616" s="211"/>
      <c r="X616" s="211"/>
      <c r="Y616" s="211"/>
      <c r="Z616" s="211"/>
      <c r="AD616" s="211"/>
      <c r="AE616" s="211"/>
      <c r="AF616" s="211"/>
      <c r="AG616" s="211"/>
      <c r="AH616" s="211"/>
      <c r="AI616" s="211"/>
      <c r="AJ616" s="211"/>
      <c r="AK616" s="211"/>
      <c r="AL616" s="211"/>
      <c r="AM616" s="211"/>
      <c r="AN616" s="211"/>
      <c r="AO616" s="211"/>
      <c r="AP616" s="211"/>
      <c r="AQ616" s="211"/>
      <c r="AR616" s="211"/>
      <c r="AS616" s="211"/>
      <c r="AT616" s="211"/>
      <c r="AU616" s="211"/>
      <c r="AV616" s="211"/>
      <c r="AW616" s="211"/>
      <c r="AX616" s="211"/>
      <c r="AY616" s="211"/>
      <c r="AZ616" s="211"/>
    </row>
    <row r="617" spans="1:52" s="213" customFormat="1" x14ac:dyDescent="0.35">
      <c r="A617" s="211"/>
      <c r="B617" s="211"/>
      <c r="C617" s="211"/>
      <c r="D617" s="211"/>
      <c r="E617" s="211"/>
      <c r="F617" s="211"/>
      <c r="G617" s="211"/>
      <c r="H617" s="211"/>
      <c r="I617" s="212"/>
      <c r="J617" s="212"/>
      <c r="K617" s="212"/>
      <c r="L617" s="212"/>
      <c r="M617" s="212"/>
      <c r="N617" s="212"/>
      <c r="O617" s="212"/>
      <c r="P617" s="211"/>
      <c r="Q617" s="211"/>
      <c r="R617" s="211"/>
      <c r="S617" s="211"/>
      <c r="T617" s="211"/>
      <c r="U617" s="211"/>
      <c r="V617" s="211"/>
      <c r="W617" s="211"/>
      <c r="X617" s="211"/>
      <c r="Y617" s="211"/>
      <c r="Z617" s="211"/>
      <c r="AD617" s="211"/>
      <c r="AE617" s="211"/>
      <c r="AF617" s="211"/>
      <c r="AG617" s="211"/>
      <c r="AH617" s="211"/>
      <c r="AI617" s="211"/>
      <c r="AJ617" s="211"/>
      <c r="AK617" s="211"/>
      <c r="AL617" s="211"/>
      <c r="AM617" s="211"/>
      <c r="AN617" s="211"/>
      <c r="AO617" s="211"/>
      <c r="AP617" s="211"/>
      <c r="AQ617" s="211"/>
      <c r="AR617" s="211"/>
      <c r="AS617" s="211"/>
      <c r="AT617" s="211"/>
      <c r="AU617" s="211"/>
      <c r="AV617" s="211"/>
      <c r="AW617" s="211"/>
      <c r="AX617" s="211"/>
      <c r="AY617" s="211"/>
      <c r="AZ617" s="211"/>
    </row>
    <row r="618" spans="1:52" s="213" customFormat="1" x14ac:dyDescent="0.35">
      <c r="A618" s="211"/>
      <c r="B618" s="211"/>
      <c r="C618" s="211"/>
      <c r="D618" s="211"/>
      <c r="E618" s="211"/>
      <c r="F618" s="211"/>
      <c r="G618" s="211"/>
      <c r="H618" s="211"/>
      <c r="I618" s="212"/>
      <c r="J618" s="212"/>
      <c r="K618" s="212"/>
      <c r="L618" s="212"/>
      <c r="M618" s="212"/>
      <c r="N618" s="212"/>
      <c r="O618" s="212"/>
      <c r="P618" s="211"/>
      <c r="Q618" s="211"/>
      <c r="R618" s="211"/>
      <c r="S618" s="211"/>
      <c r="T618" s="211"/>
      <c r="U618" s="211"/>
      <c r="V618" s="211"/>
      <c r="W618" s="211"/>
      <c r="X618" s="211"/>
      <c r="Y618" s="211"/>
      <c r="Z618" s="211"/>
      <c r="AD618" s="211"/>
      <c r="AE618" s="211"/>
      <c r="AF618" s="211"/>
      <c r="AG618" s="211"/>
      <c r="AH618" s="211"/>
      <c r="AI618" s="211"/>
      <c r="AJ618" s="211"/>
      <c r="AK618" s="211"/>
      <c r="AL618" s="211"/>
      <c r="AM618" s="211"/>
      <c r="AN618" s="211"/>
      <c r="AO618" s="211"/>
      <c r="AP618" s="211"/>
      <c r="AQ618" s="211"/>
      <c r="AR618" s="211"/>
      <c r="AS618" s="211"/>
      <c r="AT618" s="211"/>
      <c r="AU618" s="211"/>
      <c r="AV618" s="211"/>
      <c r="AW618" s="211"/>
      <c r="AX618" s="211"/>
      <c r="AY618" s="211"/>
      <c r="AZ618" s="211"/>
    </row>
    <row r="619" spans="1:52" s="213" customFormat="1" x14ac:dyDescent="0.35">
      <c r="A619" s="211"/>
      <c r="B619" s="211"/>
      <c r="C619" s="211"/>
      <c r="D619" s="211"/>
      <c r="E619" s="211"/>
      <c r="F619" s="211"/>
      <c r="G619" s="211"/>
      <c r="H619" s="211"/>
      <c r="I619" s="212"/>
      <c r="J619" s="212"/>
      <c r="K619" s="212"/>
      <c r="L619" s="212"/>
      <c r="M619" s="212"/>
      <c r="N619" s="212"/>
      <c r="O619" s="212"/>
      <c r="P619" s="211"/>
      <c r="Q619" s="211"/>
      <c r="R619" s="211"/>
      <c r="S619" s="211"/>
      <c r="T619" s="211"/>
      <c r="U619" s="211"/>
      <c r="V619" s="211"/>
      <c r="W619" s="211"/>
      <c r="X619" s="211"/>
      <c r="Y619" s="211"/>
      <c r="Z619" s="211"/>
      <c r="AD619" s="211"/>
      <c r="AE619" s="211"/>
      <c r="AF619" s="211"/>
      <c r="AG619" s="211"/>
      <c r="AH619" s="211"/>
      <c r="AI619" s="211"/>
      <c r="AJ619" s="211"/>
      <c r="AK619" s="211"/>
      <c r="AL619" s="211"/>
      <c r="AM619" s="211"/>
      <c r="AN619" s="211"/>
      <c r="AO619" s="211"/>
      <c r="AP619" s="211"/>
      <c r="AQ619" s="211"/>
      <c r="AR619" s="211"/>
      <c r="AS619" s="211"/>
      <c r="AT619" s="211"/>
      <c r="AU619" s="211"/>
      <c r="AV619" s="211"/>
      <c r="AW619" s="211"/>
      <c r="AX619" s="211"/>
      <c r="AY619" s="211"/>
      <c r="AZ619" s="211"/>
    </row>
    <row r="620" spans="1:52" s="213" customFormat="1" x14ac:dyDescent="0.35">
      <c r="A620" s="211"/>
      <c r="B620" s="211"/>
      <c r="C620" s="211"/>
      <c r="D620" s="211"/>
      <c r="E620" s="211"/>
      <c r="F620" s="211"/>
      <c r="G620" s="211"/>
      <c r="H620" s="211"/>
      <c r="I620" s="212"/>
      <c r="J620" s="212"/>
      <c r="K620" s="212"/>
      <c r="L620" s="212"/>
      <c r="M620" s="212"/>
      <c r="N620" s="212"/>
      <c r="O620" s="212"/>
      <c r="P620" s="211"/>
      <c r="Q620" s="211"/>
      <c r="R620" s="211"/>
      <c r="S620" s="211"/>
      <c r="T620" s="211"/>
      <c r="U620" s="211"/>
      <c r="V620" s="211"/>
      <c r="W620" s="211"/>
      <c r="X620" s="211"/>
      <c r="Y620" s="211"/>
      <c r="Z620" s="211"/>
      <c r="AD620" s="211"/>
      <c r="AE620" s="211"/>
      <c r="AF620" s="211"/>
      <c r="AG620" s="211"/>
      <c r="AH620" s="211"/>
      <c r="AI620" s="211"/>
      <c r="AJ620" s="211"/>
      <c r="AK620" s="211"/>
      <c r="AL620" s="211"/>
      <c r="AM620" s="211"/>
      <c r="AN620" s="211"/>
      <c r="AO620" s="211"/>
      <c r="AP620" s="211"/>
      <c r="AQ620" s="211"/>
      <c r="AR620" s="211"/>
      <c r="AS620" s="211"/>
      <c r="AT620" s="211"/>
      <c r="AU620" s="211"/>
      <c r="AV620" s="211"/>
      <c r="AW620" s="211"/>
      <c r="AX620" s="211"/>
      <c r="AY620" s="211"/>
      <c r="AZ620" s="211"/>
    </row>
    <row r="621" spans="1:52" s="213" customFormat="1" x14ac:dyDescent="0.35">
      <c r="A621" s="211"/>
      <c r="B621" s="211"/>
      <c r="C621" s="211"/>
      <c r="D621" s="211"/>
      <c r="E621" s="211"/>
      <c r="F621" s="211"/>
      <c r="G621" s="211"/>
      <c r="H621" s="211"/>
      <c r="I621" s="212"/>
      <c r="J621" s="212"/>
      <c r="K621" s="212"/>
      <c r="L621" s="212"/>
      <c r="M621" s="212"/>
      <c r="N621" s="212"/>
      <c r="O621" s="212"/>
      <c r="P621" s="211"/>
      <c r="Q621" s="211"/>
      <c r="R621" s="211"/>
      <c r="S621" s="211"/>
      <c r="T621" s="211"/>
      <c r="U621" s="211"/>
      <c r="V621" s="211"/>
      <c r="W621" s="211"/>
      <c r="X621" s="211"/>
      <c r="Y621" s="211"/>
      <c r="Z621" s="211"/>
      <c r="AD621" s="211"/>
      <c r="AE621" s="211"/>
      <c r="AF621" s="211"/>
      <c r="AG621" s="211"/>
      <c r="AH621" s="211"/>
      <c r="AI621" s="211"/>
      <c r="AJ621" s="211"/>
      <c r="AK621" s="211"/>
      <c r="AL621" s="211"/>
      <c r="AM621" s="211"/>
      <c r="AN621" s="211"/>
      <c r="AO621" s="211"/>
      <c r="AP621" s="211"/>
      <c r="AQ621" s="211"/>
      <c r="AR621" s="211"/>
      <c r="AS621" s="211"/>
      <c r="AT621" s="211"/>
      <c r="AU621" s="211"/>
      <c r="AV621" s="211"/>
      <c r="AW621" s="211"/>
      <c r="AX621" s="211"/>
      <c r="AY621" s="211"/>
      <c r="AZ621" s="211"/>
    </row>
    <row r="622" spans="1:52" s="213" customFormat="1" x14ac:dyDescent="0.35">
      <c r="A622" s="211"/>
      <c r="B622" s="211"/>
      <c r="C622" s="211"/>
      <c r="D622" s="211"/>
      <c r="E622" s="211"/>
      <c r="F622" s="211"/>
      <c r="G622" s="211"/>
      <c r="H622" s="211"/>
      <c r="I622" s="212"/>
      <c r="J622" s="212"/>
      <c r="K622" s="212"/>
      <c r="L622" s="212"/>
      <c r="M622" s="212"/>
      <c r="N622" s="212"/>
      <c r="O622" s="212"/>
      <c r="P622" s="211"/>
      <c r="Q622" s="211"/>
      <c r="R622" s="211"/>
      <c r="S622" s="211"/>
      <c r="T622" s="211"/>
      <c r="U622" s="211"/>
      <c r="V622" s="211"/>
      <c r="W622" s="211"/>
      <c r="X622" s="211"/>
      <c r="Y622" s="211"/>
      <c r="Z622" s="211"/>
      <c r="AD622" s="211"/>
      <c r="AE622" s="211"/>
      <c r="AF622" s="211"/>
      <c r="AG622" s="211"/>
      <c r="AH622" s="211"/>
      <c r="AI622" s="211"/>
      <c r="AJ622" s="211"/>
      <c r="AK622" s="211"/>
      <c r="AL622" s="211"/>
      <c r="AM622" s="211"/>
      <c r="AN622" s="211"/>
      <c r="AO622" s="211"/>
      <c r="AP622" s="211"/>
      <c r="AQ622" s="211"/>
      <c r="AR622" s="211"/>
      <c r="AS622" s="211"/>
      <c r="AT622" s="211"/>
      <c r="AU622" s="211"/>
      <c r="AV622" s="211"/>
      <c r="AW622" s="211"/>
      <c r="AX622" s="211"/>
      <c r="AY622" s="211"/>
      <c r="AZ622" s="211"/>
    </row>
    <row r="623" spans="1:52" s="213" customFormat="1" x14ac:dyDescent="0.35">
      <c r="A623" s="211"/>
      <c r="B623" s="211"/>
      <c r="C623" s="211"/>
      <c r="D623" s="211"/>
      <c r="E623" s="211"/>
      <c r="F623" s="211"/>
      <c r="G623" s="211"/>
      <c r="H623" s="211"/>
      <c r="I623" s="212"/>
      <c r="J623" s="212"/>
      <c r="K623" s="212"/>
      <c r="L623" s="212"/>
      <c r="M623" s="212"/>
      <c r="N623" s="212"/>
      <c r="O623" s="212"/>
      <c r="P623" s="211"/>
      <c r="Q623" s="211"/>
      <c r="R623" s="211"/>
      <c r="S623" s="211"/>
      <c r="T623" s="211"/>
      <c r="U623" s="211"/>
      <c r="V623" s="211"/>
      <c r="W623" s="211"/>
      <c r="X623" s="211"/>
      <c r="Y623" s="211"/>
      <c r="Z623" s="211"/>
      <c r="AD623" s="211"/>
      <c r="AE623" s="211"/>
      <c r="AF623" s="211"/>
      <c r="AG623" s="211"/>
      <c r="AH623" s="211"/>
      <c r="AI623" s="211"/>
      <c r="AJ623" s="211"/>
      <c r="AK623" s="211"/>
      <c r="AL623" s="211"/>
      <c r="AM623" s="211"/>
      <c r="AN623" s="211"/>
      <c r="AO623" s="211"/>
      <c r="AP623" s="211"/>
      <c r="AQ623" s="211"/>
      <c r="AR623" s="211"/>
      <c r="AS623" s="211"/>
      <c r="AT623" s="211"/>
      <c r="AU623" s="211"/>
      <c r="AV623" s="211"/>
      <c r="AW623" s="211"/>
      <c r="AX623" s="211"/>
      <c r="AY623" s="211"/>
      <c r="AZ623" s="211"/>
    </row>
    <row r="624" spans="1:52" s="213" customFormat="1" x14ac:dyDescent="0.35">
      <c r="A624" s="211"/>
      <c r="B624" s="211"/>
      <c r="C624" s="211"/>
      <c r="D624" s="211"/>
      <c r="E624" s="211"/>
      <c r="F624" s="211"/>
      <c r="G624" s="211"/>
      <c r="H624" s="211"/>
      <c r="I624" s="212"/>
      <c r="J624" s="212"/>
      <c r="K624" s="212"/>
      <c r="L624" s="212"/>
      <c r="M624" s="212"/>
      <c r="N624" s="212"/>
      <c r="O624" s="212"/>
      <c r="P624" s="211"/>
      <c r="Q624" s="211"/>
      <c r="R624" s="211"/>
      <c r="S624" s="211"/>
      <c r="T624" s="211"/>
      <c r="U624" s="211"/>
      <c r="V624" s="211"/>
      <c r="W624" s="211"/>
      <c r="X624" s="211"/>
      <c r="Y624" s="211"/>
      <c r="Z624" s="211"/>
      <c r="AD624" s="211"/>
      <c r="AE624" s="211"/>
      <c r="AF624" s="211"/>
      <c r="AG624" s="211"/>
      <c r="AH624" s="211"/>
      <c r="AI624" s="211"/>
      <c r="AJ624" s="211"/>
      <c r="AK624" s="211"/>
      <c r="AL624" s="211"/>
      <c r="AM624" s="211"/>
      <c r="AN624" s="211"/>
      <c r="AO624" s="211"/>
      <c r="AP624" s="211"/>
      <c r="AQ624" s="211"/>
      <c r="AR624" s="211"/>
      <c r="AS624" s="211"/>
      <c r="AT624" s="211"/>
      <c r="AU624" s="211"/>
      <c r="AV624" s="211"/>
      <c r="AW624" s="211"/>
      <c r="AX624" s="211"/>
      <c r="AY624" s="211"/>
      <c r="AZ624" s="211"/>
    </row>
    <row r="625" spans="1:52" s="213" customFormat="1" x14ac:dyDescent="0.35">
      <c r="A625" s="211"/>
      <c r="B625" s="211"/>
      <c r="C625" s="211"/>
      <c r="D625" s="211"/>
      <c r="E625" s="211"/>
      <c r="F625" s="211"/>
      <c r="G625" s="211"/>
      <c r="H625" s="211"/>
      <c r="I625" s="212"/>
      <c r="J625" s="212"/>
      <c r="K625" s="212"/>
      <c r="L625" s="212"/>
      <c r="M625" s="212"/>
      <c r="N625" s="212"/>
      <c r="O625" s="212"/>
      <c r="P625" s="211"/>
      <c r="Q625" s="211"/>
      <c r="R625" s="211"/>
      <c r="S625" s="211"/>
      <c r="T625" s="211"/>
      <c r="U625" s="211"/>
      <c r="V625" s="211"/>
      <c r="W625" s="211"/>
      <c r="X625" s="211"/>
      <c r="Y625" s="211"/>
      <c r="Z625" s="211"/>
      <c r="AD625" s="211"/>
      <c r="AE625" s="211"/>
      <c r="AF625" s="211"/>
      <c r="AG625" s="211"/>
      <c r="AH625" s="211"/>
      <c r="AI625" s="211"/>
      <c r="AJ625" s="211"/>
      <c r="AK625" s="211"/>
      <c r="AL625" s="211"/>
      <c r="AM625" s="211"/>
      <c r="AN625" s="211"/>
      <c r="AO625" s="211"/>
      <c r="AP625" s="211"/>
      <c r="AQ625" s="211"/>
      <c r="AR625" s="211"/>
      <c r="AS625" s="211"/>
      <c r="AT625" s="211"/>
      <c r="AU625" s="211"/>
      <c r="AV625" s="211"/>
      <c r="AW625" s="211"/>
      <c r="AX625" s="211"/>
      <c r="AY625" s="211"/>
      <c r="AZ625" s="211"/>
    </row>
    <row r="626" spans="1:52" s="213" customFormat="1" x14ac:dyDescent="0.35">
      <c r="A626" s="211"/>
      <c r="B626" s="211"/>
      <c r="C626" s="211"/>
      <c r="D626" s="211"/>
      <c r="E626" s="211"/>
      <c r="F626" s="211"/>
      <c r="G626" s="211"/>
      <c r="H626" s="211"/>
      <c r="I626" s="212"/>
      <c r="J626" s="212"/>
      <c r="K626" s="212"/>
      <c r="L626" s="212"/>
      <c r="M626" s="212"/>
      <c r="N626" s="212"/>
      <c r="O626" s="212"/>
      <c r="P626" s="211"/>
      <c r="Q626" s="211"/>
      <c r="R626" s="211"/>
      <c r="S626" s="211"/>
      <c r="T626" s="211"/>
      <c r="U626" s="211"/>
      <c r="V626" s="211"/>
      <c r="W626" s="211"/>
      <c r="X626" s="211"/>
      <c r="Y626" s="211"/>
      <c r="Z626" s="211"/>
      <c r="AD626" s="211"/>
      <c r="AE626" s="211"/>
      <c r="AF626" s="211"/>
      <c r="AG626" s="211"/>
      <c r="AH626" s="211"/>
      <c r="AI626" s="211"/>
      <c r="AJ626" s="211"/>
      <c r="AK626" s="211"/>
      <c r="AL626" s="211"/>
      <c r="AM626" s="211"/>
      <c r="AN626" s="211"/>
      <c r="AO626" s="211"/>
      <c r="AP626" s="211"/>
      <c r="AQ626" s="211"/>
      <c r="AR626" s="211"/>
      <c r="AS626" s="211"/>
      <c r="AT626" s="211"/>
      <c r="AU626" s="211"/>
      <c r="AV626" s="211"/>
      <c r="AW626" s="211"/>
      <c r="AX626" s="211"/>
      <c r="AY626" s="211"/>
      <c r="AZ626" s="211"/>
    </row>
    <row r="627" spans="1:52" s="213" customFormat="1" x14ac:dyDescent="0.35">
      <c r="A627" s="211"/>
      <c r="B627" s="211"/>
      <c r="C627" s="211"/>
      <c r="D627" s="211"/>
      <c r="E627" s="211"/>
      <c r="F627" s="211"/>
      <c r="G627" s="211"/>
      <c r="H627" s="211"/>
      <c r="I627" s="212"/>
      <c r="J627" s="212"/>
      <c r="K627" s="212"/>
      <c r="L627" s="212"/>
      <c r="M627" s="212"/>
      <c r="N627" s="212"/>
      <c r="O627" s="212"/>
      <c r="P627" s="211"/>
      <c r="Q627" s="211"/>
      <c r="R627" s="211"/>
      <c r="S627" s="211"/>
      <c r="T627" s="211"/>
      <c r="U627" s="211"/>
      <c r="V627" s="211"/>
      <c r="W627" s="211"/>
      <c r="X627" s="211"/>
      <c r="Y627" s="211"/>
      <c r="Z627" s="211"/>
      <c r="AD627" s="211"/>
      <c r="AE627" s="211"/>
      <c r="AF627" s="211"/>
      <c r="AG627" s="211"/>
      <c r="AH627" s="211"/>
      <c r="AI627" s="211"/>
      <c r="AJ627" s="211"/>
      <c r="AK627" s="211"/>
      <c r="AL627" s="211"/>
      <c r="AM627" s="211"/>
      <c r="AN627" s="211"/>
      <c r="AO627" s="211"/>
      <c r="AP627" s="211"/>
      <c r="AQ627" s="211"/>
      <c r="AR627" s="211"/>
      <c r="AS627" s="211"/>
      <c r="AT627" s="211"/>
      <c r="AU627" s="211"/>
      <c r="AV627" s="211"/>
      <c r="AW627" s="211"/>
      <c r="AX627" s="211"/>
      <c r="AY627" s="211"/>
      <c r="AZ627" s="211"/>
    </row>
    <row r="628" spans="1:52" s="213" customFormat="1" x14ac:dyDescent="0.35">
      <c r="A628" s="211"/>
      <c r="B628" s="211"/>
      <c r="C628" s="211"/>
      <c r="D628" s="211"/>
      <c r="E628" s="211"/>
      <c r="F628" s="211"/>
      <c r="G628" s="211"/>
      <c r="H628" s="211"/>
      <c r="I628" s="212"/>
      <c r="J628" s="212"/>
      <c r="K628" s="212"/>
      <c r="L628" s="212"/>
      <c r="M628" s="212"/>
      <c r="N628" s="212"/>
      <c r="O628" s="212"/>
      <c r="P628" s="211"/>
      <c r="Q628" s="211"/>
      <c r="R628" s="211"/>
      <c r="S628" s="211"/>
      <c r="T628" s="211"/>
      <c r="U628" s="211"/>
      <c r="V628" s="211"/>
      <c r="W628" s="211"/>
      <c r="X628" s="211"/>
      <c r="Y628" s="211"/>
      <c r="Z628" s="211"/>
      <c r="AD628" s="211"/>
      <c r="AE628" s="211"/>
      <c r="AF628" s="211"/>
      <c r="AG628" s="211"/>
      <c r="AH628" s="211"/>
      <c r="AI628" s="211"/>
      <c r="AJ628" s="211"/>
      <c r="AK628" s="211"/>
      <c r="AL628" s="211"/>
      <c r="AM628" s="211"/>
      <c r="AN628" s="211"/>
      <c r="AO628" s="211"/>
      <c r="AP628" s="211"/>
      <c r="AQ628" s="211"/>
      <c r="AR628" s="211"/>
      <c r="AS628" s="211"/>
      <c r="AT628" s="211"/>
      <c r="AU628" s="211"/>
      <c r="AV628" s="211"/>
      <c r="AW628" s="211"/>
      <c r="AX628" s="211"/>
      <c r="AY628" s="211"/>
      <c r="AZ628" s="211"/>
    </row>
    <row r="629" spans="1:52" s="213" customFormat="1" x14ac:dyDescent="0.35">
      <c r="A629" s="211"/>
      <c r="B629" s="211"/>
      <c r="C629" s="211"/>
      <c r="D629" s="211"/>
      <c r="E629" s="211"/>
      <c r="F629" s="211"/>
      <c r="G629" s="211"/>
      <c r="H629" s="211"/>
      <c r="I629" s="212"/>
      <c r="J629" s="212"/>
      <c r="K629" s="212"/>
      <c r="L629" s="212"/>
      <c r="M629" s="212"/>
      <c r="N629" s="212"/>
      <c r="O629" s="212"/>
      <c r="P629" s="211"/>
      <c r="Q629" s="211"/>
      <c r="R629" s="211"/>
      <c r="S629" s="211"/>
      <c r="T629" s="211"/>
      <c r="U629" s="211"/>
      <c r="V629" s="211"/>
      <c r="W629" s="211"/>
      <c r="X629" s="211"/>
      <c r="Y629" s="211"/>
      <c r="Z629" s="211"/>
      <c r="AD629" s="211"/>
      <c r="AE629" s="211"/>
      <c r="AF629" s="211"/>
      <c r="AG629" s="211"/>
      <c r="AH629" s="211"/>
      <c r="AI629" s="211"/>
      <c r="AJ629" s="211"/>
      <c r="AK629" s="211"/>
      <c r="AL629" s="211"/>
      <c r="AM629" s="211"/>
      <c r="AN629" s="211"/>
      <c r="AO629" s="211"/>
      <c r="AP629" s="211"/>
      <c r="AQ629" s="211"/>
      <c r="AR629" s="211"/>
      <c r="AS629" s="211"/>
      <c r="AT629" s="211"/>
      <c r="AU629" s="211"/>
      <c r="AV629" s="211"/>
      <c r="AW629" s="211"/>
      <c r="AX629" s="211"/>
      <c r="AY629" s="211"/>
      <c r="AZ629" s="211"/>
    </row>
    <row r="630" spans="1:52" s="213" customFormat="1" x14ac:dyDescent="0.35">
      <c r="A630" s="211"/>
      <c r="B630" s="211"/>
      <c r="C630" s="211"/>
      <c r="D630" s="211"/>
      <c r="E630" s="211"/>
      <c r="F630" s="211"/>
      <c r="G630" s="211"/>
      <c r="H630" s="211"/>
      <c r="I630" s="212"/>
      <c r="J630" s="212"/>
      <c r="K630" s="212"/>
      <c r="L630" s="212"/>
      <c r="M630" s="212"/>
      <c r="N630" s="212"/>
      <c r="O630" s="212"/>
      <c r="P630" s="211"/>
      <c r="Q630" s="211"/>
      <c r="R630" s="211"/>
      <c r="S630" s="211"/>
      <c r="T630" s="211"/>
      <c r="U630" s="211"/>
      <c r="V630" s="211"/>
      <c r="W630" s="211"/>
      <c r="X630" s="211"/>
      <c r="Y630" s="211"/>
      <c r="Z630" s="211"/>
      <c r="AD630" s="211"/>
      <c r="AE630" s="211"/>
      <c r="AF630" s="211"/>
      <c r="AG630" s="211"/>
      <c r="AH630" s="211"/>
      <c r="AI630" s="211"/>
      <c r="AJ630" s="211"/>
      <c r="AK630" s="211"/>
      <c r="AL630" s="211"/>
      <c r="AM630" s="211"/>
      <c r="AN630" s="211"/>
      <c r="AO630" s="211"/>
      <c r="AP630" s="211"/>
      <c r="AQ630" s="211"/>
      <c r="AR630" s="211"/>
      <c r="AS630" s="211"/>
      <c r="AT630" s="211"/>
      <c r="AU630" s="211"/>
      <c r="AV630" s="211"/>
      <c r="AW630" s="211"/>
      <c r="AX630" s="211"/>
      <c r="AY630" s="211"/>
      <c r="AZ630" s="211"/>
    </row>
    <row r="631" spans="1:52" s="213" customFormat="1" x14ac:dyDescent="0.35">
      <c r="A631" s="211"/>
      <c r="B631" s="211"/>
      <c r="C631" s="211"/>
      <c r="D631" s="211"/>
      <c r="E631" s="211"/>
      <c r="F631" s="211"/>
      <c r="G631" s="211"/>
      <c r="H631" s="211"/>
      <c r="I631" s="212"/>
      <c r="J631" s="212"/>
      <c r="K631" s="212"/>
      <c r="L631" s="212"/>
      <c r="M631" s="212"/>
      <c r="N631" s="212"/>
      <c r="O631" s="212"/>
      <c r="P631" s="211"/>
      <c r="Q631" s="211"/>
      <c r="R631" s="211"/>
      <c r="S631" s="211"/>
      <c r="T631" s="211"/>
      <c r="U631" s="211"/>
      <c r="V631" s="211"/>
      <c r="W631" s="211"/>
      <c r="X631" s="211"/>
      <c r="Y631" s="211"/>
      <c r="Z631" s="211"/>
      <c r="AD631" s="211"/>
      <c r="AE631" s="211"/>
      <c r="AF631" s="211"/>
      <c r="AG631" s="211"/>
      <c r="AH631" s="211"/>
      <c r="AI631" s="211"/>
      <c r="AJ631" s="211"/>
      <c r="AK631" s="211"/>
      <c r="AL631" s="211"/>
      <c r="AM631" s="211"/>
      <c r="AN631" s="211"/>
      <c r="AO631" s="211"/>
      <c r="AP631" s="211"/>
      <c r="AQ631" s="211"/>
      <c r="AR631" s="211"/>
      <c r="AS631" s="211"/>
      <c r="AT631" s="211"/>
      <c r="AU631" s="211"/>
      <c r="AV631" s="211"/>
      <c r="AW631" s="211"/>
      <c r="AX631" s="211"/>
      <c r="AY631" s="211"/>
      <c r="AZ631" s="211"/>
    </row>
    <row r="632" spans="1:52" s="213" customFormat="1" x14ac:dyDescent="0.35">
      <c r="A632" s="211"/>
      <c r="B632" s="211"/>
      <c r="C632" s="211"/>
      <c r="D632" s="211"/>
      <c r="E632" s="211"/>
      <c r="F632" s="211"/>
      <c r="G632" s="211"/>
      <c r="H632" s="211"/>
      <c r="I632" s="212"/>
      <c r="J632" s="212"/>
      <c r="K632" s="212"/>
      <c r="L632" s="212"/>
      <c r="M632" s="212"/>
      <c r="N632" s="212"/>
      <c r="O632" s="212"/>
      <c r="P632" s="211"/>
      <c r="Q632" s="211"/>
      <c r="R632" s="211"/>
      <c r="S632" s="211"/>
      <c r="T632" s="211"/>
      <c r="U632" s="211"/>
      <c r="V632" s="211"/>
      <c r="W632" s="211"/>
      <c r="X632" s="211"/>
      <c r="Y632" s="211"/>
      <c r="Z632" s="211"/>
      <c r="AD632" s="211"/>
      <c r="AE632" s="211"/>
      <c r="AF632" s="211"/>
      <c r="AG632" s="211"/>
      <c r="AH632" s="211"/>
      <c r="AI632" s="211"/>
      <c r="AJ632" s="211"/>
      <c r="AK632" s="211"/>
      <c r="AL632" s="211"/>
      <c r="AM632" s="211"/>
      <c r="AN632" s="211"/>
      <c r="AO632" s="211"/>
      <c r="AP632" s="211"/>
      <c r="AQ632" s="211"/>
      <c r="AR632" s="211"/>
      <c r="AS632" s="211"/>
      <c r="AT632" s="211"/>
      <c r="AU632" s="211"/>
      <c r="AV632" s="211"/>
      <c r="AW632" s="211"/>
      <c r="AX632" s="211"/>
      <c r="AY632" s="211"/>
      <c r="AZ632" s="211"/>
    </row>
    <row r="633" spans="1:52" s="213" customFormat="1" x14ac:dyDescent="0.35">
      <c r="A633" s="211"/>
      <c r="B633" s="211"/>
      <c r="C633" s="211"/>
      <c r="D633" s="211"/>
      <c r="E633" s="211"/>
      <c r="F633" s="211"/>
      <c r="G633" s="211"/>
      <c r="H633" s="211"/>
      <c r="I633" s="212"/>
      <c r="J633" s="212"/>
      <c r="K633" s="212"/>
      <c r="L633" s="212"/>
      <c r="M633" s="212"/>
      <c r="N633" s="212"/>
      <c r="O633" s="212"/>
      <c r="P633" s="211"/>
      <c r="Q633" s="211"/>
      <c r="R633" s="211"/>
      <c r="S633" s="211"/>
      <c r="T633" s="211"/>
      <c r="U633" s="211"/>
      <c r="V633" s="211"/>
      <c r="W633" s="211"/>
      <c r="X633" s="211"/>
      <c r="Y633" s="211"/>
      <c r="Z633" s="211"/>
      <c r="AD633" s="211"/>
      <c r="AE633" s="211"/>
      <c r="AF633" s="211"/>
      <c r="AG633" s="211"/>
      <c r="AH633" s="211"/>
      <c r="AI633" s="211"/>
      <c r="AJ633" s="211"/>
      <c r="AK633" s="211"/>
      <c r="AL633" s="211"/>
      <c r="AM633" s="211"/>
      <c r="AN633" s="211"/>
      <c r="AO633" s="211"/>
      <c r="AP633" s="211"/>
      <c r="AQ633" s="211"/>
      <c r="AR633" s="211"/>
      <c r="AS633" s="211"/>
      <c r="AT633" s="211"/>
      <c r="AU633" s="211"/>
      <c r="AV633" s="211"/>
      <c r="AW633" s="211"/>
      <c r="AX633" s="211"/>
      <c r="AY633" s="211"/>
      <c r="AZ633" s="211"/>
    </row>
    <row r="634" spans="1:52" s="213" customFormat="1" x14ac:dyDescent="0.35">
      <c r="A634" s="211"/>
      <c r="B634" s="211"/>
      <c r="C634" s="211"/>
      <c r="D634" s="211"/>
      <c r="E634" s="211"/>
      <c r="F634" s="211"/>
      <c r="G634" s="211"/>
      <c r="H634" s="211"/>
      <c r="I634" s="212"/>
      <c r="J634" s="212"/>
      <c r="K634" s="212"/>
      <c r="L634" s="212"/>
      <c r="M634" s="212"/>
      <c r="N634" s="212"/>
      <c r="O634" s="212"/>
      <c r="P634" s="211"/>
      <c r="Q634" s="211"/>
      <c r="R634" s="211"/>
      <c r="S634" s="211"/>
      <c r="T634" s="211"/>
      <c r="U634" s="211"/>
      <c r="V634" s="211"/>
      <c r="W634" s="211"/>
      <c r="X634" s="211"/>
      <c r="Y634" s="211"/>
      <c r="Z634" s="211"/>
      <c r="AD634" s="211"/>
      <c r="AE634" s="211"/>
      <c r="AF634" s="211"/>
      <c r="AG634" s="211"/>
      <c r="AH634" s="211"/>
      <c r="AI634" s="211"/>
      <c r="AJ634" s="211"/>
      <c r="AK634" s="211"/>
      <c r="AL634" s="211"/>
      <c r="AM634" s="211"/>
      <c r="AN634" s="211"/>
      <c r="AO634" s="211"/>
      <c r="AP634" s="211"/>
      <c r="AQ634" s="211"/>
      <c r="AR634" s="211"/>
      <c r="AS634" s="211"/>
      <c r="AT634" s="211"/>
      <c r="AU634" s="211"/>
      <c r="AV634" s="211"/>
      <c r="AW634" s="211"/>
      <c r="AX634" s="211"/>
      <c r="AY634" s="211"/>
      <c r="AZ634" s="211"/>
    </row>
    <row r="635" spans="1:52" s="213" customFormat="1" x14ac:dyDescent="0.35">
      <c r="A635" s="211"/>
      <c r="B635" s="211"/>
      <c r="C635" s="211"/>
      <c r="D635" s="211"/>
      <c r="E635" s="211"/>
      <c r="F635" s="211"/>
      <c r="G635" s="211"/>
      <c r="H635" s="211"/>
      <c r="I635" s="212"/>
      <c r="J635" s="212"/>
      <c r="K635" s="212"/>
      <c r="L635" s="212"/>
      <c r="M635" s="212"/>
      <c r="N635" s="212"/>
      <c r="O635" s="212"/>
      <c r="P635" s="211"/>
      <c r="Q635" s="211"/>
      <c r="R635" s="211"/>
      <c r="S635" s="211"/>
      <c r="T635" s="211"/>
      <c r="U635" s="211"/>
      <c r="V635" s="211"/>
      <c r="W635" s="211"/>
      <c r="X635" s="211"/>
      <c r="Y635" s="211"/>
      <c r="Z635" s="211"/>
      <c r="AD635" s="211"/>
      <c r="AE635" s="211"/>
      <c r="AF635" s="211"/>
      <c r="AG635" s="211"/>
      <c r="AH635" s="211"/>
      <c r="AI635" s="211"/>
      <c r="AJ635" s="211"/>
      <c r="AK635" s="211"/>
      <c r="AL635" s="211"/>
      <c r="AM635" s="211"/>
      <c r="AN635" s="211"/>
      <c r="AO635" s="211"/>
      <c r="AP635" s="211"/>
      <c r="AQ635" s="211"/>
      <c r="AR635" s="211"/>
      <c r="AS635" s="211"/>
      <c r="AT635" s="211"/>
      <c r="AU635" s="211"/>
      <c r="AV635" s="211"/>
      <c r="AW635" s="211"/>
      <c r="AX635" s="211"/>
      <c r="AY635" s="211"/>
      <c r="AZ635" s="211"/>
    </row>
    <row r="636" spans="1:52" s="213" customFormat="1" x14ac:dyDescent="0.35">
      <c r="A636" s="211"/>
      <c r="B636" s="211"/>
      <c r="C636" s="211"/>
      <c r="D636" s="211"/>
      <c r="E636" s="211"/>
      <c r="F636" s="211"/>
      <c r="G636" s="211"/>
      <c r="H636" s="211"/>
      <c r="I636" s="212"/>
      <c r="J636" s="212"/>
      <c r="K636" s="212"/>
      <c r="L636" s="212"/>
      <c r="M636" s="212"/>
      <c r="N636" s="212"/>
      <c r="O636" s="212"/>
      <c r="P636" s="211"/>
      <c r="Q636" s="211"/>
      <c r="R636" s="211"/>
      <c r="S636" s="211"/>
      <c r="T636" s="211"/>
      <c r="U636" s="211"/>
      <c r="V636" s="211"/>
      <c r="W636" s="211"/>
      <c r="X636" s="211"/>
      <c r="Y636" s="211"/>
      <c r="Z636" s="211"/>
      <c r="AD636" s="211"/>
      <c r="AE636" s="211"/>
      <c r="AF636" s="211"/>
      <c r="AG636" s="211"/>
      <c r="AH636" s="211"/>
      <c r="AI636" s="211"/>
      <c r="AJ636" s="211"/>
      <c r="AK636" s="211"/>
      <c r="AL636" s="211"/>
      <c r="AM636" s="211"/>
      <c r="AN636" s="211"/>
      <c r="AO636" s="211"/>
      <c r="AP636" s="211"/>
      <c r="AQ636" s="211"/>
      <c r="AR636" s="211"/>
      <c r="AS636" s="211"/>
      <c r="AT636" s="211"/>
      <c r="AU636" s="211"/>
      <c r="AV636" s="211"/>
      <c r="AW636" s="211"/>
      <c r="AX636" s="211"/>
      <c r="AY636" s="211"/>
      <c r="AZ636" s="211"/>
    </row>
    <row r="637" spans="1:52" s="213" customFormat="1" x14ac:dyDescent="0.35">
      <c r="A637" s="211"/>
      <c r="B637" s="211"/>
      <c r="C637" s="211"/>
      <c r="D637" s="211"/>
      <c r="E637" s="211"/>
      <c r="F637" s="211"/>
      <c r="G637" s="211"/>
      <c r="H637" s="211"/>
      <c r="I637" s="212"/>
      <c r="J637" s="212"/>
      <c r="K637" s="212"/>
      <c r="L637" s="212"/>
      <c r="M637" s="212"/>
      <c r="N637" s="212"/>
      <c r="O637" s="212"/>
      <c r="P637" s="211"/>
      <c r="Q637" s="211"/>
      <c r="R637" s="211"/>
      <c r="S637" s="211"/>
      <c r="T637" s="211"/>
      <c r="U637" s="211"/>
      <c r="V637" s="211"/>
      <c r="W637" s="211"/>
      <c r="X637" s="211"/>
      <c r="Y637" s="211"/>
      <c r="Z637" s="211"/>
      <c r="AD637" s="211"/>
      <c r="AE637" s="211"/>
      <c r="AF637" s="211"/>
      <c r="AG637" s="211"/>
      <c r="AH637" s="211"/>
      <c r="AI637" s="211"/>
      <c r="AJ637" s="211"/>
      <c r="AK637" s="211"/>
      <c r="AL637" s="211"/>
      <c r="AM637" s="211"/>
      <c r="AN637" s="211"/>
      <c r="AO637" s="211"/>
      <c r="AP637" s="211"/>
      <c r="AQ637" s="211"/>
      <c r="AR637" s="211"/>
      <c r="AS637" s="211"/>
      <c r="AT637" s="211"/>
      <c r="AU637" s="211"/>
      <c r="AV637" s="211"/>
      <c r="AW637" s="211"/>
      <c r="AX637" s="211"/>
      <c r="AY637" s="211"/>
      <c r="AZ637" s="211"/>
    </row>
    <row r="638" spans="1:52" s="213" customFormat="1" x14ac:dyDescent="0.35">
      <c r="A638" s="211"/>
      <c r="B638" s="211"/>
      <c r="C638" s="211"/>
      <c r="D638" s="211"/>
      <c r="E638" s="211"/>
      <c r="F638" s="211"/>
      <c r="G638" s="211"/>
      <c r="H638" s="211"/>
      <c r="I638" s="212"/>
      <c r="J638" s="212"/>
      <c r="K638" s="212"/>
      <c r="L638" s="212"/>
      <c r="M638" s="212"/>
      <c r="N638" s="212"/>
      <c r="O638" s="212"/>
      <c r="P638" s="211"/>
      <c r="Q638" s="211"/>
      <c r="R638" s="211"/>
      <c r="S638" s="211"/>
      <c r="T638" s="211"/>
      <c r="U638" s="211"/>
      <c r="V638" s="211"/>
      <c r="W638" s="211"/>
      <c r="X638" s="211"/>
      <c r="Y638" s="211"/>
      <c r="Z638" s="211"/>
      <c r="AD638" s="211"/>
      <c r="AE638" s="211"/>
      <c r="AF638" s="211"/>
      <c r="AG638" s="211"/>
      <c r="AH638" s="211"/>
      <c r="AI638" s="211"/>
      <c r="AJ638" s="211"/>
      <c r="AK638" s="211"/>
      <c r="AL638" s="211"/>
      <c r="AM638" s="211"/>
      <c r="AN638" s="211"/>
      <c r="AO638" s="211"/>
      <c r="AP638" s="211"/>
      <c r="AQ638" s="211"/>
      <c r="AR638" s="211"/>
      <c r="AS638" s="211"/>
      <c r="AT638" s="211"/>
      <c r="AU638" s="211"/>
      <c r="AV638" s="211"/>
      <c r="AW638" s="211"/>
      <c r="AX638" s="211"/>
      <c r="AY638" s="211"/>
      <c r="AZ638" s="211"/>
    </row>
    <row r="639" spans="1:52" s="213" customFormat="1" x14ac:dyDescent="0.35">
      <c r="A639" s="211"/>
      <c r="B639" s="211"/>
      <c r="C639" s="211"/>
      <c r="D639" s="211"/>
      <c r="E639" s="211"/>
      <c r="F639" s="211"/>
      <c r="G639" s="211"/>
      <c r="H639" s="211"/>
      <c r="I639" s="212"/>
      <c r="J639" s="212"/>
      <c r="K639" s="212"/>
      <c r="L639" s="212"/>
      <c r="M639" s="212"/>
      <c r="N639" s="212"/>
      <c r="O639" s="212"/>
      <c r="P639" s="211"/>
      <c r="Q639" s="211"/>
      <c r="R639" s="211"/>
      <c r="S639" s="211"/>
      <c r="T639" s="211"/>
      <c r="U639" s="211"/>
      <c r="V639" s="211"/>
      <c r="W639" s="211"/>
      <c r="X639" s="211"/>
      <c r="Y639" s="211"/>
      <c r="Z639" s="211"/>
      <c r="AD639" s="211"/>
      <c r="AE639" s="211"/>
      <c r="AF639" s="211"/>
      <c r="AG639" s="211"/>
      <c r="AH639" s="211"/>
      <c r="AI639" s="211"/>
      <c r="AJ639" s="211"/>
      <c r="AK639" s="211"/>
      <c r="AL639" s="211"/>
      <c r="AM639" s="211"/>
      <c r="AN639" s="211"/>
      <c r="AO639" s="211"/>
      <c r="AP639" s="211"/>
      <c r="AQ639" s="211"/>
      <c r="AR639" s="211"/>
      <c r="AS639" s="211"/>
      <c r="AT639" s="211"/>
      <c r="AU639" s="211"/>
      <c r="AV639" s="211"/>
      <c r="AW639" s="211"/>
      <c r="AX639" s="211"/>
      <c r="AY639" s="211"/>
      <c r="AZ639" s="211"/>
    </row>
    <row r="640" spans="1:52" s="213" customFormat="1" x14ac:dyDescent="0.35">
      <c r="A640" s="211"/>
      <c r="B640" s="211"/>
      <c r="C640" s="211"/>
      <c r="D640" s="211"/>
      <c r="E640" s="211"/>
      <c r="F640" s="211"/>
      <c r="G640" s="211"/>
      <c r="H640" s="211"/>
      <c r="I640" s="212"/>
      <c r="J640" s="212"/>
      <c r="K640" s="212"/>
      <c r="L640" s="212"/>
      <c r="M640" s="212"/>
      <c r="N640" s="212"/>
      <c r="O640" s="212"/>
      <c r="P640" s="211"/>
      <c r="Q640" s="211"/>
      <c r="R640" s="211"/>
      <c r="S640" s="211"/>
      <c r="T640" s="211"/>
      <c r="U640" s="211"/>
      <c r="V640" s="211"/>
      <c r="W640" s="211"/>
      <c r="X640" s="211"/>
      <c r="Y640" s="211"/>
      <c r="Z640" s="211"/>
      <c r="AD640" s="211"/>
      <c r="AE640" s="211"/>
      <c r="AF640" s="211"/>
      <c r="AG640" s="211"/>
      <c r="AH640" s="211"/>
      <c r="AI640" s="211"/>
      <c r="AJ640" s="211"/>
      <c r="AK640" s="211"/>
      <c r="AL640" s="211"/>
      <c r="AM640" s="211"/>
      <c r="AN640" s="211"/>
      <c r="AO640" s="211"/>
      <c r="AP640" s="211"/>
      <c r="AQ640" s="211"/>
      <c r="AR640" s="211"/>
      <c r="AS640" s="211"/>
      <c r="AT640" s="211"/>
      <c r="AU640" s="211"/>
      <c r="AV640" s="211"/>
      <c r="AW640" s="211"/>
      <c r="AX640" s="211"/>
      <c r="AY640" s="211"/>
      <c r="AZ640" s="211"/>
    </row>
    <row r="641" spans="1:52" s="213" customFormat="1" x14ac:dyDescent="0.35">
      <c r="A641" s="211"/>
      <c r="B641" s="211"/>
      <c r="C641" s="211"/>
      <c r="D641" s="211"/>
      <c r="E641" s="211"/>
      <c r="F641" s="211"/>
      <c r="G641" s="211"/>
      <c r="H641" s="211"/>
      <c r="I641" s="212"/>
      <c r="J641" s="212"/>
      <c r="K641" s="212"/>
      <c r="L641" s="212"/>
      <c r="M641" s="212"/>
      <c r="N641" s="212"/>
      <c r="O641" s="212"/>
      <c r="P641" s="211"/>
      <c r="Q641" s="211"/>
      <c r="R641" s="211"/>
      <c r="S641" s="211"/>
      <c r="T641" s="211"/>
      <c r="U641" s="211"/>
      <c r="V641" s="211"/>
      <c r="W641" s="211"/>
      <c r="X641" s="211"/>
      <c r="Y641" s="211"/>
      <c r="Z641" s="211"/>
      <c r="AD641" s="211"/>
      <c r="AE641" s="211"/>
      <c r="AF641" s="211"/>
      <c r="AG641" s="211"/>
      <c r="AH641" s="211"/>
      <c r="AI641" s="211"/>
      <c r="AJ641" s="211"/>
      <c r="AK641" s="211"/>
      <c r="AL641" s="211"/>
      <c r="AM641" s="211"/>
      <c r="AN641" s="211"/>
      <c r="AO641" s="211"/>
      <c r="AP641" s="211"/>
      <c r="AQ641" s="211"/>
      <c r="AR641" s="211"/>
      <c r="AS641" s="211"/>
      <c r="AT641" s="211"/>
      <c r="AU641" s="211"/>
      <c r="AV641" s="211"/>
      <c r="AW641" s="211"/>
      <c r="AX641" s="211"/>
      <c r="AY641" s="211"/>
      <c r="AZ641" s="211"/>
    </row>
    <row r="642" spans="1:52" s="213" customFormat="1" x14ac:dyDescent="0.35">
      <c r="A642" s="211"/>
      <c r="B642" s="211"/>
      <c r="C642" s="211"/>
      <c r="D642" s="211"/>
      <c r="E642" s="211"/>
      <c r="F642" s="211"/>
      <c r="G642" s="211"/>
      <c r="H642" s="211"/>
      <c r="I642" s="212"/>
      <c r="J642" s="212"/>
      <c r="K642" s="212"/>
      <c r="L642" s="212"/>
      <c r="M642" s="212"/>
      <c r="N642" s="212"/>
      <c r="O642" s="212"/>
      <c r="P642" s="211"/>
      <c r="Q642" s="211"/>
      <c r="R642" s="211"/>
      <c r="S642" s="211"/>
      <c r="T642" s="211"/>
      <c r="U642" s="211"/>
      <c r="V642" s="211"/>
      <c r="W642" s="211"/>
      <c r="X642" s="211"/>
      <c r="Y642" s="211"/>
      <c r="Z642" s="211"/>
      <c r="AD642" s="211"/>
      <c r="AE642" s="211"/>
      <c r="AF642" s="211"/>
      <c r="AG642" s="211"/>
      <c r="AH642" s="211"/>
      <c r="AI642" s="211"/>
      <c r="AJ642" s="211"/>
      <c r="AK642" s="211"/>
      <c r="AL642" s="211"/>
      <c r="AM642" s="211"/>
      <c r="AN642" s="211"/>
      <c r="AO642" s="211"/>
      <c r="AP642" s="211"/>
      <c r="AQ642" s="211"/>
      <c r="AR642" s="211"/>
      <c r="AS642" s="211"/>
      <c r="AT642" s="211"/>
      <c r="AU642" s="211"/>
      <c r="AV642" s="211"/>
      <c r="AW642" s="211"/>
      <c r="AX642" s="211"/>
      <c r="AY642" s="211"/>
      <c r="AZ642" s="211"/>
    </row>
    <row r="643" spans="1:52" s="213" customFormat="1" x14ac:dyDescent="0.35">
      <c r="A643" s="211"/>
      <c r="B643" s="211"/>
      <c r="C643" s="211"/>
      <c r="D643" s="211"/>
      <c r="E643" s="211"/>
      <c r="F643" s="211"/>
      <c r="G643" s="211"/>
      <c r="H643" s="211"/>
      <c r="I643" s="212"/>
      <c r="J643" s="212"/>
      <c r="K643" s="212"/>
      <c r="L643" s="212"/>
      <c r="M643" s="212"/>
      <c r="N643" s="212"/>
      <c r="O643" s="212"/>
      <c r="P643" s="211"/>
      <c r="Q643" s="211"/>
      <c r="R643" s="211"/>
      <c r="S643" s="211"/>
      <c r="T643" s="211"/>
      <c r="U643" s="211"/>
      <c r="V643" s="211"/>
      <c r="W643" s="211"/>
      <c r="X643" s="211"/>
      <c r="Y643" s="211"/>
      <c r="Z643" s="211"/>
      <c r="AD643" s="211"/>
      <c r="AE643" s="211"/>
      <c r="AF643" s="211"/>
      <c r="AG643" s="211"/>
      <c r="AH643" s="211"/>
      <c r="AI643" s="211"/>
      <c r="AJ643" s="211"/>
      <c r="AK643" s="211"/>
      <c r="AL643" s="211"/>
      <c r="AM643" s="211"/>
      <c r="AN643" s="211"/>
      <c r="AO643" s="211"/>
      <c r="AP643" s="211"/>
      <c r="AQ643" s="211"/>
      <c r="AR643" s="211"/>
      <c r="AS643" s="211"/>
      <c r="AT643" s="211"/>
      <c r="AU643" s="211"/>
      <c r="AV643" s="211"/>
      <c r="AW643" s="211"/>
      <c r="AX643" s="211"/>
      <c r="AY643" s="211"/>
      <c r="AZ643" s="211"/>
    </row>
    <row r="644" spans="1:52" s="213" customFormat="1" x14ac:dyDescent="0.35">
      <c r="A644" s="211"/>
      <c r="B644" s="211"/>
      <c r="C644" s="211"/>
      <c r="D644" s="211"/>
      <c r="E644" s="211"/>
      <c r="F644" s="211"/>
      <c r="G644" s="211"/>
      <c r="H644" s="211"/>
      <c r="I644" s="212"/>
      <c r="J644" s="212"/>
      <c r="K644" s="212"/>
      <c r="L644" s="212"/>
      <c r="M644" s="212"/>
      <c r="N644" s="212"/>
      <c r="O644" s="212"/>
      <c r="P644" s="211"/>
      <c r="Q644" s="211"/>
      <c r="R644" s="211"/>
      <c r="S644" s="211"/>
      <c r="T644" s="211"/>
      <c r="U644" s="211"/>
      <c r="V644" s="211"/>
      <c r="W644" s="211"/>
      <c r="X644" s="211"/>
      <c r="Y644" s="211"/>
      <c r="Z644" s="211"/>
      <c r="AD644" s="211"/>
      <c r="AE644" s="211"/>
      <c r="AF644" s="211"/>
      <c r="AG644" s="211"/>
      <c r="AH644" s="211"/>
      <c r="AI644" s="211"/>
      <c r="AJ644" s="211"/>
      <c r="AK644" s="211"/>
      <c r="AL644" s="211"/>
      <c r="AM644" s="211"/>
      <c r="AN644" s="211"/>
      <c r="AO644" s="211"/>
      <c r="AP644" s="211"/>
      <c r="AQ644" s="211"/>
      <c r="AR644" s="211"/>
      <c r="AS644" s="211"/>
      <c r="AT644" s="211"/>
      <c r="AU644" s="211"/>
      <c r="AV644" s="211"/>
      <c r="AW644" s="211"/>
      <c r="AX644" s="211"/>
      <c r="AY644" s="211"/>
      <c r="AZ644" s="211"/>
    </row>
    <row r="645" spans="1:52" s="213" customFormat="1" x14ac:dyDescent="0.35">
      <c r="A645" s="211"/>
      <c r="B645" s="211"/>
      <c r="C645" s="211"/>
      <c r="D645" s="211"/>
      <c r="E645" s="211"/>
      <c r="F645" s="211"/>
      <c r="G645" s="211"/>
      <c r="H645" s="211"/>
      <c r="I645" s="212"/>
      <c r="J645" s="212"/>
      <c r="K645" s="212"/>
      <c r="L645" s="212"/>
      <c r="M645" s="212"/>
      <c r="N645" s="212"/>
      <c r="O645" s="212"/>
      <c r="P645" s="211"/>
      <c r="Q645" s="211"/>
      <c r="R645" s="211"/>
      <c r="S645" s="211"/>
      <c r="T645" s="211"/>
      <c r="U645" s="211"/>
      <c r="V645" s="211"/>
      <c r="W645" s="211"/>
      <c r="X645" s="211"/>
      <c r="Y645" s="211"/>
      <c r="Z645" s="211"/>
      <c r="AD645" s="211"/>
      <c r="AE645" s="211"/>
      <c r="AF645" s="211"/>
      <c r="AG645" s="211"/>
      <c r="AH645" s="211"/>
      <c r="AI645" s="211"/>
      <c r="AJ645" s="211"/>
      <c r="AK645" s="211"/>
      <c r="AL645" s="211"/>
      <c r="AM645" s="211"/>
      <c r="AN645" s="211"/>
      <c r="AO645" s="211"/>
      <c r="AP645" s="211"/>
      <c r="AQ645" s="211"/>
      <c r="AR645" s="211"/>
      <c r="AS645" s="211"/>
      <c r="AT645" s="211"/>
      <c r="AU645" s="211"/>
      <c r="AV645" s="211"/>
      <c r="AW645" s="211"/>
      <c r="AX645" s="211"/>
      <c r="AY645" s="211"/>
      <c r="AZ645" s="211"/>
    </row>
    <row r="646" spans="1:52" s="213" customFormat="1" x14ac:dyDescent="0.35">
      <c r="A646" s="211"/>
      <c r="B646" s="211"/>
      <c r="C646" s="211"/>
      <c r="D646" s="211"/>
      <c r="E646" s="211"/>
      <c r="F646" s="211"/>
      <c r="G646" s="211"/>
      <c r="H646" s="211"/>
      <c r="I646" s="212"/>
      <c r="J646" s="212"/>
      <c r="K646" s="212"/>
      <c r="L646" s="212"/>
      <c r="M646" s="212"/>
      <c r="N646" s="212"/>
      <c r="O646" s="212"/>
      <c r="P646" s="211"/>
      <c r="Q646" s="211"/>
      <c r="R646" s="211"/>
      <c r="S646" s="211"/>
      <c r="T646" s="211"/>
      <c r="U646" s="211"/>
      <c r="V646" s="211"/>
      <c r="W646" s="211"/>
      <c r="X646" s="211"/>
      <c r="Y646" s="211"/>
      <c r="Z646" s="211"/>
      <c r="AD646" s="211"/>
      <c r="AE646" s="211"/>
      <c r="AF646" s="211"/>
      <c r="AG646" s="211"/>
      <c r="AH646" s="211"/>
      <c r="AI646" s="211"/>
      <c r="AJ646" s="211"/>
      <c r="AK646" s="211"/>
      <c r="AL646" s="211"/>
      <c r="AM646" s="211"/>
      <c r="AN646" s="211"/>
      <c r="AO646" s="211"/>
      <c r="AP646" s="211"/>
      <c r="AQ646" s="211"/>
      <c r="AR646" s="211"/>
      <c r="AS646" s="211"/>
      <c r="AT646" s="211"/>
      <c r="AU646" s="211"/>
      <c r="AV646" s="211"/>
      <c r="AW646" s="211"/>
      <c r="AX646" s="211"/>
      <c r="AY646" s="211"/>
      <c r="AZ646" s="211"/>
    </row>
    <row r="647" spans="1:52" s="213" customFormat="1" x14ac:dyDescent="0.35">
      <c r="A647" s="211"/>
      <c r="B647" s="211"/>
      <c r="C647" s="211"/>
      <c r="D647" s="211"/>
      <c r="E647" s="211"/>
      <c r="F647" s="211"/>
      <c r="G647" s="211"/>
      <c r="H647" s="211"/>
      <c r="I647" s="212"/>
      <c r="J647" s="212"/>
      <c r="K647" s="212"/>
      <c r="L647" s="212"/>
      <c r="M647" s="212"/>
      <c r="N647" s="212"/>
      <c r="O647" s="212"/>
      <c r="P647" s="211"/>
      <c r="Q647" s="211"/>
      <c r="R647" s="211"/>
      <c r="S647" s="211"/>
      <c r="T647" s="211"/>
      <c r="U647" s="211"/>
      <c r="V647" s="211"/>
      <c r="W647" s="211"/>
      <c r="X647" s="211"/>
      <c r="Y647" s="211"/>
      <c r="Z647" s="211"/>
      <c r="AD647" s="211"/>
      <c r="AE647" s="211"/>
      <c r="AF647" s="211"/>
      <c r="AG647" s="211"/>
      <c r="AH647" s="211"/>
      <c r="AI647" s="211"/>
      <c r="AJ647" s="211"/>
      <c r="AK647" s="211"/>
      <c r="AL647" s="211"/>
      <c r="AM647" s="211"/>
      <c r="AN647" s="211"/>
      <c r="AO647" s="211"/>
      <c r="AP647" s="211"/>
      <c r="AQ647" s="211"/>
      <c r="AR647" s="211"/>
      <c r="AS647" s="211"/>
      <c r="AT647" s="211"/>
      <c r="AU647" s="211"/>
      <c r="AV647" s="211"/>
      <c r="AW647" s="211"/>
      <c r="AX647" s="211"/>
      <c r="AY647" s="211"/>
      <c r="AZ647" s="211"/>
    </row>
    <row r="648" spans="1:52" s="213" customFormat="1" x14ac:dyDescent="0.35">
      <c r="A648" s="211"/>
      <c r="B648" s="211"/>
      <c r="C648" s="211"/>
      <c r="D648" s="211"/>
      <c r="E648" s="211"/>
      <c r="F648" s="211"/>
      <c r="G648" s="211"/>
      <c r="H648" s="211"/>
      <c r="I648" s="212"/>
      <c r="J648" s="212"/>
      <c r="K648" s="212"/>
      <c r="L648" s="212"/>
      <c r="M648" s="212"/>
      <c r="N648" s="212"/>
      <c r="O648" s="212"/>
      <c r="P648" s="211"/>
      <c r="Q648" s="211"/>
      <c r="R648" s="211"/>
      <c r="S648" s="211"/>
      <c r="T648" s="211"/>
      <c r="U648" s="211"/>
      <c r="V648" s="211"/>
      <c r="W648" s="211"/>
      <c r="X648" s="211"/>
      <c r="Y648" s="211"/>
      <c r="Z648" s="211"/>
      <c r="AD648" s="211"/>
      <c r="AE648" s="211"/>
      <c r="AF648" s="211"/>
      <c r="AG648" s="211"/>
      <c r="AH648" s="211"/>
      <c r="AI648" s="211"/>
      <c r="AJ648" s="211"/>
      <c r="AK648" s="211"/>
      <c r="AL648" s="211"/>
      <c r="AM648" s="211"/>
      <c r="AN648" s="211"/>
      <c r="AO648" s="211"/>
      <c r="AP648" s="211"/>
      <c r="AQ648" s="211"/>
      <c r="AR648" s="211"/>
      <c r="AS648" s="211"/>
      <c r="AT648" s="211"/>
      <c r="AU648" s="211"/>
      <c r="AV648" s="211"/>
      <c r="AW648" s="211"/>
      <c r="AX648" s="211"/>
      <c r="AY648" s="211"/>
      <c r="AZ648" s="211"/>
    </row>
    <row r="649" spans="1:52" s="213" customFormat="1" x14ac:dyDescent="0.35">
      <c r="A649" s="211"/>
      <c r="B649" s="211"/>
      <c r="C649" s="211"/>
      <c r="D649" s="211"/>
      <c r="E649" s="211"/>
      <c r="F649" s="211"/>
      <c r="G649" s="211"/>
      <c r="H649" s="211"/>
      <c r="I649" s="212"/>
      <c r="J649" s="212"/>
      <c r="K649" s="212"/>
      <c r="L649" s="212"/>
      <c r="M649" s="212"/>
      <c r="N649" s="212"/>
      <c r="O649" s="212"/>
      <c r="P649" s="211"/>
      <c r="Q649" s="211"/>
      <c r="R649" s="211"/>
      <c r="S649" s="211"/>
      <c r="T649" s="211"/>
      <c r="U649" s="211"/>
      <c r="V649" s="211"/>
      <c r="W649" s="211"/>
      <c r="X649" s="211"/>
      <c r="Y649" s="211"/>
      <c r="Z649" s="211"/>
      <c r="AD649" s="211"/>
      <c r="AE649" s="211"/>
      <c r="AF649" s="211"/>
      <c r="AG649" s="211"/>
      <c r="AH649" s="211"/>
      <c r="AI649" s="211"/>
      <c r="AJ649" s="211"/>
      <c r="AK649" s="211"/>
      <c r="AL649" s="211"/>
      <c r="AM649" s="211"/>
      <c r="AN649" s="211"/>
      <c r="AO649" s="211"/>
      <c r="AP649" s="211"/>
      <c r="AQ649" s="211"/>
      <c r="AR649" s="211"/>
      <c r="AS649" s="211"/>
      <c r="AT649" s="211"/>
      <c r="AU649" s="211"/>
      <c r="AV649" s="211"/>
      <c r="AW649" s="211"/>
      <c r="AX649" s="211"/>
      <c r="AY649" s="211"/>
      <c r="AZ649" s="211"/>
    </row>
    <row r="650" spans="1:52" s="213" customFormat="1" x14ac:dyDescent="0.35">
      <c r="A650" s="211"/>
      <c r="B650" s="211"/>
      <c r="C650" s="211"/>
      <c r="D650" s="211"/>
      <c r="E650" s="211"/>
      <c r="F650" s="211"/>
      <c r="G650" s="211"/>
      <c r="H650" s="211"/>
      <c r="I650" s="212"/>
      <c r="J650" s="212"/>
      <c r="K650" s="212"/>
      <c r="L650" s="212"/>
      <c r="M650" s="212"/>
      <c r="N650" s="212"/>
      <c r="O650" s="212"/>
      <c r="P650" s="211"/>
      <c r="Q650" s="211"/>
      <c r="R650" s="211"/>
      <c r="S650" s="211"/>
      <c r="T650" s="211"/>
      <c r="U650" s="211"/>
      <c r="V650" s="211"/>
      <c r="W650" s="211"/>
      <c r="X650" s="211"/>
      <c r="Y650" s="211"/>
      <c r="Z650" s="211"/>
      <c r="AD650" s="211"/>
      <c r="AE650" s="211"/>
      <c r="AF650" s="211"/>
      <c r="AG650" s="211"/>
      <c r="AH650" s="211"/>
      <c r="AI650" s="211"/>
      <c r="AJ650" s="211"/>
      <c r="AK650" s="211"/>
      <c r="AL650" s="211"/>
      <c r="AM650" s="211"/>
      <c r="AN650" s="211"/>
      <c r="AO650" s="211"/>
      <c r="AP650" s="211"/>
      <c r="AQ650" s="211"/>
      <c r="AR650" s="211"/>
      <c r="AS650" s="211"/>
      <c r="AT650" s="211"/>
      <c r="AU650" s="211"/>
      <c r="AV650" s="211"/>
      <c r="AW650" s="211"/>
      <c r="AX650" s="211"/>
      <c r="AY650" s="211"/>
      <c r="AZ650" s="211"/>
    </row>
    <row r="651" spans="1:52" s="213" customFormat="1" x14ac:dyDescent="0.35">
      <c r="A651" s="211"/>
      <c r="B651" s="211"/>
      <c r="C651" s="211"/>
      <c r="D651" s="211"/>
      <c r="E651" s="211"/>
      <c r="F651" s="211"/>
      <c r="G651" s="211"/>
      <c r="H651" s="211"/>
      <c r="I651" s="212"/>
      <c r="J651" s="212"/>
      <c r="K651" s="212"/>
      <c r="L651" s="212"/>
      <c r="M651" s="212"/>
      <c r="N651" s="212"/>
      <c r="O651" s="212"/>
      <c r="P651" s="211"/>
      <c r="Q651" s="211"/>
      <c r="R651" s="211"/>
      <c r="S651" s="211"/>
      <c r="T651" s="211"/>
      <c r="U651" s="211"/>
      <c r="V651" s="211"/>
      <c r="W651" s="211"/>
      <c r="X651" s="211"/>
      <c r="Y651" s="211"/>
      <c r="Z651" s="211"/>
      <c r="AD651" s="211"/>
      <c r="AE651" s="211"/>
      <c r="AF651" s="211"/>
      <c r="AG651" s="211"/>
      <c r="AH651" s="211"/>
      <c r="AI651" s="211"/>
      <c r="AJ651" s="211"/>
      <c r="AK651" s="211"/>
      <c r="AL651" s="211"/>
      <c r="AM651" s="211"/>
      <c r="AN651" s="211"/>
      <c r="AO651" s="211"/>
      <c r="AP651" s="211"/>
      <c r="AQ651" s="211"/>
      <c r="AR651" s="211"/>
      <c r="AS651" s="211"/>
      <c r="AT651" s="211"/>
      <c r="AU651" s="211"/>
      <c r="AV651" s="211"/>
      <c r="AW651" s="211"/>
      <c r="AX651" s="211"/>
      <c r="AY651" s="211"/>
      <c r="AZ651" s="211"/>
    </row>
    <row r="652" spans="1:52" s="213" customFormat="1" x14ac:dyDescent="0.35">
      <c r="A652" s="211"/>
      <c r="B652" s="211"/>
      <c r="C652" s="211"/>
      <c r="D652" s="211"/>
      <c r="E652" s="211"/>
      <c r="F652" s="211"/>
      <c r="G652" s="211"/>
      <c r="H652" s="211"/>
      <c r="I652" s="212"/>
      <c r="J652" s="212"/>
      <c r="K652" s="212"/>
      <c r="L652" s="212"/>
      <c r="M652" s="212"/>
      <c r="N652" s="212"/>
      <c r="O652" s="212"/>
      <c r="P652" s="211"/>
      <c r="Q652" s="211"/>
      <c r="R652" s="211"/>
      <c r="S652" s="211"/>
      <c r="T652" s="211"/>
      <c r="U652" s="211"/>
      <c r="V652" s="211"/>
      <c r="W652" s="211"/>
      <c r="X652" s="211"/>
      <c r="Y652" s="211"/>
      <c r="Z652" s="211"/>
      <c r="AD652" s="211"/>
      <c r="AE652" s="211"/>
      <c r="AF652" s="211"/>
      <c r="AG652" s="211"/>
      <c r="AH652" s="211"/>
      <c r="AI652" s="211"/>
      <c r="AJ652" s="211"/>
      <c r="AK652" s="211"/>
      <c r="AL652" s="211"/>
      <c r="AM652" s="211"/>
      <c r="AN652" s="211"/>
      <c r="AO652" s="211"/>
      <c r="AP652" s="211"/>
      <c r="AQ652" s="211"/>
      <c r="AR652" s="211"/>
      <c r="AS652" s="211"/>
      <c r="AT652" s="211"/>
      <c r="AU652" s="211"/>
      <c r="AV652" s="211"/>
      <c r="AW652" s="211"/>
      <c r="AX652" s="211"/>
      <c r="AY652" s="211"/>
      <c r="AZ652" s="211"/>
    </row>
    <row r="653" spans="1:52" s="213" customFormat="1" x14ac:dyDescent="0.35">
      <c r="A653" s="211"/>
      <c r="B653" s="211"/>
      <c r="C653" s="211"/>
      <c r="D653" s="211"/>
      <c r="E653" s="211"/>
      <c r="F653" s="211"/>
      <c r="G653" s="211"/>
      <c r="H653" s="211"/>
      <c r="I653" s="212"/>
      <c r="J653" s="212"/>
      <c r="K653" s="212"/>
      <c r="L653" s="212"/>
      <c r="M653" s="212"/>
      <c r="N653" s="212"/>
      <c r="O653" s="212"/>
      <c r="P653" s="211"/>
      <c r="Q653" s="211"/>
      <c r="R653" s="211"/>
      <c r="S653" s="211"/>
      <c r="T653" s="211"/>
      <c r="U653" s="211"/>
      <c r="V653" s="211"/>
      <c r="W653" s="211"/>
      <c r="X653" s="211"/>
      <c r="Y653" s="211"/>
      <c r="Z653" s="211"/>
      <c r="AD653" s="211"/>
      <c r="AE653" s="211"/>
      <c r="AF653" s="211"/>
      <c r="AG653" s="211"/>
      <c r="AH653" s="211"/>
      <c r="AI653" s="211"/>
      <c r="AJ653" s="211"/>
      <c r="AK653" s="211"/>
      <c r="AL653" s="211"/>
      <c r="AM653" s="211"/>
      <c r="AN653" s="211"/>
      <c r="AO653" s="211"/>
      <c r="AP653" s="211"/>
      <c r="AQ653" s="211"/>
      <c r="AR653" s="211"/>
      <c r="AS653" s="211"/>
      <c r="AT653" s="211"/>
      <c r="AU653" s="211"/>
      <c r="AV653" s="211"/>
      <c r="AW653" s="211"/>
      <c r="AX653" s="211"/>
      <c r="AY653" s="211"/>
      <c r="AZ653" s="211"/>
    </row>
    <row r="654" spans="1:52" s="213" customFormat="1" x14ac:dyDescent="0.35">
      <c r="A654" s="211"/>
      <c r="B654" s="211"/>
      <c r="C654" s="211"/>
      <c r="D654" s="211"/>
      <c r="E654" s="211"/>
      <c r="F654" s="211"/>
      <c r="G654" s="211"/>
      <c r="H654" s="211"/>
      <c r="I654" s="212"/>
      <c r="J654" s="212"/>
      <c r="K654" s="212"/>
      <c r="L654" s="212"/>
      <c r="M654" s="212"/>
      <c r="N654" s="212"/>
      <c r="O654" s="212"/>
      <c r="P654" s="211"/>
      <c r="Q654" s="211"/>
      <c r="R654" s="211"/>
      <c r="S654" s="211"/>
      <c r="T654" s="211"/>
      <c r="U654" s="211"/>
      <c r="V654" s="211"/>
      <c r="W654" s="211"/>
      <c r="X654" s="211"/>
      <c r="Y654" s="211"/>
      <c r="Z654" s="211"/>
      <c r="AD654" s="211"/>
      <c r="AE654" s="211"/>
      <c r="AF654" s="211"/>
      <c r="AG654" s="211"/>
      <c r="AH654" s="211"/>
      <c r="AI654" s="211"/>
      <c r="AJ654" s="211"/>
      <c r="AK654" s="211"/>
      <c r="AL654" s="211"/>
      <c r="AM654" s="211"/>
      <c r="AN654" s="211"/>
      <c r="AO654" s="211"/>
      <c r="AP654" s="211"/>
      <c r="AQ654" s="211"/>
      <c r="AR654" s="211"/>
      <c r="AS654" s="211"/>
      <c r="AT654" s="211"/>
      <c r="AU654" s="211"/>
      <c r="AV654" s="211"/>
      <c r="AW654" s="211"/>
      <c r="AX654" s="211"/>
      <c r="AY654" s="211"/>
      <c r="AZ654" s="211"/>
    </row>
    <row r="655" spans="1:52" s="213" customFormat="1" x14ac:dyDescent="0.35">
      <c r="A655" s="211"/>
      <c r="B655" s="211"/>
      <c r="C655" s="211"/>
      <c r="D655" s="211"/>
      <c r="E655" s="211"/>
      <c r="F655" s="211"/>
      <c r="G655" s="211"/>
      <c r="H655" s="211"/>
      <c r="I655" s="212"/>
      <c r="J655" s="212"/>
      <c r="K655" s="212"/>
      <c r="L655" s="212"/>
      <c r="M655" s="212"/>
      <c r="N655" s="212"/>
      <c r="O655" s="212"/>
      <c r="P655" s="211"/>
      <c r="Q655" s="211"/>
      <c r="R655" s="211"/>
      <c r="S655" s="211"/>
      <c r="T655" s="211"/>
      <c r="U655" s="211"/>
      <c r="V655" s="211"/>
      <c r="W655" s="211"/>
      <c r="X655" s="211"/>
      <c r="Y655" s="211"/>
      <c r="Z655" s="211"/>
      <c r="AD655" s="211"/>
      <c r="AE655" s="211"/>
      <c r="AF655" s="211"/>
      <c r="AG655" s="211"/>
      <c r="AH655" s="211"/>
      <c r="AI655" s="211"/>
      <c r="AJ655" s="211"/>
      <c r="AK655" s="211"/>
      <c r="AL655" s="211"/>
      <c r="AM655" s="211"/>
      <c r="AN655" s="211"/>
      <c r="AO655" s="211"/>
      <c r="AP655" s="211"/>
      <c r="AQ655" s="211"/>
      <c r="AR655" s="211"/>
      <c r="AS655" s="211"/>
      <c r="AT655" s="211"/>
      <c r="AU655" s="211"/>
      <c r="AV655" s="211"/>
      <c r="AW655" s="211"/>
      <c r="AX655" s="211"/>
      <c r="AY655" s="211"/>
      <c r="AZ655" s="211"/>
    </row>
    <row r="656" spans="1:52" s="213" customFormat="1" x14ac:dyDescent="0.35">
      <c r="A656" s="211"/>
      <c r="B656" s="211"/>
      <c r="C656" s="211"/>
      <c r="D656" s="211"/>
      <c r="E656" s="211"/>
      <c r="F656" s="211"/>
      <c r="G656" s="211"/>
      <c r="H656" s="211"/>
      <c r="I656" s="212"/>
      <c r="J656" s="212"/>
      <c r="K656" s="212"/>
      <c r="L656" s="212"/>
      <c r="M656" s="212"/>
      <c r="N656" s="212"/>
      <c r="O656" s="212"/>
      <c r="P656" s="211"/>
      <c r="Q656" s="211"/>
      <c r="R656" s="211"/>
      <c r="S656" s="211"/>
      <c r="T656" s="211"/>
      <c r="U656" s="211"/>
      <c r="V656" s="211"/>
      <c r="W656" s="211"/>
      <c r="X656" s="211"/>
      <c r="Y656" s="211"/>
      <c r="Z656" s="211"/>
      <c r="AD656" s="211"/>
      <c r="AE656" s="211"/>
      <c r="AF656" s="211"/>
      <c r="AG656" s="211"/>
      <c r="AH656" s="211"/>
      <c r="AI656" s="211"/>
      <c r="AJ656" s="211"/>
      <c r="AK656" s="211"/>
      <c r="AL656" s="211"/>
      <c r="AM656" s="211"/>
      <c r="AN656" s="211"/>
      <c r="AO656" s="211"/>
      <c r="AP656" s="211"/>
      <c r="AQ656" s="211"/>
      <c r="AR656" s="211"/>
      <c r="AS656" s="211"/>
      <c r="AT656" s="211"/>
      <c r="AU656" s="211"/>
      <c r="AV656" s="211"/>
      <c r="AW656" s="211"/>
      <c r="AX656" s="211"/>
      <c r="AY656" s="211"/>
      <c r="AZ656" s="211"/>
    </row>
    <row r="657" spans="1:52" s="213" customFormat="1" x14ac:dyDescent="0.35">
      <c r="A657" s="211"/>
      <c r="B657" s="211"/>
      <c r="C657" s="211"/>
      <c r="D657" s="211"/>
      <c r="E657" s="211"/>
      <c r="F657" s="211"/>
      <c r="G657" s="211"/>
      <c r="H657" s="211"/>
      <c r="I657" s="212"/>
      <c r="J657" s="212"/>
      <c r="K657" s="212"/>
      <c r="L657" s="212"/>
      <c r="M657" s="212"/>
      <c r="N657" s="212"/>
      <c r="O657" s="212"/>
      <c r="P657" s="211"/>
      <c r="Q657" s="211"/>
      <c r="R657" s="211"/>
      <c r="S657" s="211"/>
      <c r="T657" s="211"/>
      <c r="U657" s="211"/>
      <c r="V657" s="211"/>
      <c r="W657" s="211"/>
      <c r="X657" s="211"/>
      <c r="Y657" s="211"/>
      <c r="Z657" s="211"/>
      <c r="AD657" s="211"/>
      <c r="AE657" s="211"/>
      <c r="AF657" s="211"/>
      <c r="AG657" s="211"/>
      <c r="AH657" s="211"/>
      <c r="AI657" s="211"/>
      <c r="AJ657" s="211"/>
      <c r="AK657" s="211"/>
      <c r="AL657" s="211"/>
      <c r="AM657" s="211"/>
      <c r="AN657" s="211"/>
      <c r="AO657" s="211"/>
      <c r="AP657" s="211"/>
      <c r="AQ657" s="211"/>
      <c r="AR657" s="211"/>
      <c r="AS657" s="211"/>
      <c r="AT657" s="211"/>
      <c r="AU657" s="211"/>
      <c r="AV657" s="211"/>
      <c r="AW657" s="211"/>
      <c r="AX657" s="211"/>
      <c r="AY657" s="211"/>
      <c r="AZ657" s="211"/>
    </row>
    <row r="658" spans="1:52" s="213" customFormat="1" x14ac:dyDescent="0.35">
      <c r="A658" s="211"/>
      <c r="B658" s="211"/>
      <c r="C658" s="211"/>
      <c r="D658" s="211"/>
      <c r="E658" s="211"/>
      <c r="F658" s="211"/>
      <c r="G658" s="211"/>
      <c r="H658" s="211"/>
      <c r="I658" s="212"/>
      <c r="J658" s="212"/>
      <c r="K658" s="212"/>
      <c r="L658" s="212"/>
      <c r="M658" s="212"/>
      <c r="N658" s="212"/>
      <c r="O658" s="212"/>
      <c r="P658" s="211"/>
      <c r="Q658" s="211"/>
      <c r="R658" s="211"/>
      <c r="S658" s="211"/>
      <c r="T658" s="211"/>
      <c r="U658" s="211"/>
      <c r="V658" s="211"/>
      <c r="W658" s="211"/>
      <c r="X658" s="211"/>
      <c r="Y658" s="211"/>
      <c r="Z658" s="211"/>
      <c r="AD658" s="211"/>
      <c r="AE658" s="211"/>
      <c r="AF658" s="211"/>
      <c r="AG658" s="211"/>
      <c r="AH658" s="211"/>
      <c r="AI658" s="211"/>
      <c r="AJ658" s="211"/>
      <c r="AK658" s="211"/>
      <c r="AL658" s="211"/>
      <c r="AM658" s="211"/>
      <c r="AN658" s="211"/>
      <c r="AO658" s="211"/>
      <c r="AP658" s="211"/>
      <c r="AQ658" s="211"/>
      <c r="AR658" s="211"/>
      <c r="AS658" s="211"/>
      <c r="AT658" s="211"/>
      <c r="AU658" s="211"/>
      <c r="AV658" s="211"/>
      <c r="AW658" s="211"/>
      <c r="AX658" s="211"/>
      <c r="AY658" s="211"/>
      <c r="AZ658" s="211"/>
    </row>
    <row r="659" spans="1:52" s="213" customFormat="1" x14ac:dyDescent="0.35">
      <c r="A659" s="211"/>
      <c r="B659" s="211"/>
      <c r="C659" s="211"/>
      <c r="D659" s="211"/>
      <c r="E659" s="211"/>
      <c r="F659" s="211"/>
      <c r="G659" s="211"/>
      <c r="H659" s="211"/>
      <c r="I659" s="212"/>
      <c r="J659" s="212"/>
      <c r="K659" s="212"/>
      <c r="L659" s="212"/>
      <c r="M659" s="212"/>
      <c r="N659" s="212"/>
      <c r="O659" s="212"/>
      <c r="P659" s="211"/>
      <c r="Q659" s="211"/>
      <c r="R659" s="211"/>
      <c r="S659" s="211"/>
      <c r="T659" s="211"/>
      <c r="U659" s="211"/>
      <c r="V659" s="211"/>
      <c r="W659" s="211"/>
      <c r="X659" s="211"/>
      <c r="Y659" s="211"/>
      <c r="Z659" s="211"/>
      <c r="AD659" s="211"/>
      <c r="AE659" s="211"/>
      <c r="AF659" s="211"/>
      <c r="AG659" s="211"/>
      <c r="AH659" s="211"/>
      <c r="AI659" s="211"/>
      <c r="AJ659" s="211"/>
      <c r="AK659" s="211"/>
      <c r="AL659" s="211"/>
      <c r="AM659" s="211"/>
      <c r="AN659" s="211"/>
      <c r="AO659" s="211"/>
      <c r="AP659" s="211"/>
      <c r="AQ659" s="211"/>
      <c r="AR659" s="211"/>
      <c r="AS659" s="211"/>
      <c r="AT659" s="211"/>
      <c r="AU659" s="211"/>
      <c r="AV659" s="211"/>
      <c r="AW659" s="211"/>
      <c r="AX659" s="211"/>
      <c r="AY659" s="211"/>
      <c r="AZ659" s="211"/>
    </row>
    <row r="660" spans="1:52" s="213" customFormat="1" x14ac:dyDescent="0.35">
      <c r="A660" s="211"/>
      <c r="B660" s="211"/>
      <c r="C660" s="211"/>
      <c r="D660" s="211"/>
      <c r="E660" s="211"/>
      <c r="F660" s="211"/>
      <c r="G660" s="211"/>
      <c r="H660" s="211"/>
      <c r="I660" s="212"/>
      <c r="J660" s="212"/>
      <c r="K660" s="212"/>
      <c r="L660" s="212"/>
      <c r="M660" s="212"/>
      <c r="N660" s="212"/>
      <c r="O660" s="212"/>
      <c r="P660" s="211"/>
      <c r="Q660" s="211"/>
      <c r="R660" s="211"/>
      <c r="S660" s="211"/>
      <c r="T660" s="211"/>
      <c r="U660" s="211"/>
      <c r="V660" s="211"/>
      <c r="W660" s="211"/>
      <c r="X660" s="211"/>
      <c r="Y660" s="211"/>
      <c r="Z660" s="211"/>
      <c r="AD660" s="211"/>
      <c r="AE660" s="211"/>
      <c r="AF660" s="211"/>
      <c r="AG660" s="211"/>
      <c r="AH660" s="211"/>
      <c r="AI660" s="211"/>
      <c r="AJ660" s="211"/>
      <c r="AK660" s="211"/>
      <c r="AL660" s="211"/>
      <c r="AM660" s="211"/>
      <c r="AN660" s="211"/>
      <c r="AO660" s="211"/>
      <c r="AP660" s="211"/>
      <c r="AQ660" s="211"/>
      <c r="AR660" s="211"/>
      <c r="AS660" s="211"/>
      <c r="AT660" s="211"/>
      <c r="AU660" s="211"/>
      <c r="AV660" s="211"/>
      <c r="AW660" s="211"/>
      <c r="AX660" s="211"/>
      <c r="AY660" s="211"/>
      <c r="AZ660" s="211"/>
    </row>
    <row r="661" spans="1:52" s="213" customFormat="1" x14ac:dyDescent="0.35">
      <c r="A661" s="211"/>
      <c r="B661" s="211"/>
      <c r="C661" s="211"/>
      <c r="D661" s="211"/>
      <c r="E661" s="211"/>
      <c r="F661" s="211"/>
      <c r="G661" s="211"/>
      <c r="H661" s="211"/>
      <c r="I661" s="212"/>
      <c r="J661" s="212"/>
      <c r="K661" s="212"/>
      <c r="L661" s="212"/>
      <c r="M661" s="212"/>
      <c r="N661" s="212"/>
      <c r="O661" s="212"/>
      <c r="P661" s="211"/>
      <c r="Q661" s="211"/>
      <c r="R661" s="211"/>
      <c r="S661" s="211"/>
      <c r="T661" s="211"/>
      <c r="U661" s="211"/>
      <c r="V661" s="211"/>
      <c r="W661" s="211"/>
      <c r="X661" s="211"/>
      <c r="Y661" s="211"/>
      <c r="Z661" s="211"/>
      <c r="AD661" s="211"/>
      <c r="AE661" s="211"/>
      <c r="AF661" s="211"/>
      <c r="AG661" s="211"/>
      <c r="AH661" s="211"/>
      <c r="AI661" s="211"/>
      <c r="AJ661" s="211"/>
      <c r="AK661" s="211"/>
      <c r="AL661" s="211"/>
      <c r="AM661" s="211"/>
      <c r="AN661" s="211"/>
      <c r="AO661" s="211"/>
      <c r="AP661" s="211"/>
      <c r="AQ661" s="211"/>
      <c r="AR661" s="211"/>
      <c r="AS661" s="211"/>
      <c r="AT661" s="211"/>
      <c r="AU661" s="211"/>
      <c r="AV661" s="211"/>
      <c r="AW661" s="211"/>
      <c r="AX661" s="211"/>
      <c r="AY661" s="211"/>
      <c r="AZ661" s="211"/>
    </row>
    <row r="662" spans="1:52" s="213" customFormat="1" x14ac:dyDescent="0.35">
      <c r="A662" s="211"/>
      <c r="B662" s="211"/>
      <c r="C662" s="211"/>
      <c r="D662" s="211"/>
      <c r="E662" s="211"/>
      <c r="F662" s="211"/>
      <c r="G662" s="211"/>
      <c r="H662" s="211"/>
      <c r="I662" s="212"/>
      <c r="J662" s="212"/>
      <c r="K662" s="212"/>
      <c r="L662" s="212"/>
      <c r="M662" s="212"/>
      <c r="N662" s="212"/>
      <c r="O662" s="212"/>
      <c r="P662" s="211"/>
      <c r="Q662" s="211"/>
      <c r="R662" s="211"/>
      <c r="S662" s="211"/>
      <c r="T662" s="211"/>
      <c r="U662" s="211"/>
      <c r="V662" s="211"/>
      <c r="W662" s="211"/>
      <c r="X662" s="211"/>
      <c r="Y662" s="211"/>
      <c r="Z662" s="211"/>
      <c r="AD662" s="211"/>
      <c r="AE662" s="211"/>
      <c r="AF662" s="211"/>
      <c r="AG662" s="211"/>
      <c r="AH662" s="211"/>
      <c r="AI662" s="211"/>
      <c r="AJ662" s="211"/>
      <c r="AK662" s="211"/>
      <c r="AL662" s="211"/>
      <c r="AM662" s="211"/>
      <c r="AN662" s="211"/>
      <c r="AO662" s="211"/>
      <c r="AP662" s="211"/>
      <c r="AQ662" s="211"/>
      <c r="AR662" s="211"/>
      <c r="AS662" s="211"/>
      <c r="AT662" s="211"/>
      <c r="AU662" s="211"/>
      <c r="AV662" s="211"/>
      <c r="AW662" s="211"/>
      <c r="AX662" s="211"/>
      <c r="AY662" s="211"/>
      <c r="AZ662" s="211"/>
    </row>
    <row r="663" spans="1:52" s="213" customFormat="1" x14ac:dyDescent="0.35">
      <c r="A663" s="211"/>
      <c r="B663" s="211"/>
      <c r="C663" s="211"/>
      <c r="D663" s="211"/>
      <c r="E663" s="211"/>
      <c r="F663" s="211"/>
      <c r="G663" s="211"/>
      <c r="H663" s="211"/>
      <c r="I663" s="212"/>
      <c r="J663" s="212"/>
      <c r="K663" s="212"/>
      <c r="L663" s="212"/>
      <c r="M663" s="212"/>
      <c r="N663" s="212"/>
      <c r="O663" s="212"/>
      <c r="P663" s="211"/>
      <c r="Q663" s="211"/>
      <c r="R663" s="211"/>
      <c r="S663" s="211"/>
      <c r="T663" s="211"/>
      <c r="U663" s="211"/>
      <c r="V663" s="211"/>
      <c r="W663" s="211"/>
      <c r="X663" s="211"/>
      <c r="Y663" s="211"/>
      <c r="Z663" s="211"/>
      <c r="AD663" s="211"/>
      <c r="AE663" s="211"/>
      <c r="AF663" s="211"/>
      <c r="AG663" s="211"/>
      <c r="AH663" s="211"/>
      <c r="AI663" s="211"/>
      <c r="AJ663" s="211"/>
      <c r="AK663" s="211"/>
      <c r="AL663" s="211"/>
      <c r="AM663" s="211"/>
      <c r="AN663" s="211"/>
      <c r="AO663" s="211"/>
      <c r="AP663" s="211"/>
      <c r="AQ663" s="211"/>
      <c r="AR663" s="211"/>
      <c r="AS663" s="211"/>
      <c r="AT663" s="211"/>
      <c r="AU663" s="211"/>
      <c r="AV663" s="211"/>
      <c r="AW663" s="211"/>
      <c r="AX663" s="211"/>
      <c r="AY663" s="211"/>
      <c r="AZ663" s="211"/>
    </row>
    <row r="664" spans="1:52" s="213" customFormat="1" x14ac:dyDescent="0.35">
      <c r="A664" s="211"/>
      <c r="B664" s="211"/>
      <c r="C664" s="211"/>
      <c r="D664" s="211"/>
      <c r="E664" s="211"/>
      <c r="F664" s="211"/>
      <c r="G664" s="211"/>
      <c r="H664" s="211"/>
      <c r="I664" s="212"/>
      <c r="J664" s="212"/>
      <c r="K664" s="212"/>
      <c r="L664" s="212"/>
      <c r="M664" s="212"/>
      <c r="N664" s="212"/>
      <c r="O664" s="212"/>
      <c r="P664" s="211"/>
      <c r="Q664" s="211"/>
      <c r="R664" s="211"/>
      <c r="S664" s="211"/>
      <c r="T664" s="211"/>
      <c r="U664" s="211"/>
      <c r="V664" s="211"/>
      <c r="W664" s="211"/>
      <c r="X664" s="211"/>
      <c r="Y664" s="211"/>
      <c r="Z664" s="211"/>
      <c r="AD664" s="211"/>
      <c r="AE664" s="211"/>
      <c r="AF664" s="211"/>
      <c r="AG664" s="211"/>
      <c r="AH664" s="211"/>
      <c r="AI664" s="211"/>
      <c r="AJ664" s="211"/>
      <c r="AK664" s="211"/>
      <c r="AL664" s="211"/>
      <c r="AM664" s="211"/>
      <c r="AN664" s="211"/>
      <c r="AO664" s="211"/>
      <c r="AP664" s="211"/>
      <c r="AQ664" s="211"/>
      <c r="AR664" s="211"/>
      <c r="AS664" s="211"/>
      <c r="AT664" s="211"/>
      <c r="AU664" s="211"/>
      <c r="AV664" s="211"/>
      <c r="AW664" s="211"/>
      <c r="AX664" s="211"/>
      <c r="AY664" s="211"/>
      <c r="AZ664" s="211"/>
    </row>
    <row r="665" spans="1:52" s="213" customFormat="1" x14ac:dyDescent="0.35">
      <c r="A665" s="211"/>
      <c r="B665" s="211"/>
      <c r="C665" s="211"/>
      <c r="D665" s="211"/>
      <c r="E665" s="211"/>
      <c r="F665" s="211"/>
      <c r="G665" s="211"/>
      <c r="H665" s="211"/>
      <c r="I665" s="212"/>
      <c r="J665" s="212"/>
      <c r="K665" s="212"/>
      <c r="L665" s="212"/>
      <c r="M665" s="212"/>
      <c r="N665" s="212"/>
      <c r="O665" s="212"/>
      <c r="P665" s="211"/>
      <c r="Q665" s="211"/>
      <c r="R665" s="211"/>
      <c r="S665" s="211"/>
      <c r="T665" s="211"/>
      <c r="U665" s="211"/>
      <c r="V665" s="211"/>
      <c r="W665" s="211"/>
      <c r="X665" s="211"/>
      <c r="Y665" s="211"/>
      <c r="Z665" s="211"/>
      <c r="AD665" s="211"/>
      <c r="AE665" s="211"/>
      <c r="AF665" s="211"/>
      <c r="AG665" s="211"/>
      <c r="AH665" s="211"/>
      <c r="AI665" s="211"/>
      <c r="AJ665" s="211"/>
      <c r="AK665" s="211"/>
      <c r="AL665" s="211"/>
      <c r="AM665" s="211"/>
      <c r="AN665" s="211"/>
      <c r="AO665" s="211"/>
      <c r="AP665" s="211"/>
      <c r="AQ665" s="211"/>
      <c r="AR665" s="211"/>
      <c r="AS665" s="211"/>
      <c r="AT665" s="211"/>
      <c r="AU665" s="211"/>
      <c r="AV665" s="211"/>
      <c r="AW665" s="211"/>
      <c r="AX665" s="211"/>
      <c r="AY665" s="211"/>
      <c r="AZ665" s="211"/>
    </row>
    <row r="666" spans="1:52" s="213" customFormat="1" x14ac:dyDescent="0.35">
      <c r="A666" s="211"/>
      <c r="B666" s="211"/>
      <c r="C666" s="211"/>
      <c r="D666" s="211"/>
      <c r="E666" s="211"/>
      <c r="F666" s="211"/>
      <c r="G666" s="211"/>
      <c r="H666" s="211"/>
      <c r="I666" s="212"/>
      <c r="J666" s="212"/>
      <c r="K666" s="212"/>
      <c r="L666" s="212"/>
      <c r="M666" s="212"/>
      <c r="N666" s="212"/>
      <c r="O666" s="212"/>
      <c r="P666" s="211"/>
      <c r="Q666" s="211"/>
      <c r="R666" s="211"/>
      <c r="S666" s="211"/>
      <c r="T666" s="211"/>
      <c r="U666" s="211"/>
      <c r="V666" s="211"/>
      <c r="W666" s="211"/>
      <c r="X666" s="211"/>
      <c r="Y666" s="211"/>
      <c r="Z666" s="211"/>
      <c r="AD666" s="211"/>
      <c r="AE666" s="211"/>
      <c r="AF666" s="211"/>
      <c r="AG666" s="211"/>
      <c r="AH666" s="211"/>
      <c r="AI666" s="211"/>
      <c r="AJ666" s="211"/>
      <c r="AK666" s="211"/>
      <c r="AL666" s="211"/>
      <c r="AM666" s="211"/>
      <c r="AN666" s="211"/>
      <c r="AO666" s="211"/>
      <c r="AP666" s="211"/>
      <c r="AQ666" s="211"/>
      <c r="AR666" s="211"/>
      <c r="AS666" s="211"/>
      <c r="AT666" s="211"/>
      <c r="AU666" s="211"/>
      <c r="AV666" s="211"/>
      <c r="AW666" s="211"/>
      <c r="AX666" s="211"/>
      <c r="AY666" s="211"/>
      <c r="AZ666" s="211"/>
    </row>
    <row r="667" spans="1:52" s="213" customFormat="1" x14ac:dyDescent="0.35">
      <c r="A667" s="211"/>
      <c r="B667" s="211"/>
      <c r="C667" s="211"/>
      <c r="D667" s="211"/>
      <c r="E667" s="211"/>
      <c r="F667" s="211"/>
      <c r="G667" s="211"/>
      <c r="H667" s="211"/>
      <c r="I667" s="212"/>
      <c r="J667" s="212"/>
      <c r="K667" s="212"/>
      <c r="L667" s="212"/>
      <c r="M667" s="212"/>
      <c r="N667" s="212"/>
      <c r="O667" s="212"/>
      <c r="P667" s="211"/>
      <c r="Q667" s="211"/>
      <c r="R667" s="211"/>
      <c r="S667" s="211"/>
      <c r="T667" s="211"/>
      <c r="U667" s="211"/>
      <c r="V667" s="211"/>
      <c r="W667" s="211"/>
      <c r="X667" s="211"/>
      <c r="Y667" s="211"/>
      <c r="Z667" s="211"/>
      <c r="AD667" s="211"/>
      <c r="AE667" s="211"/>
      <c r="AF667" s="211"/>
      <c r="AG667" s="211"/>
      <c r="AH667" s="211"/>
      <c r="AI667" s="211"/>
      <c r="AJ667" s="211"/>
      <c r="AK667" s="211"/>
      <c r="AL667" s="211"/>
      <c r="AM667" s="211"/>
      <c r="AN667" s="211"/>
      <c r="AO667" s="211"/>
      <c r="AP667" s="211"/>
      <c r="AQ667" s="211"/>
      <c r="AR667" s="211"/>
      <c r="AS667" s="211"/>
      <c r="AT667" s="211"/>
      <c r="AU667" s="211"/>
      <c r="AV667" s="211"/>
      <c r="AW667" s="211"/>
      <c r="AX667" s="211"/>
      <c r="AY667" s="211"/>
      <c r="AZ667" s="211"/>
    </row>
    <row r="668" spans="1:52" s="213" customFormat="1" x14ac:dyDescent="0.35">
      <c r="A668" s="211"/>
      <c r="B668" s="211"/>
      <c r="C668" s="211"/>
      <c r="D668" s="211"/>
      <c r="E668" s="211"/>
      <c r="F668" s="211"/>
      <c r="G668" s="211"/>
      <c r="H668" s="211"/>
      <c r="I668" s="212"/>
      <c r="J668" s="212"/>
      <c r="K668" s="212"/>
      <c r="L668" s="212"/>
      <c r="M668" s="212"/>
      <c r="N668" s="212"/>
      <c r="O668" s="212"/>
      <c r="P668" s="211"/>
      <c r="Q668" s="211"/>
      <c r="R668" s="211"/>
      <c r="S668" s="211"/>
      <c r="T668" s="211"/>
      <c r="U668" s="211"/>
      <c r="V668" s="211"/>
      <c r="W668" s="211"/>
      <c r="X668" s="211"/>
      <c r="Y668" s="211"/>
      <c r="Z668" s="211"/>
      <c r="AD668" s="211"/>
      <c r="AE668" s="211"/>
      <c r="AF668" s="211"/>
      <c r="AG668" s="211"/>
      <c r="AH668" s="211"/>
      <c r="AI668" s="211"/>
      <c r="AJ668" s="211"/>
      <c r="AK668" s="211"/>
      <c r="AL668" s="211"/>
      <c r="AM668" s="211"/>
      <c r="AN668" s="211"/>
      <c r="AO668" s="211"/>
      <c r="AP668" s="211"/>
      <c r="AQ668" s="211"/>
      <c r="AR668" s="211"/>
      <c r="AS668" s="211"/>
      <c r="AT668" s="211"/>
      <c r="AU668" s="211"/>
      <c r="AV668" s="211"/>
      <c r="AW668" s="211"/>
      <c r="AX668" s="211"/>
      <c r="AY668" s="211"/>
      <c r="AZ668" s="211"/>
    </row>
    <row r="669" spans="1:52" s="213" customFormat="1" x14ac:dyDescent="0.35">
      <c r="A669" s="211"/>
      <c r="B669" s="211"/>
      <c r="C669" s="211"/>
      <c r="D669" s="211"/>
      <c r="E669" s="211"/>
      <c r="F669" s="211"/>
      <c r="G669" s="211"/>
      <c r="H669" s="211"/>
      <c r="I669" s="212"/>
      <c r="J669" s="212"/>
      <c r="K669" s="212"/>
      <c r="L669" s="212"/>
      <c r="M669" s="212"/>
      <c r="N669" s="212"/>
      <c r="O669" s="212"/>
      <c r="P669" s="211"/>
      <c r="Q669" s="211"/>
      <c r="R669" s="211"/>
      <c r="S669" s="211"/>
      <c r="T669" s="211"/>
      <c r="U669" s="211"/>
      <c r="V669" s="211"/>
      <c r="W669" s="211"/>
      <c r="X669" s="211"/>
      <c r="Y669" s="211"/>
      <c r="Z669" s="211"/>
      <c r="AD669" s="211"/>
      <c r="AE669" s="211"/>
      <c r="AF669" s="211"/>
      <c r="AG669" s="211"/>
      <c r="AH669" s="211"/>
      <c r="AI669" s="211"/>
      <c r="AJ669" s="211"/>
      <c r="AK669" s="211"/>
      <c r="AL669" s="211"/>
      <c r="AM669" s="211"/>
      <c r="AN669" s="211"/>
      <c r="AO669" s="211"/>
      <c r="AP669" s="211"/>
      <c r="AQ669" s="211"/>
      <c r="AR669" s="211"/>
      <c r="AS669" s="211"/>
      <c r="AT669" s="211"/>
      <c r="AU669" s="211"/>
      <c r="AV669" s="211"/>
      <c r="AW669" s="211"/>
      <c r="AX669" s="211"/>
      <c r="AY669" s="211"/>
      <c r="AZ669" s="211"/>
    </row>
    <row r="670" spans="1:52" s="213" customFormat="1" x14ac:dyDescent="0.35">
      <c r="A670" s="211"/>
      <c r="B670" s="211"/>
      <c r="C670" s="211"/>
      <c r="D670" s="211"/>
      <c r="E670" s="211"/>
      <c r="F670" s="211"/>
      <c r="G670" s="211"/>
      <c r="H670" s="211"/>
      <c r="I670" s="212"/>
      <c r="J670" s="212"/>
      <c r="K670" s="212"/>
      <c r="L670" s="212"/>
      <c r="M670" s="212"/>
      <c r="N670" s="212"/>
      <c r="O670" s="212"/>
      <c r="P670" s="211"/>
      <c r="Q670" s="211"/>
      <c r="R670" s="211"/>
      <c r="S670" s="211"/>
      <c r="T670" s="211"/>
      <c r="U670" s="211"/>
      <c r="V670" s="211"/>
      <c r="W670" s="211"/>
      <c r="X670" s="211"/>
      <c r="Y670" s="211"/>
      <c r="Z670" s="211"/>
      <c r="AD670" s="211"/>
      <c r="AE670" s="211"/>
      <c r="AF670" s="211"/>
      <c r="AG670" s="211"/>
      <c r="AH670" s="211"/>
      <c r="AI670" s="211"/>
      <c r="AJ670" s="211"/>
      <c r="AK670" s="211"/>
      <c r="AL670" s="211"/>
      <c r="AM670" s="211"/>
      <c r="AN670" s="211"/>
      <c r="AO670" s="211"/>
      <c r="AP670" s="211"/>
      <c r="AQ670" s="211"/>
      <c r="AR670" s="211"/>
      <c r="AS670" s="211"/>
      <c r="AT670" s="211"/>
      <c r="AU670" s="211"/>
      <c r="AV670" s="211"/>
      <c r="AW670" s="211"/>
      <c r="AX670" s="211"/>
      <c r="AY670" s="211"/>
      <c r="AZ670" s="211"/>
    </row>
    <row r="671" spans="1:52" s="213" customFormat="1" x14ac:dyDescent="0.35">
      <c r="A671" s="211"/>
      <c r="B671" s="211"/>
      <c r="C671" s="211"/>
      <c r="D671" s="211"/>
      <c r="E671" s="211"/>
      <c r="F671" s="211"/>
      <c r="G671" s="211"/>
      <c r="H671" s="211"/>
      <c r="I671" s="212"/>
      <c r="J671" s="212"/>
      <c r="K671" s="212"/>
      <c r="L671" s="212"/>
      <c r="M671" s="212"/>
      <c r="N671" s="212"/>
      <c r="O671" s="212"/>
      <c r="P671" s="211"/>
      <c r="Q671" s="211"/>
      <c r="R671" s="211"/>
      <c r="S671" s="211"/>
      <c r="T671" s="211"/>
      <c r="U671" s="211"/>
      <c r="V671" s="211"/>
      <c r="W671" s="211"/>
      <c r="X671" s="211"/>
      <c r="Y671" s="211"/>
      <c r="Z671" s="211"/>
      <c r="AD671" s="211"/>
      <c r="AE671" s="211"/>
      <c r="AF671" s="211"/>
      <c r="AG671" s="211"/>
      <c r="AH671" s="211"/>
      <c r="AI671" s="211"/>
      <c r="AJ671" s="211"/>
      <c r="AK671" s="211"/>
      <c r="AL671" s="211"/>
      <c r="AM671" s="211"/>
      <c r="AN671" s="211"/>
      <c r="AO671" s="211"/>
      <c r="AP671" s="211"/>
      <c r="AQ671" s="211"/>
      <c r="AR671" s="211"/>
      <c r="AS671" s="211"/>
      <c r="AT671" s="211"/>
      <c r="AU671" s="211"/>
      <c r="AV671" s="211"/>
      <c r="AW671" s="211"/>
      <c r="AX671" s="211"/>
      <c r="AY671" s="211"/>
      <c r="AZ671" s="211"/>
    </row>
    <row r="672" spans="1:52" s="213" customFormat="1" x14ac:dyDescent="0.35">
      <c r="A672" s="211"/>
      <c r="B672" s="211"/>
      <c r="C672" s="211"/>
      <c r="D672" s="211"/>
      <c r="E672" s="211"/>
      <c r="F672" s="211"/>
      <c r="G672" s="211"/>
      <c r="H672" s="211"/>
      <c r="I672" s="212"/>
      <c r="J672" s="212"/>
      <c r="K672" s="212"/>
      <c r="L672" s="212"/>
      <c r="M672" s="212"/>
      <c r="N672" s="212"/>
      <c r="O672" s="212"/>
      <c r="P672" s="211"/>
      <c r="Q672" s="211"/>
      <c r="R672" s="211"/>
      <c r="S672" s="211"/>
      <c r="T672" s="211"/>
      <c r="U672" s="211"/>
      <c r="V672" s="211"/>
      <c r="W672" s="211"/>
      <c r="X672" s="211"/>
      <c r="Y672" s="211"/>
      <c r="Z672" s="211"/>
      <c r="AD672" s="211"/>
      <c r="AE672" s="211"/>
      <c r="AF672" s="211"/>
      <c r="AG672" s="211"/>
      <c r="AH672" s="211"/>
      <c r="AI672" s="211"/>
      <c r="AJ672" s="211"/>
      <c r="AK672" s="211"/>
      <c r="AL672" s="211"/>
      <c r="AM672" s="211"/>
      <c r="AN672" s="211"/>
      <c r="AO672" s="211"/>
      <c r="AP672" s="211"/>
      <c r="AQ672" s="211"/>
      <c r="AR672" s="211"/>
      <c r="AS672" s="211"/>
      <c r="AT672" s="211"/>
      <c r="AU672" s="211"/>
      <c r="AV672" s="211"/>
      <c r="AW672" s="211"/>
      <c r="AX672" s="211"/>
      <c r="AY672" s="211"/>
      <c r="AZ672" s="211"/>
    </row>
    <row r="673" spans="1:52" s="213" customFormat="1" x14ac:dyDescent="0.35">
      <c r="A673" s="211"/>
      <c r="B673" s="211"/>
      <c r="C673" s="211"/>
      <c r="D673" s="211"/>
      <c r="E673" s="211"/>
      <c r="F673" s="211"/>
      <c r="G673" s="211"/>
      <c r="H673" s="211"/>
      <c r="I673" s="212"/>
      <c r="J673" s="212"/>
      <c r="K673" s="212"/>
      <c r="L673" s="212"/>
      <c r="M673" s="212"/>
      <c r="N673" s="212"/>
      <c r="O673" s="212"/>
      <c r="P673" s="211"/>
      <c r="Q673" s="211"/>
      <c r="R673" s="211"/>
      <c r="S673" s="211"/>
      <c r="T673" s="211"/>
      <c r="U673" s="211"/>
      <c r="V673" s="211"/>
      <c r="W673" s="211"/>
      <c r="X673" s="211"/>
      <c r="Y673" s="211"/>
      <c r="Z673" s="211"/>
      <c r="AD673" s="211"/>
      <c r="AE673" s="211"/>
      <c r="AF673" s="211"/>
      <c r="AG673" s="211"/>
      <c r="AH673" s="211"/>
      <c r="AI673" s="211"/>
      <c r="AJ673" s="211"/>
      <c r="AK673" s="211"/>
      <c r="AL673" s="211"/>
      <c r="AM673" s="211"/>
      <c r="AN673" s="211"/>
      <c r="AO673" s="211"/>
      <c r="AP673" s="211"/>
      <c r="AQ673" s="211"/>
      <c r="AR673" s="211"/>
      <c r="AS673" s="211"/>
      <c r="AT673" s="211"/>
      <c r="AU673" s="211"/>
      <c r="AV673" s="211"/>
      <c r="AW673" s="211"/>
      <c r="AX673" s="211"/>
      <c r="AY673" s="211"/>
      <c r="AZ673" s="211"/>
    </row>
    <row r="674" spans="1:52" s="213" customFormat="1" x14ac:dyDescent="0.35">
      <c r="A674" s="211"/>
      <c r="B674" s="211"/>
      <c r="C674" s="211"/>
      <c r="D674" s="211"/>
      <c r="E674" s="211"/>
      <c r="F674" s="211"/>
      <c r="G674" s="211"/>
      <c r="H674" s="211"/>
      <c r="I674" s="212"/>
      <c r="J674" s="212"/>
      <c r="K674" s="212"/>
      <c r="L674" s="212"/>
      <c r="M674" s="212"/>
      <c r="N674" s="212"/>
      <c r="O674" s="212"/>
      <c r="P674" s="211"/>
      <c r="Q674" s="211"/>
      <c r="R674" s="211"/>
      <c r="S674" s="211"/>
      <c r="T674" s="211"/>
      <c r="U674" s="211"/>
      <c r="V674" s="211"/>
      <c r="W674" s="211"/>
      <c r="X674" s="211"/>
      <c r="Y674" s="211"/>
      <c r="Z674" s="211"/>
      <c r="AD674" s="211"/>
      <c r="AE674" s="211"/>
      <c r="AF674" s="211"/>
      <c r="AG674" s="211"/>
      <c r="AH674" s="211"/>
      <c r="AI674" s="211"/>
      <c r="AJ674" s="211"/>
      <c r="AK674" s="211"/>
      <c r="AL674" s="211"/>
      <c r="AM674" s="211"/>
      <c r="AN674" s="211"/>
      <c r="AO674" s="211"/>
      <c r="AP674" s="211"/>
      <c r="AQ674" s="211"/>
      <c r="AR674" s="211"/>
      <c r="AS674" s="211"/>
      <c r="AT674" s="211"/>
      <c r="AU674" s="211"/>
      <c r="AV674" s="211"/>
      <c r="AW674" s="211"/>
      <c r="AX674" s="211"/>
      <c r="AY674" s="211"/>
      <c r="AZ674" s="211"/>
    </row>
    <row r="675" spans="1:52" s="213" customFormat="1" x14ac:dyDescent="0.35">
      <c r="A675" s="211"/>
      <c r="B675" s="211"/>
      <c r="C675" s="211"/>
      <c r="D675" s="211"/>
      <c r="E675" s="211"/>
      <c r="F675" s="211"/>
      <c r="G675" s="211"/>
      <c r="H675" s="211"/>
      <c r="I675" s="212"/>
      <c r="J675" s="212"/>
      <c r="K675" s="212"/>
      <c r="L675" s="212"/>
      <c r="M675" s="212"/>
      <c r="N675" s="212"/>
      <c r="O675" s="212"/>
      <c r="P675" s="211"/>
      <c r="Q675" s="211"/>
      <c r="R675" s="211"/>
      <c r="S675" s="211"/>
      <c r="T675" s="211"/>
      <c r="U675" s="211"/>
      <c r="V675" s="211"/>
      <c r="W675" s="211"/>
      <c r="X675" s="211"/>
      <c r="Y675" s="211"/>
      <c r="Z675" s="211"/>
      <c r="AD675" s="211"/>
      <c r="AE675" s="211"/>
      <c r="AF675" s="211"/>
      <c r="AG675" s="211"/>
      <c r="AH675" s="211"/>
      <c r="AI675" s="211"/>
      <c r="AJ675" s="211"/>
      <c r="AK675" s="211"/>
      <c r="AL675" s="211"/>
      <c r="AM675" s="211"/>
      <c r="AN675" s="211"/>
      <c r="AO675" s="211"/>
      <c r="AP675" s="211"/>
      <c r="AQ675" s="211"/>
      <c r="AR675" s="211"/>
      <c r="AS675" s="211"/>
      <c r="AT675" s="211"/>
      <c r="AU675" s="211"/>
      <c r="AV675" s="211"/>
      <c r="AW675" s="211"/>
      <c r="AX675" s="211"/>
      <c r="AY675" s="211"/>
      <c r="AZ675" s="211"/>
    </row>
    <row r="676" spans="1:52" s="213" customFormat="1" x14ac:dyDescent="0.35">
      <c r="A676" s="211"/>
      <c r="B676" s="211"/>
      <c r="C676" s="211"/>
      <c r="D676" s="211"/>
      <c r="E676" s="211"/>
      <c r="F676" s="211"/>
      <c r="G676" s="211"/>
      <c r="H676" s="211"/>
      <c r="I676" s="212"/>
      <c r="J676" s="212"/>
      <c r="K676" s="212"/>
      <c r="L676" s="212"/>
      <c r="M676" s="212"/>
      <c r="N676" s="212"/>
      <c r="O676" s="212"/>
      <c r="P676" s="211"/>
      <c r="Q676" s="211"/>
      <c r="R676" s="211"/>
      <c r="S676" s="211"/>
      <c r="T676" s="211"/>
      <c r="U676" s="211"/>
      <c r="V676" s="211"/>
      <c r="W676" s="211"/>
      <c r="X676" s="211"/>
      <c r="Y676" s="211"/>
      <c r="Z676" s="211"/>
      <c r="AD676" s="211"/>
      <c r="AE676" s="211"/>
      <c r="AF676" s="211"/>
      <c r="AG676" s="211"/>
      <c r="AH676" s="211"/>
      <c r="AI676" s="211"/>
      <c r="AJ676" s="211"/>
      <c r="AK676" s="211"/>
      <c r="AL676" s="211"/>
      <c r="AM676" s="211"/>
      <c r="AN676" s="211"/>
      <c r="AO676" s="211"/>
      <c r="AP676" s="211"/>
      <c r="AQ676" s="211"/>
      <c r="AR676" s="211"/>
      <c r="AS676" s="211"/>
      <c r="AT676" s="211"/>
      <c r="AU676" s="211"/>
      <c r="AV676" s="211"/>
      <c r="AW676" s="211"/>
      <c r="AX676" s="211"/>
      <c r="AY676" s="211"/>
      <c r="AZ676" s="211"/>
    </row>
    <row r="677" spans="1:52" s="213" customFormat="1" x14ac:dyDescent="0.35">
      <c r="A677" s="211"/>
      <c r="B677" s="211"/>
      <c r="C677" s="211"/>
      <c r="D677" s="211"/>
      <c r="E677" s="211"/>
      <c r="F677" s="211"/>
      <c r="G677" s="211"/>
      <c r="H677" s="211"/>
      <c r="I677" s="212"/>
      <c r="J677" s="212"/>
      <c r="K677" s="212"/>
      <c r="L677" s="212"/>
      <c r="M677" s="212"/>
      <c r="N677" s="212"/>
      <c r="O677" s="212"/>
      <c r="P677" s="211"/>
      <c r="Q677" s="211"/>
      <c r="R677" s="211"/>
      <c r="S677" s="211"/>
      <c r="T677" s="211"/>
      <c r="U677" s="211"/>
      <c r="V677" s="211"/>
      <c r="W677" s="211"/>
      <c r="X677" s="211"/>
      <c r="Y677" s="211"/>
      <c r="Z677" s="211"/>
      <c r="AD677" s="211"/>
      <c r="AE677" s="211"/>
      <c r="AF677" s="211"/>
      <c r="AG677" s="211"/>
      <c r="AH677" s="211"/>
      <c r="AI677" s="211"/>
      <c r="AJ677" s="211"/>
      <c r="AK677" s="211"/>
      <c r="AL677" s="211"/>
      <c r="AM677" s="211"/>
      <c r="AN677" s="211"/>
      <c r="AO677" s="211"/>
      <c r="AP677" s="211"/>
      <c r="AQ677" s="211"/>
      <c r="AR677" s="211"/>
      <c r="AS677" s="211"/>
      <c r="AT677" s="211"/>
      <c r="AU677" s="211"/>
      <c r="AV677" s="211"/>
      <c r="AW677" s="211"/>
      <c r="AX677" s="211"/>
      <c r="AY677" s="211"/>
      <c r="AZ677" s="211"/>
    </row>
    <row r="678" spans="1:52" s="213" customFormat="1" x14ac:dyDescent="0.35">
      <c r="A678" s="211"/>
      <c r="B678" s="211"/>
      <c r="C678" s="211"/>
      <c r="D678" s="211"/>
      <c r="E678" s="211"/>
      <c r="F678" s="211"/>
      <c r="G678" s="211"/>
      <c r="H678" s="211"/>
      <c r="I678" s="212"/>
      <c r="J678" s="212"/>
      <c r="K678" s="212"/>
      <c r="L678" s="212"/>
      <c r="M678" s="212"/>
      <c r="N678" s="212"/>
      <c r="O678" s="212"/>
      <c r="P678" s="211"/>
      <c r="Q678" s="211"/>
      <c r="R678" s="211"/>
      <c r="S678" s="211"/>
      <c r="T678" s="211"/>
      <c r="U678" s="211"/>
      <c r="V678" s="211"/>
      <c r="W678" s="211"/>
      <c r="X678" s="211"/>
      <c r="Y678" s="211"/>
      <c r="Z678" s="211"/>
      <c r="AD678" s="211"/>
      <c r="AE678" s="211"/>
      <c r="AF678" s="211"/>
      <c r="AG678" s="211"/>
      <c r="AH678" s="211"/>
      <c r="AI678" s="211"/>
      <c r="AJ678" s="211"/>
      <c r="AK678" s="211"/>
      <c r="AL678" s="211"/>
      <c r="AM678" s="211"/>
      <c r="AN678" s="211"/>
      <c r="AO678" s="211"/>
      <c r="AP678" s="211"/>
      <c r="AQ678" s="211"/>
      <c r="AR678" s="211"/>
      <c r="AS678" s="211"/>
      <c r="AT678" s="211"/>
      <c r="AU678" s="211"/>
      <c r="AV678" s="211"/>
      <c r="AW678" s="211"/>
      <c r="AX678" s="211"/>
      <c r="AY678" s="211"/>
      <c r="AZ678" s="211"/>
    </row>
    <row r="679" spans="1:52" s="213" customFormat="1" x14ac:dyDescent="0.35">
      <c r="A679" s="211"/>
      <c r="B679" s="211"/>
      <c r="C679" s="211"/>
      <c r="D679" s="211"/>
      <c r="E679" s="211"/>
      <c r="F679" s="211"/>
      <c r="G679" s="211"/>
      <c r="H679" s="211"/>
      <c r="I679" s="212"/>
      <c r="J679" s="212"/>
      <c r="K679" s="212"/>
      <c r="L679" s="212"/>
      <c r="M679" s="212"/>
      <c r="N679" s="212"/>
      <c r="O679" s="212"/>
      <c r="P679" s="211"/>
      <c r="Q679" s="211"/>
      <c r="R679" s="211"/>
      <c r="S679" s="211"/>
      <c r="T679" s="211"/>
      <c r="U679" s="211"/>
      <c r="V679" s="211"/>
      <c r="W679" s="211"/>
      <c r="X679" s="211"/>
      <c r="Y679" s="211"/>
      <c r="Z679" s="211"/>
      <c r="AD679" s="211"/>
      <c r="AE679" s="211"/>
      <c r="AF679" s="211"/>
      <c r="AG679" s="211"/>
      <c r="AH679" s="211"/>
      <c r="AI679" s="211"/>
      <c r="AJ679" s="211"/>
      <c r="AK679" s="211"/>
      <c r="AL679" s="211"/>
      <c r="AM679" s="211"/>
      <c r="AN679" s="211"/>
      <c r="AO679" s="211"/>
      <c r="AP679" s="211"/>
      <c r="AQ679" s="211"/>
      <c r="AR679" s="211"/>
      <c r="AS679" s="211"/>
      <c r="AT679" s="211"/>
      <c r="AU679" s="211"/>
      <c r="AV679" s="211"/>
      <c r="AW679" s="211"/>
      <c r="AX679" s="211"/>
      <c r="AY679" s="211"/>
      <c r="AZ679" s="211"/>
    </row>
    <row r="680" spans="1:52" s="213" customFormat="1" x14ac:dyDescent="0.35">
      <c r="A680" s="211"/>
      <c r="B680" s="211"/>
      <c r="C680" s="211"/>
      <c r="D680" s="211"/>
      <c r="E680" s="211"/>
      <c r="F680" s="211"/>
      <c r="G680" s="211"/>
      <c r="H680" s="211"/>
      <c r="I680" s="212"/>
      <c r="J680" s="212"/>
      <c r="K680" s="212"/>
      <c r="L680" s="212"/>
      <c r="M680" s="212"/>
      <c r="N680" s="212"/>
      <c r="O680" s="212"/>
      <c r="P680" s="211"/>
      <c r="Q680" s="211"/>
      <c r="R680" s="211"/>
      <c r="S680" s="211"/>
      <c r="T680" s="211"/>
      <c r="U680" s="211"/>
      <c r="V680" s="211"/>
      <c r="W680" s="211"/>
      <c r="X680" s="211"/>
      <c r="Y680" s="211"/>
      <c r="Z680" s="211"/>
      <c r="AD680" s="211"/>
      <c r="AE680" s="211"/>
      <c r="AF680" s="211"/>
      <c r="AG680" s="211"/>
      <c r="AH680" s="211"/>
      <c r="AI680" s="211"/>
      <c r="AJ680" s="211"/>
      <c r="AK680" s="211"/>
      <c r="AL680" s="211"/>
      <c r="AM680" s="211"/>
      <c r="AN680" s="211"/>
      <c r="AO680" s="211"/>
      <c r="AP680" s="211"/>
      <c r="AQ680" s="211"/>
      <c r="AR680" s="211"/>
      <c r="AS680" s="211"/>
      <c r="AT680" s="211"/>
      <c r="AU680" s="211"/>
      <c r="AV680" s="211"/>
      <c r="AW680" s="211"/>
      <c r="AX680" s="211"/>
      <c r="AY680" s="211"/>
      <c r="AZ680" s="211"/>
    </row>
    <row r="681" spans="1:52" s="213" customFormat="1" x14ac:dyDescent="0.35">
      <c r="A681" s="211"/>
      <c r="B681" s="211"/>
      <c r="C681" s="211"/>
      <c r="D681" s="211"/>
      <c r="E681" s="211"/>
      <c r="F681" s="211"/>
      <c r="G681" s="211"/>
      <c r="H681" s="211"/>
      <c r="I681" s="212"/>
      <c r="J681" s="212"/>
      <c r="K681" s="212"/>
      <c r="L681" s="212"/>
      <c r="M681" s="212"/>
      <c r="N681" s="212"/>
      <c r="O681" s="212"/>
      <c r="P681" s="211"/>
      <c r="Q681" s="211"/>
      <c r="R681" s="211"/>
      <c r="S681" s="211"/>
      <c r="T681" s="211"/>
      <c r="U681" s="211"/>
      <c r="V681" s="211"/>
      <c r="W681" s="211"/>
      <c r="X681" s="211"/>
      <c r="Y681" s="211"/>
      <c r="Z681" s="211"/>
      <c r="AD681" s="211"/>
      <c r="AE681" s="211"/>
      <c r="AF681" s="211"/>
      <c r="AG681" s="211"/>
      <c r="AH681" s="211"/>
      <c r="AI681" s="211"/>
      <c r="AJ681" s="211"/>
      <c r="AK681" s="211"/>
      <c r="AL681" s="211"/>
      <c r="AM681" s="211"/>
      <c r="AN681" s="211"/>
      <c r="AO681" s="211"/>
      <c r="AP681" s="211"/>
      <c r="AQ681" s="211"/>
      <c r="AR681" s="211"/>
      <c r="AS681" s="211"/>
      <c r="AT681" s="211"/>
      <c r="AU681" s="211"/>
      <c r="AV681" s="211"/>
      <c r="AW681" s="211"/>
      <c r="AX681" s="211"/>
      <c r="AY681" s="211"/>
      <c r="AZ681" s="211"/>
    </row>
    <row r="682" spans="1:52" s="213" customFormat="1" x14ac:dyDescent="0.35">
      <c r="A682" s="211"/>
      <c r="B682" s="211"/>
      <c r="C682" s="211"/>
      <c r="D682" s="211"/>
      <c r="E682" s="211"/>
      <c r="F682" s="211"/>
      <c r="G682" s="211"/>
      <c r="H682" s="211"/>
      <c r="I682" s="212"/>
      <c r="J682" s="212"/>
      <c r="K682" s="212"/>
      <c r="L682" s="212"/>
      <c r="M682" s="212"/>
      <c r="N682" s="212"/>
      <c r="O682" s="212"/>
      <c r="P682" s="211"/>
      <c r="Q682" s="211"/>
      <c r="R682" s="211"/>
      <c r="S682" s="211"/>
      <c r="T682" s="211"/>
      <c r="U682" s="211"/>
      <c r="V682" s="211"/>
      <c r="W682" s="211"/>
      <c r="X682" s="211"/>
      <c r="Y682" s="211"/>
      <c r="Z682" s="211"/>
      <c r="AD682" s="211"/>
      <c r="AE682" s="211"/>
      <c r="AF682" s="211"/>
      <c r="AG682" s="211"/>
      <c r="AH682" s="211"/>
      <c r="AI682" s="211"/>
      <c r="AJ682" s="211"/>
      <c r="AK682" s="211"/>
      <c r="AL682" s="211"/>
      <c r="AM682" s="211"/>
      <c r="AN682" s="211"/>
      <c r="AO682" s="211"/>
      <c r="AP682" s="211"/>
      <c r="AQ682" s="211"/>
      <c r="AR682" s="211"/>
      <c r="AS682" s="211"/>
      <c r="AT682" s="211"/>
      <c r="AU682" s="211"/>
      <c r="AV682" s="211"/>
      <c r="AW682" s="211"/>
      <c r="AX682" s="211"/>
      <c r="AY682" s="211"/>
      <c r="AZ682" s="211"/>
    </row>
    <row r="683" spans="1:52" s="213" customFormat="1" x14ac:dyDescent="0.35">
      <c r="A683" s="211"/>
      <c r="B683" s="211"/>
      <c r="C683" s="211"/>
      <c r="D683" s="211"/>
      <c r="E683" s="211"/>
      <c r="F683" s="211"/>
      <c r="G683" s="211"/>
      <c r="H683" s="211"/>
      <c r="I683" s="212"/>
      <c r="J683" s="212"/>
      <c r="K683" s="212"/>
      <c r="L683" s="212"/>
      <c r="M683" s="212"/>
      <c r="N683" s="212"/>
      <c r="O683" s="212"/>
      <c r="P683" s="211"/>
      <c r="Q683" s="211"/>
      <c r="R683" s="211"/>
      <c r="S683" s="211"/>
      <c r="T683" s="211"/>
      <c r="U683" s="211"/>
      <c r="V683" s="211"/>
      <c r="W683" s="211"/>
      <c r="X683" s="211"/>
      <c r="Y683" s="211"/>
      <c r="Z683" s="211"/>
      <c r="AD683" s="211"/>
      <c r="AE683" s="211"/>
      <c r="AF683" s="211"/>
      <c r="AG683" s="211"/>
      <c r="AH683" s="211"/>
      <c r="AI683" s="211"/>
      <c r="AJ683" s="211"/>
      <c r="AK683" s="211"/>
      <c r="AL683" s="211"/>
      <c r="AM683" s="211"/>
      <c r="AN683" s="211"/>
      <c r="AO683" s="211"/>
      <c r="AP683" s="211"/>
      <c r="AQ683" s="211"/>
      <c r="AR683" s="211"/>
      <c r="AS683" s="211"/>
      <c r="AT683" s="211"/>
      <c r="AU683" s="211"/>
      <c r="AV683" s="211"/>
      <c r="AW683" s="211"/>
      <c r="AX683" s="211"/>
      <c r="AY683" s="211"/>
      <c r="AZ683" s="211"/>
    </row>
    <row r="684" spans="1:52" s="213" customFormat="1" x14ac:dyDescent="0.35">
      <c r="A684" s="211"/>
      <c r="B684" s="211"/>
      <c r="C684" s="211"/>
      <c r="D684" s="211"/>
      <c r="E684" s="211"/>
      <c r="F684" s="211"/>
      <c r="G684" s="211"/>
      <c r="H684" s="211"/>
      <c r="I684" s="212"/>
      <c r="J684" s="212"/>
      <c r="K684" s="212"/>
      <c r="L684" s="212"/>
      <c r="M684" s="212"/>
      <c r="N684" s="212"/>
      <c r="O684" s="212"/>
      <c r="P684" s="211"/>
      <c r="Q684" s="211"/>
      <c r="R684" s="211"/>
      <c r="S684" s="211"/>
      <c r="T684" s="211"/>
      <c r="U684" s="211"/>
      <c r="V684" s="211"/>
      <c r="W684" s="211"/>
      <c r="X684" s="211"/>
      <c r="Y684" s="211"/>
      <c r="Z684" s="211"/>
      <c r="AD684" s="211"/>
      <c r="AE684" s="211"/>
      <c r="AF684" s="211"/>
      <c r="AG684" s="211"/>
      <c r="AH684" s="211"/>
      <c r="AI684" s="211"/>
      <c r="AJ684" s="211"/>
      <c r="AK684" s="211"/>
      <c r="AL684" s="211"/>
      <c r="AM684" s="211"/>
      <c r="AN684" s="211"/>
      <c r="AO684" s="211"/>
      <c r="AP684" s="211"/>
      <c r="AQ684" s="211"/>
      <c r="AR684" s="211"/>
      <c r="AS684" s="211"/>
      <c r="AT684" s="211"/>
      <c r="AU684" s="211"/>
      <c r="AV684" s="211"/>
      <c r="AW684" s="211"/>
      <c r="AX684" s="211"/>
      <c r="AY684" s="211"/>
      <c r="AZ684" s="211"/>
    </row>
    <row r="685" spans="1:52" s="213" customFormat="1" x14ac:dyDescent="0.35">
      <c r="A685" s="211"/>
      <c r="B685" s="211"/>
      <c r="C685" s="211"/>
      <c r="D685" s="211"/>
      <c r="E685" s="211"/>
      <c r="F685" s="211"/>
      <c r="G685" s="211"/>
      <c r="H685" s="211"/>
      <c r="I685" s="212"/>
      <c r="J685" s="212"/>
      <c r="K685" s="212"/>
      <c r="L685" s="212"/>
      <c r="M685" s="212"/>
      <c r="N685" s="212"/>
      <c r="O685" s="212"/>
      <c r="P685" s="211"/>
      <c r="Q685" s="211"/>
      <c r="R685" s="211"/>
      <c r="S685" s="211"/>
      <c r="T685" s="211"/>
      <c r="U685" s="211"/>
      <c r="V685" s="211"/>
      <c r="W685" s="211"/>
      <c r="X685" s="211"/>
      <c r="Y685" s="211"/>
      <c r="Z685" s="211"/>
      <c r="AD685" s="211"/>
      <c r="AE685" s="211"/>
      <c r="AF685" s="211"/>
      <c r="AG685" s="211"/>
      <c r="AH685" s="211"/>
      <c r="AI685" s="211"/>
      <c r="AJ685" s="211"/>
      <c r="AK685" s="211"/>
      <c r="AL685" s="211"/>
      <c r="AM685" s="211"/>
      <c r="AN685" s="211"/>
      <c r="AO685" s="211"/>
      <c r="AP685" s="211"/>
      <c r="AQ685" s="211"/>
      <c r="AR685" s="211"/>
      <c r="AS685" s="211"/>
      <c r="AT685" s="211"/>
      <c r="AU685" s="211"/>
      <c r="AV685" s="211"/>
      <c r="AW685" s="211"/>
      <c r="AX685" s="211"/>
      <c r="AY685" s="211"/>
      <c r="AZ685" s="211"/>
    </row>
    <row r="686" spans="1:52" s="213" customFormat="1" x14ac:dyDescent="0.35">
      <c r="A686" s="211"/>
      <c r="B686" s="211"/>
      <c r="C686" s="211"/>
      <c r="D686" s="211"/>
      <c r="E686" s="211"/>
      <c r="F686" s="211"/>
      <c r="G686" s="211"/>
      <c r="H686" s="211"/>
      <c r="I686" s="212"/>
      <c r="J686" s="212"/>
      <c r="K686" s="212"/>
      <c r="L686" s="212"/>
      <c r="M686" s="212"/>
      <c r="N686" s="212"/>
      <c r="O686" s="212"/>
      <c r="P686" s="211"/>
      <c r="Q686" s="211"/>
      <c r="R686" s="211"/>
      <c r="S686" s="211"/>
      <c r="T686" s="211"/>
      <c r="U686" s="211"/>
      <c r="V686" s="211"/>
      <c r="W686" s="211"/>
      <c r="X686" s="211"/>
      <c r="Y686" s="211"/>
      <c r="Z686" s="211"/>
      <c r="AD686" s="211"/>
      <c r="AE686" s="211"/>
      <c r="AF686" s="211"/>
      <c r="AG686" s="211"/>
      <c r="AH686" s="211"/>
      <c r="AI686" s="211"/>
      <c r="AJ686" s="211"/>
      <c r="AK686" s="211"/>
      <c r="AL686" s="211"/>
      <c r="AM686" s="211"/>
      <c r="AN686" s="211"/>
      <c r="AO686" s="211"/>
      <c r="AP686" s="211"/>
      <c r="AQ686" s="211"/>
      <c r="AR686" s="211"/>
      <c r="AS686" s="211"/>
      <c r="AT686" s="211"/>
      <c r="AU686" s="211"/>
      <c r="AV686" s="211"/>
      <c r="AW686" s="211"/>
      <c r="AX686" s="211"/>
      <c r="AY686" s="211"/>
      <c r="AZ686" s="211"/>
    </row>
    <row r="687" spans="1:52" s="213" customFormat="1" x14ac:dyDescent="0.35">
      <c r="A687" s="211"/>
      <c r="B687" s="211"/>
      <c r="C687" s="211"/>
      <c r="D687" s="211"/>
      <c r="E687" s="211"/>
      <c r="F687" s="211"/>
      <c r="G687" s="211"/>
      <c r="H687" s="211"/>
      <c r="I687" s="212"/>
      <c r="J687" s="212"/>
      <c r="K687" s="212"/>
      <c r="L687" s="212"/>
      <c r="M687" s="212"/>
      <c r="N687" s="212"/>
      <c r="O687" s="212"/>
      <c r="P687" s="211"/>
      <c r="Q687" s="211"/>
      <c r="R687" s="211"/>
      <c r="S687" s="211"/>
      <c r="T687" s="211"/>
      <c r="U687" s="211"/>
      <c r="V687" s="211"/>
      <c r="W687" s="211"/>
      <c r="X687" s="211"/>
      <c r="Y687" s="211"/>
      <c r="Z687" s="211"/>
      <c r="AD687" s="211"/>
      <c r="AE687" s="211"/>
      <c r="AF687" s="211"/>
      <c r="AG687" s="211"/>
      <c r="AH687" s="211"/>
      <c r="AI687" s="211"/>
      <c r="AJ687" s="211"/>
      <c r="AK687" s="211"/>
      <c r="AL687" s="211"/>
      <c r="AM687" s="211"/>
      <c r="AN687" s="211"/>
      <c r="AO687" s="211"/>
      <c r="AP687" s="211"/>
      <c r="AQ687" s="211"/>
      <c r="AR687" s="211"/>
      <c r="AS687" s="211"/>
      <c r="AT687" s="211"/>
      <c r="AU687" s="211"/>
      <c r="AV687" s="211"/>
      <c r="AW687" s="211"/>
      <c r="AX687" s="211"/>
      <c r="AY687" s="211"/>
      <c r="AZ687" s="211"/>
    </row>
    <row r="688" spans="1:52" s="213" customFormat="1" x14ac:dyDescent="0.35">
      <c r="A688" s="211"/>
      <c r="B688" s="211"/>
      <c r="C688" s="211"/>
      <c r="D688" s="211"/>
      <c r="E688" s="211"/>
      <c r="F688" s="211"/>
      <c r="G688" s="211"/>
      <c r="H688" s="211"/>
      <c r="I688" s="212"/>
      <c r="J688" s="212"/>
      <c r="K688" s="212"/>
      <c r="L688" s="212"/>
      <c r="M688" s="212"/>
      <c r="N688" s="212"/>
      <c r="O688" s="212"/>
      <c r="P688" s="211"/>
      <c r="Q688" s="211"/>
      <c r="R688" s="211"/>
      <c r="S688" s="211"/>
      <c r="T688" s="211"/>
      <c r="U688" s="211"/>
      <c r="V688" s="211"/>
      <c r="W688" s="211"/>
      <c r="X688" s="211"/>
      <c r="Y688" s="211"/>
      <c r="Z688" s="211"/>
      <c r="AD688" s="211"/>
      <c r="AE688" s="211"/>
      <c r="AF688" s="211"/>
      <c r="AG688" s="211"/>
      <c r="AH688" s="211"/>
      <c r="AI688" s="211"/>
      <c r="AJ688" s="211"/>
      <c r="AK688" s="211"/>
      <c r="AL688" s="211"/>
      <c r="AM688" s="211"/>
      <c r="AN688" s="211"/>
      <c r="AO688" s="211"/>
      <c r="AP688" s="211"/>
      <c r="AQ688" s="211"/>
      <c r="AR688" s="211"/>
      <c r="AS688" s="211"/>
      <c r="AT688" s="211"/>
      <c r="AU688" s="211"/>
      <c r="AV688" s="211"/>
      <c r="AW688" s="211"/>
      <c r="AX688" s="211"/>
      <c r="AY688" s="211"/>
      <c r="AZ688" s="211"/>
    </row>
    <row r="689" spans="1:52" s="213" customFormat="1" x14ac:dyDescent="0.35">
      <c r="A689" s="211"/>
      <c r="B689" s="211"/>
      <c r="C689" s="211"/>
      <c r="D689" s="211"/>
      <c r="E689" s="211"/>
      <c r="F689" s="211"/>
      <c r="G689" s="211"/>
      <c r="H689" s="211"/>
      <c r="I689" s="212"/>
      <c r="J689" s="212"/>
      <c r="K689" s="212"/>
      <c r="L689" s="212"/>
      <c r="M689" s="212"/>
      <c r="N689" s="212"/>
      <c r="O689" s="212"/>
      <c r="P689" s="211"/>
      <c r="Q689" s="211"/>
      <c r="R689" s="211"/>
      <c r="S689" s="211"/>
      <c r="T689" s="211"/>
      <c r="U689" s="211"/>
      <c r="V689" s="211"/>
      <c r="W689" s="211"/>
      <c r="X689" s="211"/>
      <c r="Y689" s="211"/>
      <c r="Z689" s="211"/>
      <c r="AD689" s="211"/>
      <c r="AE689" s="211"/>
      <c r="AF689" s="211"/>
      <c r="AG689" s="211"/>
      <c r="AH689" s="211"/>
      <c r="AI689" s="211"/>
      <c r="AJ689" s="211"/>
      <c r="AK689" s="211"/>
      <c r="AL689" s="211"/>
      <c r="AM689" s="211"/>
      <c r="AN689" s="211"/>
      <c r="AO689" s="211"/>
      <c r="AP689" s="211"/>
      <c r="AQ689" s="211"/>
      <c r="AR689" s="211"/>
      <c r="AS689" s="211"/>
      <c r="AT689" s="211"/>
      <c r="AU689" s="211"/>
      <c r="AV689" s="211"/>
      <c r="AW689" s="211"/>
      <c r="AX689" s="211"/>
      <c r="AY689" s="211"/>
      <c r="AZ689" s="211"/>
    </row>
    <row r="690" spans="1:52" s="213" customFormat="1" x14ac:dyDescent="0.35">
      <c r="A690" s="211"/>
      <c r="B690" s="211"/>
      <c r="C690" s="211"/>
      <c r="D690" s="211"/>
      <c r="E690" s="211"/>
      <c r="F690" s="211"/>
      <c r="G690" s="211"/>
      <c r="H690" s="211"/>
      <c r="I690" s="212"/>
      <c r="J690" s="212"/>
      <c r="K690" s="212"/>
      <c r="L690" s="212"/>
      <c r="M690" s="212"/>
      <c r="N690" s="212"/>
      <c r="O690" s="212"/>
      <c r="P690" s="211"/>
      <c r="Q690" s="211"/>
      <c r="R690" s="211"/>
      <c r="S690" s="211"/>
      <c r="T690" s="211"/>
      <c r="U690" s="211"/>
      <c r="V690" s="211"/>
      <c r="W690" s="211"/>
      <c r="X690" s="211"/>
      <c r="Y690" s="211"/>
      <c r="Z690" s="211"/>
      <c r="AD690" s="211"/>
      <c r="AE690" s="211"/>
      <c r="AF690" s="211"/>
      <c r="AG690" s="211"/>
      <c r="AH690" s="211"/>
      <c r="AI690" s="211"/>
      <c r="AJ690" s="211"/>
      <c r="AK690" s="211"/>
      <c r="AL690" s="211"/>
      <c r="AM690" s="211"/>
      <c r="AN690" s="211"/>
      <c r="AO690" s="211"/>
      <c r="AP690" s="211"/>
      <c r="AQ690" s="211"/>
      <c r="AR690" s="211"/>
      <c r="AS690" s="211"/>
      <c r="AT690" s="211"/>
      <c r="AU690" s="211"/>
      <c r="AV690" s="211"/>
      <c r="AW690" s="211"/>
      <c r="AX690" s="211"/>
      <c r="AY690" s="211"/>
      <c r="AZ690" s="211"/>
    </row>
    <row r="691" spans="1:52" s="213" customFormat="1" x14ac:dyDescent="0.35">
      <c r="A691" s="211"/>
      <c r="B691" s="211"/>
      <c r="C691" s="211"/>
      <c r="D691" s="211"/>
      <c r="E691" s="211"/>
      <c r="F691" s="211"/>
      <c r="G691" s="211"/>
      <c r="H691" s="211"/>
      <c r="I691" s="212"/>
      <c r="J691" s="212"/>
      <c r="K691" s="212"/>
      <c r="L691" s="212"/>
      <c r="M691" s="212"/>
      <c r="N691" s="212"/>
      <c r="O691" s="212"/>
      <c r="P691" s="211"/>
      <c r="Q691" s="211"/>
      <c r="R691" s="211"/>
      <c r="S691" s="211"/>
      <c r="T691" s="211"/>
      <c r="U691" s="211"/>
      <c r="V691" s="211"/>
      <c r="W691" s="211"/>
      <c r="X691" s="211"/>
      <c r="Y691" s="211"/>
      <c r="Z691" s="211"/>
      <c r="AD691" s="211"/>
      <c r="AE691" s="211"/>
      <c r="AF691" s="211"/>
      <c r="AG691" s="211"/>
      <c r="AH691" s="211"/>
      <c r="AI691" s="211"/>
      <c r="AJ691" s="211"/>
      <c r="AK691" s="211"/>
      <c r="AL691" s="211"/>
      <c r="AM691" s="211"/>
      <c r="AN691" s="211"/>
      <c r="AO691" s="211"/>
      <c r="AP691" s="211"/>
      <c r="AQ691" s="211"/>
      <c r="AR691" s="211"/>
      <c r="AS691" s="211"/>
      <c r="AT691" s="211"/>
      <c r="AU691" s="211"/>
      <c r="AV691" s="211"/>
      <c r="AW691" s="211"/>
      <c r="AX691" s="211"/>
      <c r="AY691" s="211"/>
      <c r="AZ691" s="211"/>
    </row>
    <row r="692" spans="1:52" s="213" customFormat="1" x14ac:dyDescent="0.35">
      <c r="A692" s="211"/>
      <c r="B692" s="211"/>
      <c r="C692" s="211"/>
      <c r="D692" s="211"/>
      <c r="E692" s="211"/>
      <c r="F692" s="211"/>
      <c r="G692" s="211"/>
      <c r="H692" s="211"/>
      <c r="I692" s="212"/>
      <c r="J692" s="212"/>
      <c r="K692" s="212"/>
      <c r="L692" s="212"/>
      <c r="M692" s="212"/>
      <c r="N692" s="212"/>
      <c r="O692" s="212"/>
      <c r="P692" s="211"/>
      <c r="Q692" s="211"/>
      <c r="R692" s="211"/>
      <c r="S692" s="211"/>
      <c r="T692" s="211"/>
      <c r="U692" s="211"/>
      <c r="V692" s="211"/>
      <c r="W692" s="211"/>
      <c r="X692" s="211"/>
      <c r="Y692" s="211"/>
      <c r="Z692" s="211"/>
      <c r="AD692" s="211"/>
      <c r="AE692" s="211"/>
      <c r="AF692" s="211"/>
      <c r="AG692" s="211"/>
      <c r="AH692" s="211"/>
      <c r="AI692" s="211"/>
      <c r="AJ692" s="211"/>
      <c r="AK692" s="211"/>
      <c r="AL692" s="211"/>
      <c r="AM692" s="211"/>
      <c r="AN692" s="211"/>
      <c r="AO692" s="211"/>
      <c r="AP692" s="211"/>
      <c r="AQ692" s="211"/>
      <c r="AR692" s="211"/>
      <c r="AS692" s="211"/>
      <c r="AT692" s="211"/>
      <c r="AU692" s="211"/>
      <c r="AV692" s="211"/>
      <c r="AW692" s="211"/>
      <c r="AX692" s="211"/>
      <c r="AY692" s="211"/>
      <c r="AZ692" s="211"/>
    </row>
    <row r="693" spans="1:52" s="213" customFormat="1" x14ac:dyDescent="0.35">
      <c r="A693" s="211"/>
      <c r="B693" s="211"/>
      <c r="C693" s="211"/>
      <c r="D693" s="211"/>
      <c r="E693" s="211"/>
      <c r="F693" s="211"/>
      <c r="G693" s="211"/>
      <c r="H693" s="211"/>
      <c r="I693" s="212"/>
      <c r="J693" s="212"/>
      <c r="K693" s="212"/>
      <c r="L693" s="212"/>
      <c r="M693" s="212"/>
      <c r="N693" s="212"/>
      <c r="O693" s="212"/>
      <c r="P693" s="211"/>
      <c r="Q693" s="211"/>
      <c r="R693" s="211"/>
      <c r="S693" s="211"/>
      <c r="T693" s="211"/>
      <c r="U693" s="211"/>
      <c r="V693" s="211"/>
      <c r="W693" s="211"/>
      <c r="X693" s="211"/>
      <c r="Y693" s="211"/>
      <c r="Z693" s="211"/>
      <c r="AD693" s="211"/>
      <c r="AE693" s="211"/>
      <c r="AF693" s="211"/>
      <c r="AG693" s="211"/>
      <c r="AH693" s="211"/>
      <c r="AI693" s="211"/>
      <c r="AJ693" s="211"/>
      <c r="AK693" s="211"/>
      <c r="AL693" s="211"/>
      <c r="AM693" s="211"/>
      <c r="AN693" s="211"/>
      <c r="AO693" s="211"/>
      <c r="AP693" s="211"/>
      <c r="AQ693" s="211"/>
      <c r="AR693" s="211"/>
      <c r="AS693" s="211"/>
      <c r="AT693" s="211"/>
      <c r="AU693" s="211"/>
      <c r="AV693" s="211"/>
      <c r="AW693" s="211"/>
      <c r="AX693" s="211"/>
      <c r="AY693" s="211"/>
      <c r="AZ693" s="211"/>
    </row>
    <row r="694" spans="1:52" s="213" customFormat="1" x14ac:dyDescent="0.35">
      <c r="A694" s="211"/>
      <c r="B694" s="211"/>
      <c r="C694" s="211"/>
      <c r="D694" s="211"/>
      <c r="E694" s="211"/>
      <c r="F694" s="211"/>
      <c r="G694" s="211"/>
      <c r="H694" s="211"/>
      <c r="I694" s="212"/>
      <c r="J694" s="212"/>
      <c r="K694" s="212"/>
      <c r="L694" s="212"/>
      <c r="M694" s="212"/>
      <c r="N694" s="212"/>
      <c r="O694" s="212"/>
      <c r="P694" s="211"/>
      <c r="Q694" s="211"/>
      <c r="R694" s="211"/>
      <c r="S694" s="211"/>
      <c r="T694" s="211"/>
      <c r="U694" s="211"/>
      <c r="V694" s="211"/>
      <c r="W694" s="211"/>
      <c r="X694" s="211"/>
      <c r="Y694" s="211"/>
      <c r="Z694" s="211"/>
      <c r="AD694" s="211"/>
      <c r="AE694" s="211"/>
      <c r="AF694" s="211"/>
      <c r="AG694" s="211"/>
      <c r="AH694" s="211"/>
      <c r="AI694" s="211"/>
      <c r="AJ694" s="211"/>
      <c r="AK694" s="211"/>
      <c r="AL694" s="211"/>
      <c r="AM694" s="211"/>
      <c r="AN694" s="211"/>
      <c r="AO694" s="211"/>
      <c r="AP694" s="211"/>
      <c r="AQ694" s="211"/>
      <c r="AR694" s="211"/>
      <c r="AS694" s="211"/>
      <c r="AT694" s="211"/>
      <c r="AU694" s="211"/>
      <c r="AV694" s="211"/>
      <c r="AW694" s="211"/>
      <c r="AX694" s="211"/>
      <c r="AY694" s="211"/>
      <c r="AZ694" s="211"/>
    </row>
    <row r="695" spans="1:52" s="213" customFormat="1" x14ac:dyDescent="0.35">
      <c r="A695" s="211"/>
      <c r="B695" s="211"/>
      <c r="C695" s="211"/>
      <c r="D695" s="211"/>
      <c r="E695" s="211"/>
      <c r="F695" s="211"/>
      <c r="G695" s="211"/>
      <c r="H695" s="211"/>
      <c r="I695" s="212"/>
      <c r="J695" s="212"/>
      <c r="K695" s="212"/>
      <c r="L695" s="212"/>
      <c r="M695" s="212"/>
      <c r="N695" s="212"/>
      <c r="O695" s="212"/>
      <c r="P695" s="211"/>
      <c r="Q695" s="211"/>
      <c r="R695" s="211"/>
      <c r="S695" s="211"/>
      <c r="T695" s="211"/>
      <c r="U695" s="211"/>
      <c r="V695" s="211"/>
      <c r="W695" s="211"/>
      <c r="X695" s="211"/>
      <c r="Y695" s="211"/>
      <c r="Z695" s="211"/>
      <c r="AD695" s="211"/>
      <c r="AE695" s="211"/>
      <c r="AF695" s="211"/>
      <c r="AG695" s="211"/>
      <c r="AH695" s="211"/>
      <c r="AI695" s="211"/>
      <c r="AJ695" s="211"/>
      <c r="AK695" s="211"/>
      <c r="AL695" s="211"/>
      <c r="AM695" s="211"/>
      <c r="AN695" s="211"/>
      <c r="AO695" s="211"/>
      <c r="AP695" s="211"/>
      <c r="AQ695" s="211"/>
      <c r="AR695" s="211"/>
      <c r="AS695" s="211"/>
      <c r="AT695" s="211"/>
      <c r="AU695" s="211"/>
      <c r="AV695" s="211"/>
      <c r="AW695" s="211"/>
      <c r="AX695" s="211"/>
      <c r="AY695" s="211"/>
      <c r="AZ695" s="211"/>
    </row>
    <row r="696" spans="1:52" s="213" customFormat="1" x14ac:dyDescent="0.35">
      <c r="A696" s="211"/>
      <c r="B696" s="211"/>
      <c r="C696" s="211"/>
      <c r="D696" s="211"/>
      <c r="E696" s="211"/>
      <c r="F696" s="211"/>
      <c r="G696" s="211"/>
      <c r="H696" s="211"/>
      <c r="I696" s="212"/>
      <c r="J696" s="212"/>
      <c r="K696" s="212"/>
      <c r="L696" s="212"/>
      <c r="M696" s="212"/>
      <c r="N696" s="212"/>
      <c r="O696" s="212"/>
      <c r="P696" s="211"/>
      <c r="Q696" s="211"/>
      <c r="R696" s="211"/>
      <c r="S696" s="211"/>
      <c r="T696" s="211"/>
      <c r="U696" s="211"/>
      <c r="V696" s="211"/>
      <c r="W696" s="211"/>
      <c r="X696" s="211"/>
      <c r="Y696" s="211"/>
      <c r="Z696" s="211"/>
      <c r="AD696" s="211"/>
      <c r="AE696" s="211"/>
      <c r="AF696" s="211"/>
      <c r="AG696" s="211"/>
      <c r="AH696" s="211"/>
      <c r="AI696" s="211"/>
      <c r="AJ696" s="211"/>
      <c r="AK696" s="211"/>
      <c r="AL696" s="211"/>
      <c r="AM696" s="211"/>
      <c r="AN696" s="211"/>
      <c r="AO696" s="211"/>
      <c r="AP696" s="211"/>
      <c r="AQ696" s="211"/>
      <c r="AR696" s="211"/>
      <c r="AS696" s="211"/>
      <c r="AT696" s="211"/>
      <c r="AU696" s="211"/>
      <c r="AV696" s="211"/>
      <c r="AW696" s="211"/>
      <c r="AX696" s="211"/>
      <c r="AY696" s="211"/>
      <c r="AZ696" s="211"/>
    </row>
    <row r="697" spans="1:52" s="213" customFormat="1" x14ac:dyDescent="0.35">
      <c r="A697" s="211"/>
      <c r="B697" s="211"/>
      <c r="C697" s="211"/>
      <c r="D697" s="211"/>
      <c r="E697" s="211"/>
      <c r="F697" s="211"/>
      <c r="G697" s="211"/>
      <c r="H697" s="211"/>
      <c r="I697" s="212"/>
      <c r="J697" s="212"/>
      <c r="K697" s="212"/>
      <c r="L697" s="212"/>
      <c r="M697" s="212"/>
      <c r="N697" s="212"/>
      <c r="O697" s="212"/>
      <c r="P697" s="211"/>
      <c r="Q697" s="211"/>
      <c r="R697" s="211"/>
      <c r="S697" s="211"/>
      <c r="T697" s="211"/>
      <c r="U697" s="211"/>
      <c r="V697" s="211"/>
      <c r="W697" s="211"/>
      <c r="X697" s="211"/>
      <c r="Y697" s="211"/>
      <c r="Z697" s="211"/>
      <c r="AD697" s="211"/>
      <c r="AE697" s="211"/>
      <c r="AF697" s="211"/>
      <c r="AG697" s="211"/>
      <c r="AH697" s="211"/>
      <c r="AI697" s="211"/>
      <c r="AJ697" s="211"/>
      <c r="AK697" s="211"/>
      <c r="AL697" s="211"/>
      <c r="AM697" s="211"/>
      <c r="AN697" s="211"/>
      <c r="AO697" s="211"/>
      <c r="AP697" s="211"/>
      <c r="AQ697" s="211"/>
      <c r="AR697" s="211"/>
      <c r="AS697" s="211"/>
      <c r="AT697" s="211"/>
      <c r="AU697" s="211"/>
      <c r="AV697" s="211"/>
      <c r="AW697" s="211"/>
      <c r="AX697" s="211"/>
      <c r="AY697" s="211"/>
      <c r="AZ697" s="211"/>
    </row>
    <row r="698" spans="1:52" s="213" customFormat="1" x14ac:dyDescent="0.35">
      <c r="A698" s="211"/>
      <c r="B698" s="211"/>
      <c r="C698" s="211"/>
      <c r="D698" s="211"/>
      <c r="E698" s="211"/>
      <c r="F698" s="211"/>
      <c r="G698" s="211"/>
      <c r="H698" s="211"/>
      <c r="I698" s="212"/>
      <c r="J698" s="212"/>
      <c r="K698" s="212"/>
      <c r="L698" s="212"/>
      <c r="M698" s="212"/>
      <c r="N698" s="212"/>
      <c r="O698" s="212"/>
      <c r="P698" s="211"/>
      <c r="Q698" s="211"/>
      <c r="R698" s="211"/>
      <c r="S698" s="211"/>
      <c r="T698" s="211"/>
      <c r="U698" s="211"/>
      <c r="V698" s="211"/>
      <c r="W698" s="211"/>
      <c r="X698" s="211"/>
      <c r="Y698" s="211"/>
      <c r="Z698" s="211"/>
      <c r="AD698" s="211"/>
      <c r="AE698" s="211"/>
      <c r="AF698" s="211"/>
      <c r="AG698" s="211"/>
      <c r="AH698" s="211"/>
      <c r="AI698" s="211"/>
      <c r="AJ698" s="211"/>
      <c r="AK698" s="211"/>
      <c r="AL698" s="211"/>
      <c r="AM698" s="211"/>
      <c r="AN698" s="211"/>
      <c r="AO698" s="211"/>
      <c r="AP698" s="211"/>
      <c r="AQ698" s="211"/>
      <c r="AR698" s="211"/>
      <c r="AS698" s="211"/>
      <c r="AT698" s="211"/>
      <c r="AU698" s="211"/>
      <c r="AV698" s="211"/>
      <c r="AW698" s="211"/>
      <c r="AX698" s="211"/>
      <c r="AY698" s="211"/>
      <c r="AZ698" s="211"/>
    </row>
    <row r="699" spans="1:52" s="213" customFormat="1" x14ac:dyDescent="0.35">
      <c r="A699" s="211"/>
      <c r="B699" s="211"/>
      <c r="C699" s="211"/>
      <c r="D699" s="211"/>
      <c r="E699" s="211"/>
      <c r="F699" s="211"/>
      <c r="G699" s="211"/>
      <c r="H699" s="211"/>
      <c r="I699" s="212"/>
      <c r="J699" s="212"/>
      <c r="K699" s="212"/>
      <c r="L699" s="212"/>
      <c r="M699" s="212"/>
      <c r="N699" s="212"/>
      <c r="O699" s="212"/>
      <c r="P699" s="211"/>
      <c r="Q699" s="211"/>
      <c r="R699" s="211"/>
      <c r="S699" s="211"/>
      <c r="T699" s="211"/>
      <c r="U699" s="211"/>
      <c r="V699" s="211"/>
      <c r="W699" s="211"/>
      <c r="X699" s="211"/>
      <c r="Y699" s="211"/>
      <c r="Z699" s="211"/>
      <c r="AD699" s="211"/>
      <c r="AE699" s="211"/>
      <c r="AF699" s="211"/>
      <c r="AG699" s="211"/>
      <c r="AH699" s="211"/>
      <c r="AI699" s="211"/>
      <c r="AJ699" s="211"/>
      <c r="AK699" s="211"/>
      <c r="AL699" s="211"/>
      <c r="AM699" s="211"/>
      <c r="AN699" s="211"/>
      <c r="AO699" s="211"/>
      <c r="AP699" s="211"/>
      <c r="AQ699" s="211"/>
      <c r="AR699" s="211"/>
      <c r="AS699" s="211"/>
      <c r="AT699" s="211"/>
      <c r="AU699" s="211"/>
      <c r="AV699" s="211"/>
      <c r="AW699" s="211"/>
      <c r="AX699" s="211"/>
      <c r="AY699" s="211"/>
      <c r="AZ699" s="211"/>
    </row>
    <row r="700" spans="1:52" s="213" customFormat="1" x14ac:dyDescent="0.35">
      <c r="A700" s="211"/>
      <c r="B700" s="211"/>
      <c r="C700" s="211"/>
      <c r="D700" s="211"/>
      <c r="E700" s="211"/>
      <c r="F700" s="211"/>
      <c r="G700" s="211"/>
      <c r="H700" s="211"/>
      <c r="I700" s="212"/>
      <c r="J700" s="212"/>
      <c r="K700" s="212"/>
      <c r="L700" s="212"/>
      <c r="M700" s="212"/>
      <c r="N700" s="212"/>
      <c r="O700" s="212"/>
      <c r="P700" s="211"/>
      <c r="Q700" s="211"/>
      <c r="R700" s="211"/>
      <c r="S700" s="211"/>
      <c r="T700" s="211"/>
      <c r="U700" s="211"/>
      <c r="V700" s="211"/>
      <c r="W700" s="211"/>
      <c r="X700" s="211"/>
      <c r="Y700" s="211"/>
      <c r="Z700" s="211"/>
      <c r="AD700" s="211"/>
      <c r="AE700" s="211"/>
      <c r="AF700" s="211"/>
      <c r="AG700" s="211"/>
      <c r="AH700" s="211"/>
      <c r="AI700" s="211"/>
      <c r="AJ700" s="211"/>
      <c r="AK700" s="211"/>
      <c r="AL700" s="211"/>
      <c r="AM700" s="211"/>
      <c r="AN700" s="211"/>
      <c r="AO700" s="211"/>
      <c r="AP700" s="211"/>
      <c r="AQ700" s="211"/>
      <c r="AR700" s="211"/>
      <c r="AS700" s="211"/>
      <c r="AT700" s="211"/>
      <c r="AU700" s="211"/>
      <c r="AV700" s="211"/>
      <c r="AW700" s="211"/>
      <c r="AX700" s="211"/>
      <c r="AY700" s="211"/>
      <c r="AZ700" s="211"/>
    </row>
    <row r="701" spans="1:52" s="213" customFormat="1" x14ac:dyDescent="0.35">
      <c r="A701" s="211"/>
      <c r="B701" s="211"/>
      <c r="C701" s="211"/>
      <c r="D701" s="211"/>
      <c r="E701" s="211"/>
      <c r="F701" s="211"/>
      <c r="G701" s="211"/>
      <c r="H701" s="211"/>
      <c r="I701" s="212"/>
      <c r="J701" s="212"/>
      <c r="K701" s="212"/>
      <c r="L701" s="212"/>
      <c r="M701" s="212"/>
      <c r="N701" s="212"/>
      <c r="O701" s="212"/>
      <c r="P701" s="211"/>
      <c r="Q701" s="211"/>
      <c r="R701" s="211"/>
      <c r="S701" s="211"/>
      <c r="T701" s="211"/>
      <c r="U701" s="211"/>
      <c r="V701" s="211"/>
      <c r="W701" s="211"/>
      <c r="X701" s="211"/>
      <c r="Y701" s="211"/>
      <c r="Z701" s="211"/>
      <c r="AD701" s="211"/>
      <c r="AE701" s="211"/>
      <c r="AF701" s="211"/>
      <c r="AG701" s="211"/>
      <c r="AH701" s="211"/>
      <c r="AI701" s="211"/>
      <c r="AJ701" s="211"/>
      <c r="AK701" s="211"/>
      <c r="AL701" s="211"/>
      <c r="AM701" s="211"/>
      <c r="AN701" s="211"/>
      <c r="AO701" s="211"/>
      <c r="AP701" s="211"/>
      <c r="AQ701" s="211"/>
      <c r="AR701" s="211"/>
      <c r="AS701" s="211"/>
      <c r="AT701" s="211"/>
      <c r="AU701" s="211"/>
      <c r="AV701" s="211"/>
      <c r="AW701" s="211"/>
      <c r="AX701" s="211"/>
      <c r="AY701" s="211"/>
      <c r="AZ701" s="211"/>
    </row>
    <row r="702" spans="1:52" s="213" customFormat="1" x14ac:dyDescent="0.35">
      <c r="A702" s="211"/>
      <c r="B702" s="211"/>
      <c r="C702" s="211"/>
      <c r="D702" s="211"/>
      <c r="E702" s="211"/>
      <c r="F702" s="211"/>
      <c r="G702" s="211"/>
      <c r="H702" s="211"/>
      <c r="I702" s="212"/>
      <c r="J702" s="212"/>
      <c r="K702" s="212"/>
      <c r="L702" s="212"/>
      <c r="M702" s="212"/>
      <c r="N702" s="212"/>
      <c r="O702" s="212"/>
      <c r="P702" s="211"/>
      <c r="Q702" s="211"/>
      <c r="R702" s="211"/>
      <c r="S702" s="211"/>
      <c r="T702" s="211"/>
      <c r="U702" s="211"/>
      <c r="V702" s="211"/>
      <c r="W702" s="211"/>
      <c r="X702" s="211"/>
      <c r="Y702" s="211"/>
      <c r="Z702" s="211"/>
      <c r="AD702" s="211"/>
      <c r="AE702" s="211"/>
      <c r="AF702" s="211"/>
      <c r="AG702" s="211"/>
      <c r="AH702" s="211"/>
      <c r="AI702" s="211"/>
      <c r="AJ702" s="211"/>
      <c r="AK702" s="211"/>
      <c r="AL702" s="211"/>
      <c r="AM702" s="211"/>
      <c r="AN702" s="211"/>
      <c r="AO702" s="211"/>
      <c r="AP702" s="211"/>
      <c r="AQ702" s="211"/>
      <c r="AR702" s="211"/>
      <c r="AS702" s="211"/>
      <c r="AT702" s="211"/>
      <c r="AU702" s="211"/>
      <c r="AV702" s="211"/>
      <c r="AW702" s="211"/>
      <c r="AX702" s="211"/>
      <c r="AY702" s="211"/>
      <c r="AZ702" s="211"/>
    </row>
    <row r="703" spans="1:52" s="213" customFormat="1" x14ac:dyDescent="0.35">
      <c r="A703" s="211"/>
      <c r="B703" s="211"/>
      <c r="C703" s="211"/>
      <c r="D703" s="211"/>
      <c r="E703" s="211"/>
      <c r="F703" s="211"/>
      <c r="G703" s="211"/>
      <c r="H703" s="211"/>
      <c r="I703" s="212"/>
      <c r="J703" s="212"/>
      <c r="K703" s="212"/>
      <c r="L703" s="212"/>
      <c r="M703" s="212"/>
      <c r="N703" s="212"/>
      <c r="O703" s="212"/>
      <c r="P703" s="211"/>
      <c r="Q703" s="211"/>
      <c r="R703" s="211"/>
      <c r="S703" s="211"/>
      <c r="T703" s="211"/>
      <c r="U703" s="211"/>
      <c r="V703" s="211"/>
      <c r="W703" s="211"/>
      <c r="X703" s="211"/>
      <c r="Y703" s="211"/>
      <c r="Z703" s="211"/>
      <c r="AD703" s="211"/>
      <c r="AE703" s="211"/>
      <c r="AF703" s="211"/>
      <c r="AG703" s="211"/>
      <c r="AH703" s="211"/>
      <c r="AI703" s="211"/>
      <c r="AJ703" s="211"/>
      <c r="AK703" s="211"/>
      <c r="AL703" s="211"/>
      <c r="AM703" s="211"/>
      <c r="AN703" s="211"/>
      <c r="AO703" s="211"/>
      <c r="AP703" s="211"/>
      <c r="AQ703" s="211"/>
      <c r="AR703" s="211"/>
      <c r="AS703" s="211"/>
      <c r="AT703" s="211"/>
      <c r="AU703" s="211"/>
      <c r="AV703" s="211"/>
      <c r="AW703" s="211"/>
      <c r="AX703" s="211"/>
      <c r="AY703" s="211"/>
      <c r="AZ703" s="211"/>
    </row>
    <row r="704" spans="1:52" s="213" customFormat="1" x14ac:dyDescent="0.35">
      <c r="A704" s="211"/>
      <c r="B704" s="211"/>
      <c r="C704" s="211"/>
      <c r="D704" s="211"/>
      <c r="E704" s="211"/>
      <c r="F704" s="211"/>
      <c r="G704" s="211"/>
      <c r="H704" s="211"/>
      <c r="I704" s="212"/>
      <c r="J704" s="212"/>
      <c r="K704" s="212"/>
      <c r="L704" s="212"/>
      <c r="M704" s="212"/>
      <c r="N704" s="212"/>
      <c r="O704" s="212"/>
      <c r="P704" s="211"/>
      <c r="Q704" s="211"/>
      <c r="R704" s="211"/>
      <c r="S704" s="211"/>
      <c r="T704" s="211"/>
      <c r="U704" s="211"/>
      <c r="V704" s="211"/>
      <c r="W704" s="211"/>
      <c r="X704" s="211"/>
      <c r="Y704" s="211"/>
      <c r="Z704" s="211"/>
      <c r="AD704" s="211"/>
      <c r="AE704" s="211"/>
      <c r="AF704" s="211"/>
      <c r="AG704" s="211"/>
      <c r="AH704" s="211"/>
      <c r="AI704" s="211"/>
      <c r="AJ704" s="211"/>
      <c r="AK704" s="211"/>
      <c r="AL704" s="211"/>
      <c r="AM704" s="211"/>
      <c r="AN704" s="211"/>
      <c r="AO704" s="211"/>
      <c r="AP704" s="211"/>
      <c r="AQ704" s="211"/>
      <c r="AR704" s="211"/>
      <c r="AS704" s="211"/>
      <c r="AT704" s="211"/>
      <c r="AU704" s="211"/>
      <c r="AV704" s="211"/>
      <c r="AW704" s="211"/>
      <c r="AX704" s="211"/>
      <c r="AY704" s="211"/>
      <c r="AZ704" s="211"/>
    </row>
    <row r="705" spans="1:52" s="213" customFormat="1" x14ac:dyDescent="0.35">
      <c r="A705" s="211"/>
      <c r="B705" s="211"/>
      <c r="C705" s="211"/>
      <c r="D705" s="211"/>
      <c r="E705" s="211"/>
      <c r="F705" s="211"/>
      <c r="G705" s="211"/>
      <c r="H705" s="211"/>
      <c r="I705" s="212"/>
      <c r="J705" s="212"/>
      <c r="K705" s="212"/>
      <c r="L705" s="212"/>
      <c r="M705" s="212"/>
      <c r="N705" s="212"/>
      <c r="O705" s="212"/>
      <c r="P705" s="211"/>
      <c r="Q705" s="211"/>
      <c r="R705" s="211"/>
      <c r="S705" s="211"/>
      <c r="T705" s="211"/>
      <c r="U705" s="211"/>
      <c r="V705" s="211"/>
      <c r="W705" s="211"/>
      <c r="X705" s="211"/>
      <c r="Y705" s="211"/>
      <c r="Z705" s="211"/>
      <c r="AD705" s="211"/>
      <c r="AE705" s="211"/>
      <c r="AF705" s="211"/>
      <c r="AG705" s="211"/>
      <c r="AH705" s="211"/>
      <c r="AI705" s="211"/>
      <c r="AJ705" s="211"/>
      <c r="AK705" s="211"/>
      <c r="AL705" s="211"/>
      <c r="AM705" s="211"/>
      <c r="AN705" s="211"/>
      <c r="AO705" s="211"/>
      <c r="AP705" s="211"/>
      <c r="AQ705" s="211"/>
      <c r="AR705" s="211"/>
      <c r="AS705" s="211"/>
      <c r="AT705" s="211"/>
      <c r="AU705" s="211"/>
      <c r="AV705" s="211"/>
      <c r="AW705" s="211"/>
      <c r="AX705" s="211"/>
      <c r="AY705" s="211"/>
      <c r="AZ705" s="211"/>
    </row>
    <row r="706" spans="1:52" s="213" customFormat="1" x14ac:dyDescent="0.35">
      <c r="A706" s="211"/>
      <c r="B706" s="211"/>
      <c r="C706" s="211"/>
      <c r="D706" s="211"/>
      <c r="E706" s="211"/>
      <c r="F706" s="211"/>
      <c r="G706" s="211"/>
      <c r="H706" s="211"/>
      <c r="I706" s="212"/>
      <c r="J706" s="212"/>
      <c r="K706" s="212"/>
      <c r="L706" s="212"/>
      <c r="M706" s="212"/>
      <c r="N706" s="212"/>
      <c r="O706" s="212"/>
      <c r="P706" s="211"/>
      <c r="Q706" s="211"/>
      <c r="R706" s="211"/>
      <c r="S706" s="211"/>
      <c r="T706" s="211"/>
      <c r="U706" s="211"/>
      <c r="V706" s="211"/>
      <c r="W706" s="211"/>
      <c r="X706" s="211"/>
      <c r="Y706" s="211"/>
      <c r="Z706" s="211"/>
      <c r="AD706" s="211"/>
      <c r="AE706" s="211"/>
      <c r="AF706" s="211"/>
      <c r="AG706" s="211"/>
      <c r="AH706" s="211"/>
      <c r="AI706" s="211"/>
      <c r="AJ706" s="211"/>
      <c r="AK706" s="211"/>
      <c r="AL706" s="211"/>
      <c r="AM706" s="211"/>
      <c r="AN706" s="211"/>
      <c r="AO706" s="211"/>
      <c r="AP706" s="211"/>
      <c r="AQ706" s="211"/>
      <c r="AR706" s="211"/>
      <c r="AS706" s="211"/>
      <c r="AT706" s="211"/>
      <c r="AU706" s="211"/>
      <c r="AV706" s="211"/>
      <c r="AW706" s="211"/>
      <c r="AX706" s="211"/>
      <c r="AY706" s="211"/>
      <c r="AZ706" s="211"/>
    </row>
    <row r="707" spans="1:52" s="213" customFormat="1" x14ac:dyDescent="0.35">
      <c r="A707" s="211"/>
      <c r="B707" s="211"/>
      <c r="C707" s="211"/>
      <c r="D707" s="211"/>
      <c r="E707" s="211"/>
      <c r="F707" s="211"/>
      <c r="G707" s="211"/>
      <c r="H707" s="211"/>
      <c r="I707" s="212"/>
      <c r="J707" s="212"/>
      <c r="K707" s="212"/>
      <c r="L707" s="212"/>
      <c r="M707" s="212"/>
      <c r="N707" s="212"/>
      <c r="O707" s="212"/>
      <c r="P707" s="211"/>
      <c r="Q707" s="211"/>
      <c r="R707" s="211"/>
      <c r="S707" s="211"/>
      <c r="T707" s="211"/>
      <c r="U707" s="211"/>
      <c r="V707" s="211"/>
      <c r="W707" s="211"/>
      <c r="X707" s="211"/>
      <c r="Y707" s="211"/>
      <c r="Z707" s="211"/>
      <c r="AD707" s="211"/>
      <c r="AE707" s="211"/>
      <c r="AF707" s="211"/>
      <c r="AG707" s="211"/>
      <c r="AH707" s="211"/>
      <c r="AI707" s="211"/>
      <c r="AJ707" s="211"/>
      <c r="AK707" s="211"/>
      <c r="AL707" s="211"/>
      <c r="AM707" s="211"/>
      <c r="AN707" s="211"/>
      <c r="AO707" s="211"/>
      <c r="AP707" s="211"/>
      <c r="AQ707" s="211"/>
      <c r="AR707" s="211"/>
      <c r="AS707" s="211"/>
      <c r="AT707" s="211"/>
      <c r="AU707" s="211"/>
      <c r="AV707" s="211"/>
      <c r="AW707" s="211"/>
      <c r="AX707" s="211"/>
      <c r="AY707" s="211"/>
      <c r="AZ707" s="211"/>
    </row>
    <row r="708" spans="1:52" s="213" customFormat="1" x14ac:dyDescent="0.35">
      <c r="A708" s="211"/>
      <c r="B708" s="211"/>
      <c r="C708" s="211"/>
      <c r="D708" s="211"/>
      <c r="E708" s="211"/>
      <c r="F708" s="211"/>
      <c r="G708" s="211"/>
      <c r="H708" s="211"/>
      <c r="I708" s="212"/>
      <c r="J708" s="212"/>
      <c r="K708" s="212"/>
      <c r="L708" s="212"/>
      <c r="M708" s="212"/>
      <c r="N708" s="212"/>
      <c r="O708" s="212"/>
      <c r="P708" s="211"/>
      <c r="Q708" s="211"/>
      <c r="R708" s="211"/>
      <c r="S708" s="211"/>
      <c r="T708" s="211"/>
      <c r="U708" s="211"/>
      <c r="V708" s="211"/>
      <c r="W708" s="211"/>
      <c r="X708" s="211"/>
      <c r="Y708" s="211"/>
      <c r="Z708" s="211"/>
      <c r="AD708" s="211"/>
      <c r="AE708" s="211"/>
      <c r="AF708" s="211"/>
      <c r="AG708" s="211"/>
      <c r="AH708" s="211"/>
      <c r="AI708" s="211"/>
      <c r="AJ708" s="211"/>
      <c r="AK708" s="211"/>
      <c r="AL708" s="211"/>
      <c r="AM708" s="211"/>
      <c r="AN708" s="211"/>
      <c r="AO708" s="211"/>
      <c r="AP708" s="211"/>
      <c r="AQ708" s="211"/>
      <c r="AR708" s="211"/>
      <c r="AS708" s="211"/>
      <c r="AT708" s="211"/>
      <c r="AU708" s="211"/>
      <c r="AV708" s="211"/>
      <c r="AW708" s="211"/>
      <c r="AX708" s="211"/>
      <c r="AY708" s="211"/>
      <c r="AZ708" s="211"/>
    </row>
    <row r="709" spans="1:52" s="213" customFormat="1" x14ac:dyDescent="0.35">
      <c r="A709" s="211"/>
      <c r="B709" s="211"/>
      <c r="C709" s="211"/>
      <c r="D709" s="211"/>
      <c r="E709" s="211"/>
      <c r="F709" s="211"/>
      <c r="G709" s="211"/>
      <c r="H709" s="211"/>
      <c r="I709" s="212"/>
      <c r="J709" s="212"/>
      <c r="K709" s="212"/>
      <c r="L709" s="212"/>
      <c r="M709" s="212"/>
      <c r="N709" s="212"/>
      <c r="O709" s="212"/>
      <c r="P709" s="211"/>
      <c r="Q709" s="211"/>
      <c r="R709" s="211"/>
      <c r="S709" s="211"/>
      <c r="T709" s="211"/>
      <c r="U709" s="211"/>
      <c r="V709" s="211"/>
      <c r="W709" s="211"/>
      <c r="X709" s="211"/>
      <c r="Y709" s="211"/>
      <c r="Z709" s="211"/>
      <c r="AD709" s="211"/>
      <c r="AE709" s="211"/>
      <c r="AF709" s="211"/>
      <c r="AG709" s="211"/>
      <c r="AH709" s="211"/>
      <c r="AI709" s="211"/>
      <c r="AJ709" s="211"/>
      <c r="AK709" s="211"/>
      <c r="AL709" s="211"/>
      <c r="AM709" s="211"/>
      <c r="AN709" s="211"/>
      <c r="AO709" s="211"/>
      <c r="AP709" s="211"/>
      <c r="AQ709" s="211"/>
      <c r="AR709" s="211"/>
      <c r="AS709" s="211"/>
      <c r="AT709" s="211"/>
      <c r="AU709" s="211"/>
      <c r="AV709" s="211"/>
      <c r="AW709" s="211"/>
      <c r="AX709" s="211"/>
      <c r="AY709" s="211"/>
      <c r="AZ709" s="211"/>
    </row>
    <row r="710" spans="1:52" s="213" customFormat="1" x14ac:dyDescent="0.35">
      <c r="A710" s="211"/>
      <c r="B710" s="211"/>
      <c r="C710" s="211"/>
      <c r="D710" s="211"/>
      <c r="E710" s="211"/>
      <c r="F710" s="211"/>
      <c r="G710" s="211"/>
      <c r="H710" s="211"/>
      <c r="I710" s="212"/>
      <c r="J710" s="212"/>
      <c r="K710" s="212"/>
      <c r="L710" s="212"/>
      <c r="M710" s="212"/>
      <c r="N710" s="212"/>
      <c r="O710" s="212"/>
      <c r="P710" s="211"/>
      <c r="Q710" s="211"/>
      <c r="R710" s="211"/>
      <c r="S710" s="211"/>
      <c r="T710" s="211"/>
      <c r="U710" s="211"/>
      <c r="V710" s="211"/>
      <c r="W710" s="211"/>
      <c r="X710" s="211"/>
      <c r="Y710" s="211"/>
      <c r="Z710" s="211"/>
      <c r="AD710" s="211"/>
      <c r="AE710" s="211"/>
      <c r="AF710" s="211"/>
      <c r="AG710" s="211"/>
      <c r="AH710" s="211"/>
      <c r="AI710" s="211"/>
      <c r="AJ710" s="211"/>
      <c r="AK710" s="211"/>
      <c r="AL710" s="211"/>
      <c r="AM710" s="211"/>
      <c r="AN710" s="211"/>
      <c r="AO710" s="211"/>
      <c r="AP710" s="211"/>
      <c r="AQ710" s="211"/>
      <c r="AR710" s="211"/>
      <c r="AS710" s="211"/>
      <c r="AT710" s="211"/>
      <c r="AU710" s="211"/>
      <c r="AV710" s="211"/>
      <c r="AW710" s="211"/>
      <c r="AX710" s="211"/>
      <c r="AY710" s="211"/>
      <c r="AZ710" s="211"/>
    </row>
    <row r="711" spans="1:52" s="213" customFormat="1" x14ac:dyDescent="0.35">
      <c r="A711" s="211"/>
      <c r="B711" s="211"/>
      <c r="C711" s="211"/>
      <c r="D711" s="211"/>
      <c r="E711" s="211"/>
      <c r="F711" s="211"/>
      <c r="G711" s="211"/>
      <c r="H711" s="211"/>
      <c r="I711" s="212"/>
      <c r="J711" s="212"/>
      <c r="K711" s="212"/>
      <c r="L711" s="212"/>
      <c r="M711" s="212"/>
      <c r="N711" s="212"/>
      <c r="O711" s="212"/>
      <c r="P711" s="211"/>
      <c r="Q711" s="211"/>
      <c r="R711" s="211"/>
      <c r="S711" s="211"/>
      <c r="T711" s="211"/>
      <c r="U711" s="211"/>
      <c r="V711" s="211"/>
      <c r="W711" s="211"/>
      <c r="X711" s="211"/>
      <c r="Y711" s="211"/>
      <c r="Z711" s="211"/>
      <c r="AD711" s="211"/>
      <c r="AE711" s="211"/>
      <c r="AF711" s="211"/>
      <c r="AG711" s="211"/>
      <c r="AH711" s="211"/>
      <c r="AI711" s="211"/>
      <c r="AJ711" s="211"/>
      <c r="AK711" s="211"/>
      <c r="AL711" s="211"/>
      <c r="AM711" s="211"/>
      <c r="AN711" s="211"/>
      <c r="AO711" s="211"/>
      <c r="AP711" s="211"/>
      <c r="AQ711" s="211"/>
      <c r="AR711" s="211"/>
      <c r="AS711" s="211"/>
      <c r="AT711" s="211"/>
      <c r="AU711" s="211"/>
      <c r="AV711" s="211"/>
      <c r="AW711" s="211"/>
      <c r="AX711" s="211"/>
      <c r="AY711" s="211"/>
      <c r="AZ711" s="211"/>
    </row>
    <row r="712" spans="1:52" s="213" customFormat="1" x14ac:dyDescent="0.35">
      <c r="A712" s="211"/>
      <c r="B712" s="211"/>
      <c r="C712" s="211"/>
      <c r="D712" s="211"/>
      <c r="E712" s="211"/>
      <c r="F712" s="211"/>
      <c r="G712" s="211"/>
      <c r="H712" s="211"/>
      <c r="I712" s="212"/>
      <c r="J712" s="212"/>
      <c r="K712" s="212"/>
      <c r="L712" s="212"/>
      <c r="M712" s="212"/>
      <c r="N712" s="212"/>
      <c r="O712" s="212"/>
      <c r="P712" s="211"/>
      <c r="Q712" s="211"/>
      <c r="R712" s="211"/>
      <c r="S712" s="211"/>
      <c r="T712" s="211"/>
      <c r="U712" s="211"/>
      <c r="V712" s="211"/>
      <c r="W712" s="211"/>
      <c r="X712" s="211"/>
      <c r="Y712" s="211"/>
      <c r="Z712" s="211"/>
      <c r="AD712" s="211"/>
      <c r="AE712" s="211"/>
      <c r="AF712" s="211"/>
      <c r="AG712" s="211"/>
      <c r="AH712" s="211"/>
      <c r="AI712" s="211"/>
      <c r="AJ712" s="211"/>
      <c r="AK712" s="211"/>
      <c r="AL712" s="211"/>
      <c r="AM712" s="211"/>
      <c r="AN712" s="211"/>
      <c r="AO712" s="211"/>
      <c r="AP712" s="211"/>
      <c r="AQ712" s="211"/>
      <c r="AR712" s="211"/>
      <c r="AS712" s="211"/>
      <c r="AT712" s="211"/>
      <c r="AU712" s="211"/>
      <c r="AV712" s="211"/>
      <c r="AW712" s="211"/>
      <c r="AX712" s="211"/>
      <c r="AY712" s="211"/>
      <c r="AZ712" s="211"/>
    </row>
    <row r="713" spans="1:52" s="213" customFormat="1" x14ac:dyDescent="0.35">
      <c r="A713" s="211"/>
      <c r="B713" s="211"/>
      <c r="C713" s="211"/>
      <c r="D713" s="211"/>
      <c r="E713" s="211"/>
      <c r="F713" s="211"/>
      <c r="G713" s="211"/>
      <c r="H713" s="211"/>
      <c r="I713" s="212"/>
      <c r="J713" s="212"/>
      <c r="K713" s="212"/>
      <c r="L713" s="212"/>
      <c r="M713" s="212"/>
      <c r="N713" s="212"/>
      <c r="O713" s="212"/>
      <c r="P713" s="211"/>
      <c r="Q713" s="211"/>
      <c r="R713" s="211"/>
      <c r="S713" s="211"/>
      <c r="T713" s="211"/>
      <c r="U713" s="211"/>
      <c r="V713" s="211"/>
      <c r="W713" s="211"/>
      <c r="X713" s="211"/>
      <c r="Y713" s="211"/>
      <c r="Z713" s="211"/>
      <c r="AD713" s="211"/>
      <c r="AE713" s="211"/>
      <c r="AF713" s="211"/>
      <c r="AG713" s="211"/>
      <c r="AH713" s="211"/>
      <c r="AI713" s="211"/>
      <c r="AJ713" s="211"/>
      <c r="AK713" s="211"/>
      <c r="AL713" s="211"/>
      <c r="AM713" s="211"/>
      <c r="AN713" s="211"/>
      <c r="AO713" s="211"/>
      <c r="AP713" s="211"/>
      <c r="AQ713" s="211"/>
      <c r="AR713" s="211"/>
      <c r="AS713" s="211"/>
      <c r="AT713" s="211"/>
      <c r="AU713" s="211"/>
      <c r="AV713" s="211"/>
      <c r="AW713" s="211"/>
      <c r="AX713" s="211"/>
      <c r="AY713" s="211"/>
      <c r="AZ713" s="211"/>
    </row>
    <row r="714" spans="1:52" s="213" customFormat="1" x14ac:dyDescent="0.35">
      <c r="A714" s="211"/>
      <c r="B714" s="211"/>
      <c r="C714" s="211"/>
      <c r="D714" s="211"/>
      <c r="E714" s="211"/>
      <c r="F714" s="211"/>
      <c r="G714" s="211"/>
      <c r="H714" s="211"/>
      <c r="I714" s="212"/>
      <c r="J714" s="212"/>
      <c r="K714" s="212"/>
      <c r="L714" s="212"/>
      <c r="M714" s="212"/>
      <c r="N714" s="212"/>
      <c r="O714" s="212"/>
      <c r="P714" s="211"/>
      <c r="Q714" s="211"/>
      <c r="R714" s="211"/>
      <c r="S714" s="211"/>
      <c r="T714" s="211"/>
      <c r="U714" s="211"/>
      <c r="V714" s="211"/>
      <c r="W714" s="211"/>
      <c r="X714" s="211"/>
      <c r="Y714" s="211"/>
      <c r="Z714" s="211"/>
      <c r="AD714" s="211"/>
      <c r="AE714" s="211"/>
      <c r="AF714" s="211"/>
      <c r="AG714" s="211"/>
      <c r="AH714" s="211"/>
      <c r="AI714" s="211"/>
      <c r="AJ714" s="211"/>
      <c r="AK714" s="211"/>
      <c r="AL714" s="211"/>
      <c r="AM714" s="211"/>
      <c r="AN714" s="211"/>
      <c r="AO714" s="211"/>
      <c r="AP714" s="211"/>
      <c r="AQ714" s="211"/>
      <c r="AR714" s="211"/>
      <c r="AS714" s="211"/>
      <c r="AT714" s="211"/>
      <c r="AU714" s="211"/>
      <c r="AV714" s="211"/>
      <c r="AW714" s="211"/>
      <c r="AX714" s="211"/>
      <c r="AY714" s="211"/>
      <c r="AZ714" s="211"/>
    </row>
    <row r="715" spans="1:52" s="213" customFormat="1" x14ac:dyDescent="0.35">
      <c r="A715" s="211"/>
      <c r="B715" s="211"/>
      <c r="C715" s="211"/>
      <c r="D715" s="211"/>
      <c r="E715" s="211"/>
      <c r="F715" s="211"/>
      <c r="G715" s="211"/>
      <c r="H715" s="211"/>
      <c r="I715" s="212"/>
      <c r="J715" s="212"/>
      <c r="K715" s="212"/>
      <c r="L715" s="212"/>
      <c r="M715" s="212"/>
      <c r="N715" s="212"/>
      <c r="O715" s="212"/>
      <c r="P715" s="211"/>
      <c r="Q715" s="211"/>
      <c r="R715" s="211"/>
      <c r="S715" s="211"/>
      <c r="T715" s="211"/>
      <c r="U715" s="211"/>
      <c r="V715" s="211"/>
      <c r="W715" s="211"/>
      <c r="X715" s="211"/>
      <c r="Y715" s="211"/>
      <c r="Z715" s="211"/>
      <c r="AD715" s="211"/>
      <c r="AE715" s="211"/>
      <c r="AF715" s="211"/>
      <c r="AG715" s="211"/>
      <c r="AH715" s="211"/>
      <c r="AI715" s="211"/>
      <c r="AJ715" s="211"/>
      <c r="AK715" s="211"/>
      <c r="AL715" s="211"/>
      <c r="AM715" s="211"/>
      <c r="AN715" s="211"/>
      <c r="AO715" s="211"/>
      <c r="AP715" s="211"/>
      <c r="AQ715" s="211"/>
      <c r="AR715" s="211"/>
      <c r="AS715" s="211"/>
      <c r="AT715" s="211"/>
      <c r="AU715" s="211"/>
      <c r="AV715" s="211"/>
      <c r="AW715" s="211"/>
      <c r="AX715" s="211"/>
      <c r="AY715" s="211"/>
      <c r="AZ715" s="211"/>
    </row>
    <row r="716" spans="1:52" s="213" customFormat="1" x14ac:dyDescent="0.35">
      <c r="A716" s="211"/>
      <c r="B716" s="211"/>
      <c r="C716" s="211"/>
      <c r="D716" s="211"/>
      <c r="E716" s="211"/>
      <c r="F716" s="211"/>
      <c r="G716" s="211"/>
      <c r="H716" s="211"/>
      <c r="I716" s="212"/>
      <c r="J716" s="212"/>
      <c r="K716" s="212"/>
      <c r="L716" s="212"/>
      <c r="M716" s="212"/>
      <c r="N716" s="212"/>
      <c r="O716" s="212"/>
      <c r="P716" s="211"/>
      <c r="Q716" s="211"/>
      <c r="R716" s="211"/>
      <c r="S716" s="211"/>
      <c r="T716" s="211"/>
      <c r="U716" s="211"/>
      <c r="V716" s="211"/>
      <c r="W716" s="211"/>
      <c r="X716" s="211"/>
      <c r="Y716" s="211"/>
      <c r="Z716" s="211"/>
      <c r="AD716" s="211"/>
      <c r="AE716" s="211"/>
      <c r="AF716" s="211"/>
      <c r="AG716" s="211"/>
      <c r="AH716" s="211"/>
      <c r="AI716" s="211"/>
      <c r="AJ716" s="211"/>
      <c r="AK716" s="211"/>
      <c r="AL716" s="211"/>
      <c r="AM716" s="211"/>
      <c r="AN716" s="211"/>
      <c r="AO716" s="211"/>
      <c r="AP716" s="211"/>
      <c r="AQ716" s="211"/>
      <c r="AR716" s="211"/>
      <c r="AS716" s="211"/>
      <c r="AT716" s="211"/>
      <c r="AU716" s="211"/>
      <c r="AV716" s="211"/>
      <c r="AW716" s="211"/>
      <c r="AX716" s="211"/>
      <c r="AY716" s="211"/>
      <c r="AZ716" s="211"/>
    </row>
    <row r="717" spans="1:52" s="213" customFormat="1" x14ac:dyDescent="0.35">
      <c r="A717" s="211"/>
      <c r="B717" s="211"/>
      <c r="C717" s="211"/>
      <c r="D717" s="211"/>
      <c r="E717" s="211"/>
      <c r="F717" s="211"/>
      <c r="G717" s="211"/>
      <c r="H717" s="211"/>
      <c r="I717" s="212"/>
      <c r="J717" s="212"/>
      <c r="K717" s="212"/>
      <c r="L717" s="212"/>
      <c r="M717" s="212"/>
      <c r="N717" s="212"/>
      <c r="O717" s="212"/>
      <c r="P717" s="211"/>
      <c r="Q717" s="211"/>
      <c r="R717" s="211"/>
      <c r="S717" s="211"/>
      <c r="T717" s="211"/>
      <c r="U717" s="211"/>
      <c r="V717" s="211"/>
      <c r="W717" s="211"/>
      <c r="X717" s="211"/>
      <c r="Y717" s="211"/>
      <c r="Z717" s="211"/>
      <c r="AD717" s="211"/>
      <c r="AE717" s="211"/>
      <c r="AF717" s="211"/>
      <c r="AG717" s="211"/>
      <c r="AH717" s="211"/>
      <c r="AI717" s="211"/>
      <c r="AJ717" s="211"/>
      <c r="AK717" s="211"/>
      <c r="AL717" s="211"/>
      <c r="AM717" s="211"/>
      <c r="AN717" s="211"/>
      <c r="AO717" s="211"/>
      <c r="AP717" s="211"/>
      <c r="AQ717" s="211"/>
      <c r="AR717" s="211"/>
      <c r="AS717" s="211"/>
      <c r="AT717" s="211"/>
      <c r="AU717" s="211"/>
      <c r="AV717" s="211"/>
      <c r="AW717" s="211"/>
      <c r="AX717" s="211"/>
      <c r="AY717" s="211"/>
      <c r="AZ717" s="211"/>
    </row>
    <row r="718" spans="1:52" s="213" customFormat="1" x14ac:dyDescent="0.35">
      <c r="A718" s="211"/>
      <c r="B718" s="211"/>
      <c r="C718" s="211"/>
      <c r="D718" s="211"/>
      <c r="E718" s="211"/>
      <c r="F718" s="211"/>
      <c r="G718" s="211"/>
      <c r="H718" s="211"/>
      <c r="I718" s="212"/>
      <c r="J718" s="212"/>
      <c r="K718" s="212"/>
      <c r="L718" s="212"/>
      <c r="M718" s="212"/>
      <c r="N718" s="212"/>
      <c r="O718" s="212"/>
      <c r="P718" s="211"/>
      <c r="Q718" s="211"/>
      <c r="R718" s="211"/>
      <c r="S718" s="211"/>
      <c r="T718" s="211"/>
      <c r="U718" s="211"/>
      <c r="V718" s="211"/>
      <c r="W718" s="211"/>
      <c r="X718" s="211"/>
      <c r="Y718" s="211"/>
      <c r="Z718" s="211"/>
      <c r="AD718" s="211"/>
      <c r="AE718" s="211"/>
      <c r="AF718" s="211"/>
      <c r="AG718" s="211"/>
      <c r="AH718" s="211"/>
      <c r="AI718" s="211"/>
      <c r="AJ718" s="211"/>
      <c r="AK718" s="211"/>
      <c r="AL718" s="211"/>
      <c r="AM718" s="211"/>
      <c r="AN718" s="211"/>
      <c r="AO718" s="211"/>
      <c r="AP718" s="211"/>
      <c r="AQ718" s="211"/>
      <c r="AR718" s="211"/>
      <c r="AS718" s="211"/>
      <c r="AT718" s="211"/>
      <c r="AU718" s="211"/>
      <c r="AV718" s="211"/>
      <c r="AW718" s="211"/>
      <c r="AX718" s="211"/>
      <c r="AY718" s="211"/>
      <c r="AZ718" s="211"/>
    </row>
    <row r="719" spans="1:52" s="213" customFormat="1" x14ac:dyDescent="0.35">
      <c r="A719" s="211"/>
      <c r="B719" s="211"/>
      <c r="C719" s="211"/>
      <c r="D719" s="211"/>
      <c r="E719" s="211"/>
      <c r="F719" s="211"/>
      <c r="G719" s="211"/>
      <c r="H719" s="211"/>
      <c r="I719" s="212"/>
      <c r="J719" s="212"/>
      <c r="K719" s="212"/>
      <c r="L719" s="212"/>
      <c r="M719" s="212"/>
      <c r="N719" s="212"/>
      <c r="O719" s="212"/>
      <c r="P719" s="211"/>
      <c r="Q719" s="211"/>
      <c r="R719" s="211"/>
      <c r="S719" s="211"/>
      <c r="T719" s="211"/>
      <c r="U719" s="211"/>
      <c r="V719" s="211"/>
      <c r="W719" s="211"/>
      <c r="X719" s="211"/>
      <c r="Y719" s="211"/>
      <c r="Z719" s="211"/>
      <c r="AD719" s="211"/>
      <c r="AE719" s="211"/>
      <c r="AF719" s="211"/>
      <c r="AG719" s="211"/>
      <c r="AH719" s="211"/>
      <c r="AI719" s="211"/>
      <c r="AJ719" s="211"/>
      <c r="AK719" s="211"/>
      <c r="AL719" s="211"/>
      <c r="AM719" s="211"/>
      <c r="AN719" s="211"/>
      <c r="AO719" s="211"/>
      <c r="AP719" s="211"/>
      <c r="AQ719" s="211"/>
      <c r="AR719" s="211"/>
      <c r="AS719" s="211"/>
      <c r="AT719" s="211"/>
      <c r="AU719" s="211"/>
      <c r="AV719" s="211"/>
      <c r="AW719" s="211"/>
      <c r="AX719" s="211"/>
      <c r="AY719" s="211"/>
      <c r="AZ719" s="211"/>
    </row>
    <row r="720" spans="1:52" s="213" customFormat="1" x14ac:dyDescent="0.35">
      <c r="A720" s="211"/>
      <c r="B720" s="211"/>
      <c r="C720" s="211"/>
      <c r="D720" s="211"/>
      <c r="E720" s="211"/>
      <c r="F720" s="211"/>
      <c r="G720" s="211"/>
      <c r="H720" s="211"/>
      <c r="I720" s="212"/>
      <c r="J720" s="212"/>
      <c r="K720" s="212"/>
      <c r="L720" s="212"/>
      <c r="M720" s="212"/>
      <c r="N720" s="212"/>
      <c r="O720" s="212"/>
      <c r="P720" s="211"/>
      <c r="Q720" s="211"/>
      <c r="R720" s="211"/>
      <c r="S720" s="211"/>
      <c r="T720" s="211"/>
      <c r="U720" s="211"/>
      <c r="V720" s="211"/>
      <c r="W720" s="211"/>
      <c r="X720" s="211"/>
      <c r="Y720" s="211"/>
      <c r="Z720" s="211"/>
      <c r="AD720" s="211"/>
      <c r="AE720" s="211"/>
      <c r="AF720" s="211"/>
      <c r="AG720" s="211"/>
      <c r="AH720" s="211"/>
      <c r="AI720" s="211"/>
      <c r="AJ720" s="211"/>
      <c r="AK720" s="211"/>
      <c r="AL720" s="211"/>
      <c r="AM720" s="211"/>
      <c r="AN720" s="211"/>
      <c r="AO720" s="211"/>
      <c r="AP720" s="211"/>
      <c r="AQ720" s="211"/>
      <c r="AR720" s="211"/>
      <c r="AS720" s="211"/>
      <c r="AT720" s="211"/>
      <c r="AU720" s="211"/>
      <c r="AV720" s="211"/>
      <c r="AW720" s="211"/>
      <c r="AX720" s="211"/>
      <c r="AY720" s="211"/>
      <c r="AZ720" s="211"/>
    </row>
    <row r="721" spans="1:52" s="213" customFormat="1" x14ac:dyDescent="0.35">
      <c r="A721" s="211"/>
      <c r="B721" s="211"/>
      <c r="C721" s="211"/>
      <c r="D721" s="211"/>
      <c r="E721" s="211"/>
      <c r="F721" s="211"/>
      <c r="G721" s="211"/>
      <c r="H721" s="211"/>
      <c r="I721" s="212"/>
      <c r="J721" s="212"/>
      <c r="K721" s="212"/>
      <c r="L721" s="212"/>
      <c r="M721" s="212"/>
      <c r="N721" s="212"/>
      <c r="O721" s="212"/>
      <c r="P721" s="211"/>
      <c r="Q721" s="211"/>
      <c r="R721" s="211"/>
      <c r="S721" s="211"/>
      <c r="T721" s="211"/>
      <c r="U721" s="211"/>
      <c r="V721" s="211"/>
      <c r="W721" s="211"/>
      <c r="X721" s="211"/>
      <c r="Y721" s="211"/>
      <c r="Z721" s="211"/>
      <c r="AD721" s="211"/>
      <c r="AE721" s="211"/>
      <c r="AF721" s="211"/>
      <c r="AG721" s="211"/>
      <c r="AH721" s="211"/>
      <c r="AI721" s="211"/>
      <c r="AJ721" s="211"/>
      <c r="AK721" s="211"/>
      <c r="AL721" s="211"/>
      <c r="AM721" s="211"/>
      <c r="AN721" s="211"/>
      <c r="AO721" s="211"/>
      <c r="AP721" s="211"/>
      <c r="AQ721" s="211"/>
      <c r="AR721" s="211"/>
      <c r="AS721" s="211"/>
      <c r="AT721" s="211"/>
      <c r="AU721" s="211"/>
      <c r="AV721" s="211"/>
      <c r="AW721" s="211"/>
      <c r="AX721" s="211"/>
      <c r="AY721" s="211"/>
      <c r="AZ721" s="211"/>
    </row>
    <row r="722" spans="1:52" s="213" customFormat="1" x14ac:dyDescent="0.35">
      <c r="A722" s="211"/>
      <c r="B722" s="211"/>
      <c r="C722" s="211"/>
      <c r="D722" s="211"/>
      <c r="E722" s="211"/>
      <c r="F722" s="211"/>
      <c r="G722" s="211"/>
      <c r="H722" s="211"/>
      <c r="I722" s="212"/>
      <c r="J722" s="212"/>
      <c r="K722" s="212"/>
      <c r="L722" s="212"/>
      <c r="M722" s="212"/>
      <c r="N722" s="212"/>
      <c r="O722" s="212"/>
      <c r="P722" s="211"/>
      <c r="Q722" s="211"/>
      <c r="R722" s="211"/>
      <c r="S722" s="211"/>
      <c r="T722" s="211"/>
      <c r="U722" s="211"/>
      <c r="V722" s="211"/>
      <c r="W722" s="211"/>
      <c r="X722" s="211"/>
      <c r="Y722" s="211"/>
      <c r="Z722" s="211"/>
      <c r="AD722" s="211"/>
      <c r="AE722" s="211"/>
      <c r="AF722" s="211"/>
      <c r="AG722" s="211"/>
      <c r="AH722" s="211"/>
      <c r="AI722" s="211"/>
      <c r="AJ722" s="211"/>
      <c r="AK722" s="211"/>
      <c r="AL722" s="211"/>
      <c r="AM722" s="211"/>
      <c r="AN722" s="211"/>
      <c r="AO722" s="211"/>
      <c r="AP722" s="211"/>
      <c r="AQ722" s="211"/>
      <c r="AR722" s="211"/>
      <c r="AS722" s="211"/>
      <c r="AT722" s="211"/>
      <c r="AU722" s="211"/>
      <c r="AV722" s="211"/>
      <c r="AW722" s="211"/>
      <c r="AX722" s="211"/>
      <c r="AY722" s="211"/>
      <c r="AZ722" s="211"/>
    </row>
    <row r="723" spans="1:52" s="213" customFormat="1" x14ac:dyDescent="0.35">
      <c r="A723" s="211"/>
      <c r="B723" s="211"/>
      <c r="C723" s="211"/>
      <c r="D723" s="211"/>
      <c r="E723" s="211"/>
      <c r="F723" s="211"/>
      <c r="G723" s="211"/>
      <c r="H723" s="211"/>
      <c r="I723" s="212"/>
      <c r="J723" s="212"/>
      <c r="K723" s="212"/>
      <c r="L723" s="212"/>
      <c r="M723" s="212"/>
      <c r="N723" s="212"/>
      <c r="O723" s="212"/>
      <c r="P723" s="211"/>
      <c r="Q723" s="211"/>
      <c r="R723" s="211"/>
      <c r="S723" s="211"/>
      <c r="T723" s="211"/>
      <c r="U723" s="211"/>
      <c r="V723" s="211"/>
      <c r="W723" s="211"/>
      <c r="X723" s="211"/>
      <c r="Y723" s="211"/>
      <c r="Z723" s="211"/>
      <c r="AD723" s="211"/>
      <c r="AE723" s="211"/>
      <c r="AF723" s="211"/>
      <c r="AG723" s="211"/>
      <c r="AH723" s="211"/>
      <c r="AI723" s="211"/>
      <c r="AJ723" s="211"/>
      <c r="AK723" s="211"/>
      <c r="AL723" s="211"/>
      <c r="AM723" s="211"/>
      <c r="AN723" s="211"/>
      <c r="AO723" s="211"/>
      <c r="AP723" s="211"/>
      <c r="AQ723" s="211"/>
      <c r="AR723" s="211"/>
      <c r="AS723" s="211"/>
      <c r="AT723" s="211"/>
      <c r="AU723" s="211"/>
      <c r="AV723" s="211"/>
      <c r="AW723" s="211"/>
      <c r="AX723" s="211"/>
      <c r="AY723" s="211"/>
      <c r="AZ723" s="211"/>
    </row>
    <row r="724" spans="1:52" s="213" customFormat="1" x14ac:dyDescent="0.35">
      <c r="A724" s="211"/>
      <c r="B724" s="211"/>
      <c r="C724" s="211"/>
      <c r="D724" s="211"/>
      <c r="E724" s="211"/>
      <c r="F724" s="211"/>
      <c r="G724" s="211"/>
      <c r="H724" s="211"/>
      <c r="I724" s="212"/>
      <c r="J724" s="212"/>
      <c r="K724" s="212"/>
      <c r="L724" s="212"/>
      <c r="M724" s="212"/>
      <c r="N724" s="212"/>
      <c r="O724" s="212"/>
      <c r="P724" s="211"/>
      <c r="Q724" s="211"/>
      <c r="R724" s="211"/>
      <c r="S724" s="211"/>
      <c r="T724" s="211"/>
      <c r="U724" s="211"/>
      <c r="V724" s="211"/>
      <c r="W724" s="211"/>
      <c r="X724" s="211"/>
      <c r="Y724" s="211"/>
      <c r="Z724" s="211"/>
      <c r="AD724" s="211"/>
      <c r="AE724" s="211"/>
      <c r="AF724" s="211"/>
      <c r="AG724" s="211"/>
      <c r="AH724" s="211"/>
      <c r="AI724" s="211"/>
      <c r="AJ724" s="211"/>
      <c r="AK724" s="211"/>
      <c r="AL724" s="211"/>
      <c r="AM724" s="211"/>
      <c r="AN724" s="211"/>
      <c r="AO724" s="211"/>
      <c r="AP724" s="211"/>
      <c r="AQ724" s="211"/>
      <c r="AR724" s="211"/>
      <c r="AS724" s="211"/>
      <c r="AT724" s="211"/>
      <c r="AU724" s="211"/>
      <c r="AV724" s="211"/>
      <c r="AW724" s="211"/>
      <c r="AX724" s="211"/>
      <c r="AY724" s="211"/>
      <c r="AZ724" s="211"/>
    </row>
    <row r="725" spans="1:52" s="213" customFormat="1" x14ac:dyDescent="0.35">
      <c r="A725" s="211"/>
      <c r="B725" s="211"/>
      <c r="C725" s="211"/>
      <c r="D725" s="211"/>
      <c r="E725" s="211"/>
      <c r="F725" s="211"/>
      <c r="G725" s="211"/>
      <c r="H725" s="211"/>
      <c r="I725" s="212"/>
      <c r="J725" s="212"/>
      <c r="K725" s="212"/>
      <c r="L725" s="212"/>
      <c r="M725" s="212"/>
      <c r="N725" s="212"/>
      <c r="O725" s="212"/>
      <c r="P725" s="211"/>
      <c r="Q725" s="211"/>
      <c r="R725" s="211"/>
      <c r="S725" s="211"/>
      <c r="T725" s="211"/>
      <c r="U725" s="211"/>
      <c r="V725" s="211"/>
      <c r="W725" s="211"/>
      <c r="X725" s="211"/>
      <c r="Y725" s="211"/>
      <c r="Z725" s="211"/>
      <c r="AD725" s="211"/>
      <c r="AE725" s="211"/>
      <c r="AF725" s="211"/>
      <c r="AG725" s="211"/>
      <c r="AH725" s="211"/>
      <c r="AI725" s="211"/>
      <c r="AJ725" s="211"/>
      <c r="AK725" s="211"/>
      <c r="AL725" s="211"/>
      <c r="AM725" s="211"/>
      <c r="AN725" s="211"/>
      <c r="AO725" s="211"/>
      <c r="AP725" s="211"/>
      <c r="AQ725" s="211"/>
      <c r="AR725" s="211"/>
      <c r="AS725" s="211"/>
      <c r="AT725" s="211"/>
      <c r="AU725" s="211"/>
      <c r="AV725" s="211"/>
      <c r="AW725" s="211"/>
      <c r="AX725" s="211"/>
      <c r="AY725" s="211"/>
      <c r="AZ725" s="211"/>
    </row>
    <row r="726" spans="1:52" s="213" customFormat="1" x14ac:dyDescent="0.35">
      <c r="A726" s="211"/>
      <c r="B726" s="211"/>
      <c r="C726" s="211"/>
      <c r="D726" s="211"/>
      <c r="E726" s="211"/>
      <c r="F726" s="211"/>
      <c r="G726" s="211"/>
      <c r="H726" s="211"/>
      <c r="I726" s="212"/>
      <c r="J726" s="212"/>
      <c r="K726" s="212"/>
      <c r="L726" s="212"/>
      <c r="M726" s="212"/>
      <c r="N726" s="212"/>
      <c r="O726" s="212"/>
      <c r="P726" s="211"/>
      <c r="Q726" s="211"/>
      <c r="R726" s="211"/>
      <c r="S726" s="211"/>
      <c r="T726" s="211"/>
      <c r="U726" s="211"/>
      <c r="V726" s="211"/>
      <c r="W726" s="211"/>
      <c r="X726" s="211"/>
      <c r="Y726" s="211"/>
      <c r="Z726" s="211"/>
      <c r="AD726" s="211"/>
      <c r="AE726" s="211"/>
      <c r="AF726" s="211"/>
      <c r="AG726" s="211"/>
      <c r="AH726" s="211"/>
      <c r="AI726" s="211"/>
      <c r="AJ726" s="211"/>
      <c r="AK726" s="211"/>
      <c r="AL726" s="211"/>
      <c r="AM726" s="211"/>
      <c r="AN726" s="211"/>
      <c r="AO726" s="211"/>
      <c r="AP726" s="211"/>
      <c r="AQ726" s="211"/>
      <c r="AR726" s="211"/>
      <c r="AS726" s="211"/>
      <c r="AT726" s="211"/>
      <c r="AU726" s="211"/>
      <c r="AV726" s="211"/>
      <c r="AW726" s="211"/>
      <c r="AX726" s="211"/>
      <c r="AY726" s="211"/>
      <c r="AZ726" s="211"/>
    </row>
    <row r="727" spans="1:52" s="213" customFormat="1" x14ac:dyDescent="0.35">
      <c r="A727" s="211"/>
      <c r="B727" s="211"/>
      <c r="C727" s="211"/>
      <c r="D727" s="211"/>
      <c r="E727" s="211"/>
      <c r="F727" s="211"/>
      <c r="G727" s="211"/>
      <c r="H727" s="211"/>
      <c r="I727" s="212"/>
      <c r="J727" s="212"/>
      <c r="K727" s="212"/>
      <c r="L727" s="212"/>
      <c r="M727" s="212"/>
      <c r="N727" s="212"/>
      <c r="O727" s="212"/>
      <c r="P727" s="211"/>
      <c r="Q727" s="211"/>
      <c r="R727" s="211"/>
      <c r="S727" s="211"/>
      <c r="T727" s="211"/>
      <c r="U727" s="211"/>
      <c r="V727" s="211"/>
      <c r="W727" s="211"/>
      <c r="X727" s="211"/>
      <c r="Y727" s="211"/>
      <c r="Z727" s="211"/>
      <c r="AD727" s="211"/>
      <c r="AE727" s="211"/>
      <c r="AF727" s="211"/>
      <c r="AG727" s="211"/>
      <c r="AH727" s="211"/>
      <c r="AI727" s="211"/>
      <c r="AJ727" s="211"/>
      <c r="AK727" s="211"/>
      <c r="AL727" s="211"/>
      <c r="AM727" s="211"/>
      <c r="AN727" s="211"/>
      <c r="AO727" s="211"/>
      <c r="AP727" s="211"/>
      <c r="AQ727" s="211"/>
      <c r="AR727" s="211"/>
      <c r="AS727" s="211"/>
      <c r="AT727" s="211"/>
      <c r="AU727" s="211"/>
      <c r="AV727" s="211"/>
      <c r="AW727" s="211"/>
      <c r="AX727" s="211"/>
      <c r="AY727" s="211"/>
      <c r="AZ727" s="211"/>
    </row>
    <row r="728" spans="1:52" s="213" customFormat="1" x14ac:dyDescent="0.35">
      <c r="A728" s="211"/>
      <c r="B728" s="211"/>
      <c r="C728" s="211"/>
      <c r="D728" s="211"/>
      <c r="E728" s="211"/>
      <c r="F728" s="211"/>
      <c r="G728" s="211"/>
      <c r="H728" s="211"/>
      <c r="I728" s="212"/>
      <c r="J728" s="212"/>
      <c r="K728" s="212"/>
      <c r="L728" s="212"/>
      <c r="M728" s="212"/>
      <c r="N728" s="212"/>
      <c r="O728" s="212"/>
      <c r="P728" s="211"/>
      <c r="Q728" s="211"/>
      <c r="R728" s="211"/>
      <c r="S728" s="211"/>
      <c r="T728" s="211"/>
      <c r="U728" s="211"/>
      <c r="V728" s="211"/>
      <c r="W728" s="211"/>
      <c r="X728" s="211"/>
      <c r="Y728" s="211"/>
      <c r="Z728" s="211"/>
      <c r="AD728" s="211"/>
      <c r="AE728" s="211"/>
      <c r="AF728" s="211"/>
      <c r="AG728" s="211"/>
      <c r="AH728" s="211"/>
      <c r="AI728" s="211"/>
      <c r="AJ728" s="211"/>
      <c r="AK728" s="211"/>
      <c r="AL728" s="211"/>
      <c r="AM728" s="211"/>
      <c r="AN728" s="211"/>
      <c r="AO728" s="211"/>
      <c r="AP728" s="211"/>
      <c r="AQ728" s="211"/>
      <c r="AR728" s="211"/>
      <c r="AS728" s="211"/>
      <c r="AT728" s="211"/>
      <c r="AU728" s="211"/>
      <c r="AV728" s="211"/>
      <c r="AW728" s="211"/>
      <c r="AX728" s="211"/>
      <c r="AY728" s="211"/>
      <c r="AZ728" s="211"/>
    </row>
    <row r="729" spans="1:52" s="213" customFormat="1" x14ac:dyDescent="0.35">
      <c r="A729" s="211"/>
      <c r="B729" s="211"/>
      <c r="C729" s="211"/>
      <c r="D729" s="211"/>
      <c r="E729" s="211"/>
      <c r="F729" s="211"/>
      <c r="G729" s="211"/>
      <c r="H729" s="211"/>
      <c r="I729" s="212"/>
      <c r="J729" s="212"/>
      <c r="K729" s="212"/>
      <c r="L729" s="212"/>
      <c r="M729" s="212"/>
      <c r="N729" s="212"/>
      <c r="O729" s="212"/>
      <c r="P729" s="211"/>
      <c r="Q729" s="211"/>
      <c r="R729" s="211"/>
      <c r="S729" s="211"/>
      <c r="T729" s="211"/>
      <c r="U729" s="211"/>
      <c r="V729" s="211"/>
      <c r="W729" s="211"/>
      <c r="X729" s="211"/>
      <c r="Y729" s="211"/>
      <c r="Z729" s="211"/>
      <c r="AD729" s="211"/>
      <c r="AE729" s="211"/>
      <c r="AF729" s="211"/>
      <c r="AG729" s="211"/>
      <c r="AH729" s="211"/>
      <c r="AI729" s="211"/>
      <c r="AJ729" s="211"/>
      <c r="AK729" s="211"/>
      <c r="AL729" s="211"/>
      <c r="AM729" s="211"/>
      <c r="AN729" s="211"/>
      <c r="AO729" s="211"/>
      <c r="AP729" s="211"/>
      <c r="AQ729" s="211"/>
      <c r="AR729" s="211"/>
      <c r="AS729" s="211"/>
      <c r="AT729" s="211"/>
      <c r="AU729" s="211"/>
      <c r="AV729" s="211"/>
      <c r="AW729" s="211"/>
      <c r="AX729" s="211"/>
      <c r="AY729" s="211"/>
      <c r="AZ729" s="211"/>
    </row>
    <row r="730" spans="1:52" s="213" customFormat="1" x14ac:dyDescent="0.35">
      <c r="A730" s="211"/>
      <c r="B730" s="211"/>
      <c r="C730" s="211"/>
      <c r="D730" s="211"/>
      <c r="E730" s="211"/>
      <c r="F730" s="211"/>
      <c r="G730" s="211"/>
      <c r="H730" s="211"/>
      <c r="I730" s="212"/>
      <c r="J730" s="212"/>
      <c r="K730" s="212"/>
      <c r="L730" s="212"/>
      <c r="M730" s="212"/>
      <c r="N730" s="212"/>
      <c r="O730" s="212"/>
      <c r="P730" s="211"/>
      <c r="Q730" s="211"/>
      <c r="R730" s="211"/>
      <c r="S730" s="211"/>
      <c r="T730" s="211"/>
      <c r="U730" s="211"/>
      <c r="V730" s="211"/>
      <c r="W730" s="211"/>
      <c r="X730" s="211"/>
      <c r="Y730" s="211"/>
      <c r="Z730" s="211"/>
      <c r="AD730" s="211"/>
      <c r="AE730" s="211"/>
      <c r="AF730" s="211"/>
      <c r="AG730" s="211"/>
      <c r="AH730" s="211"/>
      <c r="AI730" s="211"/>
      <c r="AJ730" s="211"/>
      <c r="AK730" s="211"/>
      <c r="AL730" s="211"/>
      <c r="AM730" s="211"/>
      <c r="AN730" s="211"/>
      <c r="AO730" s="211"/>
      <c r="AP730" s="211"/>
      <c r="AQ730" s="211"/>
      <c r="AR730" s="211"/>
      <c r="AS730" s="211"/>
      <c r="AT730" s="211"/>
      <c r="AU730" s="211"/>
      <c r="AV730" s="211"/>
      <c r="AW730" s="211"/>
      <c r="AX730" s="211"/>
      <c r="AY730" s="211"/>
      <c r="AZ730" s="211"/>
    </row>
    <row r="731" spans="1:52" s="213" customFormat="1" x14ac:dyDescent="0.35">
      <c r="A731" s="211"/>
      <c r="B731" s="211"/>
      <c r="C731" s="211"/>
      <c r="D731" s="211"/>
      <c r="E731" s="211"/>
      <c r="F731" s="211"/>
      <c r="G731" s="211"/>
      <c r="H731" s="211"/>
      <c r="I731" s="212"/>
      <c r="J731" s="212"/>
      <c r="K731" s="212"/>
      <c r="L731" s="212"/>
      <c r="M731" s="212"/>
      <c r="N731" s="212"/>
      <c r="O731" s="212"/>
      <c r="P731" s="211"/>
      <c r="Q731" s="211"/>
      <c r="R731" s="211"/>
      <c r="S731" s="211"/>
      <c r="T731" s="211"/>
      <c r="U731" s="211"/>
      <c r="V731" s="211"/>
      <c r="W731" s="211"/>
      <c r="X731" s="211"/>
      <c r="Y731" s="211"/>
      <c r="Z731" s="211"/>
      <c r="AD731" s="211"/>
      <c r="AE731" s="211"/>
      <c r="AF731" s="211"/>
      <c r="AG731" s="211"/>
      <c r="AH731" s="211"/>
      <c r="AI731" s="211"/>
      <c r="AJ731" s="211"/>
      <c r="AK731" s="211"/>
      <c r="AL731" s="211"/>
      <c r="AM731" s="211"/>
      <c r="AN731" s="211"/>
      <c r="AO731" s="211"/>
      <c r="AP731" s="211"/>
      <c r="AQ731" s="211"/>
      <c r="AR731" s="211"/>
      <c r="AS731" s="211"/>
      <c r="AT731" s="211"/>
      <c r="AU731" s="211"/>
      <c r="AV731" s="211"/>
      <c r="AW731" s="211"/>
      <c r="AX731" s="211"/>
      <c r="AY731" s="211"/>
      <c r="AZ731" s="211"/>
    </row>
    <row r="732" spans="1:52" s="213" customFormat="1" x14ac:dyDescent="0.35">
      <c r="A732" s="211"/>
      <c r="B732" s="211"/>
      <c r="C732" s="211"/>
      <c r="D732" s="211"/>
      <c r="E732" s="211"/>
      <c r="F732" s="211"/>
      <c r="G732" s="211"/>
      <c r="H732" s="211"/>
      <c r="I732" s="212"/>
      <c r="J732" s="212"/>
      <c r="K732" s="212"/>
      <c r="L732" s="212"/>
      <c r="M732" s="212"/>
      <c r="N732" s="212"/>
      <c r="O732" s="212"/>
      <c r="P732" s="211"/>
      <c r="Q732" s="211"/>
      <c r="R732" s="211"/>
      <c r="S732" s="211"/>
      <c r="T732" s="211"/>
      <c r="U732" s="211"/>
      <c r="V732" s="211"/>
      <c r="W732" s="211"/>
      <c r="X732" s="211"/>
      <c r="Y732" s="211"/>
      <c r="Z732" s="211"/>
      <c r="AD732" s="211"/>
      <c r="AE732" s="211"/>
      <c r="AF732" s="211"/>
      <c r="AG732" s="211"/>
      <c r="AH732" s="211"/>
      <c r="AI732" s="211"/>
      <c r="AJ732" s="211"/>
      <c r="AK732" s="211"/>
      <c r="AL732" s="211"/>
      <c r="AM732" s="211"/>
      <c r="AN732" s="211"/>
      <c r="AO732" s="211"/>
      <c r="AP732" s="211"/>
      <c r="AQ732" s="211"/>
      <c r="AR732" s="211"/>
      <c r="AS732" s="211"/>
      <c r="AT732" s="211"/>
      <c r="AU732" s="211"/>
      <c r="AV732" s="211"/>
      <c r="AW732" s="211"/>
      <c r="AX732" s="211"/>
      <c r="AY732" s="211"/>
      <c r="AZ732" s="211"/>
    </row>
    <row r="733" spans="1:52" s="213" customFormat="1" x14ac:dyDescent="0.35">
      <c r="A733" s="211"/>
      <c r="B733" s="211"/>
      <c r="C733" s="211"/>
      <c r="D733" s="211"/>
      <c r="E733" s="211"/>
      <c r="F733" s="211"/>
      <c r="G733" s="211"/>
      <c r="H733" s="211"/>
      <c r="I733" s="212"/>
      <c r="J733" s="212"/>
      <c r="K733" s="212"/>
      <c r="L733" s="212"/>
      <c r="M733" s="212"/>
      <c r="N733" s="212"/>
      <c r="O733" s="212"/>
      <c r="P733" s="211"/>
      <c r="Q733" s="211"/>
      <c r="R733" s="211"/>
      <c r="S733" s="211"/>
      <c r="T733" s="211"/>
      <c r="U733" s="211"/>
      <c r="V733" s="211"/>
      <c r="W733" s="211"/>
      <c r="X733" s="211"/>
      <c r="Y733" s="211"/>
      <c r="Z733" s="211"/>
      <c r="AD733" s="211"/>
      <c r="AE733" s="211"/>
      <c r="AF733" s="211"/>
      <c r="AG733" s="211"/>
      <c r="AH733" s="211"/>
      <c r="AI733" s="211"/>
      <c r="AJ733" s="211"/>
      <c r="AK733" s="211"/>
      <c r="AL733" s="211"/>
      <c r="AM733" s="211"/>
      <c r="AN733" s="211"/>
      <c r="AO733" s="211"/>
      <c r="AP733" s="211"/>
      <c r="AQ733" s="211"/>
      <c r="AR733" s="211"/>
      <c r="AS733" s="211"/>
      <c r="AT733" s="211"/>
      <c r="AU733" s="211"/>
      <c r="AV733" s="211"/>
      <c r="AW733" s="211"/>
      <c r="AX733" s="211"/>
      <c r="AY733" s="211"/>
      <c r="AZ733" s="211"/>
    </row>
    <row r="734" spans="1:52" s="213" customFormat="1" x14ac:dyDescent="0.35">
      <c r="A734" s="211"/>
      <c r="B734" s="211"/>
      <c r="C734" s="211"/>
      <c r="D734" s="211"/>
      <c r="E734" s="211"/>
      <c r="F734" s="211"/>
      <c r="G734" s="211"/>
      <c r="H734" s="211"/>
      <c r="I734" s="212"/>
      <c r="J734" s="212"/>
      <c r="K734" s="212"/>
      <c r="L734" s="212"/>
      <c r="M734" s="212"/>
      <c r="N734" s="212"/>
      <c r="O734" s="212"/>
      <c r="P734" s="211"/>
      <c r="Q734" s="211"/>
      <c r="R734" s="211"/>
      <c r="S734" s="211"/>
      <c r="T734" s="211"/>
      <c r="U734" s="211"/>
      <c r="V734" s="211"/>
      <c r="W734" s="211"/>
      <c r="X734" s="211"/>
      <c r="Y734" s="211"/>
      <c r="Z734" s="211"/>
      <c r="AD734" s="211"/>
      <c r="AE734" s="211"/>
      <c r="AF734" s="211"/>
      <c r="AG734" s="211"/>
      <c r="AH734" s="211"/>
      <c r="AI734" s="211"/>
      <c r="AJ734" s="211"/>
      <c r="AK734" s="211"/>
      <c r="AL734" s="211"/>
      <c r="AM734" s="211"/>
      <c r="AN734" s="211"/>
      <c r="AO734" s="211"/>
      <c r="AP734" s="211"/>
      <c r="AQ734" s="211"/>
      <c r="AR734" s="211"/>
      <c r="AS734" s="211"/>
      <c r="AT734" s="211"/>
      <c r="AU734" s="211"/>
      <c r="AV734" s="211"/>
      <c r="AW734" s="211"/>
      <c r="AX734" s="211"/>
      <c r="AY734" s="211"/>
      <c r="AZ734" s="211"/>
    </row>
    <row r="735" spans="1:52" s="213" customFormat="1" x14ac:dyDescent="0.35">
      <c r="A735" s="211"/>
      <c r="B735" s="211"/>
      <c r="C735" s="211"/>
      <c r="D735" s="211"/>
      <c r="E735" s="211"/>
      <c r="F735" s="211"/>
      <c r="G735" s="211"/>
      <c r="H735" s="211"/>
      <c r="I735" s="212"/>
      <c r="J735" s="212"/>
      <c r="K735" s="212"/>
      <c r="L735" s="212"/>
      <c r="M735" s="212"/>
      <c r="N735" s="212"/>
      <c r="O735" s="212"/>
      <c r="P735" s="211"/>
      <c r="Q735" s="211"/>
      <c r="R735" s="211"/>
      <c r="S735" s="211"/>
      <c r="T735" s="211"/>
      <c r="U735" s="211"/>
      <c r="V735" s="211"/>
      <c r="W735" s="211"/>
      <c r="X735" s="211"/>
      <c r="Y735" s="211"/>
      <c r="Z735" s="211"/>
      <c r="AD735" s="211"/>
      <c r="AE735" s="211"/>
      <c r="AF735" s="211"/>
      <c r="AG735" s="211"/>
      <c r="AH735" s="211"/>
      <c r="AI735" s="211"/>
      <c r="AJ735" s="211"/>
      <c r="AK735" s="211"/>
      <c r="AL735" s="211"/>
      <c r="AM735" s="211"/>
      <c r="AN735" s="211"/>
      <c r="AO735" s="211"/>
      <c r="AP735" s="211"/>
      <c r="AQ735" s="211"/>
      <c r="AR735" s="211"/>
      <c r="AS735" s="211"/>
      <c r="AT735" s="211"/>
      <c r="AU735" s="211"/>
      <c r="AV735" s="211"/>
      <c r="AW735" s="211"/>
      <c r="AX735" s="211"/>
      <c r="AY735" s="211"/>
      <c r="AZ735" s="211"/>
    </row>
    <row r="736" spans="1:52" s="213" customFormat="1" x14ac:dyDescent="0.35">
      <c r="A736" s="211"/>
      <c r="B736" s="211"/>
      <c r="C736" s="211"/>
      <c r="D736" s="211"/>
      <c r="E736" s="211"/>
      <c r="F736" s="211"/>
      <c r="G736" s="211"/>
      <c r="H736" s="211"/>
      <c r="I736" s="212"/>
      <c r="J736" s="212"/>
      <c r="K736" s="212"/>
      <c r="L736" s="212"/>
      <c r="M736" s="212"/>
      <c r="N736" s="212"/>
      <c r="O736" s="212"/>
      <c r="P736" s="211"/>
      <c r="Q736" s="211"/>
      <c r="R736" s="211"/>
      <c r="S736" s="211"/>
      <c r="T736" s="211"/>
      <c r="U736" s="211"/>
      <c r="V736" s="211"/>
      <c r="W736" s="211"/>
      <c r="X736" s="211"/>
      <c r="Y736" s="211"/>
      <c r="Z736" s="211"/>
      <c r="AD736" s="211"/>
      <c r="AE736" s="211"/>
      <c r="AF736" s="211"/>
      <c r="AG736" s="211"/>
      <c r="AH736" s="211"/>
      <c r="AI736" s="211"/>
      <c r="AJ736" s="211"/>
      <c r="AK736" s="211"/>
      <c r="AL736" s="211"/>
      <c r="AM736" s="211"/>
      <c r="AN736" s="211"/>
      <c r="AO736" s="211"/>
      <c r="AP736" s="211"/>
      <c r="AQ736" s="211"/>
      <c r="AR736" s="211"/>
      <c r="AS736" s="211"/>
      <c r="AT736" s="211"/>
      <c r="AU736" s="211"/>
      <c r="AV736" s="211"/>
      <c r="AW736" s="211"/>
      <c r="AX736" s="211"/>
      <c r="AY736" s="211"/>
      <c r="AZ736" s="211"/>
    </row>
    <row r="737" spans="1:52" s="213" customFormat="1" x14ac:dyDescent="0.35">
      <c r="A737" s="211"/>
      <c r="B737" s="211"/>
      <c r="C737" s="211"/>
      <c r="D737" s="211"/>
      <c r="E737" s="211"/>
      <c r="F737" s="211"/>
      <c r="G737" s="211"/>
      <c r="H737" s="211"/>
      <c r="I737" s="212"/>
      <c r="J737" s="212"/>
      <c r="K737" s="212"/>
      <c r="L737" s="212"/>
      <c r="M737" s="212"/>
      <c r="N737" s="212"/>
      <c r="O737" s="212"/>
      <c r="P737" s="211"/>
      <c r="Q737" s="211"/>
      <c r="R737" s="211"/>
      <c r="S737" s="211"/>
      <c r="T737" s="211"/>
      <c r="U737" s="211"/>
      <c r="V737" s="211"/>
      <c r="W737" s="211"/>
      <c r="X737" s="211"/>
      <c r="Y737" s="211"/>
      <c r="Z737" s="211"/>
      <c r="AD737" s="211"/>
      <c r="AE737" s="211"/>
      <c r="AF737" s="211"/>
      <c r="AG737" s="211"/>
      <c r="AH737" s="211"/>
      <c r="AI737" s="211"/>
      <c r="AJ737" s="211"/>
      <c r="AK737" s="211"/>
      <c r="AL737" s="211"/>
      <c r="AM737" s="211"/>
      <c r="AN737" s="211"/>
      <c r="AO737" s="211"/>
      <c r="AP737" s="211"/>
      <c r="AQ737" s="211"/>
      <c r="AR737" s="211"/>
      <c r="AS737" s="211"/>
      <c r="AT737" s="211"/>
      <c r="AU737" s="211"/>
      <c r="AV737" s="211"/>
      <c r="AW737" s="211"/>
      <c r="AX737" s="211"/>
      <c r="AY737" s="211"/>
      <c r="AZ737" s="211"/>
    </row>
    <row r="738" spans="1:52" s="213" customFormat="1" x14ac:dyDescent="0.35">
      <c r="A738" s="211"/>
      <c r="B738" s="211"/>
      <c r="C738" s="211"/>
      <c r="D738" s="211"/>
      <c r="E738" s="211"/>
      <c r="F738" s="211"/>
      <c r="G738" s="211"/>
      <c r="H738" s="211"/>
      <c r="I738" s="212"/>
      <c r="J738" s="212"/>
      <c r="K738" s="212"/>
      <c r="L738" s="212"/>
      <c r="M738" s="212"/>
      <c r="N738" s="212"/>
      <c r="O738" s="212"/>
      <c r="P738" s="211"/>
      <c r="Q738" s="211"/>
      <c r="R738" s="211"/>
      <c r="S738" s="211"/>
      <c r="T738" s="211"/>
      <c r="U738" s="211"/>
      <c r="V738" s="211"/>
      <c r="W738" s="211"/>
      <c r="X738" s="211"/>
      <c r="Y738" s="211"/>
      <c r="Z738" s="211"/>
      <c r="AD738" s="211"/>
      <c r="AE738" s="211"/>
      <c r="AF738" s="211"/>
      <c r="AG738" s="211"/>
      <c r="AH738" s="211"/>
      <c r="AI738" s="211"/>
      <c r="AJ738" s="211"/>
      <c r="AK738" s="211"/>
      <c r="AL738" s="211"/>
      <c r="AM738" s="211"/>
      <c r="AN738" s="211"/>
      <c r="AO738" s="211"/>
      <c r="AP738" s="211"/>
      <c r="AQ738" s="211"/>
      <c r="AR738" s="211"/>
      <c r="AS738" s="211"/>
      <c r="AT738" s="211"/>
      <c r="AU738" s="211"/>
      <c r="AV738" s="211"/>
      <c r="AW738" s="211"/>
      <c r="AX738" s="211"/>
      <c r="AY738" s="211"/>
      <c r="AZ738" s="211"/>
    </row>
    <row r="739" spans="1:52" s="213" customFormat="1" x14ac:dyDescent="0.35">
      <c r="A739" s="211"/>
      <c r="B739" s="211"/>
      <c r="C739" s="211"/>
      <c r="D739" s="211"/>
      <c r="E739" s="211"/>
      <c r="F739" s="211"/>
      <c r="G739" s="211"/>
      <c r="H739" s="211"/>
      <c r="I739" s="212"/>
      <c r="J739" s="212"/>
      <c r="K739" s="212"/>
      <c r="L739" s="212"/>
      <c r="M739" s="212"/>
      <c r="N739" s="212"/>
      <c r="O739" s="212"/>
      <c r="P739" s="211"/>
      <c r="Q739" s="211"/>
      <c r="R739" s="211"/>
      <c r="S739" s="211"/>
      <c r="T739" s="211"/>
      <c r="U739" s="211"/>
      <c r="V739" s="211"/>
      <c r="W739" s="211"/>
      <c r="X739" s="211"/>
      <c r="Y739" s="211"/>
      <c r="Z739" s="211"/>
      <c r="AD739" s="211"/>
      <c r="AE739" s="211"/>
      <c r="AF739" s="211"/>
      <c r="AG739" s="211"/>
      <c r="AH739" s="211"/>
      <c r="AI739" s="211"/>
      <c r="AJ739" s="211"/>
      <c r="AK739" s="211"/>
      <c r="AL739" s="211"/>
      <c r="AM739" s="211"/>
      <c r="AN739" s="211"/>
      <c r="AO739" s="211"/>
      <c r="AP739" s="211"/>
      <c r="AQ739" s="211"/>
      <c r="AR739" s="211"/>
      <c r="AS739" s="211"/>
      <c r="AT739" s="211"/>
      <c r="AU739" s="211"/>
      <c r="AV739" s="211"/>
      <c r="AW739" s="211"/>
      <c r="AX739" s="211"/>
      <c r="AY739" s="211"/>
      <c r="AZ739" s="211"/>
    </row>
    <row r="740" spans="1:52" s="213" customFormat="1" x14ac:dyDescent="0.35">
      <c r="A740" s="211"/>
      <c r="B740" s="211"/>
      <c r="C740" s="211"/>
      <c r="D740" s="211"/>
      <c r="E740" s="211"/>
      <c r="F740" s="211"/>
      <c r="G740" s="211"/>
      <c r="H740" s="211"/>
      <c r="I740" s="212"/>
      <c r="J740" s="212"/>
      <c r="K740" s="212"/>
      <c r="L740" s="212"/>
      <c r="M740" s="212"/>
      <c r="N740" s="212"/>
      <c r="O740" s="212"/>
      <c r="P740" s="211"/>
      <c r="Q740" s="211"/>
      <c r="R740" s="211"/>
      <c r="S740" s="211"/>
      <c r="T740" s="211"/>
      <c r="U740" s="211"/>
      <c r="V740" s="211"/>
      <c r="W740" s="211"/>
      <c r="X740" s="211"/>
      <c r="Y740" s="211"/>
      <c r="Z740" s="211"/>
      <c r="AD740" s="211"/>
      <c r="AE740" s="211"/>
      <c r="AF740" s="211"/>
      <c r="AG740" s="211"/>
      <c r="AH740" s="211"/>
      <c r="AI740" s="211"/>
      <c r="AJ740" s="211"/>
      <c r="AK740" s="211"/>
      <c r="AL740" s="211"/>
      <c r="AM740" s="211"/>
      <c r="AN740" s="211"/>
      <c r="AO740" s="211"/>
      <c r="AP740" s="211"/>
      <c r="AQ740" s="211"/>
      <c r="AR740" s="211"/>
      <c r="AS740" s="211"/>
      <c r="AT740" s="211"/>
      <c r="AU740" s="211"/>
      <c r="AV740" s="211"/>
      <c r="AW740" s="211"/>
      <c r="AX740" s="211"/>
      <c r="AY740" s="211"/>
      <c r="AZ740" s="211"/>
    </row>
    <row r="741" spans="1:52" s="213" customFormat="1" x14ac:dyDescent="0.35">
      <c r="A741" s="211"/>
      <c r="B741" s="211"/>
      <c r="C741" s="211"/>
      <c r="D741" s="211"/>
      <c r="E741" s="211"/>
      <c r="F741" s="211"/>
      <c r="G741" s="211"/>
      <c r="H741" s="211"/>
      <c r="I741" s="212"/>
      <c r="J741" s="212"/>
      <c r="K741" s="212"/>
      <c r="L741" s="212"/>
      <c r="M741" s="212"/>
      <c r="N741" s="212"/>
      <c r="O741" s="212"/>
      <c r="P741" s="211"/>
      <c r="Q741" s="211"/>
      <c r="R741" s="211"/>
      <c r="S741" s="211"/>
      <c r="T741" s="211"/>
      <c r="U741" s="211"/>
      <c r="V741" s="211"/>
      <c r="W741" s="211"/>
      <c r="X741" s="211"/>
      <c r="Y741" s="211"/>
      <c r="Z741" s="211"/>
      <c r="AD741" s="211"/>
      <c r="AE741" s="211"/>
      <c r="AF741" s="211"/>
      <c r="AG741" s="211"/>
      <c r="AH741" s="211"/>
      <c r="AI741" s="211"/>
      <c r="AJ741" s="211"/>
      <c r="AK741" s="211"/>
      <c r="AL741" s="211"/>
      <c r="AM741" s="211"/>
      <c r="AN741" s="211"/>
      <c r="AO741" s="211"/>
      <c r="AP741" s="211"/>
      <c r="AQ741" s="211"/>
      <c r="AR741" s="211"/>
      <c r="AS741" s="211"/>
      <c r="AT741" s="211"/>
      <c r="AU741" s="211"/>
      <c r="AV741" s="211"/>
      <c r="AW741" s="211"/>
      <c r="AX741" s="211"/>
      <c r="AY741" s="211"/>
      <c r="AZ741" s="211"/>
    </row>
    <row r="742" spans="1:52" s="213" customFormat="1" x14ac:dyDescent="0.35">
      <c r="A742" s="211"/>
      <c r="B742" s="211"/>
      <c r="C742" s="211"/>
      <c r="D742" s="211"/>
      <c r="E742" s="211"/>
      <c r="F742" s="211"/>
      <c r="G742" s="211"/>
      <c r="H742" s="211"/>
      <c r="I742" s="212"/>
      <c r="J742" s="212"/>
      <c r="K742" s="212"/>
      <c r="L742" s="212"/>
      <c r="M742" s="212"/>
      <c r="N742" s="212"/>
      <c r="O742" s="212"/>
      <c r="P742" s="211"/>
      <c r="Q742" s="211"/>
      <c r="R742" s="211"/>
      <c r="S742" s="211"/>
      <c r="T742" s="211"/>
      <c r="U742" s="211"/>
      <c r="V742" s="211"/>
      <c r="W742" s="211"/>
      <c r="X742" s="211"/>
      <c r="Y742" s="211"/>
      <c r="Z742" s="211"/>
      <c r="AD742" s="211"/>
      <c r="AE742" s="211"/>
      <c r="AF742" s="211"/>
      <c r="AG742" s="211"/>
      <c r="AH742" s="211"/>
      <c r="AI742" s="211"/>
      <c r="AJ742" s="211"/>
      <c r="AK742" s="211"/>
      <c r="AL742" s="211"/>
      <c r="AM742" s="211"/>
      <c r="AN742" s="211"/>
      <c r="AO742" s="211"/>
      <c r="AP742" s="211"/>
      <c r="AQ742" s="211"/>
      <c r="AR742" s="211"/>
      <c r="AS742" s="211"/>
      <c r="AT742" s="211"/>
      <c r="AU742" s="211"/>
      <c r="AV742" s="211"/>
      <c r="AW742" s="211"/>
      <c r="AX742" s="211"/>
      <c r="AY742" s="211"/>
      <c r="AZ742" s="211"/>
    </row>
    <row r="743" spans="1:52" s="213" customFormat="1" x14ac:dyDescent="0.35">
      <c r="A743" s="211"/>
      <c r="B743" s="211"/>
      <c r="C743" s="211"/>
      <c r="D743" s="211"/>
      <c r="E743" s="211"/>
      <c r="F743" s="211"/>
      <c r="G743" s="211"/>
      <c r="H743" s="211"/>
      <c r="I743" s="212"/>
      <c r="J743" s="212"/>
      <c r="K743" s="212"/>
      <c r="L743" s="212"/>
      <c r="M743" s="212"/>
      <c r="N743" s="212"/>
      <c r="O743" s="212"/>
      <c r="P743" s="211"/>
      <c r="Q743" s="211"/>
      <c r="R743" s="211"/>
      <c r="S743" s="211"/>
      <c r="T743" s="211"/>
      <c r="U743" s="211"/>
      <c r="V743" s="211"/>
      <c r="W743" s="211"/>
      <c r="X743" s="211"/>
      <c r="Y743" s="211"/>
      <c r="Z743" s="211"/>
      <c r="AD743" s="211"/>
      <c r="AE743" s="211"/>
      <c r="AF743" s="211"/>
      <c r="AG743" s="211"/>
      <c r="AH743" s="211"/>
      <c r="AI743" s="211"/>
      <c r="AJ743" s="211"/>
      <c r="AK743" s="211"/>
      <c r="AL743" s="211"/>
      <c r="AM743" s="211"/>
      <c r="AN743" s="211"/>
      <c r="AO743" s="211"/>
      <c r="AP743" s="211"/>
      <c r="AQ743" s="211"/>
      <c r="AR743" s="211"/>
      <c r="AS743" s="211"/>
      <c r="AT743" s="211"/>
      <c r="AU743" s="211"/>
      <c r="AV743" s="211"/>
      <c r="AW743" s="211"/>
      <c r="AX743" s="211"/>
      <c r="AY743" s="211"/>
      <c r="AZ743" s="211"/>
    </row>
    <row r="744" spans="1:52" s="213" customFormat="1" x14ac:dyDescent="0.35">
      <c r="A744" s="211"/>
      <c r="B744" s="211"/>
      <c r="C744" s="211"/>
      <c r="D744" s="211"/>
      <c r="E744" s="211"/>
      <c r="F744" s="211"/>
      <c r="G744" s="211"/>
      <c r="H744" s="211"/>
      <c r="I744" s="212"/>
      <c r="J744" s="212"/>
      <c r="K744" s="212"/>
      <c r="L744" s="212"/>
      <c r="M744" s="212"/>
      <c r="N744" s="212"/>
      <c r="O744" s="212"/>
      <c r="P744" s="211"/>
      <c r="Q744" s="211"/>
      <c r="R744" s="211"/>
      <c r="S744" s="211"/>
      <c r="T744" s="211"/>
      <c r="U744" s="211"/>
      <c r="V744" s="211"/>
      <c r="W744" s="211"/>
      <c r="X744" s="211"/>
      <c r="Y744" s="211"/>
      <c r="Z744" s="211"/>
      <c r="AD744" s="211"/>
      <c r="AE744" s="211"/>
      <c r="AF744" s="211"/>
      <c r="AG744" s="211"/>
      <c r="AH744" s="211"/>
      <c r="AI744" s="211"/>
      <c r="AJ744" s="211"/>
      <c r="AK744" s="211"/>
      <c r="AL744" s="211"/>
      <c r="AM744" s="211"/>
      <c r="AN744" s="211"/>
      <c r="AO744" s="211"/>
      <c r="AP744" s="211"/>
      <c r="AQ744" s="211"/>
      <c r="AR744" s="211"/>
      <c r="AS744" s="211"/>
      <c r="AT744" s="211"/>
      <c r="AU744" s="211"/>
      <c r="AV744" s="211"/>
      <c r="AW744" s="211"/>
      <c r="AX744" s="211"/>
      <c r="AY744" s="211"/>
      <c r="AZ744" s="211"/>
    </row>
    <row r="745" spans="1:52" s="213" customFormat="1" x14ac:dyDescent="0.35">
      <c r="A745" s="211"/>
      <c r="B745" s="211"/>
      <c r="C745" s="211"/>
      <c r="D745" s="211"/>
      <c r="E745" s="211"/>
      <c r="F745" s="211"/>
      <c r="G745" s="211"/>
      <c r="H745" s="211"/>
      <c r="I745" s="212"/>
      <c r="J745" s="212"/>
      <c r="K745" s="212"/>
      <c r="L745" s="212"/>
      <c r="M745" s="212"/>
      <c r="N745" s="212"/>
      <c r="O745" s="212"/>
      <c r="P745" s="211"/>
      <c r="Q745" s="211"/>
      <c r="R745" s="211"/>
      <c r="S745" s="211"/>
      <c r="T745" s="211"/>
      <c r="U745" s="211"/>
      <c r="V745" s="211"/>
      <c r="W745" s="211"/>
      <c r="X745" s="211"/>
      <c r="Y745" s="211"/>
      <c r="Z745" s="211"/>
      <c r="AD745" s="211"/>
      <c r="AE745" s="211"/>
      <c r="AF745" s="211"/>
      <c r="AG745" s="211"/>
      <c r="AH745" s="211"/>
      <c r="AI745" s="211"/>
      <c r="AJ745" s="211"/>
      <c r="AK745" s="211"/>
      <c r="AL745" s="211"/>
      <c r="AM745" s="211"/>
      <c r="AN745" s="211"/>
      <c r="AO745" s="211"/>
      <c r="AP745" s="211"/>
      <c r="AQ745" s="211"/>
      <c r="AR745" s="211"/>
      <c r="AS745" s="211"/>
      <c r="AT745" s="211"/>
      <c r="AU745" s="211"/>
      <c r="AV745" s="211"/>
      <c r="AW745" s="211"/>
      <c r="AX745" s="211"/>
      <c r="AY745" s="211"/>
      <c r="AZ745" s="211"/>
    </row>
    <row r="746" spans="1:52" s="213" customFormat="1" x14ac:dyDescent="0.35">
      <c r="A746" s="211"/>
      <c r="B746" s="211"/>
      <c r="C746" s="211"/>
      <c r="D746" s="211"/>
      <c r="E746" s="211"/>
      <c r="F746" s="211"/>
      <c r="G746" s="211"/>
      <c r="H746" s="211"/>
      <c r="I746" s="212"/>
      <c r="J746" s="212"/>
      <c r="K746" s="212"/>
      <c r="L746" s="212"/>
      <c r="M746" s="212"/>
      <c r="N746" s="212"/>
      <c r="O746" s="212"/>
      <c r="P746" s="211"/>
      <c r="Q746" s="211"/>
      <c r="R746" s="211"/>
      <c r="S746" s="211"/>
      <c r="T746" s="211"/>
      <c r="U746" s="211"/>
      <c r="V746" s="211"/>
      <c r="W746" s="211"/>
      <c r="X746" s="211"/>
      <c r="Y746" s="211"/>
      <c r="Z746" s="211"/>
      <c r="AD746" s="211"/>
      <c r="AE746" s="211"/>
      <c r="AF746" s="211"/>
      <c r="AG746" s="211"/>
      <c r="AH746" s="211"/>
      <c r="AI746" s="211"/>
      <c r="AJ746" s="211"/>
      <c r="AK746" s="211"/>
      <c r="AL746" s="211"/>
      <c r="AM746" s="211"/>
      <c r="AN746" s="211"/>
      <c r="AO746" s="211"/>
      <c r="AP746" s="211"/>
      <c r="AQ746" s="211"/>
      <c r="AR746" s="211"/>
      <c r="AS746" s="211"/>
      <c r="AT746" s="211"/>
      <c r="AU746" s="211"/>
      <c r="AV746" s="211"/>
      <c r="AW746" s="211"/>
      <c r="AX746" s="211"/>
      <c r="AY746" s="211"/>
      <c r="AZ746" s="211"/>
    </row>
    <row r="747" spans="1:52" s="213" customFormat="1" x14ac:dyDescent="0.35">
      <c r="A747" s="211"/>
      <c r="B747" s="211"/>
      <c r="C747" s="211"/>
      <c r="D747" s="211"/>
      <c r="E747" s="211"/>
      <c r="F747" s="211"/>
      <c r="G747" s="211"/>
      <c r="H747" s="211"/>
      <c r="I747" s="212"/>
      <c r="J747" s="212"/>
      <c r="K747" s="212"/>
      <c r="L747" s="212"/>
      <c r="M747" s="212"/>
      <c r="N747" s="212"/>
      <c r="O747" s="212"/>
      <c r="P747" s="211"/>
      <c r="Q747" s="211"/>
      <c r="R747" s="211"/>
      <c r="S747" s="211"/>
      <c r="T747" s="211"/>
      <c r="U747" s="211"/>
      <c r="V747" s="211"/>
      <c r="W747" s="211"/>
      <c r="X747" s="211"/>
      <c r="Y747" s="211"/>
      <c r="Z747" s="211"/>
      <c r="AD747" s="211"/>
      <c r="AE747" s="211"/>
      <c r="AF747" s="211"/>
      <c r="AG747" s="211"/>
      <c r="AH747" s="211"/>
      <c r="AI747" s="211"/>
      <c r="AJ747" s="211"/>
      <c r="AK747" s="211"/>
      <c r="AL747" s="211"/>
      <c r="AM747" s="211"/>
      <c r="AN747" s="211"/>
      <c r="AO747" s="211"/>
      <c r="AP747" s="211"/>
      <c r="AQ747" s="211"/>
      <c r="AR747" s="211"/>
      <c r="AS747" s="211"/>
      <c r="AT747" s="211"/>
      <c r="AU747" s="211"/>
      <c r="AV747" s="211"/>
      <c r="AW747" s="211"/>
      <c r="AX747" s="211"/>
      <c r="AY747" s="211"/>
      <c r="AZ747" s="211"/>
    </row>
    <row r="748" spans="1:52" s="213" customFormat="1" x14ac:dyDescent="0.35">
      <c r="A748" s="211"/>
      <c r="B748" s="211"/>
      <c r="C748" s="211"/>
      <c r="D748" s="211"/>
      <c r="E748" s="211"/>
      <c r="F748" s="211"/>
      <c r="G748" s="211"/>
      <c r="H748" s="211"/>
      <c r="I748" s="212"/>
      <c r="J748" s="212"/>
      <c r="K748" s="212"/>
      <c r="L748" s="212"/>
      <c r="M748" s="212"/>
      <c r="N748" s="212"/>
      <c r="O748" s="212"/>
      <c r="P748" s="211"/>
      <c r="Q748" s="211"/>
      <c r="R748" s="211"/>
      <c r="S748" s="211"/>
      <c r="T748" s="211"/>
      <c r="U748" s="211"/>
      <c r="V748" s="211"/>
      <c r="W748" s="211"/>
      <c r="X748" s="211"/>
      <c r="Y748" s="211"/>
      <c r="Z748" s="211"/>
      <c r="AD748" s="211"/>
      <c r="AE748" s="211"/>
      <c r="AF748" s="211"/>
      <c r="AG748" s="211"/>
      <c r="AH748" s="211"/>
      <c r="AI748" s="211"/>
      <c r="AJ748" s="211"/>
      <c r="AK748" s="211"/>
      <c r="AL748" s="211"/>
      <c r="AM748" s="211"/>
      <c r="AN748" s="211"/>
      <c r="AO748" s="211"/>
      <c r="AP748" s="211"/>
      <c r="AQ748" s="211"/>
      <c r="AR748" s="211"/>
      <c r="AS748" s="211"/>
      <c r="AT748" s="211"/>
      <c r="AU748" s="211"/>
      <c r="AV748" s="211"/>
      <c r="AW748" s="211"/>
      <c r="AX748" s="211"/>
      <c r="AY748" s="211"/>
      <c r="AZ748" s="211"/>
    </row>
    <row r="749" spans="1:52" s="213" customFormat="1" x14ac:dyDescent="0.35">
      <c r="A749" s="211"/>
      <c r="B749" s="211"/>
      <c r="C749" s="211"/>
      <c r="D749" s="211"/>
      <c r="E749" s="211"/>
      <c r="F749" s="211"/>
      <c r="G749" s="211"/>
      <c r="H749" s="211"/>
      <c r="I749" s="212"/>
      <c r="J749" s="212"/>
      <c r="K749" s="212"/>
      <c r="L749" s="212"/>
      <c r="M749" s="212"/>
      <c r="N749" s="212"/>
      <c r="O749" s="212"/>
      <c r="P749" s="211"/>
      <c r="Q749" s="211"/>
      <c r="R749" s="211"/>
      <c r="S749" s="211"/>
      <c r="T749" s="211"/>
      <c r="U749" s="211"/>
      <c r="V749" s="211"/>
      <c r="W749" s="211"/>
      <c r="X749" s="211"/>
      <c r="Y749" s="211"/>
      <c r="Z749" s="211"/>
      <c r="AD749" s="211"/>
      <c r="AE749" s="211"/>
      <c r="AF749" s="211"/>
      <c r="AG749" s="211"/>
      <c r="AH749" s="211"/>
      <c r="AI749" s="211"/>
      <c r="AJ749" s="211"/>
      <c r="AK749" s="211"/>
      <c r="AL749" s="211"/>
      <c r="AM749" s="211"/>
      <c r="AN749" s="211"/>
      <c r="AO749" s="211"/>
      <c r="AP749" s="211"/>
      <c r="AQ749" s="211"/>
      <c r="AR749" s="211"/>
      <c r="AS749" s="211"/>
      <c r="AT749" s="211"/>
      <c r="AU749" s="211"/>
      <c r="AV749" s="211"/>
      <c r="AW749" s="211"/>
      <c r="AX749" s="211"/>
      <c r="AY749" s="211"/>
      <c r="AZ749" s="211"/>
    </row>
    <row r="750" spans="1:52" s="213" customFormat="1" x14ac:dyDescent="0.35">
      <c r="A750" s="211"/>
      <c r="B750" s="211"/>
      <c r="C750" s="211"/>
      <c r="D750" s="211"/>
      <c r="E750" s="211"/>
      <c r="F750" s="211"/>
      <c r="G750" s="211"/>
      <c r="H750" s="211"/>
      <c r="I750" s="212"/>
      <c r="J750" s="212"/>
      <c r="K750" s="212"/>
      <c r="L750" s="212"/>
      <c r="M750" s="212"/>
      <c r="N750" s="212"/>
      <c r="O750" s="212"/>
      <c r="P750" s="211"/>
      <c r="Q750" s="211"/>
      <c r="R750" s="211"/>
      <c r="S750" s="211"/>
      <c r="T750" s="211"/>
      <c r="U750" s="211"/>
      <c r="V750" s="211"/>
      <c r="W750" s="211"/>
      <c r="X750" s="211"/>
      <c r="Y750" s="211"/>
      <c r="Z750" s="211"/>
      <c r="AD750" s="211"/>
      <c r="AE750" s="211"/>
      <c r="AF750" s="211"/>
      <c r="AG750" s="211"/>
      <c r="AH750" s="211"/>
      <c r="AI750" s="211"/>
      <c r="AJ750" s="211"/>
      <c r="AK750" s="211"/>
      <c r="AL750" s="211"/>
      <c r="AM750" s="211"/>
      <c r="AN750" s="211"/>
      <c r="AO750" s="211"/>
      <c r="AP750" s="211"/>
      <c r="AQ750" s="211"/>
      <c r="AR750" s="211"/>
      <c r="AS750" s="211"/>
      <c r="AT750" s="211"/>
      <c r="AU750" s="211"/>
      <c r="AV750" s="211"/>
      <c r="AW750" s="211"/>
      <c r="AX750" s="211"/>
      <c r="AY750" s="211"/>
      <c r="AZ750" s="211"/>
    </row>
    <row r="751" spans="1:52" s="213" customFormat="1" x14ac:dyDescent="0.35">
      <c r="A751" s="211"/>
      <c r="B751" s="211"/>
      <c r="C751" s="211"/>
      <c r="D751" s="211"/>
      <c r="E751" s="211"/>
      <c r="F751" s="211"/>
      <c r="G751" s="211"/>
      <c r="H751" s="211"/>
      <c r="I751" s="212"/>
      <c r="J751" s="212"/>
      <c r="K751" s="212"/>
      <c r="L751" s="212"/>
      <c r="M751" s="212"/>
      <c r="N751" s="212"/>
      <c r="O751" s="212"/>
      <c r="P751" s="211"/>
      <c r="Q751" s="211"/>
      <c r="R751" s="211"/>
      <c r="S751" s="211"/>
      <c r="T751" s="211"/>
      <c r="U751" s="211"/>
      <c r="V751" s="211"/>
      <c r="W751" s="211"/>
      <c r="X751" s="211"/>
      <c r="Y751" s="211"/>
      <c r="Z751" s="211"/>
      <c r="AD751" s="211"/>
      <c r="AE751" s="211"/>
      <c r="AF751" s="211"/>
      <c r="AG751" s="211"/>
      <c r="AH751" s="211"/>
      <c r="AI751" s="211"/>
      <c r="AJ751" s="211"/>
      <c r="AK751" s="211"/>
      <c r="AL751" s="211"/>
      <c r="AM751" s="211"/>
      <c r="AN751" s="211"/>
      <c r="AO751" s="211"/>
      <c r="AP751" s="211"/>
      <c r="AQ751" s="211"/>
      <c r="AR751" s="211"/>
      <c r="AS751" s="211"/>
      <c r="AT751" s="211"/>
      <c r="AU751" s="211"/>
      <c r="AV751" s="211"/>
      <c r="AW751" s="211"/>
      <c r="AX751" s="211"/>
      <c r="AY751" s="211"/>
      <c r="AZ751" s="211"/>
    </row>
    <row r="752" spans="1:52" s="213" customFormat="1" x14ac:dyDescent="0.35">
      <c r="A752" s="211"/>
      <c r="B752" s="211"/>
      <c r="C752" s="211"/>
      <c r="D752" s="211"/>
      <c r="E752" s="211"/>
      <c r="F752" s="211"/>
      <c r="G752" s="211"/>
      <c r="H752" s="211"/>
      <c r="I752" s="212"/>
      <c r="J752" s="212"/>
      <c r="K752" s="212"/>
      <c r="L752" s="212"/>
      <c r="M752" s="212"/>
      <c r="N752" s="212"/>
      <c r="O752" s="212"/>
      <c r="P752" s="211"/>
      <c r="Q752" s="211"/>
      <c r="R752" s="211"/>
      <c r="S752" s="211"/>
      <c r="T752" s="211"/>
      <c r="U752" s="211"/>
      <c r="V752" s="211"/>
      <c r="W752" s="211"/>
      <c r="X752" s="211"/>
      <c r="Y752" s="211"/>
      <c r="Z752" s="211"/>
      <c r="AD752" s="211"/>
      <c r="AE752" s="211"/>
      <c r="AF752" s="211"/>
      <c r="AG752" s="211"/>
      <c r="AH752" s="211"/>
      <c r="AI752" s="211"/>
      <c r="AJ752" s="211"/>
      <c r="AK752" s="211"/>
      <c r="AL752" s="211"/>
      <c r="AM752" s="211"/>
      <c r="AN752" s="211"/>
      <c r="AO752" s="211"/>
      <c r="AP752" s="211"/>
      <c r="AQ752" s="211"/>
      <c r="AR752" s="211"/>
      <c r="AS752" s="211"/>
      <c r="AT752" s="211"/>
      <c r="AU752" s="211"/>
      <c r="AV752" s="211"/>
      <c r="AW752" s="211"/>
      <c r="AX752" s="211"/>
      <c r="AY752" s="211"/>
      <c r="AZ752" s="211"/>
    </row>
    <row r="753" spans="1:52" s="213" customFormat="1" x14ac:dyDescent="0.35">
      <c r="A753" s="211"/>
      <c r="B753" s="211"/>
      <c r="C753" s="211"/>
      <c r="D753" s="211"/>
      <c r="E753" s="211"/>
      <c r="F753" s="211"/>
      <c r="G753" s="211"/>
      <c r="H753" s="211"/>
      <c r="I753" s="212"/>
      <c r="J753" s="212"/>
      <c r="K753" s="212"/>
      <c r="L753" s="212"/>
      <c r="M753" s="212"/>
      <c r="N753" s="212"/>
      <c r="O753" s="212"/>
      <c r="P753" s="211"/>
      <c r="Q753" s="211"/>
      <c r="R753" s="211"/>
      <c r="S753" s="211"/>
      <c r="T753" s="211"/>
      <c r="U753" s="211"/>
      <c r="V753" s="211"/>
      <c r="W753" s="211"/>
      <c r="X753" s="211"/>
      <c r="Y753" s="211"/>
      <c r="Z753" s="211"/>
      <c r="AD753" s="211"/>
      <c r="AE753" s="211"/>
      <c r="AF753" s="211"/>
      <c r="AG753" s="211"/>
      <c r="AH753" s="211"/>
      <c r="AI753" s="211"/>
      <c r="AJ753" s="211"/>
      <c r="AK753" s="211"/>
      <c r="AL753" s="211"/>
      <c r="AM753" s="211"/>
      <c r="AN753" s="211"/>
      <c r="AO753" s="211"/>
      <c r="AP753" s="211"/>
      <c r="AQ753" s="211"/>
      <c r="AR753" s="211"/>
      <c r="AS753" s="211"/>
      <c r="AT753" s="211"/>
      <c r="AU753" s="211"/>
      <c r="AV753" s="211"/>
      <c r="AW753" s="211"/>
      <c r="AX753" s="211"/>
      <c r="AY753" s="211"/>
      <c r="AZ753" s="211"/>
    </row>
    <row r="754" spans="1:52" s="213" customFormat="1" x14ac:dyDescent="0.35">
      <c r="A754" s="211"/>
      <c r="B754" s="211"/>
      <c r="C754" s="211"/>
      <c r="D754" s="211"/>
      <c r="E754" s="211"/>
      <c r="F754" s="211"/>
      <c r="G754" s="211"/>
      <c r="H754" s="211"/>
      <c r="I754" s="212"/>
      <c r="J754" s="212"/>
      <c r="K754" s="212"/>
      <c r="L754" s="212"/>
      <c r="M754" s="212"/>
      <c r="N754" s="212"/>
      <c r="O754" s="212"/>
      <c r="P754" s="211"/>
      <c r="Q754" s="211"/>
      <c r="R754" s="211"/>
      <c r="S754" s="211"/>
      <c r="T754" s="211"/>
      <c r="U754" s="211"/>
      <c r="V754" s="211"/>
      <c r="W754" s="211"/>
      <c r="X754" s="211"/>
      <c r="Y754" s="211"/>
      <c r="Z754" s="211"/>
      <c r="AD754" s="211"/>
      <c r="AE754" s="211"/>
      <c r="AF754" s="211"/>
      <c r="AG754" s="211"/>
      <c r="AH754" s="211"/>
      <c r="AI754" s="211"/>
      <c r="AJ754" s="211"/>
      <c r="AK754" s="211"/>
      <c r="AL754" s="211"/>
      <c r="AM754" s="211"/>
      <c r="AN754" s="211"/>
      <c r="AO754" s="211"/>
      <c r="AP754" s="211"/>
      <c r="AQ754" s="211"/>
      <c r="AR754" s="211"/>
      <c r="AS754" s="211"/>
      <c r="AT754" s="211"/>
      <c r="AU754" s="211"/>
      <c r="AV754" s="211"/>
      <c r="AW754" s="211"/>
      <c r="AX754" s="211"/>
      <c r="AY754" s="211"/>
      <c r="AZ754" s="211"/>
    </row>
    <row r="755" spans="1:52" s="213" customFormat="1" x14ac:dyDescent="0.35">
      <c r="A755" s="211"/>
      <c r="B755" s="211"/>
      <c r="C755" s="211"/>
      <c r="D755" s="211"/>
      <c r="E755" s="211"/>
      <c r="F755" s="211"/>
      <c r="G755" s="211"/>
      <c r="H755" s="211"/>
      <c r="I755" s="212"/>
      <c r="J755" s="212"/>
      <c r="K755" s="212"/>
      <c r="L755" s="212"/>
      <c r="M755" s="212"/>
      <c r="N755" s="212"/>
      <c r="O755" s="212"/>
      <c r="P755" s="211"/>
      <c r="Q755" s="211"/>
      <c r="R755" s="211"/>
      <c r="S755" s="211"/>
      <c r="T755" s="211"/>
      <c r="U755" s="211"/>
      <c r="V755" s="211"/>
      <c r="W755" s="211"/>
      <c r="X755" s="211"/>
      <c r="Y755" s="211"/>
      <c r="Z755" s="211"/>
      <c r="AD755" s="211"/>
      <c r="AE755" s="211"/>
      <c r="AF755" s="211"/>
      <c r="AG755" s="211"/>
      <c r="AH755" s="211"/>
      <c r="AI755" s="211"/>
      <c r="AJ755" s="211"/>
      <c r="AK755" s="211"/>
      <c r="AL755" s="211"/>
      <c r="AM755" s="211"/>
      <c r="AN755" s="211"/>
      <c r="AO755" s="211"/>
      <c r="AP755" s="211"/>
      <c r="AQ755" s="211"/>
      <c r="AR755" s="211"/>
      <c r="AS755" s="211"/>
      <c r="AT755" s="211"/>
      <c r="AU755" s="211"/>
      <c r="AV755" s="211"/>
      <c r="AW755" s="211"/>
      <c r="AX755" s="211"/>
      <c r="AY755" s="211"/>
      <c r="AZ755" s="211"/>
    </row>
    <row r="756" spans="1:52" s="213" customFormat="1" x14ac:dyDescent="0.35">
      <c r="A756" s="211"/>
      <c r="B756" s="211"/>
      <c r="C756" s="211"/>
      <c r="D756" s="211"/>
      <c r="E756" s="211"/>
      <c r="F756" s="211"/>
      <c r="G756" s="211"/>
      <c r="H756" s="211"/>
      <c r="I756" s="212"/>
      <c r="J756" s="212"/>
      <c r="K756" s="212"/>
      <c r="L756" s="212"/>
      <c r="M756" s="212"/>
      <c r="N756" s="212"/>
      <c r="O756" s="212"/>
      <c r="P756" s="211"/>
      <c r="Q756" s="211"/>
      <c r="R756" s="211"/>
      <c r="S756" s="211"/>
      <c r="T756" s="211"/>
      <c r="U756" s="211"/>
      <c r="V756" s="211"/>
      <c r="W756" s="211"/>
      <c r="X756" s="211"/>
      <c r="Y756" s="211"/>
      <c r="Z756" s="211"/>
      <c r="AD756" s="211"/>
      <c r="AE756" s="211"/>
      <c r="AF756" s="211"/>
      <c r="AG756" s="211"/>
      <c r="AH756" s="211"/>
      <c r="AI756" s="211"/>
      <c r="AJ756" s="211"/>
      <c r="AK756" s="211"/>
      <c r="AL756" s="211"/>
      <c r="AM756" s="211"/>
      <c r="AN756" s="211"/>
      <c r="AO756" s="211"/>
      <c r="AP756" s="211"/>
      <c r="AQ756" s="211"/>
      <c r="AR756" s="211"/>
      <c r="AS756" s="211"/>
      <c r="AT756" s="211"/>
      <c r="AU756" s="211"/>
      <c r="AV756" s="211"/>
      <c r="AW756" s="211"/>
      <c r="AX756" s="211"/>
      <c r="AY756" s="211"/>
      <c r="AZ756" s="211"/>
    </row>
    <row r="757" spans="1:52" s="213" customFormat="1" x14ac:dyDescent="0.35">
      <c r="A757" s="211"/>
      <c r="B757" s="211"/>
      <c r="C757" s="211"/>
      <c r="D757" s="211"/>
      <c r="E757" s="211"/>
      <c r="F757" s="211"/>
      <c r="G757" s="211"/>
      <c r="H757" s="211"/>
      <c r="I757" s="212"/>
      <c r="J757" s="212"/>
      <c r="K757" s="212"/>
      <c r="L757" s="212"/>
      <c r="M757" s="212"/>
      <c r="N757" s="212"/>
      <c r="O757" s="212"/>
      <c r="P757" s="211"/>
      <c r="Q757" s="211"/>
      <c r="R757" s="211"/>
      <c r="S757" s="211"/>
      <c r="T757" s="211"/>
      <c r="U757" s="211"/>
      <c r="V757" s="211"/>
      <c r="W757" s="211"/>
      <c r="X757" s="211"/>
      <c r="Y757" s="211"/>
      <c r="Z757" s="211"/>
      <c r="AD757" s="211"/>
      <c r="AE757" s="211"/>
      <c r="AF757" s="211"/>
      <c r="AG757" s="211"/>
      <c r="AH757" s="211"/>
      <c r="AI757" s="211"/>
      <c r="AJ757" s="211"/>
      <c r="AK757" s="211"/>
      <c r="AL757" s="211"/>
      <c r="AM757" s="211"/>
      <c r="AN757" s="211"/>
      <c r="AO757" s="211"/>
      <c r="AP757" s="211"/>
      <c r="AQ757" s="211"/>
      <c r="AR757" s="211"/>
      <c r="AS757" s="211"/>
      <c r="AT757" s="211"/>
      <c r="AU757" s="211"/>
      <c r="AV757" s="211"/>
      <c r="AW757" s="211"/>
      <c r="AX757" s="211"/>
      <c r="AY757" s="211"/>
      <c r="AZ757" s="211"/>
    </row>
    <row r="758" spans="1:52" s="213" customFormat="1" x14ac:dyDescent="0.35">
      <c r="A758" s="211"/>
      <c r="B758" s="211"/>
      <c r="C758" s="211"/>
      <c r="D758" s="211"/>
      <c r="E758" s="211"/>
      <c r="F758" s="211"/>
      <c r="G758" s="211"/>
      <c r="H758" s="211"/>
      <c r="I758" s="212"/>
      <c r="J758" s="212"/>
      <c r="K758" s="212"/>
      <c r="L758" s="212"/>
      <c r="M758" s="212"/>
      <c r="N758" s="212"/>
      <c r="O758" s="212"/>
      <c r="P758" s="211"/>
      <c r="Q758" s="211"/>
      <c r="R758" s="211"/>
      <c r="S758" s="211"/>
      <c r="T758" s="211"/>
      <c r="U758" s="211"/>
      <c r="V758" s="211"/>
      <c r="W758" s="211"/>
      <c r="X758" s="211"/>
      <c r="Y758" s="211"/>
      <c r="Z758" s="211"/>
      <c r="AD758" s="211"/>
      <c r="AE758" s="211"/>
      <c r="AF758" s="211"/>
      <c r="AG758" s="211"/>
      <c r="AH758" s="211"/>
      <c r="AI758" s="211"/>
      <c r="AJ758" s="211"/>
      <c r="AK758" s="211"/>
      <c r="AL758" s="211"/>
      <c r="AM758" s="211"/>
      <c r="AN758" s="211"/>
      <c r="AO758" s="211"/>
      <c r="AP758" s="211"/>
      <c r="AQ758" s="211"/>
      <c r="AR758" s="211"/>
      <c r="AS758" s="211"/>
      <c r="AT758" s="211"/>
      <c r="AU758" s="211"/>
      <c r="AV758" s="211"/>
      <c r="AW758" s="211"/>
      <c r="AX758" s="211"/>
      <c r="AY758" s="211"/>
      <c r="AZ758" s="211"/>
    </row>
    <row r="759" spans="1:52" s="213" customFormat="1" x14ac:dyDescent="0.35">
      <c r="A759" s="211"/>
      <c r="B759" s="211"/>
      <c r="C759" s="211"/>
      <c r="D759" s="211"/>
      <c r="E759" s="211"/>
      <c r="F759" s="211"/>
      <c r="G759" s="211"/>
      <c r="H759" s="211"/>
      <c r="I759" s="212"/>
      <c r="J759" s="212"/>
      <c r="K759" s="212"/>
      <c r="L759" s="212"/>
      <c r="M759" s="212"/>
      <c r="N759" s="212"/>
      <c r="O759" s="212"/>
      <c r="P759" s="211"/>
      <c r="Q759" s="211"/>
      <c r="R759" s="211"/>
      <c r="S759" s="211"/>
      <c r="T759" s="211"/>
      <c r="U759" s="211"/>
      <c r="V759" s="211"/>
      <c r="W759" s="211"/>
      <c r="X759" s="211"/>
      <c r="Y759" s="211"/>
      <c r="Z759" s="211"/>
      <c r="AD759" s="211"/>
      <c r="AE759" s="211"/>
      <c r="AF759" s="211"/>
      <c r="AG759" s="211"/>
      <c r="AH759" s="211"/>
      <c r="AI759" s="211"/>
      <c r="AJ759" s="211"/>
      <c r="AK759" s="211"/>
      <c r="AL759" s="211"/>
      <c r="AM759" s="211"/>
      <c r="AN759" s="211"/>
      <c r="AO759" s="211"/>
      <c r="AP759" s="211"/>
      <c r="AQ759" s="211"/>
      <c r="AR759" s="211"/>
      <c r="AS759" s="211"/>
      <c r="AT759" s="211"/>
      <c r="AU759" s="211"/>
      <c r="AV759" s="211"/>
      <c r="AW759" s="211"/>
      <c r="AX759" s="211"/>
      <c r="AY759" s="211"/>
      <c r="AZ759" s="211"/>
    </row>
    <row r="760" spans="1:52" s="213" customFormat="1" x14ac:dyDescent="0.35">
      <c r="A760" s="211"/>
      <c r="B760" s="211"/>
      <c r="C760" s="211"/>
      <c r="D760" s="211"/>
      <c r="E760" s="211"/>
      <c r="F760" s="211"/>
      <c r="G760" s="211"/>
      <c r="H760" s="211"/>
      <c r="I760" s="212"/>
      <c r="J760" s="212"/>
      <c r="K760" s="212"/>
      <c r="L760" s="212"/>
      <c r="M760" s="212"/>
      <c r="N760" s="212"/>
      <c r="O760" s="212"/>
      <c r="P760" s="211"/>
      <c r="Q760" s="211"/>
      <c r="R760" s="211"/>
      <c r="S760" s="211"/>
      <c r="T760" s="211"/>
      <c r="U760" s="211"/>
      <c r="V760" s="211"/>
      <c r="W760" s="211"/>
      <c r="X760" s="211"/>
      <c r="Y760" s="211"/>
      <c r="Z760" s="211"/>
      <c r="AD760" s="211"/>
      <c r="AE760" s="211"/>
      <c r="AF760" s="211"/>
      <c r="AG760" s="211"/>
      <c r="AH760" s="211"/>
      <c r="AI760" s="211"/>
      <c r="AJ760" s="211"/>
      <c r="AK760" s="211"/>
      <c r="AL760" s="211"/>
      <c r="AM760" s="211"/>
      <c r="AN760" s="211"/>
      <c r="AO760" s="211"/>
      <c r="AP760" s="211"/>
      <c r="AQ760" s="211"/>
      <c r="AR760" s="211"/>
      <c r="AS760" s="211"/>
      <c r="AT760" s="211"/>
      <c r="AU760" s="211"/>
      <c r="AV760" s="211"/>
      <c r="AW760" s="211"/>
      <c r="AX760" s="211"/>
      <c r="AY760" s="211"/>
      <c r="AZ760" s="211"/>
    </row>
    <row r="761" spans="1:52" s="213" customFormat="1" x14ac:dyDescent="0.35">
      <c r="A761" s="211"/>
      <c r="B761" s="211"/>
      <c r="C761" s="211"/>
      <c r="D761" s="211"/>
      <c r="E761" s="211"/>
      <c r="F761" s="211"/>
      <c r="G761" s="211"/>
      <c r="H761" s="211"/>
      <c r="I761" s="212"/>
      <c r="J761" s="212"/>
      <c r="K761" s="212"/>
      <c r="L761" s="212"/>
      <c r="M761" s="212"/>
      <c r="N761" s="212"/>
      <c r="O761" s="212"/>
      <c r="P761" s="211"/>
      <c r="Q761" s="211"/>
      <c r="R761" s="211"/>
      <c r="S761" s="211"/>
      <c r="T761" s="211"/>
      <c r="U761" s="211"/>
      <c r="V761" s="211"/>
      <c r="W761" s="211"/>
      <c r="X761" s="211"/>
      <c r="Y761" s="211"/>
      <c r="Z761" s="211"/>
      <c r="AD761" s="211"/>
      <c r="AE761" s="211"/>
      <c r="AF761" s="211"/>
      <c r="AG761" s="211"/>
      <c r="AH761" s="211"/>
      <c r="AI761" s="211"/>
      <c r="AJ761" s="211"/>
      <c r="AK761" s="211"/>
      <c r="AL761" s="211"/>
      <c r="AM761" s="211"/>
      <c r="AN761" s="211"/>
      <c r="AO761" s="211"/>
      <c r="AP761" s="211"/>
      <c r="AQ761" s="211"/>
      <c r="AR761" s="211"/>
      <c r="AS761" s="211"/>
      <c r="AT761" s="211"/>
      <c r="AU761" s="211"/>
      <c r="AV761" s="211"/>
      <c r="AW761" s="211"/>
      <c r="AX761" s="211"/>
      <c r="AY761" s="211"/>
      <c r="AZ761" s="211"/>
    </row>
    <row r="762" spans="1:52" s="213" customFormat="1" x14ac:dyDescent="0.35">
      <c r="A762" s="211"/>
      <c r="B762" s="211"/>
      <c r="C762" s="211"/>
      <c r="D762" s="211"/>
      <c r="E762" s="211"/>
      <c r="F762" s="211"/>
      <c r="G762" s="211"/>
      <c r="H762" s="211"/>
      <c r="I762" s="212"/>
      <c r="J762" s="212"/>
      <c r="K762" s="212"/>
      <c r="L762" s="212"/>
      <c r="M762" s="212"/>
      <c r="N762" s="212"/>
      <c r="O762" s="212"/>
      <c r="P762" s="211"/>
      <c r="Q762" s="211"/>
      <c r="R762" s="211"/>
      <c r="S762" s="211"/>
      <c r="T762" s="211"/>
      <c r="U762" s="211"/>
      <c r="V762" s="211"/>
      <c r="W762" s="211"/>
      <c r="X762" s="211"/>
      <c r="Y762" s="211"/>
      <c r="Z762" s="211"/>
      <c r="AD762" s="211"/>
      <c r="AE762" s="211"/>
      <c r="AF762" s="211"/>
      <c r="AG762" s="211"/>
      <c r="AH762" s="211"/>
      <c r="AI762" s="211"/>
      <c r="AJ762" s="211"/>
      <c r="AK762" s="211"/>
      <c r="AL762" s="211"/>
      <c r="AM762" s="211"/>
      <c r="AN762" s="211"/>
      <c r="AO762" s="211"/>
      <c r="AP762" s="211"/>
      <c r="AQ762" s="211"/>
      <c r="AR762" s="211"/>
      <c r="AS762" s="211"/>
      <c r="AT762" s="211"/>
      <c r="AU762" s="211"/>
      <c r="AV762" s="211"/>
      <c r="AW762" s="211"/>
      <c r="AX762" s="211"/>
      <c r="AY762" s="211"/>
      <c r="AZ762" s="211"/>
    </row>
    <row r="763" spans="1:52" s="213" customFormat="1" x14ac:dyDescent="0.35">
      <c r="A763" s="211"/>
      <c r="B763" s="211"/>
      <c r="C763" s="211"/>
      <c r="D763" s="211"/>
      <c r="E763" s="211"/>
      <c r="F763" s="211"/>
      <c r="G763" s="211"/>
      <c r="H763" s="211"/>
      <c r="I763" s="212"/>
      <c r="J763" s="212"/>
      <c r="K763" s="212"/>
      <c r="L763" s="212"/>
      <c r="M763" s="212"/>
      <c r="N763" s="212"/>
      <c r="O763" s="212"/>
      <c r="P763" s="211"/>
      <c r="Q763" s="211"/>
      <c r="R763" s="211"/>
      <c r="S763" s="211"/>
      <c r="T763" s="211"/>
      <c r="U763" s="211"/>
      <c r="V763" s="211"/>
      <c r="W763" s="211"/>
      <c r="X763" s="211"/>
      <c r="Y763" s="211"/>
      <c r="Z763" s="211"/>
      <c r="AD763" s="211"/>
      <c r="AE763" s="211"/>
      <c r="AF763" s="211"/>
      <c r="AG763" s="211"/>
      <c r="AH763" s="211"/>
      <c r="AI763" s="211"/>
      <c r="AJ763" s="211"/>
      <c r="AK763" s="211"/>
      <c r="AL763" s="211"/>
      <c r="AM763" s="211"/>
      <c r="AN763" s="211"/>
      <c r="AO763" s="211"/>
      <c r="AP763" s="211"/>
      <c r="AQ763" s="211"/>
      <c r="AR763" s="211"/>
      <c r="AS763" s="211"/>
      <c r="AT763" s="211"/>
      <c r="AU763" s="211"/>
      <c r="AV763" s="211"/>
      <c r="AW763" s="211"/>
      <c r="AX763" s="211"/>
      <c r="AY763" s="211"/>
      <c r="AZ763" s="211"/>
    </row>
    <row r="764" spans="1:52" s="213" customFormat="1" x14ac:dyDescent="0.35">
      <c r="A764" s="211"/>
      <c r="B764" s="211"/>
      <c r="C764" s="211"/>
      <c r="D764" s="211"/>
      <c r="E764" s="211"/>
      <c r="F764" s="211"/>
      <c r="G764" s="211"/>
      <c r="H764" s="211"/>
      <c r="I764" s="212"/>
      <c r="J764" s="212"/>
      <c r="K764" s="212"/>
      <c r="L764" s="212"/>
      <c r="M764" s="212"/>
      <c r="N764" s="212"/>
      <c r="O764" s="212"/>
      <c r="P764" s="211"/>
      <c r="Q764" s="211"/>
      <c r="R764" s="211"/>
      <c r="S764" s="211"/>
      <c r="T764" s="211"/>
      <c r="U764" s="211"/>
      <c r="V764" s="211"/>
      <c r="W764" s="211"/>
      <c r="X764" s="211"/>
      <c r="Y764" s="211"/>
      <c r="Z764" s="211"/>
      <c r="AD764" s="211"/>
      <c r="AE764" s="211"/>
      <c r="AF764" s="211"/>
      <c r="AG764" s="211"/>
      <c r="AH764" s="211"/>
      <c r="AI764" s="211"/>
      <c r="AJ764" s="211"/>
      <c r="AK764" s="211"/>
      <c r="AL764" s="211"/>
      <c r="AM764" s="211"/>
      <c r="AN764" s="211"/>
      <c r="AO764" s="211"/>
      <c r="AP764" s="211"/>
      <c r="AQ764" s="211"/>
      <c r="AR764" s="211"/>
      <c r="AS764" s="211"/>
      <c r="AT764" s="211"/>
      <c r="AU764" s="211"/>
      <c r="AV764" s="211"/>
      <c r="AW764" s="211"/>
      <c r="AX764" s="211"/>
      <c r="AY764" s="211"/>
      <c r="AZ764" s="211"/>
    </row>
    <row r="765" spans="1:52" s="213" customFormat="1" x14ac:dyDescent="0.35">
      <c r="A765" s="211"/>
      <c r="B765" s="211"/>
      <c r="C765" s="211"/>
      <c r="D765" s="211"/>
      <c r="E765" s="211"/>
      <c r="F765" s="211"/>
      <c r="G765" s="211"/>
      <c r="H765" s="211"/>
      <c r="I765" s="212"/>
      <c r="J765" s="212"/>
      <c r="K765" s="212"/>
      <c r="L765" s="212"/>
      <c r="M765" s="212"/>
      <c r="N765" s="212"/>
      <c r="O765" s="212"/>
      <c r="P765" s="211"/>
      <c r="Q765" s="211"/>
      <c r="R765" s="211"/>
      <c r="S765" s="211"/>
      <c r="T765" s="211"/>
      <c r="U765" s="211"/>
      <c r="V765" s="211"/>
      <c r="W765" s="211"/>
      <c r="X765" s="211"/>
      <c r="Y765" s="211"/>
      <c r="Z765" s="211"/>
      <c r="AD765" s="211"/>
      <c r="AE765" s="211"/>
      <c r="AF765" s="211"/>
      <c r="AG765" s="211"/>
      <c r="AH765" s="211"/>
      <c r="AI765" s="211"/>
      <c r="AJ765" s="211"/>
      <c r="AK765" s="211"/>
      <c r="AL765" s="211"/>
      <c r="AM765" s="211"/>
      <c r="AN765" s="211"/>
      <c r="AO765" s="211"/>
      <c r="AP765" s="211"/>
      <c r="AQ765" s="211"/>
      <c r="AR765" s="211"/>
      <c r="AS765" s="211"/>
      <c r="AT765" s="211"/>
      <c r="AU765" s="211"/>
      <c r="AV765" s="211"/>
      <c r="AW765" s="211"/>
      <c r="AX765" s="211"/>
      <c r="AY765" s="211"/>
      <c r="AZ765" s="211"/>
    </row>
    <row r="766" spans="1:52" s="213" customFormat="1" x14ac:dyDescent="0.35">
      <c r="A766" s="211"/>
      <c r="B766" s="211"/>
      <c r="C766" s="211"/>
      <c r="D766" s="211"/>
      <c r="E766" s="211"/>
      <c r="F766" s="211"/>
      <c r="G766" s="211"/>
      <c r="H766" s="211"/>
      <c r="I766" s="212"/>
      <c r="J766" s="212"/>
      <c r="K766" s="212"/>
      <c r="L766" s="212"/>
      <c r="M766" s="212"/>
      <c r="N766" s="212"/>
      <c r="O766" s="212"/>
      <c r="P766" s="211"/>
      <c r="Q766" s="211"/>
      <c r="R766" s="211"/>
      <c r="S766" s="211"/>
      <c r="T766" s="211"/>
      <c r="U766" s="211"/>
      <c r="V766" s="211"/>
      <c r="W766" s="211"/>
      <c r="X766" s="211"/>
      <c r="Y766" s="211"/>
      <c r="Z766" s="211"/>
      <c r="AD766" s="211"/>
      <c r="AE766" s="211"/>
      <c r="AF766" s="211"/>
      <c r="AG766" s="211"/>
      <c r="AH766" s="211"/>
      <c r="AI766" s="211"/>
      <c r="AJ766" s="211"/>
      <c r="AK766" s="211"/>
      <c r="AL766" s="211"/>
      <c r="AM766" s="211"/>
      <c r="AN766" s="211"/>
      <c r="AO766" s="211"/>
      <c r="AP766" s="211"/>
      <c r="AQ766" s="211"/>
      <c r="AR766" s="211"/>
      <c r="AS766" s="211"/>
      <c r="AT766" s="211"/>
      <c r="AU766" s="211"/>
      <c r="AV766" s="211"/>
      <c r="AW766" s="211"/>
      <c r="AX766" s="211"/>
      <c r="AY766" s="211"/>
      <c r="AZ766" s="211"/>
    </row>
    <row r="767" spans="1:52" s="213" customFormat="1" x14ac:dyDescent="0.35">
      <c r="A767" s="211"/>
      <c r="B767" s="211"/>
      <c r="C767" s="211"/>
      <c r="D767" s="211"/>
      <c r="E767" s="211"/>
      <c r="F767" s="211"/>
      <c r="G767" s="211"/>
      <c r="H767" s="211"/>
      <c r="I767" s="212"/>
      <c r="J767" s="212"/>
      <c r="K767" s="212"/>
      <c r="L767" s="212"/>
      <c r="M767" s="212"/>
      <c r="N767" s="212"/>
      <c r="O767" s="212"/>
      <c r="P767" s="211"/>
      <c r="Q767" s="211"/>
      <c r="R767" s="211"/>
      <c r="S767" s="211"/>
      <c r="T767" s="211"/>
      <c r="U767" s="211"/>
      <c r="V767" s="211"/>
      <c r="W767" s="211"/>
      <c r="X767" s="211"/>
      <c r="Y767" s="211"/>
      <c r="Z767" s="211"/>
      <c r="AD767" s="211"/>
      <c r="AE767" s="211"/>
      <c r="AF767" s="211"/>
      <c r="AG767" s="211"/>
      <c r="AH767" s="211"/>
      <c r="AI767" s="211"/>
      <c r="AJ767" s="211"/>
      <c r="AK767" s="211"/>
      <c r="AL767" s="211"/>
      <c r="AM767" s="211"/>
      <c r="AN767" s="211"/>
      <c r="AO767" s="211"/>
      <c r="AP767" s="211"/>
      <c r="AQ767" s="211"/>
      <c r="AR767" s="211"/>
      <c r="AS767" s="211"/>
      <c r="AT767" s="211"/>
      <c r="AU767" s="211"/>
      <c r="AV767" s="211"/>
      <c r="AW767" s="211"/>
      <c r="AX767" s="211"/>
      <c r="AY767" s="211"/>
      <c r="AZ767" s="211"/>
    </row>
    <row r="768" spans="1:52" s="213" customFormat="1" x14ac:dyDescent="0.35">
      <c r="A768" s="211"/>
      <c r="B768" s="211"/>
      <c r="C768" s="211"/>
      <c r="D768" s="211"/>
      <c r="E768" s="211"/>
      <c r="F768" s="211"/>
      <c r="G768" s="211"/>
      <c r="H768" s="211"/>
      <c r="I768" s="212"/>
      <c r="J768" s="212"/>
      <c r="K768" s="212"/>
      <c r="L768" s="212"/>
      <c r="M768" s="212"/>
      <c r="N768" s="212"/>
      <c r="O768" s="212"/>
      <c r="P768" s="211"/>
      <c r="Q768" s="211"/>
      <c r="R768" s="211"/>
      <c r="S768" s="211"/>
      <c r="T768" s="211"/>
      <c r="U768" s="211"/>
      <c r="V768" s="211"/>
      <c r="W768" s="211"/>
      <c r="X768" s="211"/>
      <c r="Y768" s="211"/>
      <c r="Z768" s="211"/>
      <c r="AD768" s="211"/>
      <c r="AE768" s="211"/>
      <c r="AF768" s="211"/>
      <c r="AG768" s="211"/>
      <c r="AH768" s="211"/>
      <c r="AI768" s="211"/>
      <c r="AJ768" s="211"/>
      <c r="AK768" s="211"/>
      <c r="AL768" s="211"/>
      <c r="AM768" s="211"/>
      <c r="AN768" s="211"/>
      <c r="AO768" s="211"/>
      <c r="AP768" s="211"/>
      <c r="AQ768" s="211"/>
      <c r="AR768" s="211"/>
      <c r="AS768" s="211"/>
      <c r="AT768" s="211"/>
      <c r="AU768" s="211"/>
      <c r="AV768" s="211"/>
      <c r="AW768" s="211"/>
      <c r="AX768" s="211"/>
      <c r="AY768" s="211"/>
      <c r="AZ768" s="211"/>
    </row>
    <row r="769" spans="1:52" s="213" customFormat="1" x14ac:dyDescent="0.35">
      <c r="A769" s="211"/>
      <c r="B769" s="211"/>
      <c r="C769" s="211"/>
      <c r="D769" s="211"/>
      <c r="E769" s="211"/>
      <c r="F769" s="211"/>
      <c r="G769" s="211"/>
      <c r="H769" s="211"/>
      <c r="I769" s="212"/>
      <c r="J769" s="212"/>
      <c r="K769" s="212"/>
      <c r="L769" s="212"/>
      <c r="M769" s="212"/>
      <c r="N769" s="212"/>
      <c r="O769" s="212"/>
      <c r="P769" s="211"/>
      <c r="Q769" s="211"/>
      <c r="R769" s="211"/>
      <c r="S769" s="211"/>
      <c r="T769" s="211"/>
      <c r="U769" s="211"/>
      <c r="V769" s="211"/>
      <c r="W769" s="211"/>
      <c r="X769" s="211"/>
      <c r="Y769" s="211"/>
      <c r="Z769" s="211"/>
      <c r="AD769" s="211"/>
      <c r="AE769" s="211"/>
      <c r="AF769" s="211"/>
      <c r="AG769" s="211"/>
      <c r="AH769" s="211"/>
      <c r="AI769" s="211"/>
      <c r="AJ769" s="211"/>
      <c r="AK769" s="211"/>
      <c r="AL769" s="211"/>
      <c r="AM769" s="211"/>
      <c r="AN769" s="211"/>
      <c r="AO769" s="211"/>
      <c r="AP769" s="211"/>
      <c r="AQ769" s="211"/>
      <c r="AR769" s="211"/>
      <c r="AS769" s="211"/>
      <c r="AT769" s="211"/>
      <c r="AU769" s="211"/>
      <c r="AV769" s="211"/>
      <c r="AW769" s="211"/>
      <c r="AX769" s="211"/>
      <c r="AY769" s="211"/>
      <c r="AZ769" s="211"/>
    </row>
    <row r="770" spans="1:52" s="213" customFormat="1" x14ac:dyDescent="0.35">
      <c r="A770" s="211"/>
      <c r="B770" s="211"/>
      <c r="C770" s="211"/>
      <c r="D770" s="211"/>
      <c r="E770" s="211"/>
      <c r="F770" s="211"/>
      <c r="G770" s="211"/>
      <c r="H770" s="211"/>
      <c r="I770" s="212"/>
      <c r="J770" s="212"/>
      <c r="K770" s="212"/>
      <c r="L770" s="212"/>
      <c r="M770" s="212"/>
      <c r="N770" s="212"/>
      <c r="O770" s="212"/>
      <c r="P770" s="211"/>
      <c r="Q770" s="211"/>
      <c r="R770" s="211"/>
      <c r="S770" s="211"/>
      <c r="T770" s="211"/>
      <c r="U770" s="211"/>
      <c r="V770" s="211"/>
      <c r="W770" s="211"/>
      <c r="X770" s="211"/>
      <c r="Y770" s="211"/>
      <c r="Z770" s="211"/>
      <c r="AD770" s="211"/>
      <c r="AE770" s="211"/>
      <c r="AF770" s="211"/>
      <c r="AG770" s="211"/>
      <c r="AH770" s="211"/>
      <c r="AI770" s="211"/>
      <c r="AJ770" s="211"/>
      <c r="AK770" s="211"/>
      <c r="AL770" s="211"/>
      <c r="AM770" s="211"/>
      <c r="AN770" s="211"/>
      <c r="AO770" s="211"/>
      <c r="AP770" s="211"/>
      <c r="AQ770" s="211"/>
      <c r="AR770" s="211"/>
      <c r="AS770" s="211"/>
      <c r="AT770" s="211"/>
      <c r="AU770" s="211"/>
      <c r="AV770" s="211"/>
      <c r="AW770" s="211"/>
      <c r="AX770" s="211"/>
      <c r="AY770" s="211"/>
      <c r="AZ770" s="211"/>
    </row>
    <row r="771" spans="1:52" s="213" customFormat="1" x14ac:dyDescent="0.35">
      <c r="A771" s="211"/>
      <c r="B771" s="211"/>
      <c r="C771" s="211"/>
      <c r="D771" s="211"/>
      <c r="E771" s="211"/>
      <c r="F771" s="211"/>
      <c r="G771" s="211"/>
      <c r="H771" s="211"/>
      <c r="I771" s="212"/>
      <c r="J771" s="212"/>
      <c r="K771" s="212"/>
      <c r="L771" s="212"/>
      <c r="M771" s="212"/>
      <c r="N771" s="212"/>
      <c r="O771" s="212"/>
      <c r="P771" s="211"/>
      <c r="Q771" s="211"/>
      <c r="R771" s="211"/>
      <c r="S771" s="211"/>
      <c r="T771" s="211"/>
      <c r="U771" s="211"/>
      <c r="V771" s="211"/>
      <c r="W771" s="211"/>
      <c r="X771" s="211"/>
      <c r="Y771" s="211"/>
      <c r="Z771" s="211"/>
      <c r="AD771" s="211"/>
      <c r="AE771" s="211"/>
      <c r="AF771" s="211"/>
      <c r="AG771" s="211"/>
      <c r="AH771" s="211"/>
      <c r="AI771" s="211"/>
      <c r="AJ771" s="211"/>
      <c r="AK771" s="211"/>
      <c r="AL771" s="211"/>
      <c r="AM771" s="211"/>
      <c r="AN771" s="211"/>
      <c r="AO771" s="211"/>
      <c r="AP771" s="211"/>
      <c r="AQ771" s="211"/>
      <c r="AR771" s="211"/>
      <c r="AS771" s="211"/>
      <c r="AT771" s="211"/>
      <c r="AU771" s="211"/>
      <c r="AV771" s="211"/>
      <c r="AW771" s="211"/>
      <c r="AX771" s="211"/>
      <c r="AY771" s="211"/>
      <c r="AZ771" s="211"/>
    </row>
    <row r="772" spans="1:52" s="213" customFormat="1" x14ac:dyDescent="0.35">
      <c r="A772" s="211"/>
      <c r="B772" s="211"/>
      <c r="C772" s="211"/>
      <c r="D772" s="211"/>
      <c r="E772" s="211"/>
      <c r="F772" s="211"/>
      <c r="G772" s="211"/>
      <c r="H772" s="211"/>
      <c r="I772" s="212"/>
      <c r="J772" s="212"/>
      <c r="K772" s="212"/>
      <c r="L772" s="212"/>
      <c r="M772" s="212"/>
      <c r="N772" s="212"/>
      <c r="O772" s="212"/>
      <c r="P772" s="211"/>
      <c r="Q772" s="211"/>
      <c r="R772" s="211"/>
      <c r="S772" s="211"/>
      <c r="T772" s="211"/>
      <c r="U772" s="211"/>
      <c r="V772" s="211"/>
      <c r="W772" s="211"/>
      <c r="X772" s="211"/>
      <c r="Y772" s="211"/>
      <c r="Z772" s="211"/>
      <c r="AD772" s="211"/>
      <c r="AE772" s="211"/>
      <c r="AF772" s="211"/>
      <c r="AG772" s="211"/>
      <c r="AH772" s="211"/>
      <c r="AI772" s="211"/>
      <c r="AJ772" s="211"/>
      <c r="AK772" s="211"/>
      <c r="AL772" s="211"/>
      <c r="AM772" s="211"/>
      <c r="AN772" s="211"/>
      <c r="AO772" s="211"/>
      <c r="AP772" s="211"/>
      <c r="AQ772" s="211"/>
      <c r="AR772" s="211"/>
      <c r="AS772" s="211"/>
      <c r="AT772" s="211"/>
      <c r="AU772" s="211"/>
      <c r="AV772" s="211"/>
      <c r="AW772" s="211"/>
      <c r="AX772" s="211"/>
      <c r="AY772" s="211"/>
      <c r="AZ772" s="211"/>
    </row>
    <row r="773" spans="1:52" s="213" customFormat="1" x14ac:dyDescent="0.35">
      <c r="A773" s="211"/>
      <c r="B773" s="211"/>
      <c r="C773" s="211"/>
      <c r="D773" s="211"/>
      <c r="E773" s="211"/>
      <c r="F773" s="211"/>
      <c r="G773" s="211"/>
      <c r="H773" s="211"/>
      <c r="I773" s="212"/>
      <c r="J773" s="212"/>
      <c r="K773" s="212"/>
      <c r="L773" s="212"/>
      <c r="M773" s="212"/>
      <c r="N773" s="212"/>
      <c r="O773" s="212"/>
      <c r="P773" s="211"/>
      <c r="Q773" s="211"/>
      <c r="R773" s="211"/>
      <c r="S773" s="211"/>
      <c r="T773" s="211"/>
      <c r="U773" s="211"/>
      <c r="V773" s="211"/>
      <c r="W773" s="211"/>
      <c r="X773" s="211"/>
      <c r="Y773" s="211"/>
      <c r="Z773" s="211"/>
      <c r="AD773" s="211"/>
      <c r="AE773" s="211"/>
      <c r="AF773" s="211"/>
      <c r="AG773" s="211"/>
      <c r="AH773" s="211"/>
      <c r="AI773" s="211"/>
      <c r="AJ773" s="211"/>
      <c r="AK773" s="211"/>
      <c r="AL773" s="211"/>
      <c r="AM773" s="211"/>
      <c r="AN773" s="211"/>
      <c r="AO773" s="211"/>
      <c r="AP773" s="211"/>
      <c r="AQ773" s="211"/>
      <c r="AR773" s="211"/>
      <c r="AS773" s="211"/>
      <c r="AT773" s="211"/>
      <c r="AU773" s="211"/>
      <c r="AV773" s="211"/>
      <c r="AW773" s="211"/>
      <c r="AX773" s="211"/>
      <c r="AY773" s="211"/>
      <c r="AZ773" s="211"/>
    </row>
    <row r="774" spans="1:52" s="213" customFormat="1" x14ac:dyDescent="0.35">
      <c r="A774" s="211"/>
      <c r="B774" s="211"/>
      <c r="C774" s="211"/>
      <c r="D774" s="211"/>
      <c r="E774" s="211"/>
      <c r="F774" s="211"/>
      <c r="G774" s="211"/>
      <c r="H774" s="211"/>
      <c r="I774" s="212"/>
      <c r="J774" s="212"/>
      <c r="K774" s="212"/>
      <c r="L774" s="212"/>
      <c r="M774" s="212"/>
      <c r="N774" s="212"/>
      <c r="O774" s="212"/>
      <c r="P774" s="211"/>
      <c r="Q774" s="211"/>
      <c r="R774" s="211"/>
      <c r="S774" s="211"/>
      <c r="T774" s="211"/>
      <c r="U774" s="211"/>
      <c r="V774" s="211"/>
      <c r="W774" s="211"/>
      <c r="X774" s="211"/>
      <c r="Y774" s="211"/>
      <c r="Z774" s="211"/>
      <c r="AD774" s="211"/>
      <c r="AE774" s="211"/>
      <c r="AF774" s="211"/>
      <c r="AG774" s="211"/>
      <c r="AH774" s="211"/>
      <c r="AI774" s="211"/>
      <c r="AJ774" s="211"/>
      <c r="AK774" s="211"/>
      <c r="AL774" s="211"/>
      <c r="AM774" s="211"/>
      <c r="AN774" s="211"/>
      <c r="AO774" s="211"/>
      <c r="AP774" s="211"/>
      <c r="AQ774" s="211"/>
      <c r="AR774" s="211"/>
      <c r="AS774" s="211"/>
      <c r="AT774" s="211"/>
      <c r="AU774" s="211"/>
      <c r="AV774" s="211"/>
      <c r="AW774" s="211"/>
      <c r="AX774" s="211"/>
      <c r="AY774" s="211"/>
      <c r="AZ774" s="211"/>
    </row>
    <row r="775" spans="1:52" s="213" customFormat="1" x14ac:dyDescent="0.35">
      <c r="A775" s="211"/>
      <c r="B775" s="211"/>
      <c r="C775" s="211"/>
      <c r="D775" s="211"/>
      <c r="E775" s="211"/>
      <c r="F775" s="211"/>
      <c r="G775" s="211"/>
      <c r="H775" s="211"/>
      <c r="I775" s="212"/>
      <c r="J775" s="212"/>
      <c r="K775" s="212"/>
      <c r="L775" s="212"/>
      <c r="M775" s="212"/>
      <c r="N775" s="212"/>
      <c r="O775" s="212"/>
      <c r="P775" s="211"/>
      <c r="Q775" s="211"/>
      <c r="R775" s="211"/>
      <c r="S775" s="211"/>
      <c r="T775" s="211"/>
      <c r="U775" s="211"/>
      <c r="V775" s="211"/>
      <c r="W775" s="211"/>
      <c r="X775" s="211"/>
      <c r="Y775" s="211"/>
      <c r="Z775" s="211"/>
      <c r="AD775" s="211"/>
      <c r="AE775" s="211"/>
      <c r="AF775" s="211"/>
      <c r="AG775" s="211"/>
      <c r="AH775" s="211"/>
      <c r="AI775" s="211"/>
      <c r="AJ775" s="211"/>
      <c r="AK775" s="211"/>
      <c r="AL775" s="211"/>
      <c r="AM775" s="211"/>
      <c r="AN775" s="211"/>
      <c r="AO775" s="211"/>
      <c r="AP775" s="211"/>
      <c r="AQ775" s="211"/>
      <c r="AR775" s="211"/>
      <c r="AS775" s="211"/>
      <c r="AT775" s="211"/>
      <c r="AU775" s="211"/>
      <c r="AV775" s="211"/>
      <c r="AW775" s="211"/>
      <c r="AX775" s="211"/>
      <c r="AY775" s="211"/>
      <c r="AZ775" s="211"/>
    </row>
    <row r="776" spans="1:52" s="213" customFormat="1" x14ac:dyDescent="0.35">
      <c r="A776" s="211"/>
      <c r="B776" s="211"/>
      <c r="C776" s="211"/>
      <c r="D776" s="211"/>
      <c r="E776" s="211"/>
      <c r="F776" s="211"/>
      <c r="G776" s="211"/>
      <c r="H776" s="211"/>
      <c r="I776" s="212"/>
      <c r="J776" s="212"/>
      <c r="K776" s="212"/>
      <c r="L776" s="212"/>
      <c r="M776" s="212"/>
      <c r="N776" s="212"/>
      <c r="O776" s="212"/>
      <c r="P776" s="211"/>
      <c r="Q776" s="211"/>
      <c r="R776" s="211"/>
      <c r="S776" s="211"/>
      <c r="T776" s="211"/>
      <c r="U776" s="211"/>
      <c r="V776" s="211"/>
      <c r="W776" s="211"/>
      <c r="X776" s="211"/>
      <c r="Y776" s="211"/>
      <c r="Z776" s="211"/>
      <c r="AD776" s="211"/>
      <c r="AE776" s="211"/>
      <c r="AF776" s="211"/>
      <c r="AG776" s="211"/>
      <c r="AH776" s="211"/>
      <c r="AI776" s="211"/>
      <c r="AJ776" s="211"/>
      <c r="AK776" s="211"/>
      <c r="AL776" s="211"/>
      <c r="AM776" s="211"/>
      <c r="AN776" s="211"/>
      <c r="AO776" s="211"/>
      <c r="AP776" s="211"/>
      <c r="AQ776" s="211"/>
      <c r="AR776" s="211"/>
      <c r="AS776" s="211"/>
      <c r="AT776" s="211"/>
      <c r="AU776" s="211"/>
      <c r="AV776" s="211"/>
      <c r="AW776" s="211"/>
      <c r="AX776" s="211"/>
      <c r="AY776" s="211"/>
      <c r="AZ776" s="211"/>
    </row>
    <row r="777" spans="1:52" s="213" customFormat="1" x14ac:dyDescent="0.35">
      <c r="A777" s="211"/>
      <c r="B777" s="211"/>
      <c r="C777" s="211"/>
      <c r="D777" s="211"/>
      <c r="E777" s="211"/>
      <c r="F777" s="211"/>
      <c r="G777" s="211"/>
      <c r="H777" s="211"/>
      <c r="I777" s="212"/>
      <c r="J777" s="212"/>
      <c r="K777" s="212"/>
      <c r="L777" s="212"/>
      <c r="M777" s="212"/>
      <c r="N777" s="212"/>
      <c r="O777" s="212"/>
      <c r="P777" s="211"/>
      <c r="Q777" s="211"/>
      <c r="R777" s="211"/>
      <c r="S777" s="211"/>
      <c r="T777" s="211"/>
      <c r="U777" s="211"/>
      <c r="V777" s="211"/>
      <c r="W777" s="211"/>
      <c r="X777" s="211"/>
      <c r="Y777" s="211"/>
      <c r="Z777" s="211"/>
      <c r="AD777" s="211"/>
      <c r="AE777" s="211"/>
      <c r="AF777" s="211"/>
      <c r="AG777" s="211"/>
      <c r="AH777" s="211"/>
      <c r="AI777" s="211"/>
      <c r="AJ777" s="211"/>
      <c r="AK777" s="211"/>
      <c r="AL777" s="211"/>
      <c r="AM777" s="211"/>
      <c r="AN777" s="211"/>
      <c r="AO777" s="211"/>
      <c r="AP777" s="211"/>
      <c r="AQ777" s="211"/>
      <c r="AR777" s="211"/>
      <c r="AS777" s="211"/>
      <c r="AT777" s="211"/>
      <c r="AU777" s="211"/>
      <c r="AV777" s="211"/>
      <c r="AW777" s="211"/>
      <c r="AX777" s="211"/>
      <c r="AY777" s="211"/>
      <c r="AZ777" s="211"/>
    </row>
    <row r="778" spans="1:52" s="213" customFormat="1" x14ac:dyDescent="0.35">
      <c r="A778" s="211"/>
      <c r="B778" s="211"/>
      <c r="C778" s="211"/>
      <c r="D778" s="211"/>
      <c r="E778" s="211"/>
      <c r="F778" s="211"/>
      <c r="G778" s="211"/>
      <c r="H778" s="211"/>
      <c r="I778" s="212"/>
      <c r="J778" s="212"/>
      <c r="K778" s="212"/>
      <c r="L778" s="212"/>
      <c r="M778" s="212"/>
      <c r="N778" s="212"/>
      <c r="O778" s="212"/>
      <c r="P778" s="211"/>
      <c r="Q778" s="211"/>
      <c r="R778" s="211"/>
      <c r="S778" s="211"/>
      <c r="T778" s="211"/>
      <c r="U778" s="211"/>
      <c r="V778" s="211"/>
      <c r="W778" s="211"/>
      <c r="X778" s="211"/>
      <c r="Y778" s="211"/>
      <c r="Z778" s="211"/>
      <c r="AD778" s="211"/>
      <c r="AE778" s="211"/>
      <c r="AF778" s="211"/>
      <c r="AG778" s="211"/>
      <c r="AH778" s="211"/>
      <c r="AI778" s="211"/>
      <c r="AJ778" s="211"/>
      <c r="AK778" s="211"/>
      <c r="AL778" s="211"/>
      <c r="AM778" s="211"/>
      <c r="AN778" s="211"/>
      <c r="AO778" s="211"/>
      <c r="AP778" s="211"/>
      <c r="AQ778" s="211"/>
      <c r="AR778" s="211"/>
      <c r="AS778" s="211"/>
      <c r="AT778" s="211"/>
      <c r="AU778" s="211"/>
      <c r="AV778" s="211"/>
      <c r="AW778" s="211"/>
      <c r="AX778" s="211"/>
      <c r="AY778" s="211"/>
      <c r="AZ778" s="211"/>
    </row>
    <row r="779" spans="1:52" s="213" customFormat="1" x14ac:dyDescent="0.35">
      <c r="A779" s="211"/>
      <c r="B779" s="211"/>
      <c r="C779" s="211"/>
      <c r="D779" s="211"/>
      <c r="E779" s="211"/>
      <c r="F779" s="211"/>
      <c r="G779" s="211"/>
      <c r="H779" s="211"/>
      <c r="I779" s="212"/>
      <c r="J779" s="212"/>
      <c r="K779" s="212"/>
      <c r="L779" s="212"/>
      <c r="M779" s="212"/>
      <c r="N779" s="212"/>
      <c r="O779" s="212"/>
      <c r="P779" s="211"/>
      <c r="Q779" s="211"/>
      <c r="R779" s="211"/>
      <c r="S779" s="211"/>
      <c r="T779" s="211"/>
      <c r="U779" s="211"/>
      <c r="V779" s="211"/>
      <c r="W779" s="211"/>
      <c r="X779" s="211"/>
      <c r="Y779" s="211"/>
      <c r="Z779" s="211"/>
      <c r="AD779" s="211"/>
      <c r="AE779" s="211"/>
      <c r="AF779" s="211"/>
      <c r="AG779" s="211"/>
      <c r="AH779" s="211"/>
      <c r="AI779" s="211"/>
      <c r="AJ779" s="211"/>
      <c r="AK779" s="211"/>
      <c r="AL779" s="211"/>
      <c r="AM779" s="211"/>
      <c r="AN779" s="211"/>
      <c r="AO779" s="211"/>
      <c r="AP779" s="211"/>
      <c r="AQ779" s="211"/>
      <c r="AR779" s="211"/>
      <c r="AS779" s="211"/>
      <c r="AT779" s="211"/>
      <c r="AU779" s="211"/>
      <c r="AV779" s="211"/>
      <c r="AW779" s="211"/>
      <c r="AX779" s="211"/>
      <c r="AY779" s="211"/>
      <c r="AZ779" s="211"/>
    </row>
    <row r="780" spans="1:52" s="213" customFormat="1" x14ac:dyDescent="0.35">
      <c r="A780" s="211"/>
      <c r="B780" s="211"/>
      <c r="C780" s="211"/>
      <c r="D780" s="211"/>
      <c r="E780" s="211"/>
      <c r="F780" s="211"/>
      <c r="G780" s="211"/>
      <c r="H780" s="211"/>
      <c r="I780" s="212"/>
      <c r="J780" s="212"/>
      <c r="K780" s="212"/>
      <c r="L780" s="212"/>
      <c r="M780" s="212"/>
      <c r="N780" s="212"/>
      <c r="O780" s="212"/>
      <c r="P780" s="211"/>
      <c r="Q780" s="211"/>
      <c r="R780" s="211"/>
      <c r="S780" s="211"/>
      <c r="T780" s="211"/>
      <c r="U780" s="211"/>
      <c r="V780" s="211"/>
      <c r="W780" s="211"/>
      <c r="X780" s="211"/>
      <c r="Y780" s="211"/>
      <c r="Z780" s="211"/>
      <c r="AD780" s="211"/>
      <c r="AE780" s="211"/>
      <c r="AF780" s="211"/>
      <c r="AG780" s="211"/>
      <c r="AH780" s="211"/>
      <c r="AI780" s="211"/>
      <c r="AJ780" s="211"/>
      <c r="AK780" s="211"/>
      <c r="AL780" s="211"/>
      <c r="AM780" s="211"/>
      <c r="AN780" s="211"/>
      <c r="AO780" s="211"/>
      <c r="AP780" s="211"/>
      <c r="AQ780" s="211"/>
      <c r="AR780" s="211"/>
      <c r="AS780" s="211"/>
      <c r="AT780" s="211"/>
      <c r="AU780" s="211"/>
      <c r="AV780" s="211"/>
      <c r="AW780" s="211"/>
      <c r="AX780" s="211"/>
      <c r="AY780" s="211"/>
      <c r="AZ780" s="211"/>
    </row>
    <row r="781" spans="1:52" s="213" customFormat="1" x14ac:dyDescent="0.35">
      <c r="A781" s="211"/>
      <c r="B781" s="211"/>
      <c r="C781" s="211"/>
      <c r="D781" s="211"/>
      <c r="E781" s="211"/>
      <c r="F781" s="211"/>
      <c r="G781" s="211"/>
      <c r="H781" s="211"/>
      <c r="I781" s="212"/>
      <c r="J781" s="212"/>
      <c r="K781" s="212"/>
      <c r="L781" s="212"/>
      <c r="M781" s="212"/>
      <c r="N781" s="212"/>
      <c r="O781" s="212"/>
      <c r="P781" s="211"/>
      <c r="Q781" s="211"/>
      <c r="R781" s="211"/>
      <c r="S781" s="211"/>
      <c r="T781" s="211"/>
      <c r="U781" s="211"/>
      <c r="V781" s="211"/>
      <c r="W781" s="211"/>
      <c r="X781" s="211"/>
      <c r="Y781" s="211"/>
      <c r="Z781" s="211"/>
      <c r="AD781" s="211"/>
      <c r="AE781" s="211"/>
      <c r="AF781" s="211"/>
      <c r="AG781" s="211"/>
      <c r="AH781" s="211"/>
      <c r="AI781" s="211"/>
      <c r="AJ781" s="211"/>
      <c r="AK781" s="211"/>
      <c r="AL781" s="211"/>
      <c r="AM781" s="211"/>
      <c r="AN781" s="211"/>
      <c r="AO781" s="211"/>
      <c r="AP781" s="211"/>
      <c r="AQ781" s="211"/>
      <c r="AR781" s="211"/>
      <c r="AS781" s="211"/>
      <c r="AT781" s="211"/>
      <c r="AU781" s="211"/>
      <c r="AV781" s="211"/>
      <c r="AW781" s="211"/>
      <c r="AX781" s="211"/>
      <c r="AY781" s="211"/>
      <c r="AZ781" s="211"/>
    </row>
    <row r="782" spans="1:52" s="213" customFormat="1" x14ac:dyDescent="0.35">
      <c r="A782" s="211"/>
      <c r="B782" s="211"/>
      <c r="C782" s="211"/>
      <c r="D782" s="211"/>
      <c r="E782" s="211"/>
      <c r="F782" s="211"/>
      <c r="G782" s="211"/>
      <c r="H782" s="211"/>
      <c r="I782" s="212"/>
      <c r="J782" s="212"/>
      <c r="K782" s="212"/>
      <c r="L782" s="212"/>
      <c r="M782" s="212"/>
      <c r="N782" s="212"/>
      <c r="O782" s="212"/>
      <c r="P782" s="211"/>
      <c r="Q782" s="211"/>
      <c r="R782" s="211"/>
      <c r="S782" s="211"/>
      <c r="T782" s="211"/>
      <c r="U782" s="211"/>
      <c r="V782" s="211"/>
      <c r="W782" s="211"/>
      <c r="X782" s="211"/>
      <c r="Y782" s="211"/>
      <c r="Z782" s="211"/>
      <c r="AD782" s="211"/>
      <c r="AE782" s="211"/>
      <c r="AF782" s="211"/>
      <c r="AG782" s="211"/>
      <c r="AH782" s="211"/>
      <c r="AI782" s="211"/>
      <c r="AJ782" s="211"/>
      <c r="AK782" s="211"/>
      <c r="AL782" s="211"/>
      <c r="AM782" s="211"/>
      <c r="AN782" s="211"/>
      <c r="AO782" s="211"/>
      <c r="AP782" s="211"/>
      <c r="AQ782" s="211"/>
      <c r="AR782" s="211"/>
      <c r="AS782" s="211"/>
      <c r="AT782" s="211"/>
      <c r="AU782" s="211"/>
      <c r="AV782" s="211"/>
      <c r="AW782" s="211"/>
      <c r="AX782" s="211"/>
      <c r="AY782" s="211"/>
      <c r="AZ782" s="211"/>
    </row>
    <row r="783" spans="1:52" s="213" customFormat="1" x14ac:dyDescent="0.35">
      <c r="A783" s="211"/>
      <c r="B783" s="211"/>
      <c r="C783" s="211"/>
      <c r="D783" s="211"/>
      <c r="E783" s="211"/>
      <c r="F783" s="211"/>
      <c r="G783" s="211"/>
      <c r="H783" s="211"/>
      <c r="I783" s="212"/>
      <c r="J783" s="212"/>
      <c r="K783" s="212"/>
      <c r="L783" s="212"/>
      <c r="M783" s="212"/>
      <c r="N783" s="212"/>
      <c r="O783" s="212"/>
      <c r="P783" s="211"/>
      <c r="Q783" s="211"/>
      <c r="R783" s="211"/>
      <c r="S783" s="211"/>
      <c r="T783" s="211"/>
      <c r="U783" s="211"/>
      <c r="V783" s="211"/>
      <c r="W783" s="211"/>
      <c r="X783" s="211"/>
      <c r="Y783" s="211"/>
      <c r="Z783" s="211"/>
      <c r="AD783" s="211"/>
      <c r="AE783" s="211"/>
      <c r="AF783" s="211"/>
      <c r="AG783" s="211"/>
      <c r="AH783" s="211"/>
      <c r="AI783" s="211"/>
      <c r="AJ783" s="211"/>
      <c r="AK783" s="211"/>
      <c r="AL783" s="211"/>
      <c r="AM783" s="211"/>
      <c r="AN783" s="211"/>
      <c r="AO783" s="211"/>
      <c r="AP783" s="211"/>
      <c r="AQ783" s="211"/>
      <c r="AR783" s="211"/>
      <c r="AS783" s="211"/>
      <c r="AT783" s="211"/>
      <c r="AU783" s="211"/>
      <c r="AV783" s="211"/>
      <c r="AW783" s="211"/>
      <c r="AX783" s="211"/>
      <c r="AY783" s="211"/>
      <c r="AZ783" s="211"/>
    </row>
    <row r="784" spans="1:52" s="213" customFormat="1" x14ac:dyDescent="0.35">
      <c r="A784" s="211"/>
      <c r="B784" s="211"/>
      <c r="C784" s="211"/>
      <c r="D784" s="211"/>
      <c r="E784" s="211"/>
      <c r="F784" s="211"/>
      <c r="G784" s="211"/>
      <c r="H784" s="211"/>
      <c r="I784" s="212"/>
      <c r="J784" s="212"/>
      <c r="K784" s="212"/>
      <c r="L784" s="212"/>
      <c r="M784" s="212"/>
      <c r="N784" s="212"/>
      <c r="O784" s="212"/>
      <c r="P784" s="211"/>
      <c r="Q784" s="211"/>
      <c r="R784" s="211"/>
      <c r="S784" s="211"/>
      <c r="T784" s="211"/>
      <c r="U784" s="211"/>
      <c r="V784" s="211"/>
      <c r="W784" s="211"/>
      <c r="X784" s="211"/>
      <c r="Y784" s="211"/>
      <c r="Z784" s="211"/>
      <c r="AD784" s="211"/>
      <c r="AE784" s="211"/>
      <c r="AF784" s="211"/>
      <c r="AG784" s="211"/>
      <c r="AH784" s="211"/>
      <c r="AI784" s="211"/>
      <c r="AJ784" s="211"/>
      <c r="AK784" s="211"/>
      <c r="AL784" s="211"/>
      <c r="AM784" s="211"/>
      <c r="AN784" s="211"/>
      <c r="AO784" s="211"/>
      <c r="AP784" s="211"/>
      <c r="AQ784" s="211"/>
      <c r="AR784" s="211"/>
      <c r="AS784" s="211"/>
      <c r="AT784" s="211"/>
      <c r="AU784" s="211"/>
      <c r="AV784" s="211"/>
      <c r="AW784" s="211"/>
      <c r="AX784" s="211"/>
      <c r="AY784" s="211"/>
      <c r="AZ784" s="211"/>
    </row>
    <row r="785" spans="1:52" s="213" customFormat="1" x14ac:dyDescent="0.35">
      <c r="A785" s="211"/>
      <c r="B785" s="211"/>
      <c r="C785" s="211"/>
      <c r="D785" s="211"/>
      <c r="E785" s="211"/>
      <c r="F785" s="211"/>
      <c r="G785" s="211"/>
      <c r="H785" s="211"/>
      <c r="I785" s="212"/>
      <c r="J785" s="212"/>
      <c r="K785" s="212"/>
      <c r="L785" s="212"/>
      <c r="M785" s="212"/>
      <c r="N785" s="212"/>
      <c r="O785" s="212"/>
      <c r="P785" s="211"/>
      <c r="Q785" s="211"/>
      <c r="R785" s="211"/>
      <c r="S785" s="211"/>
      <c r="T785" s="211"/>
      <c r="U785" s="211"/>
      <c r="V785" s="211"/>
      <c r="W785" s="211"/>
      <c r="X785" s="211"/>
      <c r="Y785" s="211"/>
      <c r="Z785" s="211"/>
      <c r="AD785" s="211"/>
      <c r="AE785" s="211"/>
      <c r="AF785" s="211"/>
      <c r="AG785" s="211"/>
      <c r="AH785" s="211"/>
      <c r="AI785" s="211"/>
      <c r="AJ785" s="211"/>
      <c r="AK785" s="211"/>
      <c r="AL785" s="211"/>
      <c r="AM785" s="211"/>
      <c r="AN785" s="211"/>
      <c r="AO785" s="211"/>
      <c r="AP785" s="211"/>
      <c r="AQ785" s="211"/>
      <c r="AR785" s="211"/>
      <c r="AS785" s="211"/>
      <c r="AT785" s="211"/>
      <c r="AU785" s="211"/>
      <c r="AV785" s="211"/>
      <c r="AW785" s="211"/>
      <c r="AX785" s="211"/>
      <c r="AY785" s="211"/>
      <c r="AZ785" s="211"/>
    </row>
    <row r="786" spans="1:52" s="213" customFormat="1" x14ac:dyDescent="0.35">
      <c r="A786" s="211"/>
      <c r="B786" s="211"/>
      <c r="C786" s="211"/>
      <c r="D786" s="211"/>
      <c r="E786" s="211"/>
      <c r="F786" s="211"/>
      <c r="G786" s="211"/>
      <c r="H786" s="211"/>
      <c r="I786" s="212"/>
      <c r="J786" s="212"/>
      <c r="K786" s="212"/>
      <c r="L786" s="212"/>
      <c r="M786" s="212"/>
      <c r="N786" s="212"/>
      <c r="O786" s="212"/>
      <c r="P786" s="211"/>
      <c r="Q786" s="211"/>
      <c r="R786" s="211"/>
      <c r="S786" s="211"/>
      <c r="T786" s="211"/>
      <c r="U786" s="211"/>
      <c r="V786" s="211"/>
      <c r="W786" s="211"/>
      <c r="X786" s="211"/>
      <c r="Y786" s="211"/>
      <c r="Z786" s="211"/>
      <c r="AD786" s="211"/>
      <c r="AE786" s="211"/>
      <c r="AF786" s="211"/>
      <c r="AG786" s="211"/>
      <c r="AH786" s="211"/>
      <c r="AI786" s="211"/>
      <c r="AJ786" s="211"/>
      <c r="AK786" s="211"/>
      <c r="AL786" s="211"/>
      <c r="AM786" s="211"/>
      <c r="AN786" s="211"/>
      <c r="AO786" s="211"/>
      <c r="AP786" s="211"/>
      <c r="AQ786" s="211"/>
      <c r="AR786" s="211"/>
      <c r="AS786" s="211"/>
      <c r="AT786" s="211"/>
      <c r="AU786" s="211"/>
      <c r="AV786" s="211"/>
      <c r="AW786" s="211"/>
      <c r="AX786" s="211"/>
      <c r="AY786" s="211"/>
      <c r="AZ786" s="211"/>
    </row>
    <row r="787" spans="1:52" s="213" customFormat="1" x14ac:dyDescent="0.35">
      <c r="A787" s="211"/>
      <c r="B787" s="211"/>
      <c r="C787" s="211"/>
      <c r="D787" s="211"/>
      <c r="E787" s="211"/>
      <c r="F787" s="211"/>
      <c r="G787" s="211"/>
      <c r="H787" s="211"/>
      <c r="I787" s="212"/>
      <c r="J787" s="212"/>
      <c r="K787" s="212"/>
      <c r="L787" s="212"/>
      <c r="M787" s="212"/>
      <c r="N787" s="212"/>
      <c r="O787" s="212"/>
      <c r="P787" s="211"/>
      <c r="Q787" s="211"/>
      <c r="R787" s="211"/>
      <c r="S787" s="211"/>
      <c r="T787" s="211"/>
      <c r="U787" s="211"/>
      <c r="V787" s="211"/>
      <c r="W787" s="211"/>
      <c r="X787" s="211"/>
      <c r="Y787" s="211"/>
      <c r="Z787" s="211"/>
      <c r="AD787" s="211"/>
      <c r="AE787" s="211"/>
      <c r="AF787" s="211"/>
      <c r="AG787" s="211"/>
      <c r="AH787" s="211"/>
      <c r="AI787" s="211"/>
      <c r="AJ787" s="211"/>
      <c r="AK787" s="211"/>
      <c r="AL787" s="211"/>
      <c r="AM787" s="211"/>
      <c r="AN787" s="211"/>
      <c r="AO787" s="211"/>
      <c r="AP787" s="211"/>
      <c r="AQ787" s="211"/>
      <c r="AR787" s="211"/>
      <c r="AS787" s="211"/>
      <c r="AT787" s="211"/>
      <c r="AU787" s="211"/>
      <c r="AV787" s="211"/>
      <c r="AW787" s="211"/>
      <c r="AX787" s="211"/>
      <c r="AY787" s="211"/>
      <c r="AZ787" s="211"/>
    </row>
    <row r="788" spans="1:52" s="213" customFormat="1" x14ac:dyDescent="0.35">
      <c r="A788" s="211"/>
      <c r="B788" s="211"/>
      <c r="C788" s="211"/>
      <c r="D788" s="211"/>
      <c r="E788" s="211"/>
      <c r="F788" s="211"/>
      <c r="G788" s="211"/>
      <c r="H788" s="211"/>
      <c r="I788" s="212"/>
      <c r="J788" s="212"/>
      <c r="K788" s="212"/>
      <c r="L788" s="212"/>
      <c r="M788" s="212"/>
      <c r="N788" s="212"/>
      <c r="O788" s="212"/>
      <c r="P788" s="211"/>
      <c r="Q788" s="211"/>
      <c r="R788" s="211"/>
      <c r="S788" s="211"/>
      <c r="T788" s="211"/>
      <c r="U788" s="211"/>
      <c r="V788" s="211"/>
      <c r="W788" s="211"/>
      <c r="X788" s="211"/>
      <c r="Y788" s="211"/>
      <c r="Z788" s="211"/>
      <c r="AD788" s="211"/>
      <c r="AE788" s="211"/>
      <c r="AF788" s="211"/>
      <c r="AG788" s="211"/>
      <c r="AH788" s="211"/>
      <c r="AI788" s="211"/>
      <c r="AJ788" s="211"/>
      <c r="AK788" s="211"/>
      <c r="AL788" s="211"/>
      <c r="AM788" s="211"/>
      <c r="AN788" s="211"/>
      <c r="AO788" s="211"/>
      <c r="AP788" s="211"/>
      <c r="AQ788" s="211"/>
      <c r="AR788" s="211"/>
      <c r="AS788" s="211"/>
      <c r="AT788" s="211"/>
      <c r="AU788" s="211"/>
      <c r="AV788" s="211"/>
      <c r="AW788" s="211"/>
      <c r="AX788" s="211"/>
      <c r="AY788" s="211"/>
      <c r="AZ788" s="211"/>
    </row>
    <row r="789" spans="1:52" s="213" customFormat="1" x14ac:dyDescent="0.35">
      <c r="A789" s="211"/>
      <c r="B789" s="211"/>
      <c r="C789" s="211"/>
      <c r="D789" s="211"/>
      <c r="E789" s="211"/>
      <c r="F789" s="211"/>
      <c r="G789" s="211"/>
      <c r="H789" s="211"/>
      <c r="I789" s="212"/>
      <c r="J789" s="212"/>
      <c r="K789" s="212"/>
      <c r="L789" s="212"/>
      <c r="M789" s="212"/>
      <c r="N789" s="212"/>
      <c r="O789" s="212"/>
      <c r="P789" s="211"/>
      <c r="Q789" s="211"/>
      <c r="R789" s="211"/>
      <c r="S789" s="211"/>
      <c r="T789" s="211"/>
      <c r="U789" s="211"/>
      <c r="V789" s="211"/>
      <c r="W789" s="211"/>
      <c r="X789" s="211"/>
      <c r="Y789" s="211"/>
      <c r="Z789" s="211"/>
      <c r="AD789" s="211"/>
      <c r="AE789" s="211"/>
      <c r="AF789" s="211"/>
      <c r="AG789" s="211"/>
      <c r="AH789" s="211"/>
      <c r="AI789" s="211"/>
      <c r="AJ789" s="211"/>
      <c r="AK789" s="211"/>
      <c r="AL789" s="211"/>
      <c r="AM789" s="211"/>
      <c r="AN789" s="211"/>
      <c r="AO789" s="211"/>
      <c r="AP789" s="211"/>
      <c r="AQ789" s="211"/>
      <c r="AR789" s="211"/>
      <c r="AS789" s="211"/>
      <c r="AT789" s="211"/>
      <c r="AU789" s="211"/>
      <c r="AV789" s="211"/>
      <c r="AW789" s="211"/>
      <c r="AX789" s="211"/>
      <c r="AY789" s="211"/>
      <c r="AZ789" s="211"/>
    </row>
    <row r="790" spans="1:52" s="213" customFormat="1" x14ac:dyDescent="0.35">
      <c r="A790" s="211"/>
      <c r="B790" s="211"/>
      <c r="C790" s="211"/>
      <c r="D790" s="211"/>
      <c r="E790" s="211"/>
      <c r="F790" s="211"/>
      <c r="G790" s="211"/>
      <c r="H790" s="211"/>
      <c r="I790" s="212"/>
      <c r="J790" s="212"/>
      <c r="K790" s="212"/>
      <c r="L790" s="212"/>
      <c r="M790" s="212"/>
      <c r="N790" s="212"/>
      <c r="O790" s="212"/>
      <c r="P790" s="211"/>
      <c r="Q790" s="211"/>
      <c r="R790" s="211"/>
      <c r="S790" s="211"/>
      <c r="T790" s="211"/>
      <c r="U790" s="211"/>
      <c r="V790" s="211"/>
      <c r="W790" s="211"/>
      <c r="X790" s="211"/>
      <c r="Y790" s="211"/>
      <c r="Z790" s="211"/>
      <c r="AD790" s="211"/>
      <c r="AE790" s="211"/>
      <c r="AF790" s="211"/>
      <c r="AG790" s="211"/>
      <c r="AH790" s="211"/>
      <c r="AI790" s="211"/>
      <c r="AJ790" s="211"/>
      <c r="AK790" s="211"/>
      <c r="AL790" s="211"/>
      <c r="AM790" s="211"/>
      <c r="AN790" s="211"/>
      <c r="AO790" s="211"/>
      <c r="AP790" s="211"/>
      <c r="AQ790" s="211"/>
      <c r="AR790" s="211"/>
      <c r="AS790" s="211"/>
      <c r="AT790" s="211"/>
      <c r="AU790" s="211"/>
      <c r="AV790" s="211"/>
      <c r="AW790" s="211"/>
      <c r="AX790" s="211"/>
      <c r="AY790" s="211"/>
      <c r="AZ790" s="211"/>
    </row>
    <row r="791" spans="1:52" s="213" customFormat="1" x14ac:dyDescent="0.35">
      <c r="A791" s="211"/>
      <c r="B791" s="211"/>
      <c r="C791" s="211"/>
      <c r="D791" s="211"/>
      <c r="E791" s="211"/>
      <c r="F791" s="211"/>
      <c r="G791" s="211"/>
      <c r="H791" s="211"/>
      <c r="I791" s="212"/>
      <c r="J791" s="212"/>
      <c r="K791" s="212"/>
      <c r="L791" s="212"/>
      <c r="M791" s="212"/>
      <c r="N791" s="212"/>
      <c r="O791" s="212"/>
      <c r="P791" s="211"/>
      <c r="Q791" s="211"/>
      <c r="R791" s="211"/>
      <c r="S791" s="211"/>
      <c r="T791" s="211"/>
      <c r="U791" s="211"/>
      <c r="V791" s="211"/>
      <c r="W791" s="211"/>
      <c r="X791" s="211"/>
      <c r="Y791" s="211"/>
      <c r="Z791" s="211"/>
      <c r="AD791" s="211"/>
      <c r="AE791" s="211"/>
      <c r="AF791" s="211"/>
      <c r="AG791" s="211"/>
      <c r="AH791" s="211"/>
      <c r="AI791" s="211"/>
      <c r="AJ791" s="211"/>
      <c r="AK791" s="211"/>
      <c r="AL791" s="211"/>
      <c r="AM791" s="211"/>
      <c r="AN791" s="211"/>
      <c r="AO791" s="211"/>
      <c r="AP791" s="211"/>
      <c r="AQ791" s="211"/>
      <c r="AR791" s="211"/>
      <c r="AS791" s="211"/>
      <c r="AT791" s="211"/>
      <c r="AU791" s="211"/>
      <c r="AV791" s="211"/>
      <c r="AW791" s="211"/>
      <c r="AX791" s="211"/>
      <c r="AY791" s="211"/>
      <c r="AZ791" s="211"/>
    </row>
    <row r="792" spans="1:52" s="213" customFormat="1" x14ac:dyDescent="0.35">
      <c r="A792" s="211"/>
      <c r="B792" s="211"/>
      <c r="C792" s="211"/>
      <c r="D792" s="211"/>
      <c r="E792" s="211"/>
      <c r="F792" s="211"/>
      <c r="G792" s="211"/>
      <c r="H792" s="211"/>
      <c r="I792" s="212"/>
      <c r="J792" s="212"/>
      <c r="K792" s="212"/>
      <c r="L792" s="212"/>
      <c r="M792" s="212"/>
      <c r="N792" s="212"/>
      <c r="O792" s="212"/>
      <c r="P792" s="211"/>
      <c r="Q792" s="211"/>
      <c r="R792" s="211"/>
      <c r="S792" s="211"/>
      <c r="T792" s="211"/>
      <c r="U792" s="211"/>
      <c r="V792" s="211"/>
      <c r="W792" s="211"/>
      <c r="X792" s="211"/>
      <c r="Y792" s="211"/>
      <c r="Z792" s="211"/>
      <c r="AD792" s="211"/>
      <c r="AE792" s="211"/>
      <c r="AF792" s="211"/>
      <c r="AG792" s="211"/>
      <c r="AH792" s="211"/>
      <c r="AI792" s="211"/>
      <c r="AJ792" s="211"/>
      <c r="AK792" s="211"/>
      <c r="AL792" s="211"/>
      <c r="AM792" s="211"/>
      <c r="AN792" s="211"/>
      <c r="AO792" s="211"/>
      <c r="AP792" s="211"/>
      <c r="AQ792" s="211"/>
      <c r="AR792" s="211"/>
      <c r="AS792" s="211"/>
      <c r="AT792" s="211"/>
      <c r="AU792" s="211"/>
      <c r="AV792" s="211"/>
      <c r="AW792" s="211"/>
      <c r="AX792" s="211"/>
      <c r="AY792" s="211"/>
      <c r="AZ792" s="211"/>
    </row>
    <row r="793" spans="1:52" s="213" customFormat="1" x14ac:dyDescent="0.35">
      <c r="A793" s="211"/>
      <c r="B793" s="211"/>
      <c r="C793" s="211"/>
      <c r="D793" s="211"/>
      <c r="E793" s="211"/>
      <c r="F793" s="211"/>
      <c r="G793" s="211"/>
      <c r="H793" s="211"/>
      <c r="I793" s="212"/>
      <c r="J793" s="212"/>
      <c r="K793" s="212"/>
      <c r="L793" s="212"/>
      <c r="M793" s="212"/>
      <c r="N793" s="212"/>
      <c r="O793" s="212"/>
      <c r="P793" s="211"/>
      <c r="Q793" s="211"/>
      <c r="R793" s="211"/>
      <c r="S793" s="211"/>
      <c r="T793" s="211"/>
      <c r="U793" s="211"/>
      <c r="V793" s="211"/>
      <c r="W793" s="211"/>
      <c r="X793" s="211"/>
      <c r="Y793" s="211"/>
      <c r="Z793" s="211"/>
      <c r="AD793" s="211"/>
      <c r="AE793" s="211"/>
      <c r="AF793" s="211"/>
      <c r="AG793" s="211"/>
      <c r="AH793" s="211"/>
      <c r="AI793" s="211"/>
      <c r="AJ793" s="211"/>
      <c r="AK793" s="211"/>
      <c r="AL793" s="211"/>
      <c r="AM793" s="211"/>
      <c r="AN793" s="211"/>
      <c r="AO793" s="211"/>
      <c r="AP793" s="211"/>
      <c r="AQ793" s="211"/>
      <c r="AR793" s="211"/>
      <c r="AS793" s="211"/>
      <c r="AT793" s="211"/>
      <c r="AU793" s="211"/>
      <c r="AV793" s="211"/>
      <c r="AW793" s="211"/>
      <c r="AX793" s="211"/>
      <c r="AY793" s="211"/>
      <c r="AZ793" s="211"/>
    </row>
    <row r="794" spans="1:52" s="213" customFormat="1" x14ac:dyDescent="0.35">
      <c r="A794" s="211"/>
      <c r="B794" s="211"/>
      <c r="C794" s="211"/>
      <c r="D794" s="211"/>
      <c r="E794" s="211"/>
      <c r="F794" s="211"/>
      <c r="G794" s="211"/>
      <c r="H794" s="211"/>
      <c r="I794" s="212"/>
      <c r="J794" s="212"/>
      <c r="K794" s="212"/>
      <c r="L794" s="212"/>
      <c r="M794" s="212"/>
      <c r="N794" s="212"/>
      <c r="O794" s="212"/>
      <c r="P794" s="211"/>
      <c r="Q794" s="211"/>
      <c r="R794" s="211"/>
      <c r="S794" s="211"/>
      <c r="T794" s="211"/>
      <c r="U794" s="211"/>
      <c r="V794" s="211"/>
      <c r="W794" s="211"/>
      <c r="X794" s="211"/>
      <c r="Y794" s="211"/>
      <c r="Z794" s="211"/>
      <c r="AD794" s="211"/>
      <c r="AE794" s="211"/>
      <c r="AF794" s="211"/>
      <c r="AG794" s="211"/>
      <c r="AH794" s="211"/>
      <c r="AI794" s="211"/>
      <c r="AJ794" s="211"/>
      <c r="AK794" s="211"/>
      <c r="AL794" s="211"/>
      <c r="AM794" s="211"/>
      <c r="AN794" s="211"/>
      <c r="AO794" s="211"/>
      <c r="AP794" s="211"/>
      <c r="AQ794" s="211"/>
      <c r="AR794" s="211"/>
      <c r="AS794" s="211"/>
      <c r="AT794" s="211"/>
      <c r="AU794" s="211"/>
      <c r="AV794" s="211"/>
      <c r="AW794" s="211"/>
      <c r="AX794" s="211"/>
      <c r="AY794" s="211"/>
      <c r="AZ794" s="211"/>
    </row>
    <row r="795" spans="1:52" s="213" customFormat="1" x14ac:dyDescent="0.35">
      <c r="A795" s="211"/>
      <c r="B795" s="211"/>
      <c r="C795" s="211"/>
      <c r="D795" s="211"/>
      <c r="E795" s="211"/>
      <c r="F795" s="211"/>
      <c r="G795" s="211"/>
      <c r="H795" s="211"/>
      <c r="I795" s="212"/>
      <c r="J795" s="212"/>
      <c r="K795" s="212"/>
      <c r="L795" s="212"/>
      <c r="M795" s="212"/>
      <c r="N795" s="212"/>
      <c r="O795" s="212"/>
      <c r="P795" s="211"/>
      <c r="Q795" s="211"/>
      <c r="R795" s="211"/>
      <c r="S795" s="211"/>
      <c r="T795" s="211"/>
      <c r="U795" s="211"/>
      <c r="V795" s="211"/>
      <c r="W795" s="211"/>
      <c r="X795" s="211"/>
      <c r="Y795" s="211"/>
      <c r="Z795" s="211"/>
      <c r="AD795" s="211"/>
      <c r="AE795" s="211"/>
      <c r="AF795" s="211"/>
      <c r="AG795" s="211"/>
      <c r="AH795" s="211"/>
      <c r="AI795" s="211"/>
      <c r="AJ795" s="211"/>
      <c r="AK795" s="211"/>
      <c r="AL795" s="211"/>
      <c r="AM795" s="211"/>
      <c r="AN795" s="211"/>
      <c r="AO795" s="211"/>
      <c r="AP795" s="211"/>
      <c r="AQ795" s="211"/>
      <c r="AR795" s="211"/>
      <c r="AS795" s="211"/>
      <c r="AT795" s="211"/>
      <c r="AU795" s="211"/>
      <c r="AV795" s="211"/>
      <c r="AW795" s="211"/>
      <c r="AX795" s="211"/>
      <c r="AY795" s="211"/>
      <c r="AZ795" s="211"/>
    </row>
    <row r="796" spans="1:52" s="213" customFormat="1" x14ac:dyDescent="0.35">
      <c r="A796" s="211"/>
      <c r="B796" s="211"/>
      <c r="C796" s="211"/>
      <c r="D796" s="211"/>
      <c r="E796" s="211"/>
      <c r="F796" s="211"/>
      <c r="G796" s="211"/>
      <c r="H796" s="211"/>
      <c r="I796" s="212"/>
      <c r="J796" s="212"/>
      <c r="K796" s="212"/>
      <c r="L796" s="212"/>
      <c r="M796" s="212"/>
      <c r="N796" s="212"/>
      <c r="O796" s="212"/>
      <c r="P796" s="211"/>
      <c r="Q796" s="211"/>
      <c r="R796" s="211"/>
      <c r="S796" s="211"/>
      <c r="T796" s="211"/>
      <c r="U796" s="211"/>
      <c r="V796" s="211"/>
      <c r="W796" s="211"/>
      <c r="X796" s="211"/>
      <c r="Y796" s="211"/>
      <c r="Z796" s="211"/>
      <c r="AD796" s="211"/>
      <c r="AE796" s="211"/>
      <c r="AF796" s="211"/>
      <c r="AG796" s="211"/>
      <c r="AH796" s="211"/>
      <c r="AI796" s="211"/>
      <c r="AJ796" s="211"/>
      <c r="AK796" s="211"/>
      <c r="AL796" s="211"/>
      <c r="AM796" s="211"/>
      <c r="AN796" s="211"/>
      <c r="AO796" s="211"/>
      <c r="AP796" s="211"/>
      <c r="AQ796" s="211"/>
      <c r="AR796" s="211"/>
      <c r="AS796" s="211"/>
      <c r="AT796" s="211"/>
      <c r="AU796" s="211"/>
      <c r="AV796" s="211"/>
      <c r="AW796" s="211"/>
      <c r="AX796" s="211"/>
      <c r="AY796" s="211"/>
      <c r="AZ796" s="211"/>
    </row>
    <row r="797" spans="1:52" s="213" customFormat="1" x14ac:dyDescent="0.35">
      <c r="A797" s="211"/>
      <c r="B797" s="211"/>
      <c r="C797" s="211"/>
      <c r="D797" s="211"/>
      <c r="E797" s="211"/>
      <c r="F797" s="211"/>
      <c r="G797" s="211"/>
      <c r="H797" s="211"/>
      <c r="I797" s="212"/>
      <c r="J797" s="212"/>
      <c r="K797" s="212"/>
      <c r="L797" s="212"/>
      <c r="M797" s="212"/>
      <c r="N797" s="212"/>
      <c r="O797" s="212"/>
      <c r="P797" s="211"/>
      <c r="Q797" s="211"/>
      <c r="R797" s="211"/>
      <c r="S797" s="211"/>
      <c r="T797" s="211"/>
      <c r="U797" s="211"/>
      <c r="V797" s="211"/>
      <c r="W797" s="211"/>
      <c r="X797" s="211"/>
      <c r="Y797" s="211"/>
      <c r="Z797" s="211"/>
      <c r="AD797" s="211"/>
      <c r="AE797" s="211"/>
      <c r="AF797" s="211"/>
      <c r="AG797" s="211"/>
      <c r="AH797" s="211"/>
      <c r="AI797" s="211"/>
      <c r="AJ797" s="211"/>
      <c r="AK797" s="211"/>
      <c r="AL797" s="211"/>
      <c r="AM797" s="211"/>
      <c r="AN797" s="211"/>
      <c r="AO797" s="211"/>
      <c r="AP797" s="211"/>
      <c r="AQ797" s="211"/>
      <c r="AR797" s="211"/>
      <c r="AS797" s="211"/>
      <c r="AT797" s="211"/>
      <c r="AU797" s="211"/>
      <c r="AV797" s="211"/>
      <c r="AW797" s="211"/>
      <c r="AX797" s="211"/>
      <c r="AY797" s="211"/>
      <c r="AZ797" s="211"/>
    </row>
    <row r="798" spans="1:52" s="213" customFormat="1" x14ac:dyDescent="0.35">
      <c r="A798" s="211"/>
      <c r="B798" s="211"/>
      <c r="C798" s="211"/>
      <c r="D798" s="211"/>
      <c r="E798" s="211"/>
      <c r="F798" s="211"/>
      <c r="G798" s="211"/>
      <c r="H798" s="211"/>
      <c r="I798" s="212"/>
      <c r="J798" s="212"/>
      <c r="K798" s="212"/>
      <c r="L798" s="212"/>
      <c r="M798" s="212"/>
      <c r="N798" s="212"/>
      <c r="O798" s="212"/>
      <c r="P798" s="211"/>
      <c r="Q798" s="211"/>
      <c r="R798" s="211"/>
      <c r="S798" s="211"/>
      <c r="T798" s="211"/>
      <c r="U798" s="211"/>
      <c r="V798" s="211"/>
      <c r="W798" s="211"/>
      <c r="X798" s="211"/>
      <c r="Y798" s="211"/>
      <c r="Z798" s="211"/>
      <c r="AD798" s="211"/>
      <c r="AE798" s="211"/>
      <c r="AF798" s="211"/>
      <c r="AG798" s="211"/>
      <c r="AH798" s="211"/>
      <c r="AI798" s="211"/>
      <c r="AJ798" s="211"/>
      <c r="AK798" s="211"/>
      <c r="AL798" s="211"/>
      <c r="AM798" s="211"/>
      <c r="AN798" s="211"/>
      <c r="AO798" s="211"/>
      <c r="AP798" s="211"/>
      <c r="AQ798" s="211"/>
      <c r="AR798" s="211"/>
      <c r="AS798" s="211"/>
      <c r="AT798" s="211"/>
      <c r="AU798" s="211"/>
      <c r="AV798" s="211"/>
      <c r="AW798" s="211"/>
      <c r="AX798" s="211"/>
      <c r="AY798" s="211"/>
      <c r="AZ798" s="211"/>
    </row>
    <row r="799" spans="1:52" s="213" customFormat="1" x14ac:dyDescent="0.35">
      <c r="A799" s="211"/>
      <c r="B799" s="211"/>
      <c r="C799" s="211"/>
      <c r="D799" s="211"/>
      <c r="E799" s="211"/>
      <c r="F799" s="211"/>
      <c r="G799" s="211"/>
      <c r="H799" s="211"/>
      <c r="I799" s="212"/>
      <c r="J799" s="212"/>
      <c r="K799" s="212"/>
      <c r="L799" s="212"/>
      <c r="M799" s="212"/>
      <c r="N799" s="212"/>
      <c r="O799" s="212"/>
      <c r="P799" s="211"/>
      <c r="Q799" s="211"/>
      <c r="R799" s="211"/>
      <c r="S799" s="211"/>
      <c r="T799" s="211"/>
      <c r="U799" s="211"/>
      <c r="V799" s="211"/>
      <c r="W799" s="211"/>
      <c r="X799" s="211"/>
      <c r="Y799" s="211"/>
      <c r="Z799" s="211"/>
      <c r="AD799" s="211"/>
      <c r="AE799" s="211"/>
      <c r="AF799" s="211"/>
      <c r="AG799" s="211"/>
      <c r="AH799" s="211"/>
      <c r="AI799" s="211"/>
      <c r="AJ799" s="211"/>
      <c r="AK799" s="211"/>
      <c r="AL799" s="211"/>
      <c r="AM799" s="211"/>
      <c r="AN799" s="211"/>
      <c r="AO799" s="211"/>
      <c r="AP799" s="211"/>
      <c r="AQ799" s="211"/>
      <c r="AR799" s="211"/>
      <c r="AS799" s="211"/>
      <c r="AT799" s="211"/>
      <c r="AU799" s="211"/>
      <c r="AV799" s="211"/>
      <c r="AW799" s="211"/>
      <c r="AX799" s="211"/>
      <c r="AY799" s="211"/>
      <c r="AZ799" s="211"/>
    </row>
    <row r="800" spans="1:52" s="213" customFormat="1" x14ac:dyDescent="0.35">
      <c r="A800" s="211"/>
      <c r="B800" s="211"/>
      <c r="C800" s="211"/>
      <c r="D800" s="211"/>
      <c r="E800" s="211"/>
      <c r="F800" s="211"/>
      <c r="G800" s="211"/>
      <c r="H800" s="211"/>
      <c r="I800" s="212"/>
      <c r="J800" s="212"/>
      <c r="K800" s="212"/>
      <c r="L800" s="212"/>
      <c r="M800" s="212"/>
      <c r="N800" s="212"/>
      <c r="O800" s="212"/>
      <c r="P800" s="211"/>
      <c r="Q800" s="211"/>
      <c r="R800" s="211"/>
      <c r="S800" s="211"/>
      <c r="T800" s="211"/>
      <c r="U800" s="211"/>
      <c r="V800" s="211"/>
      <c r="W800" s="211"/>
      <c r="X800" s="211"/>
      <c r="Y800" s="211"/>
      <c r="Z800" s="211"/>
      <c r="AD800" s="211"/>
      <c r="AE800" s="211"/>
      <c r="AF800" s="211"/>
      <c r="AG800" s="211"/>
      <c r="AH800" s="211"/>
      <c r="AI800" s="211"/>
      <c r="AJ800" s="211"/>
      <c r="AK800" s="211"/>
      <c r="AL800" s="211"/>
      <c r="AM800" s="211"/>
      <c r="AN800" s="211"/>
      <c r="AO800" s="211"/>
      <c r="AP800" s="211"/>
      <c r="AQ800" s="211"/>
      <c r="AR800" s="211"/>
      <c r="AS800" s="211"/>
      <c r="AT800" s="211"/>
      <c r="AU800" s="211"/>
      <c r="AV800" s="211"/>
      <c r="AW800" s="211"/>
      <c r="AX800" s="211"/>
      <c r="AY800" s="211"/>
      <c r="AZ800" s="211"/>
    </row>
    <row r="801" spans="1:52" s="213" customFormat="1" x14ac:dyDescent="0.35">
      <c r="A801" s="211"/>
      <c r="B801" s="211"/>
      <c r="C801" s="211"/>
      <c r="D801" s="211"/>
      <c r="E801" s="211"/>
      <c r="F801" s="211"/>
      <c r="G801" s="211"/>
      <c r="H801" s="211"/>
      <c r="I801" s="212"/>
      <c r="J801" s="212"/>
      <c r="K801" s="212"/>
      <c r="L801" s="212"/>
      <c r="M801" s="212"/>
      <c r="N801" s="212"/>
      <c r="O801" s="212"/>
      <c r="P801" s="211"/>
      <c r="Q801" s="211"/>
      <c r="R801" s="211"/>
      <c r="S801" s="211"/>
      <c r="T801" s="211"/>
      <c r="U801" s="211"/>
      <c r="V801" s="211"/>
      <c r="W801" s="211"/>
      <c r="X801" s="211"/>
      <c r="Y801" s="211"/>
      <c r="Z801" s="211"/>
      <c r="AD801" s="211"/>
      <c r="AE801" s="211"/>
      <c r="AF801" s="211"/>
      <c r="AG801" s="211"/>
      <c r="AH801" s="211"/>
      <c r="AI801" s="211"/>
      <c r="AJ801" s="211"/>
      <c r="AK801" s="211"/>
      <c r="AL801" s="211"/>
      <c r="AM801" s="211"/>
      <c r="AN801" s="211"/>
      <c r="AO801" s="211"/>
      <c r="AP801" s="211"/>
      <c r="AQ801" s="211"/>
      <c r="AR801" s="211"/>
      <c r="AS801" s="211"/>
      <c r="AT801" s="211"/>
      <c r="AU801" s="211"/>
      <c r="AV801" s="211"/>
      <c r="AW801" s="211"/>
      <c r="AX801" s="211"/>
      <c r="AY801" s="211"/>
      <c r="AZ801" s="211"/>
    </row>
    <row r="802" spans="1:52" s="213" customFormat="1" x14ac:dyDescent="0.35">
      <c r="A802" s="211"/>
      <c r="B802" s="211"/>
      <c r="C802" s="211"/>
      <c r="D802" s="211"/>
      <c r="E802" s="211"/>
      <c r="F802" s="211"/>
      <c r="G802" s="211"/>
      <c r="H802" s="211"/>
      <c r="I802" s="212"/>
      <c r="J802" s="212"/>
      <c r="K802" s="212"/>
      <c r="L802" s="212"/>
      <c r="M802" s="212"/>
      <c r="N802" s="212"/>
      <c r="O802" s="212"/>
      <c r="P802" s="211"/>
      <c r="Q802" s="211"/>
      <c r="R802" s="211"/>
      <c r="S802" s="211"/>
      <c r="T802" s="211"/>
      <c r="U802" s="211"/>
      <c r="V802" s="211"/>
      <c r="W802" s="211"/>
      <c r="X802" s="211"/>
      <c r="Y802" s="211"/>
      <c r="Z802" s="211"/>
      <c r="AD802" s="211"/>
      <c r="AE802" s="211"/>
      <c r="AF802" s="211"/>
      <c r="AG802" s="211"/>
      <c r="AH802" s="211"/>
      <c r="AI802" s="211"/>
      <c r="AJ802" s="211"/>
      <c r="AK802" s="211"/>
      <c r="AL802" s="211"/>
      <c r="AM802" s="211"/>
      <c r="AN802" s="211"/>
      <c r="AO802" s="211"/>
      <c r="AP802" s="211"/>
      <c r="AQ802" s="211"/>
      <c r="AR802" s="211"/>
      <c r="AS802" s="211"/>
      <c r="AT802" s="211"/>
      <c r="AU802" s="211"/>
      <c r="AV802" s="211"/>
      <c r="AW802" s="211"/>
      <c r="AX802" s="211"/>
      <c r="AY802" s="211"/>
      <c r="AZ802" s="211"/>
    </row>
    <row r="803" spans="1:52" s="213" customFormat="1" x14ac:dyDescent="0.35">
      <c r="A803" s="211"/>
      <c r="B803" s="211"/>
      <c r="C803" s="211"/>
      <c r="D803" s="211"/>
      <c r="E803" s="211"/>
      <c r="F803" s="211"/>
      <c r="G803" s="211"/>
      <c r="H803" s="211"/>
      <c r="I803" s="212"/>
      <c r="J803" s="212"/>
      <c r="K803" s="212"/>
      <c r="L803" s="212"/>
      <c r="M803" s="212"/>
      <c r="N803" s="212"/>
      <c r="O803" s="212"/>
      <c r="P803" s="211"/>
      <c r="Q803" s="211"/>
      <c r="R803" s="211"/>
      <c r="S803" s="211"/>
      <c r="T803" s="211"/>
      <c r="U803" s="211"/>
      <c r="V803" s="211"/>
      <c r="W803" s="211"/>
      <c r="X803" s="211"/>
      <c r="Y803" s="211"/>
      <c r="Z803" s="211"/>
      <c r="AD803" s="211"/>
      <c r="AE803" s="211"/>
      <c r="AF803" s="211"/>
      <c r="AG803" s="211"/>
      <c r="AH803" s="211"/>
      <c r="AI803" s="211"/>
      <c r="AJ803" s="211"/>
      <c r="AK803" s="211"/>
      <c r="AL803" s="211"/>
      <c r="AM803" s="211"/>
      <c r="AN803" s="211"/>
      <c r="AO803" s="211"/>
      <c r="AP803" s="211"/>
      <c r="AQ803" s="211"/>
      <c r="AR803" s="211"/>
      <c r="AS803" s="211"/>
      <c r="AT803" s="211"/>
      <c r="AU803" s="211"/>
      <c r="AV803" s="211"/>
      <c r="AW803" s="211"/>
      <c r="AX803" s="211"/>
      <c r="AY803" s="211"/>
      <c r="AZ803" s="211"/>
    </row>
    <row r="804" spans="1:52" s="213" customFormat="1" x14ac:dyDescent="0.35">
      <c r="A804" s="211"/>
      <c r="B804" s="211"/>
      <c r="C804" s="211"/>
      <c r="D804" s="211"/>
      <c r="E804" s="211"/>
      <c r="F804" s="211"/>
      <c r="G804" s="211"/>
      <c r="H804" s="211"/>
      <c r="I804" s="212"/>
      <c r="J804" s="212"/>
      <c r="K804" s="212"/>
      <c r="L804" s="212"/>
      <c r="M804" s="212"/>
      <c r="N804" s="212"/>
      <c r="O804" s="212"/>
      <c r="P804" s="211"/>
      <c r="Q804" s="211"/>
      <c r="R804" s="211"/>
      <c r="S804" s="211"/>
      <c r="T804" s="211"/>
      <c r="U804" s="211"/>
      <c r="V804" s="211"/>
      <c r="W804" s="211"/>
      <c r="X804" s="211"/>
      <c r="Y804" s="211"/>
      <c r="Z804" s="211"/>
      <c r="AD804" s="211"/>
      <c r="AE804" s="211"/>
      <c r="AF804" s="211"/>
      <c r="AG804" s="211"/>
      <c r="AH804" s="211"/>
      <c r="AI804" s="211"/>
      <c r="AJ804" s="211"/>
      <c r="AK804" s="211"/>
      <c r="AL804" s="211"/>
      <c r="AM804" s="211"/>
      <c r="AN804" s="211"/>
      <c r="AO804" s="211"/>
      <c r="AP804" s="211"/>
      <c r="AQ804" s="211"/>
      <c r="AR804" s="211"/>
      <c r="AS804" s="211"/>
      <c r="AT804" s="211"/>
      <c r="AU804" s="211"/>
      <c r="AV804" s="211"/>
      <c r="AW804" s="211"/>
      <c r="AX804" s="211"/>
      <c r="AY804" s="211"/>
      <c r="AZ804" s="211"/>
    </row>
    <row r="805" spans="1:52" s="213" customFormat="1" x14ac:dyDescent="0.35">
      <c r="A805" s="211"/>
      <c r="B805" s="211"/>
      <c r="C805" s="211"/>
      <c r="D805" s="211"/>
      <c r="E805" s="211"/>
      <c r="F805" s="211"/>
      <c r="G805" s="211"/>
      <c r="H805" s="211"/>
      <c r="I805" s="212"/>
      <c r="J805" s="212"/>
      <c r="K805" s="212"/>
      <c r="L805" s="212"/>
      <c r="M805" s="212"/>
      <c r="N805" s="212"/>
      <c r="O805" s="212"/>
      <c r="P805" s="211"/>
      <c r="Q805" s="211"/>
      <c r="R805" s="211"/>
      <c r="S805" s="211"/>
      <c r="T805" s="211"/>
      <c r="U805" s="211"/>
      <c r="V805" s="211"/>
      <c r="W805" s="211"/>
      <c r="X805" s="211"/>
      <c r="Y805" s="211"/>
      <c r="Z805" s="211"/>
      <c r="AD805" s="211"/>
      <c r="AE805" s="211"/>
      <c r="AF805" s="211"/>
      <c r="AG805" s="211"/>
      <c r="AH805" s="211"/>
      <c r="AI805" s="211"/>
      <c r="AJ805" s="211"/>
      <c r="AK805" s="211"/>
      <c r="AL805" s="211"/>
      <c r="AM805" s="211"/>
      <c r="AN805" s="211"/>
      <c r="AO805" s="211"/>
      <c r="AP805" s="211"/>
      <c r="AQ805" s="211"/>
      <c r="AR805" s="211"/>
      <c r="AS805" s="211"/>
      <c r="AT805" s="211"/>
      <c r="AU805" s="211"/>
      <c r="AV805" s="211"/>
      <c r="AW805" s="211"/>
      <c r="AX805" s="211"/>
      <c r="AY805" s="211"/>
      <c r="AZ805" s="211"/>
    </row>
    <row r="806" spans="1:52" s="213" customFormat="1" x14ac:dyDescent="0.35">
      <c r="A806" s="211"/>
      <c r="B806" s="211"/>
      <c r="C806" s="211"/>
      <c r="D806" s="211"/>
      <c r="E806" s="211"/>
      <c r="F806" s="211"/>
      <c r="G806" s="211"/>
      <c r="H806" s="211"/>
      <c r="I806" s="212"/>
      <c r="J806" s="212"/>
      <c r="K806" s="212"/>
      <c r="L806" s="212"/>
      <c r="M806" s="212"/>
      <c r="N806" s="212"/>
      <c r="O806" s="212"/>
      <c r="P806" s="211"/>
      <c r="Q806" s="211"/>
      <c r="R806" s="211"/>
      <c r="S806" s="211"/>
      <c r="T806" s="211"/>
      <c r="U806" s="211"/>
      <c r="V806" s="211"/>
      <c r="W806" s="211"/>
      <c r="X806" s="211"/>
      <c r="Y806" s="211"/>
      <c r="Z806" s="211"/>
      <c r="AD806" s="211"/>
      <c r="AE806" s="211"/>
      <c r="AF806" s="211"/>
      <c r="AG806" s="211"/>
      <c r="AH806" s="211"/>
      <c r="AI806" s="211"/>
      <c r="AJ806" s="211"/>
      <c r="AK806" s="211"/>
      <c r="AL806" s="211"/>
      <c r="AM806" s="211"/>
      <c r="AN806" s="211"/>
      <c r="AO806" s="211"/>
      <c r="AP806" s="211"/>
      <c r="AQ806" s="211"/>
      <c r="AR806" s="211"/>
      <c r="AS806" s="211"/>
      <c r="AT806" s="211"/>
      <c r="AU806" s="211"/>
      <c r="AV806" s="211"/>
      <c r="AW806" s="211"/>
      <c r="AX806" s="211"/>
      <c r="AY806" s="211"/>
      <c r="AZ806" s="211"/>
    </row>
    <row r="807" spans="1:52" s="213" customFormat="1" x14ac:dyDescent="0.35">
      <c r="A807" s="211"/>
      <c r="B807" s="211"/>
      <c r="C807" s="211"/>
      <c r="D807" s="211"/>
      <c r="E807" s="211"/>
      <c r="F807" s="211"/>
      <c r="G807" s="211"/>
      <c r="H807" s="211"/>
      <c r="I807" s="212"/>
      <c r="J807" s="212"/>
      <c r="K807" s="212"/>
      <c r="L807" s="212"/>
      <c r="M807" s="212"/>
      <c r="N807" s="212"/>
      <c r="O807" s="212"/>
      <c r="P807" s="211"/>
      <c r="Q807" s="211"/>
      <c r="R807" s="211"/>
      <c r="S807" s="211"/>
      <c r="T807" s="211"/>
      <c r="U807" s="211"/>
      <c r="V807" s="211"/>
      <c r="W807" s="211"/>
      <c r="X807" s="211"/>
      <c r="Y807" s="211"/>
      <c r="Z807" s="211"/>
      <c r="AD807" s="211"/>
      <c r="AE807" s="211"/>
      <c r="AF807" s="211"/>
      <c r="AG807" s="211"/>
      <c r="AH807" s="211"/>
      <c r="AI807" s="211"/>
      <c r="AJ807" s="211"/>
      <c r="AK807" s="211"/>
      <c r="AL807" s="211"/>
      <c r="AM807" s="211"/>
      <c r="AN807" s="211"/>
      <c r="AO807" s="211"/>
      <c r="AP807" s="211"/>
      <c r="AQ807" s="211"/>
      <c r="AR807" s="211"/>
      <c r="AS807" s="211"/>
      <c r="AT807" s="211"/>
      <c r="AU807" s="211"/>
      <c r="AV807" s="211"/>
      <c r="AW807" s="211"/>
      <c r="AX807" s="211"/>
      <c r="AY807" s="211"/>
      <c r="AZ807" s="211"/>
    </row>
    <row r="808" spans="1:52" s="213" customFormat="1" x14ac:dyDescent="0.35">
      <c r="A808" s="211"/>
      <c r="B808" s="211"/>
      <c r="C808" s="211"/>
      <c r="D808" s="211"/>
      <c r="E808" s="211"/>
      <c r="F808" s="211"/>
      <c r="G808" s="211"/>
      <c r="H808" s="211"/>
      <c r="I808" s="212"/>
      <c r="J808" s="212"/>
      <c r="K808" s="212"/>
      <c r="L808" s="212"/>
      <c r="M808" s="212"/>
      <c r="N808" s="212"/>
      <c r="O808" s="212"/>
      <c r="P808" s="211"/>
      <c r="Q808" s="211"/>
      <c r="R808" s="211"/>
      <c r="S808" s="211"/>
      <c r="T808" s="211"/>
      <c r="U808" s="211"/>
      <c r="V808" s="211"/>
      <c r="W808" s="211"/>
      <c r="X808" s="211"/>
      <c r="Y808" s="211"/>
      <c r="Z808" s="211"/>
      <c r="AD808" s="211"/>
      <c r="AE808" s="211"/>
      <c r="AF808" s="211"/>
      <c r="AG808" s="211"/>
      <c r="AH808" s="211"/>
      <c r="AI808" s="211"/>
      <c r="AJ808" s="211"/>
      <c r="AK808" s="211"/>
      <c r="AL808" s="211"/>
      <c r="AM808" s="211"/>
      <c r="AN808" s="211"/>
      <c r="AO808" s="211"/>
      <c r="AP808" s="211"/>
      <c r="AQ808" s="211"/>
      <c r="AR808" s="211"/>
      <c r="AS808" s="211"/>
      <c r="AT808" s="211"/>
      <c r="AU808" s="211"/>
      <c r="AV808" s="211"/>
      <c r="AW808" s="211"/>
      <c r="AX808" s="211"/>
      <c r="AY808" s="211"/>
      <c r="AZ808" s="211"/>
    </row>
    <row r="809" spans="1:52" s="213" customFormat="1" x14ac:dyDescent="0.35">
      <c r="A809" s="211"/>
      <c r="B809" s="211"/>
      <c r="C809" s="211"/>
      <c r="D809" s="211"/>
      <c r="E809" s="211"/>
      <c r="F809" s="211"/>
      <c r="G809" s="211"/>
      <c r="H809" s="211"/>
      <c r="I809" s="212"/>
      <c r="J809" s="212"/>
      <c r="K809" s="212"/>
      <c r="L809" s="212"/>
      <c r="M809" s="212"/>
      <c r="N809" s="212"/>
      <c r="O809" s="212"/>
      <c r="P809" s="211"/>
      <c r="Q809" s="211"/>
      <c r="R809" s="211"/>
      <c r="S809" s="211"/>
      <c r="T809" s="211"/>
      <c r="U809" s="211"/>
      <c r="V809" s="211"/>
      <c r="W809" s="211"/>
      <c r="X809" s="211"/>
      <c r="Y809" s="211"/>
      <c r="Z809" s="211"/>
      <c r="AD809" s="211"/>
      <c r="AE809" s="211"/>
      <c r="AF809" s="211"/>
      <c r="AG809" s="211"/>
      <c r="AH809" s="211"/>
      <c r="AI809" s="211"/>
      <c r="AJ809" s="211"/>
      <c r="AK809" s="211"/>
      <c r="AL809" s="211"/>
      <c r="AM809" s="211"/>
      <c r="AN809" s="211"/>
      <c r="AO809" s="211"/>
      <c r="AP809" s="211"/>
      <c r="AQ809" s="211"/>
      <c r="AR809" s="211"/>
      <c r="AS809" s="211"/>
      <c r="AT809" s="211"/>
      <c r="AU809" s="211"/>
      <c r="AV809" s="211"/>
      <c r="AW809" s="211"/>
      <c r="AX809" s="211"/>
      <c r="AY809" s="211"/>
      <c r="AZ809" s="211"/>
    </row>
    <row r="810" spans="1:52" s="213" customFormat="1" x14ac:dyDescent="0.35">
      <c r="A810" s="211"/>
      <c r="B810" s="211"/>
      <c r="C810" s="211"/>
      <c r="D810" s="211"/>
      <c r="E810" s="211"/>
      <c r="F810" s="211"/>
      <c r="G810" s="211"/>
      <c r="H810" s="211"/>
      <c r="I810" s="212"/>
      <c r="J810" s="212"/>
      <c r="K810" s="212"/>
      <c r="L810" s="212"/>
      <c r="M810" s="212"/>
      <c r="N810" s="212"/>
      <c r="O810" s="212"/>
      <c r="P810" s="211"/>
      <c r="Q810" s="211"/>
      <c r="R810" s="211"/>
      <c r="S810" s="211"/>
      <c r="T810" s="211"/>
      <c r="U810" s="211"/>
      <c r="V810" s="211"/>
      <c r="W810" s="211"/>
      <c r="X810" s="211"/>
      <c r="Y810" s="211"/>
      <c r="Z810" s="211"/>
      <c r="AD810" s="211"/>
      <c r="AE810" s="211"/>
      <c r="AF810" s="211"/>
      <c r="AG810" s="211"/>
      <c r="AH810" s="211"/>
      <c r="AI810" s="211"/>
      <c r="AJ810" s="211"/>
      <c r="AK810" s="211"/>
      <c r="AL810" s="211"/>
      <c r="AM810" s="211"/>
      <c r="AN810" s="211"/>
      <c r="AO810" s="211"/>
      <c r="AP810" s="211"/>
      <c r="AQ810" s="211"/>
      <c r="AR810" s="211"/>
      <c r="AS810" s="211"/>
      <c r="AT810" s="211"/>
      <c r="AU810" s="211"/>
      <c r="AV810" s="211"/>
      <c r="AW810" s="211"/>
      <c r="AX810" s="211"/>
      <c r="AY810" s="211"/>
      <c r="AZ810" s="211"/>
    </row>
    <row r="811" spans="1:52" s="213" customFormat="1" x14ac:dyDescent="0.35">
      <c r="A811" s="211"/>
      <c r="B811" s="211"/>
      <c r="C811" s="211"/>
      <c r="D811" s="211"/>
      <c r="E811" s="211"/>
      <c r="F811" s="211"/>
      <c r="G811" s="211"/>
      <c r="H811" s="211"/>
      <c r="I811" s="212"/>
      <c r="J811" s="212"/>
      <c r="K811" s="212"/>
      <c r="L811" s="212"/>
      <c r="M811" s="212"/>
      <c r="N811" s="212"/>
      <c r="O811" s="212"/>
      <c r="P811" s="211"/>
      <c r="Q811" s="211"/>
      <c r="R811" s="211"/>
      <c r="S811" s="211"/>
      <c r="T811" s="211"/>
      <c r="U811" s="211"/>
      <c r="V811" s="211"/>
      <c r="W811" s="211"/>
      <c r="X811" s="211"/>
      <c r="Y811" s="211"/>
      <c r="Z811" s="211"/>
      <c r="AD811" s="211"/>
      <c r="AE811" s="211"/>
      <c r="AF811" s="211"/>
      <c r="AG811" s="211"/>
      <c r="AH811" s="211"/>
      <c r="AI811" s="211"/>
      <c r="AJ811" s="211"/>
      <c r="AK811" s="211"/>
      <c r="AL811" s="211"/>
      <c r="AM811" s="211"/>
      <c r="AN811" s="211"/>
      <c r="AO811" s="211"/>
      <c r="AP811" s="211"/>
      <c r="AQ811" s="211"/>
      <c r="AR811" s="211"/>
      <c r="AS811" s="211"/>
      <c r="AT811" s="211"/>
      <c r="AU811" s="211"/>
      <c r="AV811" s="211"/>
      <c r="AW811" s="211"/>
      <c r="AX811" s="211"/>
      <c r="AY811" s="211"/>
      <c r="AZ811" s="211"/>
    </row>
    <row r="812" spans="1:52" s="213" customFormat="1" x14ac:dyDescent="0.35">
      <c r="A812" s="211"/>
      <c r="B812" s="211"/>
      <c r="C812" s="211"/>
      <c r="D812" s="211"/>
      <c r="E812" s="211"/>
      <c r="F812" s="211"/>
      <c r="G812" s="211"/>
      <c r="H812" s="211"/>
      <c r="I812" s="212"/>
      <c r="J812" s="212"/>
      <c r="K812" s="212"/>
      <c r="L812" s="212"/>
      <c r="M812" s="212"/>
      <c r="N812" s="212"/>
      <c r="O812" s="212"/>
      <c r="P812" s="211"/>
      <c r="Q812" s="211"/>
      <c r="R812" s="211"/>
      <c r="S812" s="211"/>
      <c r="T812" s="211"/>
      <c r="U812" s="211"/>
      <c r="V812" s="211"/>
      <c r="W812" s="211"/>
      <c r="X812" s="211"/>
      <c r="Y812" s="211"/>
      <c r="Z812" s="211"/>
      <c r="AD812" s="211"/>
      <c r="AE812" s="211"/>
      <c r="AF812" s="211"/>
      <c r="AG812" s="211"/>
      <c r="AH812" s="211"/>
      <c r="AI812" s="211"/>
      <c r="AJ812" s="211"/>
      <c r="AK812" s="211"/>
      <c r="AL812" s="211"/>
      <c r="AM812" s="211"/>
      <c r="AN812" s="211"/>
      <c r="AO812" s="211"/>
      <c r="AP812" s="211"/>
      <c r="AQ812" s="211"/>
      <c r="AR812" s="211"/>
      <c r="AS812" s="211"/>
      <c r="AT812" s="211"/>
      <c r="AU812" s="211"/>
      <c r="AV812" s="211"/>
      <c r="AW812" s="211"/>
      <c r="AX812" s="211"/>
      <c r="AY812" s="211"/>
      <c r="AZ812" s="211"/>
    </row>
    <row r="813" spans="1:52" s="213" customFormat="1" x14ac:dyDescent="0.35">
      <c r="A813" s="211"/>
      <c r="B813" s="211"/>
      <c r="C813" s="211"/>
      <c r="D813" s="211"/>
      <c r="E813" s="211"/>
      <c r="F813" s="211"/>
      <c r="G813" s="211"/>
      <c r="H813" s="211"/>
      <c r="I813" s="212"/>
      <c r="J813" s="212"/>
      <c r="K813" s="212"/>
      <c r="L813" s="212"/>
      <c r="M813" s="212"/>
      <c r="N813" s="212"/>
      <c r="O813" s="212"/>
      <c r="P813" s="211"/>
      <c r="Q813" s="211"/>
      <c r="R813" s="211"/>
      <c r="S813" s="211"/>
      <c r="T813" s="211"/>
      <c r="U813" s="211"/>
      <c r="V813" s="211"/>
      <c r="W813" s="211"/>
      <c r="X813" s="211"/>
      <c r="Y813" s="211"/>
      <c r="Z813" s="211"/>
      <c r="AD813" s="211"/>
      <c r="AE813" s="211"/>
      <c r="AF813" s="211"/>
      <c r="AG813" s="211"/>
      <c r="AH813" s="211"/>
      <c r="AI813" s="211"/>
      <c r="AJ813" s="211"/>
      <c r="AK813" s="211"/>
      <c r="AL813" s="211"/>
      <c r="AM813" s="211"/>
      <c r="AN813" s="211"/>
      <c r="AO813" s="211"/>
      <c r="AP813" s="211"/>
      <c r="AQ813" s="211"/>
      <c r="AR813" s="211"/>
      <c r="AS813" s="211"/>
      <c r="AT813" s="211"/>
      <c r="AU813" s="211"/>
      <c r="AV813" s="211"/>
      <c r="AW813" s="211"/>
      <c r="AX813" s="211"/>
      <c r="AY813" s="211"/>
      <c r="AZ813" s="211"/>
    </row>
    <row r="814" spans="1:52" s="213" customFormat="1" x14ac:dyDescent="0.35">
      <c r="A814" s="211"/>
      <c r="B814" s="211"/>
      <c r="C814" s="211"/>
      <c r="D814" s="211"/>
      <c r="E814" s="211"/>
      <c r="F814" s="211"/>
      <c r="G814" s="211"/>
      <c r="H814" s="211"/>
      <c r="I814" s="212"/>
      <c r="J814" s="212"/>
      <c r="K814" s="212"/>
      <c r="L814" s="212"/>
      <c r="M814" s="212"/>
      <c r="N814" s="212"/>
      <c r="O814" s="212"/>
      <c r="P814" s="211"/>
      <c r="Q814" s="211"/>
      <c r="R814" s="211"/>
      <c r="S814" s="211"/>
      <c r="T814" s="211"/>
      <c r="U814" s="211"/>
      <c r="V814" s="211"/>
      <c r="W814" s="211"/>
      <c r="X814" s="211"/>
      <c r="Y814" s="211"/>
      <c r="Z814" s="211"/>
      <c r="AD814" s="211"/>
      <c r="AE814" s="211"/>
      <c r="AF814" s="211"/>
      <c r="AG814" s="211"/>
      <c r="AH814" s="211"/>
      <c r="AI814" s="211"/>
      <c r="AJ814" s="211"/>
      <c r="AK814" s="211"/>
      <c r="AL814" s="211"/>
      <c r="AM814" s="211"/>
      <c r="AN814" s="211"/>
      <c r="AO814" s="211"/>
      <c r="AP814" s="211"/>
      <c r="AQ814" s="211"/>
      <c r="AR814" s="211"/>
      <c r="AS814" s="211"/>
      <c r="AT814" s="211"/>
      <c r="AU814" s="211"/>
      <c r="AV814" s="211"/>
      <c r="AW814" s="211"/>
      <c r="AX814" s="211"/>
      <c r="AY814" s="211"/>
      <c r="AZ814" s="211"/>
    </row>
    <row r="815" spans="1:52" s="213" customFormat="1" x14ac:dyDescent="0.35">
      <c r="A815" s="211"/>
      <c r="B815" s="211"/>
      <c r="C815" s="211"/>
      <c r="D815" s="211"/>
      <c r="E815" s="211"/>
      <c r="F815" s="211"/>
      <c r="G815" s="211"/>
      <c r="H815" s="211"/>
      <c r="I815" s="212"/>
      <c r="J815" s="212"/>
      <c r="K815" s="212"/>
      <c r="L815" s="212"/>
      <c r="M815" s="212"/>
      <c r="N815" s="212"/>
      <c r="O815" s="212"/>
      <c r="P815" s="211"/>
      <c r="Q815" s="211"/>
      <c r="R815" s="211"/>
      <c r="S815" s="211"/>
      <c r="T815" s="211"/>
      <c r="U815" s="211"/>
      <c r="V815" s="211"/>
      <c r="W815" s="211"/>
      <c r="X815" s="211"/>
      <c r="Y815" s="211"/>
      <c r="Z815" s="211"/>
      <c r="AD815" s="211"/>
      <c r="AE815" s="211"/>
      <c r="AF815" s="211"/>
      <c r="AG815" s="211"/>
      <c r="AH815" s="211"/>
      <c r="AI815" s="211"/>
      <c r="AJ815" s="211"/>
      <c r="AK815" s="211"/>
      <c r="AL815" s="211"/>
      <c r="AM815" s="211"/>
      <c r="AN815" s="211"/>
      <c r="AO815" s="211"/>
      <c r="AP815" s="211"/>
      <c r="AQ815" s="211"/>
      <c r="AR815" s="211"/>
      <c r="AS815" s="211"/>
      <c r="AT815" s="211"/>
      <c r="AU815" s="211"/>
      <c r="AV815" s="211"/>
      <c r="AW815" s="211"/>
      <c r="AX815" s="211"/>
      <c r="AY815" s="211"/>
      <c r="AZ815" s="211"/>
    </row>
    <row r="816" spans="1:52" s="213" customFormat="1" x14ac:dyDescent="0.35">
      <c r="A816" s="211"/>
      <c r="B816" s="211"/>
      <c r="C816" s="211"/>
      <c r="D816" s="211"/>
      <c r="E816" s="211"/>
      <c r="F816" s="211"/>
      <c r="G816" s="211"/>
      <c r="H816" s="211"/>
      <c r="I816" s="212"/>
      <c r="J816" s="212"/>
      <c r="K816" s="212"/>
      <c r="L816" s="212"/>
      <c r="M816" s="212"/>
      <c r="N816" s="212"/>
      <c r="O816" s="212"/>
      <c r="P816" s="211"/>
      <c r="Q816" s="211"/>
      <c r="R816" s="211"/>
      <c r="S816" s="211"/>
      <c r="T816" s="211"/>
      <c r="U816" s="211"/>
      <c r="V816" s="211"/>
      <c r="W816" s="211"/>
      <c r="X816" s="211"/>
      <c r="Y816" s="211"/>
      <c r="Z816" s="211"/>
      <c r="AD816" s="211"/>
      <c r="AE816" s="211"/>
      <c r="AF816" s="211"/>
      <c r="AG816" s="211"/>
      <c r="AH816" s="211"/>
      <c r="AI816" s="211"/>
      <c r="AJ816" s="211"/>
      <c r="AK816" s="211"/>
      <c r="AL816" s="211"/>
      <c r="AM816" s="211"/>
      <c r="AN816" s="211"/>
      <c r="AO816" s="211"/>
      <c r="AP816" s="211"/>
      <c r="AQ816" s="211"/>
      <c r="AR816" s="211"/>
      <c r="AS816" s="211"/>
      <c r="AT816" s="211"/>
      <c r="AU816" s="211"/>
      <c r="AV816" s="211"/>
      <c r="AW816" s="211"/>
      <c r="AX816" s="211"/>
      <c r="AY816" s="211"/>
      <c r="AZ816" s="211"/>
    </row>
    <row r="817" spans="1:52" s="213" customFormat="1" x14ac:dyDescent="0.35">
      <c r="A817" s="211"/>
      <c r="B817" s="211"/>
      <c r="C817" s="211"/>
      <c r="D817" s="211"/>
      <c r="E817" s="211"/>
      <c r="F817" s="211"/>
      <c r="G817" s="211"/>
      <c r="H817" s="211"/>
      <c r="I817" s="212"/>
      <c r="J817" s="212"/>
      <c r="K817" s="212"/>
      <c r="L817" s="212"/>
      <c r="M817" s="212"/>
      <c r="N817" s="212"/>
      <c r="O817" s="212"/>
      <c r="P817" s="211"/>
      <c r="Q817" s="211"/>
      <c r="R817" s="211"/>
      <c r="S817" s="211"/>
      <c r="T817" s="211"/>
      <c r="U817" s="211"/>
      <c r="V817" s="211"/>
      <c r="W817" s="211"/>
      <c r="X817" s="211"/>
      <c r="Y817" s="211"/>
      <c r="Z817" s="211"/>
      <c r="AD817" s="211"/>
      <c r="AE817" s="211"/>
      <c r="AF817" s="211"/>
      <c r="AG817" s="211"/>
      <c r="AH817" s="211"/>
      <c r="AI817" s="211"/>
      <c r="AJ817" s="211"/>
      <c r="AK817" s="211"/>
      <c r="AL817" s="211"/>
      <c r="AM817" s="211"/>
      <c r="AN817" s="211"/>
      <c r="AO817" s="211"/>
      <c r="AP817" s="211"/>
      <c r="AQ817" s="211"/>
      <c r="AR817" s="211"/>
      <c r="AS817" s="211"/>
      <c r="AT817" s="211"/>
      <c r="AU817" s="211"/>
      <c r="AV817" s="211"/>
      <c r="AW817" s="211"/>
      <c r="AX817" s="211"/>
      <c r="AY817" s="211"/>
      <c r="AZ817" s="211"/>
    </row>
    <row r="818" spans="1:52" s="213" customFormat="1" x14ac:dyDescent="0.35">
      <c r="A818" s="211"/>
      <c r="B818" s="211"/>
      <c r="C818" s="211"/>
      <c r="D818" s="211"/>
      <c r="E818" s="211"/>
      <c r="F818" s="211"/>
      <c r="G818" s="211"/>
      <c r="H818" s="211"/>
      <c r="I818" s="212"/>
      <c r="J818" s="212"/>
      <c r="K818" s="212"/>
      <c r="L818" s="212"/>
      <c r="M818" s="212"/>
      <c r="N818" s="212"/>
      <c r="O818" s="212"/>
      <c r="P818" s="211"/>
      <c r="Q818" s="211"/>
      <c r="R818" s="211"/>
      <c r="S818" s="211"/>
      <c r="T818" s="211"/>
      <c r="U818" s="211"/>
      <c r="V818" s="211"/>
      <c r="W818" s="211"/>
      <c r="X818" s="211"/>
      <c r="Y818" s="211"/>
      <c r="Z818" s="211"/>
      <c r="AD818" s="211"/>
      <c r="AE818" s="211"/>
      <c r="AF818" s="211"/>
      <c r="AG818" s="211"/>
      <c r="AH818" s="211"/>
      <c r="AI818" s="211"/>
      <c r="AJ818" s="211"/>
      <c r="AK818" s="211"/>
      <c r="AL818" s="211"/>
      <c r="AM818" s="211"/>
      <c r="AN818" s="211"/>
      <c r="AO818" s="211"/>
      <c r="AP818" s="211"/>
      <c r="AQ818" s="211"/>
      <c r="AR818" s="211"/>
      <c r="AS818" s="211"/>
      <c r="AT818" s="211"/>
      <c r="AU818" s="211"/>
      <c r="AV818" s="211"/>
      <c r="AW818" s="211"/>
      <c r="AX818" s="211"/>
      <c r="AY818" s="211"/>
      <c r="AZ818" s="211"/>
    </row>
    <row r="819" spans="1:52" s="213" customFormat="1" x14ac:dyDescent="0.35">
      <c r="A819" s="211"/>
      <c r="B819" s="211"/>
      <c r="C819" s="211"/>
      <c r="D819" s="211"/>
      <c r="E819" s="211"/>
      <c r="F819" s="211"/>
      <c r="G819" s="211"/>
      <c r="H819" s="211"/>
      <c r="I819" s="212"/>
      <c r="J819" s="212"/>
      <c r="K819" s="212"/>
      <c r="L819" s="212"/>
      <c r="M819" s="212"/>
      <c r="N819" s="212"/>
      <c r="O819" s="212"/>
      <c r="P819" s="211"/>
      <c r="Q819" s="211"/>
      <c r="R819" s="211"/>
      <c r="S819" s="211"/>
      <c r="T819" s="211"/>
      <c r="U819" s="211"/>
      <c r="V819" s="211"/>
      <c r="W819" s="211"/>
      <c r="X819" s="211"/>
      <c r="Y819" s="211"/>
      <c r="Z819" s="211"/>
      <c r="AD819" s="211"/>
      <c r="AE819" s="211"/>
      <c r="AF819" s="211"/>
      <c r="AG819" s="211"/>
      <c r="AH819" s="211"/>
      <c r="AI819" s="211"/>
      <c r="AJ819" s="211"/>
      <c r="AK819" s="211"/>
      <c r="AL819" s="211"/>
      <c r="AM819" s="211"/>
      <c r="AN819" s="211"/>
      <c r="AO819" s="211"/>
      <c r="AP819" s="211"/>
      <c r="AQ819" s="211"/>
      <c r="AR819" s="211"/>
      <c r="AS819" s="211"/>
      <c r="AT819" s="211"/>
      <c r="AU819" s="211"/>
      <c r="AV819" s="211"/>
      <c r="AW819" s="211"/>
      <c r="AX819" s="211"/>
      <c r="AY819" s="211"/>
      <c r="AZ819" s="211"/>
    </row>
    <row r="820" spans="1:52" s="213" customFormat="1" x14ac:dyDescent="0.35">
      <c r="A820" s="211"/>
      <c r="B820" s="211"/>
      <c r="C820" s="211"/>
      <c r="D820" s="211"/>
      <c r="E820" s="211"/>
      <c r="F820" s="211"/>
      <c r="G820" s="211"/>
      <c r="H820" s="211"/>
      <c r="I820" s="212"/>
      <c r="J820" s="212"/>
      <c r="K820" s="212"/>
      <c r="L820" s="212"/>
      <c r="M820" s="212"/>
      <c r="N820" s="212"/>
      <c r="O820" s="212"/>
      <c r="P820" s="211"/>
      <c r="Q820" s="211"/>
      <c r="R820" s="211"/>
      <c r="S820" s="211"/>
      <c r="T820" s="211"/>
      <c r="U820" s="211"/>
      <c r="V820" s="211"/>
      <c r="W820" s="211"/>
      <c r="X820" s="211"/>
      <c r="Y820" s="211"/>
      <c r="Z820" s="211"/>
      <c r="AD820" s="211"/>
      <c r="AE820" s="211"/>
      <c r="AF820" s="211"/>
      <c r="AG820" s="211"/>
      <c r="AH820" s="211"/>
      <c r="AI820" s="211"/>
      <c r="AJ820" s="211"/>
      <c r="AK820" s="211"/>
      <c r="AL820" s="211"/>
      <c r="AM820" s="211"/>
      <c r="AN820" s="211"/>
      <c r="AO820" s="211"/>
      <c r="AP820" s="211"/>
      <c r="AQ820" s="211"/>
      <c r="AR820" s="211"/>
      <c r="AS820" s="211"/>
      <c r="AT820" s="211"/>
      <c r="AU820" s="211"/>
      <c r="AV820" s="211"/>
      <c r="AW820" s="211"/>
      <c r="AX820" s="211"/>
      <c r="AY820" s="211"/>
      <c r="AZ820" s="211"/>
    </row>
    <row r="821" spans="1:52" s="213" customFormat="1" x14ac:dyDescent="0.35">
      <c r="A821" s="211"/>
      <c r="B821" s="211"/>
      <c r="C821" s="211"/>
      <c r="D821" s="211"/>
      <c r="E821" s="211"/>
      <c r="F821" s="211"/>
      <c r="G821" s="211"/>
      <c r="H821" s="211"/>
      <c r="I821" s="212"/>
      <c r="J821" s="212"/>
      <c r="K821" s="212"/>
      <c r="L821" s="212"/>
      <c r="M821" s="212"/>
      <c r="N821" s="212"/>
      <c r="O821" s="212"/>
      <c r="P821" s="211"/>
      <c r="Q821" s="211"/>
      <c r="R821" s="211"/>
      <c r="S821" s="211"/>
      <c r="T821" s="211"/>
      <c r="U821" s="211"/>
      <c r="V821" s="211"/>
      <c r="W821" s="211"/>
      <c r="X821" s="211"/>
      <c r="Y821" s="211"/>
      <c r="Z821" s="211"/>
      <c r="AD821" s="211"/>
      <c r="AE821" s="211"/>
      <c r="AF821" s="211"/>
      <c r="AG821" s="211"/>
      <c r="AH821" s="211"/>
      <c r="AI821" s="211"/>
      <c r="AJ821" s="211"/>
      <c r="AK821" s="211"/>
      <c r="AL821" s="211"/>
      <c r="AM821" s="211"/>
      <c r="AN821" s="211"/>
      <c r="AO821" s="211"/>
      <c r="AP821" s="211"/>
      <c r="AQ821" s="211"/>
      <c r="AR821" s="211"/>
      <c r="AS821" s="211"/>
      <c r="AT821" s="211"/>
      <c r="AU821" s="211"/>
      <c r="AV821" s="211"/>
      <c r="AW821" s="211"/>
      <c r="AX821" s="211"/>
      <c r="AY821" s="211"/>
      <c r="AZ821" s="211"/>
    </row>
    <row r="822" spans="1:52" s="213" customFormat="1" x14ac:dyDescent="0.35">
      <c r="A822" s="211"/>
      <c r="B822" s="211"/>
      <c r="C822" s="211"/>
      <c r="D822" s="211"/>
      <c r="E822" s="211"/>
      <c r="F822" s="211"/>
      <c r="G822" s="211"/>
      <c r="H822" s="211"/>
      <c r="I822" s="212"/>
      <c r="J822" s="212"/>
      <c r="K822" s="212"/>
      <c r="L822" s="212"/>
      <c r="M822" s="212"/>
      <c r="N822" s="212"/>
      <c r="O822" s="212"/>
      <c r="P822" s="211"/>
      <c r="Q822" s="211"/>
      <c r="R822" s="211"/>
      <c r="S822" s="211"/>
      <c r="T822" s="211"/>
      <c r="U822" s="211"/>
      <c r="V822" s="211"/>
      <c r="W822" s="211"/>
      <c r="X822" s="211"/>
      <c r="Y822" s="211"/>
      <c r="Z822" s="211"/>
      <c r="AD822" s="211"/>
      <c r="AE822" s="211"/>
      <c r="AF822" s="211"/>
      <c r="AG822" s="211"/>
      <c r="AH822" s="211"/>
      <c r="AI822" s="211"/>
      <c r="AJ822" s="211"/>
      <c r="AK822" s="211"/>
      <c r="AL822" s="211"/>
      <c r="AM822" s="211"/>
      <c r="AN822" s="211"/>
      <c r="AO822" s="211"/>
      <c r="AP822" s="211"/>
      <c r="AQ822" s="211"/>
      <c r="AR822" s="211"/>
      <c r="AS822" s="211"/>
      <c r="AT822" s="211"/>
      <c r="AU822" s="211"/>
      <c r="AV822" s="211"/>
      <c r="AW822" s="211"/>
      <c r="AX822" s="211"/>
      <c r="AY822" s="211"/>
      <c r="AZ822" s="211"/>
    </row>
    <row r="823" spans="1:52" s="213" customFormat="1" x14ac:dyDescent="0.35">
      <c r="A823" s="211"/>
      <c r="B823" s="211"/>
      <c r="C823" s="211"/>
      <c r="D823" s="211"/>
      <c r="E823" s="211"/>
      <c r="F823" s="211"/>
      <c r="G823" s="211"/>
      <c r="H823" s="211"/>
      <c r="I823" s="212"/>
      <c r="J823" s="212"/>
      <c r="K823" s="212"/>
      <c r="L823" s="212"/>
      <c r="M823" s="212"/>
      <c r="N823" s="212"/>
      <c r="O823" s="212"/>
      <c r="P823" s="211"/>
      <c r="Q823" s="211"/>
      <c r="R823" s="211"/>
      <c r="S823" s="211"/>
      <c r="T823" s="211"/>
      <c r="U823" s="211"/>
      <c r="V823" s="211"/>
      <c r="W823" s="211"/>
      <c r="X823" s="211"/>
      <c r="Y823" s="211"/>
      <c r="Z823" s="211"/>
      <c r="AD823" s="211"/>
      <c r="AE823" s="211"/>
      <c r="AF823" s="211"/>
      <c r="AG823" s="211"/>
      <c r="AH823" s="211"/>
      <c r="AI823" s="211"/>
      <c r="AJ823" s="211"/>
      <c r="AK823" s="211"/>
      <c r="AL823" s="211"/>
      <c r="AM823" s="211"/>
      <c r="AN823" s="211"/>
      <c r="AO823" s="211"/>
      <c r="AP823" s="211"/>
      <c r="AQ823" s="211"/>
      <c r="AR823" s="211"/>
      <c r="AS823" s="211"/>
      <c r="AT823" s="211"/>
      <c r="AU823" s="211"/>
      <c r="AV823" s="211"/>
      <c r="AW823" s="211"/>
      <c r="AX823" s="211"/>
      <c r="AY823" s="211"/>
      <c r="AZ823" s="211"/>
    </row>
    <row r="824" spans="1:52" s="213" customFormat="1" x14ac:dyDescent="0.35">
      <c r="A824" s="211"/>
      <c r="B824" s="211"/>
      <c r="C824" s="211"/>
      <c r="D824" s="211"/>
      <c r="E824" s="211"/>
      <c r="F824" s="211"/>
      <c r="G824" s="211"/>
      <c r="H824" s="211"/>
      <c r="I824" s="212"/>
      <c r="J824" s="212"/>
      <c r="K824" s="212"/>
      <c r="L824" s="212"/>
      <c r="M824" s="212"/>
      <c r="N824" s="212"/>
      <c r="O824" s="212"/>
      <c r="P824" s="211"/>
      <c r="Q824" s="211"/>
      <c r="R824" s="211"/>
      <c r="S824" s="211"/>
      <c r="T824" s="211"/>
      <c r="U824" s="211"/>
      <c r="V824" s="211"/>
      <c r="W824" s="211"/>
      <c r="X824" s="211"/>
      <c r="Y824" s="211"/>
      <c r="Z824" s="211"/>
      <c r="AD824" s="211"/>
      <c r="AE824" s="211"/>
      <c r="AF824" s="211"/>
      <c r="AG824" s="211"/>
      <c r="AH824" s="211"/>
      <c r="AI824" s="211"/>
      <c r="AJ824" s="211"/>
      <c r="AK824" s="211"/>
      <c r="AL824" s="211"/>
      <c r="AM824" s="211"/>
      <c r="AN824" s="211"/>
      <c r="AO824" s="211"/>
      <c r="AP824" s="211"/>
      <c r="AQ824" s="211"/>
      <c r="AR824" s="211"/>
      <c r="AS824" s="211"/>
      <c r="AT824" s="211"/>
      <c r="AU824" s="211"/>
      <c r="AV824" s="211"/>
      <c r="AW824" s="211"/>
      <c r="AX824" s="211"/>
      <c r="AY824" s="211"/>
      <c r="AZ824" s="211"/>
    </row>
    <row r="825" spans="1:52" s="213" customFormat="1" x14ac:dyDescent="0.35">
      <c r="A825" s="211"/>
      <c r="B825" s="211"/>
      <c r="C825" s="211"/>
      <c r="D825" s="211"/>
      <c r="E825" s="211"/>
      <c r="F825" s="211"/>
      <c r="G825" s="211"/>
      <c r="H825" s="211"/>
      <c r="I825" s="212"/>
      <c r="J825" s="212"/>
      <c r="K825" s="212"/>
      <c r="L825" s="212"/>
      <c r="M825" s="212"/>
      <c r="N825" s="212"/>
      <c r="O825" s="212"/>
      <c r="P825" s="211"/>
      <c r="Q825" s="211"/>
      <c r="R825" s="211"/>
      <c r="S825" s="211"/>
      <c r="T825" s="211"/>
      <c r="U825" s="211"/>
      <c r="V825" s="211"/>
      <c r="W825" s="211"/>
      <c r="X825" s="211"/>
      <c r="Y825" s="211"/>
      <c r="Z825" s="211"/>
      <c r="AD825" s="211"/>
      <c r="AE825" s="211"/>
      <c r="AF825" s="211"/>
      <c r="AG825" s="211"/>
      <c r="AH825" s="211"/>
      <c r="AI825" s="211"/>
      <c r="AJ825" s="211"/>
      <c r="AK825" s="211"/>
      <c r="AL825" s="211"/>
      <c r="AM825" s="211"/>
      <c r="AN825" s="211"/>
      <c r="AO825" s="211"/>
      <c r="AP825" s="211"/>
      <c r="AQ825" s="211"/>
      <c r="AR825" s="211"/>
      <c r="AS825" s="211"/>
      <c r="AT825" s="211"/>
      <c r="AU825" s="211"/>
      <c r="AV825" s="211"/>
      <c r="AW825" s="211"/>
      <c r="AX825" s="211"/>
      <c r="AY825" s="211"/>
      <c r="AZ825" s="211"/>
    </row>
    <row r="826" spans="1:52" s="213" customFormat="1" x14ac:dyDescent="0.35">
      <c r="A826" s="211"/>
      <c r="B826" s="211"/>
      <c r="C826" s="211"/>
      <c r="D826" s="211"/>
      <c r="E826" s="211"/>
      <c r="F826" s="211"/>
      <c r="G826" s="211"/>
      <c r="H826" s="211"/>
      <c r="I826" s="212"/>
      <c r="J826" s="212"/>
      <c r="K826" s="212"/>
      <c r="L826" s="212"/>
      <c r="M826" s="212"/>
      <c r="N826" s="212"/>
      <c r="O826" s="212"/>
      <c r="P826" s="211"/>
      <c r="Q826" s="211"/>
      <c r="R826" s="211"/>
      <c r="S826" s="211"/>
      <c r="T826" s="211"/>
      <c r="U826" s="211"/>
      <c r="V826" s="211"/>
      <c r="W826" s="211"/>
      <c r="X826" s="211"/>
      <c r="Y826" s="211"/>
      <c r="Z826" s="211"/>
      <c r="AD826" s="211"/>
      <c r="AE826" s="211"/>
      <c r="AF826" s="211"/>
      <c r="AG826" s="211"/>
      <c r="AH826" s="211"/>
      <c r="AI826" s="211"/>
      <c r="AJ826" s="211"/>
      <c r="AK826" s="211"/>
      <c r="AL826" s="211"/>
      <c r="AM826" s="211"/>
      <c r="AN826" s="211"/>
      <c r="AO826" s="211"/>
      <c r="AP826" s="211"/>
      <c r="AQ826" s="211"/>
      <c r="AR826" s="211"/>
      <c r="AS826" s="211"/>
      <c r="AT826" s="211"/>
      <c r="AU826" s="211"/>
      <c r="AV826" s="211"/>
      <c r="AW826" s="211"/>
      <c r="AX826" s="211"/>
      <c r="AY826" s="211"/>
      <c r="AZ826" s="211"/>
    </row>
    <row r="827" spans="1:52" s="213" customFormat="1" x14ac:dyDescent="0.35">
      <c r="A827" s="211"/>
      <c r="B827" s="211"/>
      <c r="C827" s="211"/>
      <c r="D827" s="211"/>
      <c r="E827" s="211"/>
      <c r="F827" s="211"/>
      <c r="G827" s="211"/>
      <c r="H827" s="211"/>
      <c r="I827" s="212"/>
      <c r="J827" s="212"/>
      <c r="K827" s="212"/>
      <c r="L827" s="212"/>
      <c r="M827" s="212"/>
      <c r="N827" s="212"/>
      <c r="O827" s="212"/>
      <c r="P827" s="211"/>
      <c r="Q827" s="211"/>
      <c r="R827" s="211"/>
      <c r="S827" s="211"/>
      <c r="T827" s="211"/>
      <c r="U827" s="211"/>
      <c r="V827" s="211"/>
      <c r="W827" s="211"/>
      <c r="X827" s="211"/>
      <c r="Y827" s="211"/>
      <c r="Z827" s="211"/>
      <c r="AD827" s="211"/>
      <c r="AE827" s="211"/>
      <c r="AF827" s="211"/>
      <c r="AG827" s="211"/>
      <c r="AH827" s="211"/>
      <c r="AI827" s="211"/>
      <c r="AJ827" s="211"/>
      <c r="AK827" s="211"/>
      <c r="AL827" s="211"/>
      <c r="AM827" s="211"/>
      <c r="AN827" s="211"/>
      <c r="AO827" s="211"/>
      <c r="AP827" s="211"/>
      <c r="AQ827" s="211"/>
      <c r="AR827" s="211"/>
      <c r="AS827" s="211"/>
      <c r="AT827" s="211"/>
      <c r="AU827" s="211"/>
      <c r="AV827" s="211"/>
      <c r="AW827" s="211"/>
      <c r="AX827" s="211"/>
      <c r="AY827" s="211"/>
      <c r="AZ827" s="211"/>
    </row>
    <row r="828" spans="1:52" s="213" customFormat="1" x14ac:dyDescent="0.35">
      <c r="A828" s="211"/>
      <c r="B828" s="211"/>
      <c r="C828" s="211"/>
      <c r="D828" s="211"/>
      <c r="E828" s="211"/>
      <c r="F828" s="211"/>
      <c r="G828" s="211"/>
      <c r="H828" s="211"/>
      <c r="I828" s="212"/>
      <c r="J828" s="212"/>
      <c r="K828" s="212"/>
      <c r="L828" s="212"/>
      <c r="M828" s="212"/>
      <c r="N828" s="212"/>
      <c r="O828" s="212"/>
      <c r="P828" s="211"/>
      <c r="Q828" s="211"/>
      <c r="R828" s="211"/>
      <c r="S828" s="211"/>
      <c r="T828" s="211"/>
      <c r="U828" s="211"/>
      <c r="V828" s="211"/>
      <c r="W828" s="211"/>
      <c r="X828" s="211"/>
      <c r="Y828" s="211"/>
      <c r="Z828" s="211"/>
      <c r="AD828" s="211"/>
      <c r="AE828" s="211"/>
      <c r="AF828" s="211"/>
      <c r="AG828" s="211"/>
      <c r="AH828" s="211"/>
      <c r="AI828" s="211"/>
      <c r="AJ828" s="211"/>
      <c r="AK828" s="211"/>
      <c r="AL828" s="211"/>
      <c r="AM828" s="211"/>
      <c r="AN828" s="211"/>
      <c r="AO828" s="211"/>
      <c r="AP828" s="211"/>
      <c r="AQ828" s="211"/>
      <c r="AR828" s="211"/>
      <c r="AS828" s="211"/>
      <c r="AT828" s="211"/>
      <c r="AU828" s="211"/>
      <c r="AV828" s="211"/>
      <c r="AW828" s="211"/>
      <c r="AX828" s="211"/>
      <c r="AY828" s="211"/>
      <c r="AZ828" s="211"/>
    </row>
    <row r="829" spans="1:52" s="213" customFormat="1" x14ac:dyDescent="0.35">
      <c r="A829" s="211"/>
      <c r="B829" s="211"/>
      <c r="C829" s="211"/>
      <c r="D829" s="211"/>
      <c r="E829" s="211"/>
      <c r="F829" s="211"/>
      <c r="G829" s="211"/>
      <c r="H829" s="211"/>
      <c r="I829" s="212"/>
      <c r="J829" s="212"/>
      <c r="K829" s="212"/>
      <c r="L829" s="212"/>
      <c r="M829" s="212"/>
      <c r="N829" s="212"/>
      <c r="O829" s="212"/>
      <c r="P829" s="211"/>
      <c r="Q829" s="211"/>
      <c r="R829" s="211"/>
      <c r="S829" s="211"/>
      <c r="T829" s="211"/>
      <c r="U829" s="211"/>
      <c r="V829" s="211"/>
      <c r="W829" s="211"/>
      <c r="X829" s="211"/>
      <c r="Y829" s="211"/>
      <c r="Z829" s="211"/>
      <c r="AD829" s="211"/>
      <c r="AE829" s="211"/>
      <c r="AF829" s="211"/>
      <c r="AG829" s="211"/>
      <c r="AH829" s="211"/>
      <c r="AI829" s="211"/>
      <c r="AJ829" s="211"/>
      <c r="AK829" s="211"/>
      <c r="AL829" s="211"/>
      <c r="AM829" s="211"/>
      <c r="AN829" s="211"/>
      <c r="AO829" s="211"/>
      <c r="AP829" s="211"/>
      <c r="AQ829" s="211"/>
      <c r="AR829" s="211"/>
      <c r="AS829" s="211"/>
      <c r="AT829" s="211"/>
      <c r="AU829" s="211"/>
      <c r="AV829" s="211"/>
      <c r="AW829" s="211"/>
      <c r="AX829" s="211"/>
      <c r="AY829" s="211"/>
      <c r="AZ829" s="211"/>
    </row>
    <row r="830" spans="1:52" s="213" customFormat="1" x14ac:dyDescent="0.35">
      <c r="A830" s="211"/>
      <c r="B830" s="211"/>
      <c r="C830" s="211"/>
      <c r="D830" s="211"/>
      <c r="E830" s="211"/>
      <c r="F830" s="211"/>
      <c r="G830" s="211"/>
      <c r="H830" s="211"/>
      <c r="I830" s="212"/>
      <c r="J830" s="212"/>
      <c r="K830" s="212"/>
      <c r="L830" s="212"/>
      <c r="M830" s="212"/>
      <c r="N830" s="212"/>
      <c r="O830" s="212"/>
      <c r="P830" s="211"/>
      <c r="Q830" s="211"/>
      <c r="R830" s="211"/>
      <c r="S830" s="211"/>
      <c r="T830" s="211"/>
      <c r="U830" s="211"/>
      <c r="V830" s="211"/>
      <c r="W830" s="211"/>
      <c r="X830" s="211"/>
      <c r="Y830" s="211"/>
      <c r="Z830" s="211"/>
      <c r="AD830" s="211"/>
      <c r="AE830" s="211"/>
      <c r="AF830" s="211"/>
      <c r="AG830" s="211"/>
      <c r="AH830" s="211"/>
      <c r="AI830" s="211"/>
      <c r="AJ830" s="211"/>
      <c r="AK830" s="211"/>
      <c r="AL830" s="211"/>
      <c r="AM830" s="211"/>
      <c r="AN830" s="211"/>
      <c r="AO830" s="211"/>
      <c r="AP830" s="211"/>
      <c r="AQ830" s="211"/>
      <c r="AR830" s="211"/>
      <c r="AS830" s="211"/>
      <c r="AT830" s="211"/>
      <c r="AU830" s="211"/>
      <c r="AV830" s="211"/>
      <c r="AW830" s="211"/>
      <c r="AX830" s="211"/>
      <c r="AY830" s="211"/>
      <c r="AZ830" s="211"/>
    </row>
    <row r="831" spans="1:52" s="213" customFormat="1" x14ac:dyDescent="0.35">
      <c r="A831" s="211"/>
      <c r="B831" s="211"/>
      <c r="C831" s="211"/>
      <c r="D831" s="211"/>
      <c r="E831" s="211"/>
      <c r="F831" s="211"/>
      <c r="G831" s="211"/>
      <c r="H831" s="211"/>
      <c r="I831" s="212"/>
      <c r="J831" s="212"/>
      <c r="K831" s="212"/>
      <c r="L831" s="212"/>
      <c r="M831" s="212"/>
      <c r="N831" s="212"/>
      <c r="O831" s="212"/>
      <c r="P831" s="211"/>
      <c r="Q831" s="211"/>
      <c r="R831" s="211"/>
      <c r="S831" s="211"/>
      <c r="T831" s="211"/>
      <c r="U831" s="211"/>
      <c r="V831" s="211"/>
      <c r="W831" s="211"/>
      <c r="X831" s="211"/>
      <c r="Y831" s="211"/>
      <c r="Z831" s="211"/>
      <c r="AD831" s="211"/>
      <c r="AE831" s="211"/>
      <c r="AF831" s="211"/>
      <c r="AG831" s="211"/>
      <c r="AH831" s="211"/>
      <c r="AI831" s="211"/>
      <c r="AJ831" s="211"/>
      <c r="AK831" s="211"/>
      <c r="AL831" s="211"/>
      <c r="AM831" s="211"/>
      <c r="AN831" s="211"/>
      <c r="AO831" s="211"/>
      <c r="AP831" s="211"/>
      <c r="AQ831" s="211"/>
      <c r="AR831" s="211"/>
      <c r="AS831" s="211"/>
      <c r="AT831" s="211"/>
      <c r="AU831" s="211"/>
      <c r="AV831" s="211"/>
      <c r="AW831" s="211"/>
      <c r="AX831" s="211"/>
      <c r="AY831" s="211"/>
      <c r="AZ831" s="211"/>
    </row>
    <row r="832" spans="1:52" s="213" customFormat="1" x14ac:dyDescent="0.35">
      <c r="A832" s="211"/>
      <c r="B832" s="211"/>
      <c r="C832" s="211"/>
      <c r="D832" s="211"/>
      <c r="E832" s="211"/>
      <c r="F832" s="211"/>
      <c r="G832" s="211"/>
      <c r="H832" s="211"/>
      <c r="I832" s="212"/>
      <c r="J832" s="212"/>
      <c r="K832" s="212"/>
      <c r="L832" s="212"/>
      <c r="M832" s="212"/>
      <c r="N832" s="212"/>
      <c r="O832" s="212"/>
      <c r="P832" s="211"/>
      <c r="Q832" s="211"/>
      <c r="R832" s="211"/>
      <c r="S832" s="211"/>
      <c r="T832" s="211"/>
      <c r="U832" s="211"/>
      <c r="V832" s="211"/>
      <c r="W832" s="211"/>
      <c r="X832" s="211"/>
      <c r="Y832" s="211"/>
      <c r="Z832" s="211"/>
      <c r="AD832" s="211"/>
      <c r="AE832" s="211"/>
      <c r="AF832" s="211"/>
      <c r="AG832" s="211"/>
      <c r="AH832" s="211"/>
      <c r="AI832" s="211"/>
      <c r="AJ832" s="211"/>
      <c r="AK832" s="211"/>
      <c r="AL832" s="211"/>
      <c r="AM832" s="211"/>
      <c r="AN832" s="211"/>
      <c r="AO832" s="211"/>
      <c r="AP832" s="211"/>
      <c r="AQ832" s="211"/>
      <c r="AR832" s="211"/>
      <c r="AS832" s="211"/>
      <c r="AT832" s="211"/>
      <c r="AU832" s="211"/>
      <c r="AV832" s="211"/>
      <c r="AW832" s="211"/>
      <c r="AX832" s="211"/>
      <c r="AY832" s="211"/>
      <c r="AZ832" s="211"/>
    </row>
    <row r="833" spans="1:52" s="213" customFormat="1" x14ac:dyDescent="0.35">
      <c r="A833" s="211"/>
      <c r="B833" s="211"/>
      <c r="C833" s="211"/>
      <c r="D833" s="211"/>
      <c r="E833" s="211"/>
      <c r="F833" s="211"/>
      <c r="G833" s="211"/>
      <c r="H833" s="211"/>
      <c r="I833" s="212"/>
      <c r="J833" s="212"/>
      <c r="K833" s="212"/>
      <c r="L833" s="212"/>
      <c r="M833" s="212"/>
      <c r="N833" s="212"/>
      <c r="O833" s="212"/>
      <c r="P833" s="211"/>
      <c r="Q833" s="211"/>
      <c r="R833" s="211"/>
      <c r="S833" s="211"/>
      <c r="T833" s="211"/>
      <c r="U833" s="211"/>
      <c r="V833" s="211"/>
      <c r="W833" s="211"/>
      <c r="X833" s="211"/>
      <c r="Y833" s="211"/>
      <c r="Z833" s="211"/>
      <c r="AD833" s="211"/>
      <c r="AE833" s="211"/>
      <c r="AF833" s="211"/>
      <c r="AG833" s="211"/>
      <c r="AH833" s="211"/>
      <c r="AI833" s="211"/>
      <c r="AJ833" s="211"/>
      <c r="AK833" s="211"/>
      <c r="AL833" s="211"/>
      <c r="AM833" s="211"/>
      <c r="AN833" s="211"/>
      <c r="AO833" s="211"/>
      <c r="AP833" s="211"/>
      <c r="AQ833" s="211"/>
      <c r="AR833" s="211"/>
      <c r="AS833" s="211"/>
      <c r="AT833" s="211"/>
      <c r="AU833" s="211"/>
      <c r="AV833" s="211"/>
      <c r="AW833" s="211"/>
      <c r="AX833" s="211"/>
      <c r="AY833" s="211"/>
      <c r="AZ833" s="211"/>
    </row>
    <row r="834" spans="1:52" s="213" customFormat="1" x14ac:dyDescent="0.35">
      <c r="A834" s="211"/>
      <c r="B834" s="211"/>
      <c r="C834" s="211"/>
      <c r="D834" s="211"/>
      <c r="E834" s="211"/>
      <c r="F834" s="211"/>
      <c r="G834" s="211"/>
      <c r="H834" s="211"/>
      <c r="I834" s="212"/>
      <c r="J834" s="212"/>
      <c r="K834" s="212"/>
      <c r="L834" s="212"/>
      <c r="M834" s="212"/>
      <c r="N834" s="212"/>
      <c r="O834" s="212"/>
      <c r="P834" s="211"/>
      <c r="Q834" s="211"/>
      <c r="R834" s="211"/>
      <c r="S834" s="211"/>
      <c r="T834" s="211"/>
      <c r="U834" s="211"/>
      <c r="V834" s="211"/>
      <c r="W834" s="211"/>
      <c r="X834" s="211"/>
      <c r="Y834" s="211"/>
      <c r="Z834" s="211"/>
      <c r="AD834" s="211"/>
      <c r="AE834" s="211"/>
      <c r="AF834" s="211"/>
      <c r="AG834" s="211"/>
      <c r="AH834" s="211"/>
      <c r="AI834" s="211"/>
      <c r="AJ834" s="211"/>
      <c r="AK834" s="211"/>
      <c r="AL834" s="211"/>
      <c r="AM834" s="211"/>
      <c r="AN834" s="211"/>
      <c r="AO834" s="211"/>
      <c r="AP834" s="211"/>
      <c r="AQ834" s="211"/>
      <c r="AR834" s="211"/>
      <c r="AS834" s="211"/>
      <c r="AT834" s="211"/>
      <c r="AU834" s="211"/>
      <c r="AV834" s="211"/>
      <c r="AW834" s="211"/>
      <c r="AX834" s="211"/>
      <c r="AY834" s="211"/>
      <c r="AZ834" s="211"/>
    </row>
    <row r="835" spans="1:52" s="213" customFormat="1" x14ac:dyDescent="0.35">
      <c r="A835" s="211"/>
      <c r="B835" s="211"/>
      <c r="C835" s="211"/>
      <c r="D835" s="211"/>
      <c r="E835" s="211"/>
      <c r="F835" s="211"/>
      <c r="G835" s="211"/>
      <c r="H835" s="211"/>
      <c r="I835" s="212"/>
      <c r="J835" s="212"/>
      <c r="K835" s="212"/>
      <c r="L835" s="212"/>
      <c r="M835" s="212"/>
      <c r="N835" s="212"/>
      <c r="O835" s="212"/>
      <c r="P835" s="211"/>
      <c r="Q835" s="211"/>
      <c r="R835" s="211"/>
      <c r="S835" s="211"/>
      <c r="T835" s="211"/>
      <c r="U835" s="211"/>
      <c r="V835" s="211"/>
      <c r="W835" s="211"/>
      <c r="X835" s="211"/>
      <c r="Y835" s="211"/>
      <c r="Z835" s="211"/>
      <c r="AD835" s="211"/>
      <c r="AE835" s="211"/>
      <c r="AF835" s="211"/>
      <c r="AG835" s="211"/>
      <c r="AH835" s="211"/>
      <c r="AI835" s="211"/>
      <c r="AJ835" s="211"/>
      <c r="AK835" s="211"/>
      <c r="AL835" s="211"/>
      <c r="AM835" s="211"/>
      <c r="AN835" s="211"/>
      <c r="AO835" s="211"/>
      <c r="AP835" s="211"/>
      <c r="AQ835" s="211"/>
      <c r="AR835" s="211"/>
      <c r="AS835" s="211"/>
      <c r="AT835" s="211"/>
      <c r="AU835" s="211"/>
      <c r="AV835" s="211"/>
      <c r="AW835" s="211"/>
      <c r="AX835" s="211"/>
      <c r="AY835" s="211"/>
      <c r="AZ835" s="211"/>
    </row>
    <row r="836" spans="1:52" s="213" customFormat="1" x14ac:dyDescent="0.35">
      <c r="A836" s="211"/>
      <c r="B836" s="211"/>
      <c r="C836" s="211"/>
      <c r="D836" s="211"/>
      <c r="E836" s="211"/>
      <c r="F836" s="211"/>
      <c r="G836" s="211"/>
      <c r="H836" s="211"/>
      <c r="I836" s="212"/>
      <c r="J836" s="212"/>
      <c r="K836" s="212"/>
      <c r="L836" s="212"/>
      <c r="M836" s="212"/>
      <c r="N836" s="212"/>
      <c r="O836" s="212"/>
      <c r="P836" s="211"/>
      <c r="Q836" s="211"/>
      <c r="R836" s="211"/>
      <c r="S836" s="211"/>
      <c r="T836" s="211"/>
      <c r="U836" s="211"/>
      <c r="V836" s="211"/>
      <c r="W836" s="211"/>
      <c r="X836" s="211"/>
      <c r="Y836" s="211"/>
      <c r="Z836" s="211"/>
      <c r="AD836" s="211"/>
      <c r="AE836" s="211"/>
      <c r="AF836" s="211"/>
      <c r="AG836" s="211"/>
      <c r="AH836" s="211"/>
      <c r="AI836" s="211"/>
      <c r="AJ836" s="211"/>
      <c r="AK836" s="211"/>
      <c r="AL836" s="211"/>
      <c r="AM836" s="211"/>
      <c r="AN836" s="211"/>
      <c r="AO836" s="211"/>
      <c r="AP836" s="211"/>
      <c r="AQ836" s="211"/>
      <c r="AR836" s="211"/>
      <c r="AS836" s="211"/>
      <c r="AT836" s="211"/>
      <c r="AU836" s="211"/>
      <c r="AV836" s="211"/>
      <c r="AW836" s="211"/>
      <c r="AX836" s="211"/>
      <c r="AY836" s="211"/>
      <c r="AZ836" s="211"/>
    </row>
    <row r="837" spans="1:52" s="213" customFormat="1" x14ac:dyDescent="0.35">
      <c r="A837" s="211"/>
      <c r="B837" s="211"/>
      <c r="C837" s="211"/>
      <c r="D837" s="211"/>
      <c r="E837" s="211"/>
      <c r="F837" s="211"/>
      <c r="G837" s="211"/>
      <c r="H837" s="211"/>
      <c r="I837" s="212"/>
      <c r="J837" s="212"/>
      <c r="K837" s="212"/>
      <c r="L837" s="212"/>
      <c r="M837" s="212"/>
      <c r="N837" s="212"/>
      <c r="O837" s="212"/>
      <c r="P837" s="211"/>
      <c r="Q837" s="211"/>
      <c r="R837" s="211"/>
      <c r="S837" s="211"/>
      <c r="T837" s="211"/>
      <c r="U837" s="211"/>
      <c r="V837" s="211"/>
      <c r="W837" s="211"/>
      <c r="X837" s="211"/>
      <c r="Y837" s="211"/>
      <c r="Z837" s="211"/>
      <c r="AD837" s="211"/>
      <c r="AE837" s="211"/>
      <c r="AF837" s="211"/>
      <c r="AG837" s="211"/>
      <c r="AH837" s="211"/>
      <c r="AI837" s="211"/>
      <c r="AJ837" s="211"/>
      <c r="AK837" s="211"/>
      <c r="AL837" s="211"/>
      <c r="AM837" s="211"/>
      <c r="AN837" s="211"/>
      <c r="AO837" s="211"/>
      <c r="AP837" s="211"/>
      <c r="AQ837" s="211"/>
      <c r="AR837" s="211"/>
      <c r="AS837" s="211"/>
      <c r="AT837" s="211"/>
      <c r="AU837" s="211"/>
      <c r="AV837" s="211"/>
      <c r="AW837" s="211"/>
      <c r="AX837" s="211"/>
      <c r="AY837" s="211"/>
      <c r="AZ837" s="211"/>
    </row>
    <row r="838" spans="1:52" s="213" customFormat="1" x14ac:dyDescent="0.35">
      <c r="A838" s="211"/>
      <c r="B838" s="211"/>
      <c r="C838" s="211"/>
      <c r="D838" s="211"/>
      <c r="E838" s="211"/>
      <c r="F838" s="211"/>
      <c r="G838" s="211"/>
      <c r="H838" s="211"/>
      <c r="I838" s="212"/>
      <c r="J838" s="212"/>
      <c r="K838" s="212"/>
      <c r="L838" s="212"/>
      <c r="M838" s="212"/>
      <c r="N838" s="212"/>
      <c r="O838" s="212"/>
      <c r="P838" s="211"/>
      <c r="Q838" s="211"/>
      <c r="R838" s="211"/>
      <c r="S838" s="211"/>
      <c r="T838" s="211"/>
      <c r="U838" s="211"/>
      <c r="V838" s="211"/>
      <c r="W838" s="211"/>
      <c r="X838" s="211"/>
      <c r="Y838" s="211"/>
      <c r="Z838" s="211"/>
      <c r="AD838" s="211"/>
      <c r="AE838" s="211"/>
      <c r="AF838" s="211"/>
      <c r="AG838" s="211"/>
      <c r="AH838" s="211"/>
      <c r="AI838" s="211"/>
      <c r="AJ838" s="211"/>
      <c r="AK838" s="211"/>
      <c r="AL838" s="211"/>
      <c r="AM838" s="211"/>
      <c r="AN838" s="211"/>
      <c r="AO838" s="211"/>
      <c r="AP838" s="211"/>
      <c r="AQ838" s="211"/>
      <c r="AR838" s="211"/>
      <c r="AS838" s="211"/>
      <c r="AT838" s="211"/>
      <c r="AU838" s="211"/>
      <c r="AV838" s="211"/>
      <c r="AW838" s="211"/>
      <c r="AX838" s="211"/>
      <c r="AY838" s="211"/>
      <c r="AZ838" s="211"/>
    </row>
    <row r="839" spans="1:52" s="213" customFormat="1" x14ac:dyDescent="0.35">
      <c r="A839" s="211"/>
      <c r="B839" s="211"/>
      <c r="C839" s="211"/>
      <c r="D839" s="211"/>
      <c r="E839" s="211"/>
      <c r="F839" s="211"/>
      <c r="G839" s="211"/>
      <c r="H839" s="211"/>
      <c r="I839" s="212"/>
      <c r="J839" s="212"/>
      <c r="K839" s="212"/>
      <c r="L839" s="212"/>
      <c r="M839" s="212"/>
      <c r="N839" s="212"/>
      <c r="O839" s="212"/>
      <c r="P839" s="211"/>
      <c r="Q839" s="211"/>
      <c r="R839" s="211"/>
      <c r="S839" s="211"/>
      <c r="T839" s="211"/>
      <c r="U839" s="211"/>
      <c r="V839" s="211"/>
      <c r="W839" s="211"/>
      <c r="X839" s="211"/>
      <c r="Y839" s="211"/>
      <c r="Z839" s="211"/>
      <c r="AD839" s="211"/>
      <c r="AE839" s="211"/>
      <c r="AF839" s="211"/>
      <c r="AG839" s="211"/>
      <c r="AH839" s="211"/>
      <c r="AI839" s="211"/>
      <c r="AJ839" s="211"/>
      <c r="AK839" s="211"/>
      <c r="AL839" s="211"/>
      <c r="AM839" s="211"/>
      <c r="AN839" s="211"/>
      <c r="AO839" s="211"/>
      <c r="AP839" s="211"/>
      <c r="AQ839" s="211"/>
      <c r="AR839" s="211"/>
      <c r="AS839" s="211"/>
      <c r="AT839" s="211"/>
      <c r="AU839" s="211"/>
      <c r="AV839" s="211"/>
      <c r="AW839" s="211"/>
      <c r="AX839" s="211"/>
      <c r="AY839" s="211"/>
      <c r="AZ839" s="211"/>
    </row>
    <row r="840" spans="1:52" s="213" customFormat="1" x14ac:dyDescent="0.35">
      <c r="A840" s="211"/>
      <c r="B840" s="211"/>
      <c r="C840" s="211"/>
      <c r="D840" s="211"/>
      <c r="E840" s="211"/>
      <c r="F840" s="211"/>
      <c r="G840" s="211"/>
      <c r="H840" s="211"/>
      <c r="I840" s="212"/>
      <c r="J840" s="212"/>
      <c r="K840" s="212"/>
      <c r="L840" s="212"/>
      <c r="M840" s="212"/>
      <c r="N840" s="212"/>
      <c r="O840" s="212"/>
      <c r="P840" s="211"/>
      <c r="Q840" s="211"/>
      <c r="R840" s="211"/>
      <c r="S840" s="211"/>
      <c r="T840" s="211"/>
      <c r="U840" s="211"/>
      <c r="V840" s="211"/>
      <c r="W840" s="211"/>
      <c r="X840" s="211"/>
      <c r="Y840" s="211"/>
      <c r="Z840" s="211"/>
      <c r="AD840" s="211"/>
      <c r="AE840" s="211"/>
      <c r="AF840" s="211"/>
      <c r="AG840" s="211"/>
      <c r="AH840" s="211"/>
      <c r="AI840" s="211"/>
      <c r="AJ840" s="211"/>
      <c r="AK840" s="211"/>
      <c r="AL840" s="211"/>
      <c r="AM840" s="211"/>
      <c r="AN840" s="211"/>
      <c r="AO840" s="211"/>
      <c r="AP840" s="211"/>
      <c r="AQ840" s="211"/>
      <c r="AR840" s="211"/>
      <c r="AS840" s="211"/>
      <c r="AT840" s="211"/>
      <c r="AU840" s="211"/>
      <c r="AV840" s="211"/>
      <c r="AW840" s="211"/>
      <c r="AX840" s="211"/>
      <c r="AY840" s="211"/>
      <c r="AZ840" s="211"/>
    </row>
    <row r="841" spans="1:52" s="213" customFormat="1" x14ac:dyDescent="0.35">
      <c r="A841" s="211"/>
      <c r="B841" s="211"/>
      <c r="C841" s="211"/>
      <c r="D841" s="211"/>
      <c r="E841" s="211"/>
      <c r="F841" s="211"/>
      <c r="G841" s="211"/>
      <c r="H841" s="211"/>
      <c r="I841" s="212"/>
      <c r="J841" s="212"/>
      <c r="K841" s="212"/>
      <c r="L841" s="212"/>
      <c r="M841" s="212"/>
      <c r="N841" s="212"/>
      <c r="O841" s="212"/>
      <c r="P841" s="211"/>
      <c r="Q841" s="211"/>
      <c r="R841" s="211"/>
      <c r="S841" s="211"/>
      <c r="T841" s="211"/>
      <c r="U841" s="211"/>
      <c r="V841" s="211"/>
      <c r="W841" s="211"/>
      <c r="X841" s="211"/>
      <c r="Y841" s="211"/>
      <c r="Z841" s="211"/>
      <c r="AD841" s="211"/>
      <c r="AE841" s="211"/>
      <c r="AF841" s="211"/>
      <c r="AG841" s="211"/>
      <c r="AH841" s="211"/>
      <c r="AI841" s="211"/>
      <c r="AJ841" s="211"/>
      <c r="AK841" s="211"/>
      <c r="AL841" s="211"/>
      <c r="AM841" s="211"/>
      <c r="AN841" s="211"/>
      <c r="AO841" s="211"/>
      <c r="AP841" s="211"/>
      <c r="AQ841" s="211"/>
      <c r="AR841" s="211"/>
      <c r="AS841" s="211"/>
      <c r="AT841" s="211"/>
      <c r="AU841" s="211"/>
      <c r="AV841" s="211"/>
      <c r="AW841" s="211"/>
      <c r="AX841" s="211"/>
      <c r="AY841" s="211"/>
      <c r="AZ841" s="211"/>
    </row>
    <row r="842" spans="1:52" s="213" customFormat="1" x14ac:dyDescent="0.35">
      <c r="A842" s="211"/>
      <c r="B842" s="211"/>
      <c r="C842" s="211"/>
      <c r="D842" s="211"/>
      <c r="E842" s="211"/>
      <c r="F842" s="211"/>
      <c r="G842" s="211"/>
      <c r="H842" s="211"/>
      <c r="I842" s="212"/>
      <c r="J842" s="212"/>
      <c r="K842" s="212"/>
      <c r="L842" s="212"/>
      <c r="M842" s="212"/>
      <c r="N842" s="212"/>
      <c r="O842" s="212"/>
      <c r="P842" s="211"/>
      <c r="Q842" s="211"/>
      <c r="R842" s="211"/>
      <c r="S842" s="211"/>
      <c r="T842" s="211"/>
      <c r="U842" s="211"/>
      <c r="V842" s="211"/>
      <c r="W842" s="211"/>
      <c r="X842" s="211"/>
      <c r="Y842" s="211"/>
      <c r="Z842" s="211"/>
      <c r="AD842" s="211"/>
      <c r="AE842" s="211"/>
      <c r="AF842" s="211"/>
      <c r="AG842" s="211"/>
      <c r="AH842" s="211"/>
      <c r="AI842" s="211"/>
      <c r="AJ842" s="211"/>
      <c r="AK842" s="211"/>
      <c r="AL842" s="211"/>
      <c r="AM842" s="211"/>
      <c r="AN842" s="211"/>
      <c r="AO842" s="211"/>
      <c r="AP842" s="211"/>
      <c r="AQ842" s="211"/>
      <c r="AR842" s="211"/>
      <c r="AS842" s="211"/>
      <c r="AT842" s="211"/>
      <c r="AU842" s="211"/>
      <c r="AV842" s="211"/>
      <c r="AW842" s="211"/>
      <c r="AX842" s="211"/>
      <c r="AY842" s="211"/>
      <c r="AZ842" s="211"/>
    </row>
    <row r="843" spans="1:52" s="213" customFormat="1" x14ac:dyDescent="0.35">
      <c r="A843" s="211"/>
      <c r="B843" s="211"/>
      <c r="C843" s="211"/>
      <c r="D843" s="211"/>
      <c r="E843" s="211"/>
      <c r="F843" s="211"/>
      <c r="G843" s="211"/>
      <c r="H843" s="211"/>
      <c r="I843" s="212"/>
      <c r="J843" s="212"/>
      <c r="K843" s="212"/>
      <c r="L843" s="212"/>
      <c r="M843" s="212"/>
      <c r="N843" s="212"/>
      <c r="O843" s="212"/>
      <c r="P843" s="211"/>
      <c r="Q843" s="211"/>
      <c r="R843" s="211"/>
      <c r="S843" s="211"/>
      <c r="T843" s="211"/>
      <c r="U843" s="211"/>
      <c r="V843" s="211"/>
      <c r="W843" s="211"/>
      <c r="X843" s="211"/>
      <c r="Y843" s="211"/>
      <c r="Z843" s="211"/>
      <c r="AD843" s="211"/>
      <c r="AE843" s="211"/>
      <c r="AF843" s="211"/>
      <c r="AG843" s="211"/>
      <c r="AH843" s="211"/>
      <c r="AI843" s="211"/>
      <c r="AJ843" s="211"/>
      <c r="AK843" s="211"/>
      <c r="AL843" s="211"/>
      <c r="AM843" s="211"/>
      <c r="AN843" s="211"/>
      <c r="AO843" s="211"/>
      <c r="AP843" s="211"/>
      <c r="AQ843" s="211"/>
      <c r="AR843" s="211"/>
      <c r="AS843" s="211"/>
      <c r="AT843" s="211"/>
      <c r="AU843" s="211"/>
      <c r="AV843" s="211"/>
      <c r="AW843" s="211"/>
      <c r="AX843" s="211"/>
      <c r="AY843" s="211"/>
      <c r="AZ843" s="211"/>
    </row>
    <row r="844" spans="1:52" s="213" customFormat="1" x14ac:dyDescent="0.35">
      <c r="A844" s="211"/>
      <c r="B844" s="211"/>
      <c r="C844" s="211"/>
      <c r="D844" s="211"/>
      <c r="E844" s="211"/>
      <c r="F844" s="211"/>
      <c r="G844" s="211"/>
      <c r="H844" s="211"/>
      <c r="I844" s="212"/>
      <c r="J844" s="212"/>
      <c r="K844" s="212"/>
      <c r="L844" s="212"/>
      <c r="M844" s="212"/>
      <c r="N844" s="212"/>
      <c r="O844" s="212"/>
      <c r="P844" s="211"/>
      <c r="Q844" s="211"/>
      <c r="R844" s="211"/>
      <c r="S844" s="211"/>
      <c r="T844" s="211"/>
      <c r="U844" s="211"/>
      <c r="V844" s="211"/>
      <c r="W844" s="211"/>
      <c r="X844" s="211"/>
      <c r="Y844" s="211"/>
      <c r="Z844" s="211"/>
      <c r="AD844" s="211"/>
      <c r="AE844" s="211"/>
      <c r="AF844" s="211"/>
      <c r="AG844" s="211"/>
      <c r="AH844" s="211"/>
      <c r="AI844" s="211"/>
      <c r="AJ844" s="211"/>
      <c r="AK844" s="211"/>
      <c r="AL844" s="211"/>
      <c r="AM844" s="211"/>
      <c r="AN844" s="211"/>
      <c r="AO844" s="211"/>
      <c r="AP844" s="211"/>
      <c r="AQ844" s="211"/>
      <c r="AR844" s="211"/>
      <c r="AS844" s="211"/>
      <c r="AT844" s="211"/>
      <c r="AU844" s="211"/>
      <c r="AV844" s="211"/>
      <c r="AW844" s="211"/>
      <c r="AX844" s="211"/>
      <c r="AY844" s="211"/>
      <c r="AZ844" s="211"/>
    </row>
    <row r="845" spans="1:52" s="213" customFormat="1" x14ac:dyDescent="0.35">
      <c r="A845" s="211"/>
      <c r="B845" s="211"/>
      <c r="C845" s="211"/>
      <c r="D845" s="211"/>
      <c r="E845" s="211"/>
      <c r="F845" s="211"/>
      <c r="G845" s="211"/>
      <c r="H845" s="211"/>
      <c r="I845" s="212"/>
      <c r="J845" s="212"/>
      <c r="K845" s="212"/>
      <c r="L845" s="212"/>
      <c r="M845" s="212"/>
      <c r="N845" s="212"/>
      <c r="O845" s="212"/>
      <c r="P845" s="211"/>
      <c r="Q845" s="211"/>
      <c r="R845" s="211"/>
      <c r="S845" s="211"/>
      <c r="T845" s="211"/>
      <c r="U845" s="211"/>
      <c r="V845" s="211"/>
      <c r="W845" s="211"/>
      <c r="X845" s="211"/>
      <c r="Y845" s="211"/>
      <c r="Z845" s="211"/>
      <c r="AD845" s="211"/>
      <c r="AE845" s="211"/>
      <c r="AF845" s="211"/>
      <c r="AG845" s="211"/>
      <c r="AH845" s="211"/>
      <c r="AI845" s="211"/>
      <c r="AJ845" s="211"/>
      <c r="AK845" s="211"/>
      <c r="AL845" s="211"/>
      <c r="AM845" s="211"/>
      <c r="AN845" s="211"/>
      <c r="AO845" s="211"/>
      <c r="AP845" s="211"/>
      <c r="AQ845" s="211"/>
      <c r="AR845" s="211"/>
      <c r="AS845" s="211"/>
      <c r="AT845" s="211"/>
      <c r="AU845" s="211"/>
      <c r="AV845" s="211"/>
      <c r="AW845" s="211"/>
      <c r="AX845" s="211"/>
      <c r="AY845" s="211"/>
      <c r="AZ845" s="211"/>
    </row>
    <row r="846" spans="1:52" s="213" customFormat="1" x14ac:dyDescent="0.35">
      <c r="A846" s="211"/>
      <c r="B846" s="211"/>
      <c r="C846" s="211"/>
      <c r="D846" s="211"/>
      <c r="E846" s="211"/>
      <c r="F846" s="211"/>
      <c r="G846" s="211"/>
      <c r="H846" s="211"/>
      <c r="I846" s="212"/>
      <c r="J846" s="212"/>
      <c r="K846" s="212"/>
      <c r="L846" s="212"/>
      <c r="M846" s="212"/>
      <c r="N846" s="212"/>
      <c r="O846" s="212"/>
      <c r="P846" s="211"/>
      <c r="Q846" s="211"/>
      <c r="R846" s="211"/>
      <c r="S846" s="211"/>
      <c r="T846" s="211"/>
      <c r="U846" s="211"/>
      <c r="V846" s="211"/>
      <c r="W846" s="211"/>
      <c r="X846" s="211"/>
      <c r="Y846" s="211"/>
      <c r="Z846" s="211"/>
      <c r="AD846" s="211"/>
      <c r="AE846" s="211"/>
      <c r="AF846" s="211"/>
      <c r="AG846" s="211"/>
      <c r="AH846" s="211"/>
      <c r="AI846" s="211"/>
      <c r="AJ846" s="211"/>
      <c r="AK846" s="211"/>
      <c r="AL846" s="211"/>
      <c r="AM846" s="211"/>
      <c r="AN846" s="211"/>
      <c r="AO846" s="211"/>
      <c r="AP846" s="211"/>
      <c r="AQ846" s="211"/>
      <c r="AR846" s="211"/>
      <c r="AS846" s="211"/>
      <c r="AT846" s="211"/>
      <c r="AU846" s="211"/>
      <c r="AV846" s="211"/>
      <c r="AW846" s="211"/>
      <c r="AX846" s="211"/>
      <c r="AY846" s="211"/>
      <c r="AZ846" s="211"/>
    </row>
    <row r="847" spans="1:52" s="213" customFormat="1" x14ac:dyDescent="0.35">
      <c r="A847" s="211"/>
      <c r="B847" s="211"/>
      <c r="C847" s="211"/>
      <c r="D847" s="211"/>
      <c r="E847" s="211"/>
      <c r="F847" s="211"/>
      <c r="G847" s="211"/>
      <c r="H847" s="211"/>
      <c r="I847" s="212"/>
      <c r="J847" s="212"/>
      <c r="K847" s="212"/>
      <c r="L847" s="212"/>
      <c r="M847" s="212"/>
      <c r="N847" s="212"/>
      <c r="O847" s="212"/>
      <c r="P847" s="211"/>
      <c r="Q847" s="211"/>
      <c r="R847" s="211"/>
      <c r="S847" s="211"/>
      <c r="T847" s="211"/>
      <c r="U847" s="211"/>
      <c r="V847" s="211"/>
      <c r="W847" s="211"/>
      <c r="X847" s="211"/>
      <c r="Y847" s="211"/>
      <c r="Z847" s="211"/>
      <c r="AD847" s="211"/>
      <c r="AE847" s="211"/>
      <c r="AF847" s="211"/>
      <c r="AG847" s="211"/>
      <c r="AH847" s="211"/>
      <c r="AI847" s="211"/>
      <c r="AJ847" s="211"/>
      <c r="AK847" s="211"/>
      <c r="AL847" s="211"/>
      <c r="AM847" s="211"/>
      <c r="AN847" s="211"/>
      <c r="AO847" s="211"/>
      <c r="AP847" s="211"/>
      <c r="AQ847" s="211"/>
      <c r="AR847" s="211"/>
      <c r="AS847" s="211"/>
      <c r="AT847" s="211"/>
      <c r="AU847" s="211"/>
      <c r="AV847" s="211"/>
      <c r="AW847" s="211"/>
      <c r="AX847" s="211"/>
      <c r="AY847" s="211"/>
      <c r="AZ847" s="211"/>
    </row>
    <row r="848" spans="1:52" s="213" customFormat="1" x14ac:dyDescent="0.35">
      <c r="A848" s="211"/>
      <c r="B848" s="211"/>
      <c r="C848" s="211"/>
      <c r="D848" s="211"/>
      <c r="E848" s="211"/>
      <c r="F848" s="211"/>
      <c r="G848" s="211"/>
      <c r="H848" s="211"/>
      <c r="I848" s="212"/>
      <c r="J848" s="212"/>
      <c r="K848" s="212"/>
      <c r="L848" s="212"/>
      <c r="M848" s="212"/>
      <c r="N848" s="212"/>
      <c r="O848" s="212"/>
      <c r="P848" s="211"/>
      <c r="Q848" s="211"/>
      <c r="R848" s="211"/>
      <c r="S848" s="211"/>
      <c r="T848" s="211"/>
      <c r="U848" s="211"/>
      <c r="V848" s="211"/>
      <c r="W848" s="211"/>
      <c r="X848" s="211"/>
      <c r="Y848" s="211"/>
      <c r="Z848" s="211"/>
      <c r="AD848" s="211"/>
      <c r="AE848" s="211"/>
      <c r="AF848" s="211"/>
      <c r="AG848" s="211"/>
      <c r="AH848" s="211"/>
      <c r="AI848" s="211"/>
      <c r="AJ848" s="211"/>
      <c r="AK848" s="211"/>
      <c r="AL848" s="211"/>
      <c r="AM848" s="211"/>
      <c r="AN848" s="211"/>
      <c r="AO848" s="211"/>
      <c r="AP848" s="211"/>
      <c r="AQ848" s="211"/>
      <c r="AR848" s="211"/>
      <c r="AS848" s="211"/>
      <c r="AT848" s="211"/>
      <c r="AU848" s="211"/>
      <c r="AV848" s="211"/>
      <c r="AW848" s="211"/>
      <c r="AX848" s="211"/>
      <c r="AY848" s="211"/>
      <c r="AZ848" s="211"/>
    </row>
    <row r="849" spans="1:52" s="213" customFormat="1" x14ac:dyDescent="0.35">
      <c r="A849" s="211"/>
      <c r="B849" s="211"/>
      <c r="C849" s="211"/>
      <c r="D849" s="211"/>
      <c r="E849" s="211"/>
      <c r="F849" s="211"/>
      <c r="G849" s="211"/>
      <c r="H849" s="211"/>
      <c r="I849" s="212"/>
      <c r="J849" s="212"/>
      <c r="K849" s="212"/>
      <c r="L849" s="212"/>
      <c r="M849" s="212"/>
      <c r="N849" s="212"/>
      <c r="O849" s="212"/>
      <c r="P849" s="211"/>
      <c r="Q849" s="211"/>
      <c r="R849" s="211"/>
      <c r="S849" s="211"/>
      <c r="T849" s="211"/>
      <c r="U849" s="211"/>
      <c r="V849" s="211"/>
      <c r="W849" s="211"/>
      <c r="X849" s="211"/>
      <c r="Y849" s="211"/>
      <c r="Z849" s="211"/>
      <c r="AD849" s="211"/>
      <c r="AE849" s="211"/>
      <c r="AF849" s="211"/>
      <c r="AG849" s="211"/>
      <c r="AH849" s="211"/>
      <c r="AI849" s="211"/>
      <c r="AJ849" s="211"/>
      <c r="AK849" s="211"/>
      <c r="AL849" s="211"/>
      <c r="AM849" s="211"/>
      <c r="AN849" s="211"/>
      <c r="AO849" s="211"/>
      <c r="AP849" s="211"/>
      <c r="AQ849" s="211"/>
      <c r="AR849" s="211"/>
      <c r="AS849" s="211"/>
      <c r="AT849" s="211"/>
      <c r="AU849" s="211"/>
      <c r="AV849" s="211"/>
      <c r="AW849" s="211"/>
      <c r="AX849" s="211"/>
      <c r="AY849" s="211"/>
      <c r="AZ849" s="211"/>
    </row>
    <row r="850" spans="1:52" s="213" customFormat="1" x14ac:dyDescent="0.35">
      <c r="A850" s="211"/>
      <c r="B850" s="211"/>
      <c r="C850" s="211"/>
      <c r="D850" s="211"/>
      <c r="E850" s="211"/>
      <c r="F850" s="211"/>
      <c r="G850" s="211"/>
      <c r="H850" s="211"/>
      <c r="I850" s="212"/>
      <c r="J850" s="212"/>
      <c r="K850" s="212"/>
      <c r="L850" s="212"/>
      <c r="M850" s="212"/>
      <c r="N850" s="212"/>
      <c r="O850" s="212"/>
      <c r="P850" s="211"/>
      <c r="Q850" s="211"/>
      <c r="R850" s="211"/>
      <c r="S850" s="211"/>
      <c r="T850" s="211"/>
      <c r="U850" s="211"/>
      <c r="V850" s="211"/>
      <c r="W850" s="211"/>
      <c r="X850" s="211"/>
      <c r="Y850" s="211"/>
      <c r="Z850" s="211"/>
      <c r="AD850" s="211"/>
      <c r="AE850" s="211"/>
      <c r="AF850" s="211"/>
      <c r="AG850" s="211"/>
      <c r="AH850" s="211"/>
      <c r="AI850" s="211"/>
      <c r="AJ850" s="211"/>
      <c r="AK850" s="211"/>
      <c r="AL850" s="211"/>
      <c r="AM850" s="211"/>
      <c r="AN850" s="211"/>
      <c r="AO850" s="211"/>
      <c r="AP850" s="211"/>
      <c r="AQ850" s="211"/>
      <c r="AR850" s="211"/>
      <c r="AS850" s="211"/>
      <c r="AT850" s="211"/>
      <c r="AU850" s="211"/>
      <c r="AV850" s="211"/>
      <c r="AW850" s="211"/>
      <c r="AX850" s="211"/>
      <c r="AY850" s="211"/>
      <c r="AZ850" s="211"/>
    </row>
    <row r="851" spans="1:52" s="213" customFormat="1" x14ac:dyDescent="0.35">
      <c r="A851" s="211"/>
      <c r="B851" s="211"/>
      <c r="C851" s="211"/>
      <c r="D851" s="211"/>
      <c r="E851" s="211"/>
      <c r="F851" s="211"/>
      <c r="G851" s="211"/>
      <c r="H851" s="211"/>
      <c r="I851" s="212"/>
      <c r="J851" s="212"/>
      <c r="K851" s="212"/>
      <c r="L851" s="212"/>
      <c r="M851" s="212"/>
      <c r="N851" s="212"/>
      <c r="O851" s="212"/>
      <c r="P851" s="211"/>
      <c r="Q851" s="211"/>
      <c r="R851" s="211"/>
      <c r="S851" s="211"/>
      <c r="T851" s="211"/>
      <c r="U851" s="211"/>
      <c r="V851" s="211"/>
      <c r="W851" s="211"/>
      <c r="X851" s="211"/>
      <c r="Y851" s="211"/>
      <c r="Z851" s="211"/>
      <c r="AD851" s="211"/>
      <c r="AE851" s="211"/>
      <c r="AF851" s="211"/>
      <c r="AG851" s="211"/>
      <c r="AH851" s="211"/>
      <c r="AI851" s="211"/>
      <c r="AJ851" s="211"/>
      <c r="AK851" s="211"/>
      <c r="AL851" s="211"/>
      <c r="AM851" s="211"/>
      <c r="AN851" s="211"/>
      <c r="AO851" s="211"/>
      <c r="AP851" s="211"/>
      <c r="AQ851" s="211"/>
      <c r="AR851" s="211"/>
      <c r="AS851" s="211"/>
      <c r="AT851" s="211"/>
      <c r="AU851" s="211"/>
      <c r="AV851" s="211"/>
      <c r="AW851" s="211"/>
      <c r="AX851" s="211"/>
      <c r="AY851" s="211"/>
      <c r="AZ851" s="211"/>
    </row>
    <row r="852" spans="1:52" s="213" customFormat="1" x14ac:dyDescent="0.35">
      <c r="A852" s="211"/>
      <c r="B852" s="211"/>
      <c r="C852" s="211"/>
      <c r="D852" s="211"/>
      <c r="E852" s="211"/>
      <c r="F852" s="211"/>
      <c r="G852" s="211"/>
      <c r="H852" s="211"/>
      <c r="I852" s="212"/>
      <c r="J852" s="212"/>
      <c r="K852" s="212"/>
      <c r="L852" s="212"/>
      <c r="M852" s="212"/>
      <c r="N852" s="212"/>
      <c r="O852" s="212"/>
      <c r="P852" s="211"/>
      <c r="Q852" s="211"/>
      <c r="R852" s="211"/>
      <c r="S852" s="211"/>
      <c r="T852" s="211"/>
      <c r="U852" s="211"/>
      <c r="V852" s="211"/>
      <c r="W852" s="211"/>
      <c r="X852" s="211"/>
      <c r="Y852" s="211"/>
      <c r="Z852" s="211"/>
      <c r="AD852" s="211"/>
      <c r="AE852" s="211"/>
      <c r="AF852" s="211"/>
      <c r="AG852" s="211"/>
      <c r="AH852" s="211"/>
      <c r="AI852" s="211"/>
      <c r="AJ852" s="211"/>
      <c r="AK852" s="211"/>
      <c r="AL852" s="211"/>
      <c r="AM852" s="211"/>
      <c r="AN852" s="211"/>
      <c r="AO852" s="211"/>
      <c r="AP852" s="211"/>
      <c r="AQ852" s="211"/>
      <c r="AR852" s="211"/>
      <c r="AS852" s="211"/>
      <c r="AT852" s="211"/>
      <c r="AU852" s="211"/>
      <c r="AV852" s="211"/>
      <c r="AW852" s="211"/>
      <c r="AX852" s="211"/>
      <c r="AY852" s="211"/>
      <c r="AZ852" s="211"/>
    </row>
    <row r="853" spans="1:52" s="213" customFormat="1" x14ac:dyDescent="0.35">
      <c r="A853" s="211"/>
      <c r="B853" s="211"/>
      <c r="C853" s="211"/>
      <c r="D853" s="211"/>
      <c r="E853" s="211"/>
      <c r="F853" s="211"/>
      <c r="G853" s="211"/>
      <c r="H853" s="211"/>
      <c r="I853" s="212"/>
      <c r="J853" s="212"/>
      <c r="K853" s="212"/>
      <c r="L853" s="212"/>
      <c r="M853" s="212"/>
      <c r="N853" s="212"/>
      <c r="O853" s="212"/>
      <c r="P853" s="211"/>
      <c r="Q853" s="211"/>
      <c r="R853" s="211"/>
      <c r="S853" s="211"/>
      <c r="T853" s="211"/>
      <c r="U853" s="211"/>
      <c r="V853" s="211"/>
      <c r="W853" s="211"/>
      <c r="X853" s="211"/>
      <c r="Y853" s="211"/>
      <c r="Z853" s="211"/>
      <c r="AD853" s="211"/>
      <c r="AE853" s="211"/>
      <c r="AF853" s="211"/>
      <c r="AG853" s="211"/>
      <c r="AH853" s="211"/>
      <c r="AI853" s="211"/>
      <c r="AJ853" s="211"/>
      <c r="AK853" s="211"/>
      <c r="AL853" s="211"/>
      <c r="AM853" s="211"/>
      <c r="AN853" s="211"/>
      <c r="AO853" s="211"/>
      <c r="AP853" s="211"/>
      <c r="AQ853" s="211"/>
      <c r="AR853" s="211"/>
      <c r="AS853" s="211"/>
      <c r="AT853" s="211"/>
      <c r="AU853" s="211"/>
      <c r="AV853" s="211"/>
      <c r="AW853" s="211"/>
      <c r="AX853" s="211"/>
      <c r="AY853" s="211"/>
      <c r="AZ853" s="211"/>
    </row>
    <row r="854" spans="1:52" s="213" customFormat="1" x14ac:dyDescent="0.35">
      <c r="A854" s="211"/>
      <c r="B854" s="211"/>
      <c r="C854" s="211"/>
      <c r="D854" s="211"/>
      <c r="E854" s="211"/>
      <c r="F854" s="211"/>
      <c r="G854" s="211"/>
      <c r="H854" s="211"/>
      <c r="I854" s="212"/>
      <c r="J854" s="212"/>
      <c r="K854" s="212"/>
      <c r="L854" s="212"/>
      <c r="M854" s="212"/>
      <c r="N854" s="212"/>
      <c r="O854" s="212"/>
      <c r="P854" s="211"/>
      <c r="Q854" s="211"/>
      <c r="R854" s="211"/>
      <c r="S854" s="211"/>
      <c r="T854" s="211"/>
      <c r="U854" s="211"/>
      <c r="V854" s="211"/>
      <c r="W854" s="211"/>
      <c r="X854" s="211"/>
      <c r="Y854" s="211"/>
      <c r="Z854" s="211"/>
      <c r="AD854" s="211"/>
      <c r="AE854" s="211"/>
      <c r="AF854" s="211"/>
      <c r="AG854" s="211"/>
      <c r="AH854" s="211"/>
      <c r="AI854" s="211"/>
      <c r="AJ854" s="211"/>
      <c r="AK854" s="211"/>
      <c r="AL854" s="211"/>
      <c r="AM854" s="211"/>
      <c r="AN854" s="211"/>
      <c r="AO854" s="211"/>
      <c r="AP854" s="211"/>
      <c r="AQ854" s="211"/>
      <c r="AR854" s="211"/>
      <c r="AS854" s="211"/>
      <c r="AT854" s="211"/>
      <c r="AU854" s="211"/>
      <c r="AV854" s="211"/>
      <c r="AW854" s="211"/>
      <c r="AX854" s="211"/>
      <c r="AY854" s="211"/>
      <c r="AZ854" s="211"/>
    </row>
    <row r="855" spans="1:52" s="213" customFormat="1" x14ac:dyDescent="0.35">
      <c r="A855" s="211"/>
      <c r="B855" s="211"/>
      <c r="C855" s="211"/>
      <c r="D855" s="211"/>
      <c r="E855" s="211"/>
      <c r="F855" s="211"/>
      <c r="G855" s="211"/>
      <c r="H855" s="211"/>
      <c r="I855" s="212"/>
      <c r="J855" s="212"/>
      <c r="K855" s="212"/>
      <c r="L855" s="212"/>
      <c r="M855" s="212"/>
      <c r="N855" s="212"/>
      <c r="O855" s="212"/>
      <c r="P855" s="211"/>
      <c r="Q855" s="211"/>
      <c r="R855" s="211"/>
      <c r="S855" s="211"/>
      <c r="T855" s="211"/>
      <c r="U855" s="211"/>
      <c r="V855" s="211"/>
      <c r="W855" s="211"/>
      <c r="X855" s="211"/>
      <c r="Y855" s="211"/>
      <c r="Z855" s="211"/>
      <c r="AD855" s="211"/>
      <c r="AE855" s="211"/>
      <c r="AF855" s="211"/>
      <c r="AG855" s="211"/>
      <c r="AH855" s="211"/>
      <c r="AI855" s="211"/>
      <c r="AJ855" s="211"/>
      <c r="AK855" s="211"/>
      <c r="AL855" s="211"/>
      <c r="AM855" s="211"/>
      <c r="AN855" s="211"/>
      <c r="AO855" s="211"/>
      <c r="AP855" s="211"/>
      <c r="AQ855" s="211"/>
      <c r="AR855" s="211"/>
      <c r="AS855" s="211"/>
      <c r="AT855" s="211"/>
      <c r="AU855" s="211"/>
      <c r="AV855" s="211"/>
      <c r="AW855" s="211"/>
      <c r="AX855" s="211"/>
      <c r="AY855" s="211"/>
      <c r="AZ855" s="211"/>
    </row>
    <row r="856" spans="1:52" s="213" customFormat="1" x14ac:dyDescent="0.35">
      <c r="A856" s="211"/>
      <c r="B856" s="211"/>
      <c r="C856" s="211"/>
      <c r="D856" s="211"/>
      <c r="E856" s="211"/>
      <c r="F856" s="211"/>
      <c r="G856" s="211"/>
      <c r="H856" s="211"/>
      <c r="I856" s="212"/>
      <c r="J856" s="212"/>
      <c r="K856" s="212"/>
      <c r="L856" s="212"/>
      <c r="M856" s="212"/>
      <c r="N856" s="212"/>
      <c r="O856" s="212"/>
      <c r="P856" s="211"/>
      <c r="Q856" s="211"/>
      <c r="R856" s="211"/>
      <c r="S856" s="211"/>
      <c r="T856" s="211"/>
      <c r="U856" s="211"/>
      <c r="V856" s="211"/>
      <c r="W856" s="211"/>
      <c r="X856" s="211"/>
      <c r="Y856" s="211"/>
      <c r="Z856" s="211"/>
      <c r="AD856" s="211"/>
      <c r="AE856" s="211"/>
      <c r="AF856" s="211"/>
      <c r="AG856" s="211"/>
      <c r="AH856" s="211"/>
      <c r="AI856" s="211"/>
      <c r="AJ856" s="211"/>
      <c r="AK856" s="211"/>
      <c r="AL856" s="211"/>
      <c r="AM856" s="211"/>
      <c r="AN856" s="211"/>
      <c r="AO856" s="211"/>
      <c r="AP856" s="211"/>
      <c r="AQ856" s="211"/>
      <c r="AR856" s="211"/>
      <c r="AS856" s="211"/>
      <c r="AT856" s="211"/>
      <c r="AU856" s="211"/>
      <c r="AV856" s="211"/>
      <c r="AW856" s="211"/>
      <c r="AX856" s="211"/>
      <c r="AY856" s="211"/>
      <c r="AZ856" s="211"/>
    </row>
    <row r="857" spans="1:52" s="213" customFormat="1" x14ac:dyDescent="0.35">
      <c r="A857" s="211"/>
      <c r="B857" s="211"/>
      <c r="C857" s="211"/>
      <c r="D857" s="211"/>
      <c r="E857" s="211"/>
      <c r="F857" s="211"/>
      <c r="G857" s="211"/>
      <c r="H857" s="211"/>
      <c r="I857" s="212"/>
      <c r="J857" s="212"/>
      <c r="K857" s="212"/>
      <c r="L857" s="212"/>
      <c r="M857" s="212"/>
      <c r="N857" s="212"/>
      <c r="O857" s="212"/>
      <c r="P857" s="211"/>
      <c r="Q857" s="211"/>
      <c r="R857" s="211"/>
      <c r="S857" s="211"/>
      <c r="T857" s="211"/>
      <c r="U857" s="211"/>
      <c r="V857" s="211"/>
      <c r="W857" s="211"/>
      <c r="X857" s="211"/>
      <c r="Y857" s="211"/>
      <c r="Z857" s="211"/>
      <c r="AD857" s="211"/>
      <c r="AE857" s="211"/>
      <c r="AF857" s="211"/>
      <c r="AG857" s="211"/>
      <c r="AH857" s="211"/>
      <c r="AI857" s="211"/>
      <c r="AJ857" s="211"/>
      <c r="AK857" s="211"/>
      <c r="AL857" s="211"/>
      <c r="AM857" s="211"/>
      <c r="AN857" s="211"/>
      <c r="AO857" s="211"/>
      <c r="AP857" s="211"/>
      <c r="AQ857" s="211"/>
      <c r="AR857" s="211"/>
      <c r="AS857" s="211"/>
      <c r="AT857" s="211"/>
      <c r="AU857" s="211"/>
      <c r="AV857" s="211"/>
      <c r="AW857" s="211"/>
      <c r="AX857" s="211"/>
      <c r="AY857" s="211"/>
      <c r="AZ857" s="211"/>
    </row>
    <row r="858" spans="1:52" s="213" customFormat="1" x14ac:dyDescent="0.35">
      <c r="A858" s="211"/>
      <c r="B858" s="211"/>
      <c r="C858" s="211"/>
      <c r="D858" s="211"/>
      <c r="E858" s="211"/>
      <c r="F858" s="211"/>
      <c r="G858" s="211"/>
      <c r="H858" s="211"/>
      <c r="I858" s="212"/>
      <c r="J858" s="212"/>
      <c r="K858" s="212"/>
      <c r="L858" s="212"/>
      <c r="M858" s="212"/>
      <c r="N858" s="212"/>
      <c r="O858" s="212"/>
      <c r="P858" s="211"/>
      <c r="Q858" s="211"/>
      <c r="R858" s="211"/>
      <c r="S858" s="211"/>
      <c r="T858" s="211"/>
      <c r="U858" s="211"/>
      <c r="V858" s="211"/>
      <c r="W858" s="211"/>
      <c r="X858" s="211"/>
      <c r="Y858" s="211"/>
      <c r="Z858" s="211"/>
      <c r="AD858" s="211"/>
      <c r="AE858" s="211"/>
      <c r="AF858" s="211"/>
      <c r="AG858" s="211"/>
      <c r="AH858" s="211"/>
      <c r="AI858" s="211"/>
      <c r="AJ858" s="211"/>
      <c r="AK858" s="211"/>
      <c r="AL858" s="211"/>
      <c r="AM858" s="211"/>
      <c r="AN858" s="211"/>
      <c r="AO858" s="211"/>
      <c r="AP858" s="211"/>
      <c r="AQ858" s="211"/>
      <c r="AR858" s="211"/>
      <c r="AS858" s="211"/>
      <c r="AT858" s="211"/>
      <c r="AU858" s="211"/>
      <c r="AV858" s="211"/>
      <c r="AW858" s="211"/>
      <c r="AX858" s="211"/>
      <c r="AY858" s="211"/>
      <c r="AZ858" s="211"/>
    </row>
    <row r="859" spans="1:52" s="213" customFormat="1" x14ac:dyDescent="0.35">
      <c r="A859" s="211"/>
      <c r="B859" s="211"/>
      <c r="C859" s="211"/>
      <c r="D859" s="211"/>
      <c r="E859" s="211"/>
      <c r="F859" s="211"/>
      <c r="G859" s="211"/>
      <c r="H859" s="211"/>
      <c r="I859" s="212"/>
      <c r="J859" s="212"/>
      <c r="K859" s="212"/>
      <c r="L859" s="212"/>
      <c r="M859" s="212"/>
      <c r="N859" s="212"/>
      <c r="O859" s="212"/>
      <c r="P859" s="211"/>
      <c r="Q859" s="211"/>
      <c r="R859" s="211"/>
      <c r="S859" s="211"/>
      <c r="T859" s="211"/>
      <c r="U859" s="211"/>
      <c r="V859" s="211"/>
      <c r="W859" s="211"/>
      <c r="X859" s="211"/>
      <c r="Y859" s="211"/>
      <c r="Z859" s="211"/>
      <c r="AD859" s="211"/>
      <c r="AE859" s="211"/>
      <c r="AF859" s="211"/>
      <c r="AG859" s="211"/>
      <c r="AH859" s="211"/>
      <c r="AI859" s="211"/>
      <c r="AJ859" s="211"/>
      <c r="AK859" s="211"/>
      <c r="AL859" s="211"/>
      <c r="AM859" s="211"/>
      <c r="AN859" s="211"/>
      <c r="AO859" s="211"/>
      <c r="AP859" s="211"/>
      <c r="AQ859" s="211"/>
      <c r="AR859" s="211"/>
      <c r="AS859" s="211"/>
      <c r="AT859" s="211"/>
      <c r="AU859" s="211"/>
      <c r="AV859" s="211"/>
      <c r="AW859" s="211"/>
      <c r="AX859" s="211"/>
      <c r="AY859" s="211"/>
      <c r="AZ859" s="211"/>
    </row>
    <row r="860" spans="1:52" s="213" customFormat="1" x14ac:dyDescent="0.35">
      <c r="A860" s="211"/>
      <c r="B860" s="211"/>
      <c r="C860" s="211"/>
      <c r="D860" s="211"/>
      <c r="E860" s="211"/>
      <c r="F860" s="211"/>
      <c r="G860" s="211"/>
      <c r="H860" s="211"/>
      <c r="I860" s="212"/>
      <c r="J860" s="212"/>
      <c r="K860" s="212"/>
      <c r="L860" s="212"/>
      <c r="M860" s="212"/>
      <c r="N860" s="212"/>
      <c r="O860" s="212"/>
      <c r="P860" s="211"/>
      <c r="Q860" s="211"/>
      <c r="R860" s="211"/>
      <c r="S860" s="211"/>
      <c r="T860" s="211"/>
      <c r="U860" s="211"/>
      <c r="V860" s="211"/>
      <c r="W860" s="211"/>
      <c r="X860" s="211"/>
      <c r="Y860" s="211"/>
      <c r="Z860" s="211"/>
      <c r="AD860" s="211"/>
      <c r="AE860" s="211"/>
      <c r="AF860" s="211"/>
      <c r="AG860" s="211"/>
      <c r="AH860" s="211"/>
      <c r="AI860" s="211"/>
      <c r="AJ860" s="211"/>
      <c r="AK860" s="211"/>
      <c r="AL860" s="211"/>
      <c r="AM860" s="211"/>
      <c r="AN860" s="211"/>
      <c r="AO860" s="211"/>
      <c r="AP860" s="211"/>
      <c r="AQ860" s="211"/>
      <c r="AR860" s="211"/>
      <c r="AS860" s="211"/>
      <c r="AT860" s="211"/>
      <c r="AU860" s="211"/>
      <c r="AV860" s="211"/>
      <c r="AW860" s="211"/>
      <c r="AX860" s="211"/>
      <c r="AY860" s="211"/>
      <c r="AZ860" s="211"/>
    </row>
    <row r="861" spans="1:52" s="213" customFormat="1" x14ac:dyDescent="0.35">
      <c r="A861" s="211"/>
      <c r="B861" s="211"/>
      <c r="C861" s="211"/>
      <c r="D861" s="211"/>
      <c r="E861" s="211"/>
      <c r="F861" s="211"/>
      <c r="G861" s="211"/>
      <c r="H861" s="211"/>
      <c r="I861" s="212"/>
      <c r="J861" s="212"/>
      <c r="K861" s="212"/>
      <c r="L861" s="212"/>
      <c r="M861" s="212"/>
      <c r="N861" s="212"/>
      <c r="O861" s="212"/>
      <c r="P861" s="211"/>
      <c r="Q861" s="211"/>
      <c r="R861" s="211"/>
      <c r="S861" s="211"/>
      <c r="T861" s="211"/>
      <c r="U861" s="211"/>
      <c r="V861" s="211"/>
      <c r="W861" s="211"/>
      <c r="X861" s="211"/>
      <c r="Y861" s="211"/>
      <c r="Z861" s="211"/>
      <c r="AD861" s="211"/>
      <c r="AE861" s="211"/>
      <c r="AF861" s="211"/>
      <c r="AG861" s="211"/>
      <c r="AH861" s="211"/>
      <c r="AI861" s="211"/>
      <c r="AJ861" s="211"/>
      <c r="AK861" s="211"/>
      <c r="AL861" s="211"/>
      <c r="AM861" s="211"/>
      <c r="AN861" s="211"/>
      <c r="AO861" s="211"/>
      <c r="AP861" s="211"/>
      <c r="AQ861" s="211"/>
      <c r="AR861" s="211"/>
      <c r="AS861" s="211"/>
      <c r="AT861" s="211"/>
      <c r="AU861" s="211"/>
      <c r="AV861" s="211"/>
      <c r="AW861" s="211"/>
      <c r="AX861" s="211"/>
      <c r="AY861" s="211"/>
      <c r="AZ861" s="211"/>
    </row>
    <row r="862" spans="1:52" s="213" customFormat="1" x14ac:dyDescent="0.35">
      <c r="A862" s="211"/>
      <c r="B862" s="211"/>
      <c r="C862" s="211"/>
      <c r="D862" s="211"/>
      <c r="E862" s="211"/>
      <c r="F862" s="211"/>
      <c r="G862" s="211"/>
      <c r="H862" s="211"/>
      <c r="I862" s="212"/>
      <c r="J862" s="212"/>
      <c r="K862" s="212"/>
      <c r="L862" s="212"/>
      <c r="M862" s="212"/>
      <c r="N862" s="212"/>
      <c r="O862" s="212"/>
      <c r="P862" s="211"/>
      <c r="Q862" s="211"/>
      <c r="R862" s="211"/>
      <c r="S862" s="211"/>
      <c r="T862" s="211"/>
      <c r="U862" s="211"/>
      <c r="V862" s="211"/>
      <c r="W862" s="211"/>
      <c r="X862" s="211"/>
      <c r="Y862" s="211"/>
      <c r="Z862" s="211"/>
      <c r="AD862" s="211"/>
      <c r="AE862" s="211"/>
      <c r="AF862" s="211"/>
      <c r="AG862" s="211"/>
      <c r="AH862" s="211"/>
      <c r="AI862" s="211"/>
      <c r="AJ862" s="211"/>
      <c r="AK862" s="211"/>
      <c r="AL862" s="211"/>
      <c r="AM862" s="211"/>
      <c r="AN862" s="211"/>
      <c r="AO862" s="211"/>
      <c r="AP862" s="211"/>
      <c r="AQ862" s="211"/>
      <c r="AR862" s="211"/>
      <c r="AS862" s="211"/>
      <c r="AT862" s="211"/>
      <c r="AU862" s="211"/>
      <c r="AV862" s="211"/>
      <c r="AW862" s="211"/>
      <c r="AX862" s="211"/>
      <c r="AY862" s="211"/>
      <c r="AZ862" s="211"/>
    </row>
    <row r="863" spans="1:52" s="213" customFormat="1" x14ac:dyDescent="0.35">
      <c r="A863" s="211"/>
      <c r="B863" s="211"/>
      <c r="C863" s="211"/>
      <c r="D863" s="211"/>
      <c r="E863" s="211"/>
      <c r="F863" s="211"/>
      <c r="G863" s="211"/>
      <c r="H863" s="211"/>
      <c r="I863" s="212"/>
      <c r="J863" s="212"/>
      <c r="K863" s="212"/>
      <c r="L863" s="212"/>
      <c r="M863" s="212"/>
      <c r="N863" s="212"/>
      <c r="O863" s="212"/>
      <c r="P863" s="211"/>
      <c r="Q863" s="211"/>
      <c r="R863" s="211"/>
      <c r="S863" s="211"/>
      <c r="T863" s="211"/>
      <c r="U863" s="211"/>
      <c r="V863" s="211"/>
      <c r="W863" s="211"/>
      <c r="X863" s="211"/>
      <c r="Y863" s="211"/>
      <c r="Z863" s="211"/>
      <c r="AD863" s="211"/>
      <c r="AE863" s="211"/>
      <c r="AF863" s="211"/>
      <c r="AG863" s="211"/>
      <c r="AH863" s="211"/>
      <c r="AI863" s="211"/>
      <c r="AJ863" s="211"/>
      <c r="AK863" s="211"/>
      <c r="AL863" s="211"/>
      <c r="AM863" s="211"/>
      <c r="AN863" s="211"/>
      <c r="AO863" s="211"/>
      <c r="AP863" s="211"/>
      <c r="AQ863" s="211"/>
      <c r="AR863" s="211"/>
      <c r="AS863" s="211"/>
      <c r="AT863" s="211"/>
      <c r="AU863" s="211"/>
      <c r="AV863" s="211"/>
      <c r="AW863" s="211"/>
      <c r="AX863" s="211"/>
      <c r="AY863" s="211"/>
      <c r="AZ863" s="211"/>
    </row>
    <row r="864" spans="1:52" s="213" customFormat="1" x14ac:dyDescent="0.35">
      <c r="A864" s="211"/>
      <c r="B864" s="211"/>
      <c r="C864" s="211"/>
      <c r="D864" s="211"/>
      <c r="E864" s="211"/>
      <c r="F864" s="211"/>
      <c r="G864" s="211"/>
      <c r="H864" s="211"/>
      <c r="I864" s="212"/>
      <c r="J864" s="212"/>
      <c r="K864" s="212"/>
      <c r="L864" s="212"/>
      <c r="M864" s="212"/>
      <c r="N864" s="212"/>
      <c r="O864" s="212"/>
      <c r="P864" s="211"/>
      <c r="Q864" s="211"/>
      <c r="R864" s="211"/>
      <c r="S864" s="211"/>
      <c r="T864" s="211"/>
      <c r="U864" s="211"/>
      <c r="V864" s="211"/>
      <c r="W864" s="211"/>
      <c r="X864" s="211"/>
      <c r="Y864" s="211"/>
      <c r="Z864" s="211"/>
      <c r="AD864" s="211"/>
      <c r="AE864" s="211"/>
      <c r="AF864" s="211"/>
      <c r="AG864" s="211"/>
      <c r="AH864" s="211"/>
      <c r="AI864" s="211"/>
      <c r="AJ864" s="211"/>
      <c r="AK864" s="211"/>
      <c r="AL864" s="211"/>
      <c r="AM864" s="211"/>
      <c r="AN864" s="211"/>
      <c r="AO864" s="211"/>
      <c r="AP864" s="211"/>
      <c r="AQ864" s="211"/>
      <c r="AR864" s="211"/>
      <c r="AS864" s="211"/>
      <c r="AT864" s="211"/>
      <c r="AU864" s="211"/>
      <c r="AV864" s="211"/>
      <c r="AW864" s="211"/>
      <c r="AX864" s="211"/>
      <c r="AY864" s="211"/>
      <c r="AZ864" s="211"/>
    </row>
    <row r="865" spans="1:52" s="213" customFormat="1" x14ac:dyDescent="0.35">
      <c r="A865" s="211"/>
      <c r="B865" s="211"/>
      <c r="C865" s="211"/>
      <c r="D865" s="211"/>
      <c r="E865" s="211"/>
      <c r="F865" s="211"/>
      <c r="G865" s="211"/>
      <c r="H865" s="211"/>
      <c r="I865" s="212"/>
      <c r="J865" s="212"/>
      <c r="K865" s="212"/>
      <c r="L865" s="212"/>
      <c r="M865" s="212"/>
      <c r="N865" s="212"/>
      <c r="O865" s="212"/>
      <c r="P865" s="211"/>
      <c r="Q865" s="211"/>
      <c r="R865" s="211"/>
      <c r="S865" s="211"/>
      <c r="T865" s="211"/>
      <c r="U865" s="211"/>
      <c r="V865" s="211"/>
      <c r="W865" s="211"/>
      <c r="X865" s="211"/>
      <c r="Y865" s="211"/>
      <c r="Z865" s="211"/>
      <c r="AD865" s="211"/>
      <c r="AE865" s="211"/>
      <c r="AF865" s="211"/>
      <c r="AG865" s="211"/>
      <c r="AH865" s="211"/>
      <c r="AI865" s="211"/>
      <c r="AJ865" s="211"/>
      <c r="AK865" s="211"/>
      <c r="AL865" s="211"/>
      <c r="AM865" s="211"/>
      <c r="AN865" s="211"/>
      <c r="AO865" s="211"/>
      <c r="AP865" s="211"/>
      <c r="AQ865" s="211"/>
      <c r="AR865" s="211"/>
      <c r="AS865" s="211"/>
      <c r="AT865" s="211"/>
      <c r="AU865" s="211"/>
      <c r="AV865" s="211"/>
      <c r="AW865" s="211"/>
      <c r="AX865" s="211"/>
      <c r="AY865" s="211"/>
      <c r="AZ865" s="211"/>
    </row>
    <row r="866" spans="1:52" s="213" customFormat="1" x14ac:dyDescent="0.35">
      <c r="A866" s="211"/>
      <c r="B866" s="211"/>
      <c r="C866" s="211"/>
      <c r="D866" s="211"/>
      <c r="E866" s="211"/>
      <c r="F866" s="211"/>
      <c r="G866" s="211"/>
      <c r="H866" s="211"/>
      <c r="I866" s="212"/>
      <c r="J866" s="212"/>
      <c r="K866" s="212"/>
      <c r="L866" s="212"/>
      <c r="M866" s="212"/>
      <c r="N866" s="212"/>
      <c r="O866" s="212"/>
      <c r="P866" s="211"/>
      <c r="Q866" s="211"/>
      <c r="R866" s="211"/>
      <c r="S866" s="211"/>
      <c r="T866" s="211"/>
      <c r="U866" s="211"/>
      <c r="V866" s="211"/>
      <c r="W866" s="211"/>
      <c r="X866" s="211"/>
      <c r="Y866" s="211"/>
      <c r="Z866" s="211"/>
      <c r="AD866" s="211"/>
      <c r="AE866" s="211"/>
      <c r="AF866" s="211"/>
      <c r="AG866" s="211"/>
      <c r="AH866" s="211"/>
      <c r="AI866" s="211"/>
      <c r="AJ866" s="211"/>
      <c r="AK866" s="211"/>
      <c r="AL866" s="211"/>
      <c r="AM866" s="211"/>
      <c r="AN866" s="211"/>
      <c r="AO866" s="211"/>
      <c r="AP866" s="211"/>
      <c r="AQ866" s="211"/>
      <c r="AR866" s="211"/>
      <c r="AS866" s="211"/>
      <c r="AT866" s="211"/>
      <c r="AU866" s="211"/>
      <c r="AV866" s="211"/>
      <c r="AW866" s="211"/>
      <c r="AX866" s="211"/>
      <c r="AY866" s="211"/>
      <c r="AZ866" s="211"/>
    </row>
    <row r="867" spans="1:52" s="213" customFormat="1" x14ac:dyDescent="0.35">
      <c r="A867" s="211"/>
      <c r="B867" s="211"/>
      <c r="C867" s="211"/>
      <c r="D867" s="211"/>
      <c r="E867" s="211"/>
      <c r="F867" s="211"/>
      <c r="G867" s="211"/>
      <c r="H867" s="211"/>
      <c r="I867" s="212"/>
      <c r="J867" s="212"/>
      <c r="K867" s="212"/>
      <c r="L867" s="212"/>
      <c r="M867" s="212"/>
      <c r="N867" s="212"/>
      <c r="O867" s="212"/>
      <c r="P867" s="211"/>
      <c r="Q867" s="211"/>
      <c r="R867" s="211"/>
      <c r="S867" s="211"/>
      <c r="T867" s="211"/>
      <c r="U867" s="211"/>
      <c r="V867" s="211"/>
      <c r="W867" s="211"/>
      <c r="X867" s="211"/>
      <c r="Y867" s="211"/>
      <c r="Z867" s="211"/>
      <c r="AD867" s="211"/>
      <c r="AE867" s="211"/>
      <c r="AF867" s="211"/>
      <c r="AG867" s="211"/>
      <c r="AH867" s="211"/>
      <c r="AI867" s="211"/>
      <c r="AJ867" s="211"/>
      <c r="AK867" s="211"/>
      <c r="AL867" s="211"/>
      <c r="AM867" s="211"/>
      <c r="AN867" s="211"/>
      <c r="AO867" s="211"/>
      <c r="AP867" s="211"/>
      <c r="AQ867" s="211"/>
      <c r="AR867" s="211"/>
      <c r="AS867" s="211"/>
      <c r="AT867" s="211"/>
      <c r="AU867" s="211"/>
      <c r="AV867" s="211"/>
      <c r="AW867" s="211"/>
      <c r="AX867" s="211"/>
      <c r="AY867" s="211"/>
      <c r="AZ867" s="211"/>
    </row>
    <row r="868" spans="1:52" s="213" customFormat="1" x14ac:dyDescent="0.35">
      <c r="A868" s="211"/>
      <c r="B868" s="211"/>
      <c r="C868" s="211"/>
      <c r="D868" s="211"/>
      <c r="E868" s="211"/>
      <c r="F868" s="211"/>
      <c r="G868" s="211"/>
      <c r="H868" s="211"/>
      <c r="I868" s="212"/>
      <c r="J868" s="212"/>
      <c r="K868" s="212"/>
      <c r="L868" s="212"/>
      <c r="M868" s="212"/>
      <c r="N868" s="212"/>
      <c r="O868" s="212"/>
      <c r="P868" s="211"/>
      <c r="Q868" s="211"/>
      <c r="R868" s="211"/>
      <c r="S868" s="211"/>
      <c r="T868" s="211"/>
      <c r="U868" s="211"/>
      <c r="V868" s="211"/>
      <c r="W868" s="211"/>
      <c r="X868" s="211"/>
      <c r="Y868" s="211"/>
      <c r="Z868" s="211"/>
      <c r="AD868" s="211"/>
      <c r="AE868" s="211"/>
      <c r="AF868" s="211"/>
      <c r="AG868" s="211"/>
      <c r="AH868" s="211"/>
      <c r="AI868" s="211"/>
      <c r="AJ868" s="211"/>
      <c r="AK868" s="211"/>
      <c r="AL868" s="211"/>
      <c r="AM868" s="211"/>
      <c r="AN868" s="211"/>
      <c r="AO868" s="211"/>
      <c r="AP868" s="211"/>
      <c r="AQ868" s="211"/>
      <c r="AR868" s="211"/>
      <c r="AS868" s="211"/>
      <c r="AT868" s="211"/>
      <c r="AU868" s="211"/>
      <c r="AV868" s="211"/>
      <c r="AW868" s="211"/>
      <c r="AX868" s="211"/>
      <c r="AY868" s="211"/>
      <c r="AZ868" s="211"/>
    </row>
    <row r="869" spans="1:52" s="213" customFormat="1" x14ac:dyDescent="0.35">
      <c r="A869" s="211"/>
      <c r="B869" s="211"/>
      <c r="C869" s="211"/>
      <c r="D869" s="211"/>
      <c r="E869" s="211"/>
      <c r="F869" s="211"/>
      <c r="G869" s="211"/>
      <c r="H869" s="211"/>
      <c r="I869" s="212"/>
      <c r="J869" s="212"/>
      <c r="K869" s="212"/>
      <c r="L869" s="212"/>
      <c r="M869" s="212"/>
      <c r="N869" s="212"/>
      <c r="O869" s="212"/>
      <c r="P869" s="211"/>
      <c r="Q869" s="211"/>
      <c r="R869" s="211"/>
      <c r="S869" s="211"/>
      <c r="T869" s="211"/>
      <c r="U869" s="211"/>
      <c r="V869" s="211"/>
      <c r="W869" s="211"/>
      <c r="X869" s="211"/>
      <c r="Y869" s="211"/>
      <c r="Z869" s="211"/>
      <c r="AD869" s="211"/>
      <c r="AE869" s="211"/>
      <c r="AF869" s="211"/>
      <c r="AG869" s="211"/>
      <c r="AH869" s="211"/>
      <c r="AI869" s="211"/>
      <c r="AJ869" s="211"/>
      <c r="AK869" s="211"/>
      <c r="AL869" s="211"/>
      <c r="AM869" s="211"/>
      <c r="AN869" s="211"/>
      <c r="AO869" s="211"/>
      <c r="AP869" s="211"/>
      <c r="AQ869" s="211"/>
      <c r="AR869" s="211"/>
      <c r="AS869" s="211"/>
      <c r="AT869" s="211"/>
      <c r="AU869" s="211"/>
      <c r="AV869" s="211"/>
      <c r="AW869" s="211"/>
      <c r="AX869" s="211"/>
      <c r="AY869" s="211"/>
      <c r="AZ869" s="211"/>
    </row>
    <row r="870" spans="1:52" s="213" customFormat="1" x14ac:dyDescent="0.35">
      <c r="A870" s="211"/>
      <c r="B870" s="211"/>
      <c r="C870" s="211"/>
      <c r="D870" s="211"/>
      <c r="E870" s="211"/>
      <c r="F870" s="211"/>
      <c r="G870" s="211"/>
      <c r="H870" s="211"/>
      <c r="I870" s="212"/>
      <c r="J870" s="212"/>
      <c r="K870" s="212"/>
      <c r="L870" s="212"/>
      <c r="M870" s="212"/>
      <c r="N870" s="212"/>
      <c r="O870" s="212"/>
      <c r="P870" s="211"/>
      <c r="Q870" s="211"/>
      <c r="R870" s="211"/>
      <c r="S870" s="211"/>
      <c r="T870" s="211"/>
      <c r="U870" s="211"/>
      <c r="V870" s="211"/>
      <c r="W870" s="211"/>
      <c r="X870" s="211"/>
      <c r="Y870" s="211"/>
      <c r="Z870" s="211"/>
      <c r="AD870" s="211"/>
      <c r="AE870" s="211"/>
      <c r="AF870" s="211"/>
      <c r="AG870" s="211"/>
      <c r="AH870" s="211"/>
      <c r="AI870" s="211"/>
      <c r="AJ870" s="211"/>
      <c r="AK870" s="211"/>
      <c r="AL870" s="211"/>
      <c r="AM870" s="211"/>
      <c r="AN870" s="211"/>
      <c r="AO870" s="211"/>
      <c r="AP870" s="211"/>
      <c r="AQ870" s="211"/>
      <c r="AR870" s="211"/>
      <c r="AS870" s="211"/>
      <c r="AT870" s="211"/>
      <c r="AU870" s="211"/>
      <c r="AV870" s="211"/>
      <c r="AW870" s="211"/>
      <c r="AX870" s="211"/>
      <c r="AY870" s="211"/>
      <c r="AZ870" s="211"/>
    </row>
    <row r="871" spans="1:52" s="213" customFormat="1" x14ac:dyDescent="0.35">
      <c r="A871" s="211"/>
      <c r="B871" s="211"/>
      <c r="C871" s="211"/>
      <c r="D871" s="211"/>
      <c r="E871" s="211"/>
      <c r="F871" s="211"/>
      <c r="G871" s="211"/>
      <c r="H871" s="211"/>
      <c r="I871" s="212"/>
      <c r="J871" s="212"/>
      <c r="K871" s="212"/>
      <c r="L871" s="212"/>
      <c r="M871" s="212"/>
      <c r="N871" s="212"/>
      <c r="O871" s="212"/>
      <c r="P871" s="211"/>
      <c r="Q871" s="211"/>
      <c r="R871" s="211"/>
      <c r="S871" s="211"/>
      <c r="T871" s="211"/>
      <c r="U871" s="211"/>
      <c r="V871" s="211"/>
      <c r="W871" s="211"/>
      <c r="X871" s="211"/>
      <c r="Y871" s="211"/>
      <c r="Z871" s="211"/>
      <c r="AD871" s="211"/>
      <c r="AE871" s="211"/>
      <c r="AF871" s="211"/>
      <c r="AG871" s="211"/>
      <c r="AH871" s="211"/>
      <c r="AI871" s="211"/>
      <c r="AJ871" s="211"/>
      <c r="AK871" s="211"/>
      <c r="AL871" s="211"/>
      <c r="AM871" s="211"/>
      <c r="AN871" s="211"/>
      <c r="AO871" s="211"/>
      <c r="AP871" s="211"/>
      <c r="AQ871" s="211"/>
      <c r="AR871" s="211"/>
      <c r="AS871" s="211"/>
      <c r="AT871" s="211"/>
      <c r="AU871" s="211"/>
      <c r="AV871" s="211"/>
      <c r="AW871" s="211"/>
      <c r="AX871" s="211"/>
      <c r="AY871" s="211"/>
      <c r="AZ871" s="211"/>
    </row>
    <row r="872" spans="1:52" s="213" customFormat="1" x14ac:dyDescent="0.35">
      <c r="A872" s="211"/>
      <c r="B872" s="211"/>
      <c r="C872" s="211"/>
      <c r="D872" s="211"/>
      <c r="E872" s="211"/>
      <c r="F872" s="211"/>
      <c r="G872" s="211"/>
      <c r="H872" s="211"/>
      <c r="I872" s="212"/>
      <c r="J872" s="212"/>
      <c r="K872" s="212"/>
      <c r="L872" s="212"/>
      <c r="M872" s="212"/>
      <c r="N872" s="212"/>
      <c r="O872" s="212"/>
      <c r="P872" s="211"/>
      <c r="Q872" s="211"/>
      <c r="R872" s="211"/>
      <c r="S872" s="211"/>
      <c r="T872" s="211"/>
      <c r="U872" s="211"/>
      <c r="V872" s="211"/>
      <c r="W872" s="211"/>
      <c r="X872" s="211"/>
      <c r="Y872" s="211"/>
      <c r="Z872" s="211"/>
      <c r="AD872" s="211"/>
      <c r="AE872" s="211"/>
      <c r="AF872" s="211"/>
      <c r="AG872" s="211"/>
      <c r="AH872" s="211"/>
      <c r="AI872" s="211"/>
      <c r="AJ872" s="211"/>
      <c r="AK872" s="211"/>
      <c r="AL872" s="211"/>
      <c r="AM872" s="211"/>
      <c r="AN872" s="211"/>
      <c r="AO872" s="211"/>
      <c r="AP872" s="211"/>
      <c r="AQ872" s="211"/>
      <c r="AR872" s="211"/>
      <c r="AS872" s="211"/>
      <c r="AT872" s="211"/>
      <c r="AU872" s="211"/>
      <c r="AV872" s="211"/>
      <c r="AW872" s="211"/>
      <c r="AX872" s="211"/>
      <c r="AY872" s="211"/>
      <c r="AZ872" s="211"/>
    </row>
    <row r="873" spans="1:52" s="213" customFormat="1" x14ac:dyDescent="0.35">
      <c r="A873" s="211"/>
      <c r="B873" s="211"/>
      <c r="C873" s="211"/>
      <c r="D873" s="211"/>
      <c r="E873" s="211"/>
      <c r="F873" s="211"/>
      <c r="G873" s="211"/>
      <c r="H873" s="211"/>
      <c r="I873" s="212"/>
      <c r="J873" s="212"/>
      <c r="K873" s="212"/>
      <c r="L873" s="212"/>
      <c r="M873" s="212"/>
      <c r="N873" s="212"/>
      <c r="O873" s="212"/>
      <c r="P873" s="211"/>
      <c r="Q873" s="211"/>
      <c r="R873" s="211"/>
      <c r="S873" s="211"/>
      <c r="T873" s="211"/>
      <c r="U873" s="211"/>
      <c r="V873" s="211"/>
      <c r="W873" s="211"/>
      <c r="X873" s="211"/>
      <c r="Y873" s="211"/>
      <c r="Z873" s="211"/>
      <c r="AD873" s="211"/>
      <c r="AE873" s="211"/>
      <c r="AF873" s="211"/>
      <c r="AG873" s="211"/>
      <c r="AH873" s="211"/>
      <c r="AI873" s="211"/>
      <c r="AJ873" s="211"/>
      <c r="AK873" s="211"/>
      <c r="AL873" s="211"/>
      <c r="AM873" s="211"/>
      <c r="AN873" s="211"/>
      <c r="AO873" s="211"/>
      <c r="AP873" s="211"/>
      <c r="AQ873" s="211"/>
      <c r="AR873" s="211"/>
      <c r="AS873" s="211"/>
      <c r="AT873" s="211"/>
      <c r="AU873" s="211"/>
      <c r="AV873" s="211"/>
      <c r="AW873" s="211"/>
      <c r="AX873" s="211"/>
      <c r="AY873" s="211"/>
      <c r="AZ873" s="211"/>
    </row>
    <row r="874" spans="1:52" s="213" customFormat="1" x14ac:dyDescent="0.35">
      <c r="A874" s="211"/>
      <c r="B874" s="211"/>
      <c r="C874" s="211"/>
      <c r="D874" s="211"/>
      <c r="E874" s="211"/>
      <c r="F874" s="211"/>
      <c r="G874" s="211"/>
      <c r="H874" s="211"/>
      <c r="I874" s="212"/>
      <c r="J874" s="212"/>
      <c r="K874" s="212"/>
      <c r="L874" s="212"/>
      <c r="M874" s="212"/>
      <c r="N874" s="212"/>
      <c r="O874" s="212"/>
      <c r="P874" s="211"/>
      <c r="Q874" s="211"/>
      <c r="R874" s="211"/>
      <c r="S874" s="211"/>
      <c r="T874" s="211"/>
      <c r="U874" s="211"/>
      <c r="V874" s="211"/>
      <c r="W874" s="211"/>
      <c r="X874" s="211"/>
      <c r="Y874" s="211"/>
      <c r="Z874" s="211"/>
      <c r="AD874" s="211"/>
      <c r="AE874" s="211"/>
      <c r="AF874" s="211"/>
      <c r="AG874" s="211"/>
      <c r="AH874" s="211"/>
      <c r="AI874" s="211"/>
      <c r="AJ874" s="211"/>
      <c r="AK874" s="211"/>
      <c r="AL874" s="211"/>
      <c r="AM874" s="211"/>
      <c r="AN874" s="211"/>
      <c r="AO874" s="211"/>
      <c r="AP874" s="211"/>
      <c r="AQ874" s="211"/>
      <c r="AR874" s="211"/>
      <c r="AS874" s="211"/>
      <c r="AT874" s="211"/>
      <c r="AU874" s="211"/>
      <c r="AV874" s="211"/>
      <c r="AW874" s="211"/>
      <c r="AX874" s="211"/>
      <c r="AY874" s="211"/>
      <c r="AZ874" s="211"/>
    </row>
    <row r="875" spans="1:52" s="213" customFormat="1" x14ac:dyDescent="0.35">
      <c r="A875" s="211"/>
      <c r="B875" s="211"/>
      <c r="C875" s="211"/>
      <c r="D875" s="211"/>
      <c r="E875" s="211"/>
      <c r="F875" s="211"/>
      <c r="G875" s="211"/>
      <c r="H875" s="211"/>
      <c r="I875" s="212"/>
      <c r="J875" s="212"/>
      <c r="K875" s="212"/>
      <c r="L875" s="212"/>
      <c r="M875" s="212"/>
      <c r="N875" s="212"/>
      <c r="O875" s="212"/>
      <c r="P875" s="211"/>
      <c r="Q875" s="211"/>
      <c r="R875" s="211"/>
      <c r="S875" s="211"/>
      <c r="T875" s="211"/>
      <c r="U875" s="211"/>
      <c r="V875" s="211"/>
      <c r="W875" s="211"/>
      <c r="X875" s="211"/>
      <c r="Y875" s="211"/>
      <c r="Z875" s="211"/>
      <c r="AD875" s="211"/>
      <c r="AE875" s="211"/>
      <c r="AF875" s="211"/>
      <c r="AG875" s="211"/>
      <c r="AH875" s="211"/>
      <c r="AI875" s="211"/>
      <c r="AJ875" s="211"/>
      <c r="AK875" s="211"/>
      <c r="AL875" s="211"/>
      <c r="AM875" s="211"/>
      <c r="AN875" s="211"/>
      <c r="AO875" s="211"/>
      <c r="AP875" s="211"/>
      <c r="AQ875" s="211"/>
      <c r="AR875" s="211"/>
      <c r="AS875" s="211"/>
      <c r="AT875" s="211"/>
      <c r="AU875" s="211"/>
      <c r="AV875" s="211"/>
      <c r="AW875" s="211"/>
      <c r="AX875" s="211"/>
      <c r="AY875" s="211"/>
      <c r="AZ875" s="211"/>
    </row>
    <row r="876" spans="1:52" s="213" customFormat="1" x14ac:dyDescent="0.35">
      <c r="A876" s="211"/>
      <c r="B876" s="211"/>
      <c r="C876" s="211"/>
      <c r="D876" s="211"/>
      <c r="E876" s="211"/>
      <c r="F876" s="211"/>
      <c r="G876" s="211"/>
      <c r="H876" s="211"/>
      <c r="I876" s="212"/>
      <c r="J876" s="212"/>
      <c r="K876" s="212"/>
      <c r="L876" s="212"/>
      <c r="M876" s="212"/>
      <c r="N876" s="212"/>
      <c r="O876" s="212"/>
      <c r="P876" s="211"/>
      <c r="Q876" s="211"/>
      <c r="R876" s="211"/>
      <c r="S876" s="211"/>
      <c r="T876" s="211"/>
      <c r="U876" s="211"/>
      <c r="V876" s="211"/>
      <c r="W876" s="211"/>
      <c r="X876" s="211"/>
      <c r="Y876" s="211"/>
      <c r="Z876" s="211"/>
      <c r="AD876" s="211"/>
      <c r="AE876" s="211"/>
      <c r="AF876" s="211"/>
      <c r="AG876" s="211"/>
      <c r="AH876" s="211"/>
      <c r="AI876" s="211"/>
      <c r="AJ876" s="211"/>
      <c r="AK876" s="211"/>
      <c r="AL876" s="211"/>
      <c r="AM876" s="211"/>
      <c r="AN876" s="211"/>
      <c r="AO876" s="211"/>
      <c r="AP876" s="211"/>
      <c r="AQ876" s="211"/>
      <c r="AR876" s="211"/>
      <c r="AS876" s="211"/>
      <c r="AT876" s="211"/>
      <c r="AU876" s="211"/>
      <c r="AV876" s="211"/>
      <c r="AW876" s="211"/>
      <c r="AX876" s="211"/>
      <c r="AY876" s="211"/>
      <c r="AZ876" s="211"/>
    </row>
    <row r="877" spans="1:52" s="213" customFormat="1" x14ac:dyDescent="0.35">
      <c r="A877" s="211"/>
      <c r="B877" s="211"/>
      <c r="C877" s="211"/>
      <c r="D877" s="211"/>
      <c r="E877" s="211"/>
      <c r="F877" s="211"/>
      <c r="G877" s="211"/>
      <c r="H877" s="211"/>
      <c r="I877" s="212"/>
      <c r="J877" s="212"/>
      <c r="K877" s="212"/>
      <c r="L877" s="212"/>
      <c r="M877" s="212"/>
      <c r="N877" s="212"/>
      <c r="O877" s="212"/>
      <c r="P877" s="211"/>
      <c r="Q877" s="211"/>
      <c r="R877" s="211"/>
      <c r="S877" s="211"/>
      <c r="T877" s="211"/>
      <c r="U877" s="211"/>
      <c r="V877" s="211"/>
      <c r="W877" s="211"/>
      <c r="X877" s="211"/>
      <c r="Y877" s="211"/>
      <c r="Z877" s="211"/>
      <c r="AD877" s="211"/>
      <c r="AE877" s="211"/>
      <c r="AF877" s="211"/>
      <c r="AG877" s="211"/>
      <c r="AH877" s="211"/>
      <c r="AI877" s="211"/>
      <c r="AJ877" s="211"/>
      <c r="AK877" s="211"/>
      <c r="AL877" s="211"/>
      <c r="AM877" s="211"/>
      <c r="AN877" s="211"/>
      <c r="AO877" s="211"/>
      <c r="AP877" s="211"/>
      <c r="AQ877" s="211"/>
      <c r="AR877" s="211"/>
      <c r="AS877" s="211"/>
      <c r="AT877" s="211"/>
      <c r="AU877" s="211"/>
      <c r="AV877" s="211"/>
      <c r="AW877" s="211"/>
      <c r="AX877" s="211"/>
      <c r="AY877" s="211"/>
      <c r="AZ877" s="211"/>
    </row>
    <row r="878" spans="1:52" s="213" customFormat="1" x14ac:dyDescent="0.35">
      <c r="A878" s="211"/>
      <c r="B878" s="211"/>
      <c r="C878" s="211"/>
      <c r="D878" s="211"/>
      <c r="E878" s="211"/>
      <c r="F878" s="211"/>
      <c r="G878" s="211"/>
      <c r="H878" s="211"/>
      <c r="I878" s="212"/>
      <c r="J878" s="212"/>
      <c r="K878" s="212"/>
      <c r="L878" s="212"/>
      <c r="M878" s="212"/>
      <c r="N878" s="212"/>
      <c r="O878" s="212"/>
      <c r="P878" s="211"/>
      <c r="Q878" s="211"/>
      <c r="R878" s="211"/>
      <c r="S878" s="211"/>
      <c r="T878" s="211"/>
      <c r="U878" s="211"/>
      <c r="V878" s="211"/>
      <c r="W878" s="211"/>
      <c r="X878" s="211"/>
      <c r="Y878" s="211"/>
      <c r="Z878" s="211"/>
      <c r="AD878" s="211"/>
      <c r="AE878" s="211"/>
      <c r="AF878" s="211"/>
      <c r="AG878" s="211"/>
      <c r="AH878" s="211"/>
      <c r="AI878" s="211"/>
      <c r="AJ878" s="211"/>
      <c r="AK878" s="211"/>
      <c r="AL878" s="211"/>
      <c r="AM878" s="211"/>
      <c r="AN878" s="211"/>
      <c r="AO878" s="211"/>
      <c r="AP878" s="211"/>
      <c r="AQ878" s="211"/>
      <c r="AR878" s="211"/>
      <c r="AS878" s="211"/>
      <c r="AT878" s="211"/>
      <c r="AU878" s="211"/>
      <c r="AV878" s="211"/>
      <c r="AW878" s="211"/>
      <c r="AX878" s="211"/>
      <c r="AY878" s="211"/>
      <c r="AZ878" s="211"/>
    </row>
    <row r="879" spans="1:52" s="213" customFormat="1" x14ac:dyDescent="0.35">
      <c r="A879" s="211"/>
      <c r="B879" s="211"/>
      <c r="C879" s="211"/>
      <c r="D879" s="211"/>
      <c r="E879" s="211"/>
      <c r="F879" s="211"/>
      <c r="G879" s="211"/>
      <c r="H879" s="211"/>
      <c r="I879" s="212"/>
      <c r="J879" s="212"/>
      <c r="K879" s="212"/>
      <c r="L879" s="212"/>
      <c r="M879" s="212"/>
      <c r="N879" s="212"/>
      <c r="O879" s="212"/>
      <c r="P879" s="211"/>
      <c r="Q879" s="211"/>
      <c r="R879" s="211"/>
      <c r="S879" s="211"/>
      <c r="T879" s="211"/>
      <c r="U879" s="211"/>
      <c r="V879" s="211"/>
      <c r="W879" s="211"/>
      <c r="X879" s="211"/>
      <c r="Y879" s="211"/>
      <c r="Z879" s="211"/>
      <c r="AD879" s="211"/>
      <c r="AE879" s="211"/>
      <c r="AF879" s="211"/>
      <c r="AG879" s="211"/>
      <c r="AH879" s="211"/>
      <c r="AI879" s="211"/>
      <c r="AJ879" s="211"/>
      <c r="AK879" s="211"/>
      <c r="AL879" s="211"/>
      <c r="AM879" s="211"/>
      <c r="AN879" s="211"/>
      <c r="AO879" s="211"/>
      <c r="AP879" s="211"/>
      <c r="AQ879" s="211"/>
      <c r="AR879" s="211"/>
      <c r="AS879" s="211"/>
      <c r="AT879" s="211"/>
      <c r="AU879" s="211"/>
      <c r="AV879" s="211"/>
      <c r="AW879" s="211"/>
      <c r="AX879" s="211"/>
      <c r="AY879" s="211"/>
      <c r="AZ879" s="211"/>
    </row>
    <row r="880" spans="1:52" s="213" customFormat="1" x14ac:dyDescent="0.35">
      <c r="A880" s="211"/>
      <c r="B880" s="211"/>
      <c r="C880" s="211"/>
      <c r="D880" s="211"/>
      <c r="E880" s="211"/>
      <c r="F880" s="211"/>
      <c r="G880" s="211"/>
      <c r="H880" s="211"/>
      <c r="I880" s="212"/>
      <c r="J880" s="212"/>
      <c r="K880" s="212"/>
      <c r="L880" s="212"/>
      <c r="M880" s="212"/>
      <c r="N880" s="212"/>
      <c r="O880" s="212"/>
      <c r="P880" s="211"/>
      <c r="Q880" s="211"/>
      <c r="R880" s="211"/>
      <c r="S880" s="211"/>
      <c r="T880" s="211"/>
      <c r="U880" s="211"/>
      <c r="V880" s="211"/>
      <c r="W880" s="211"/>
      <c r="X880" s="211"/>
      <c r="Y880" s="211"/>
      <c r="Z880" s="211"/>
      <c r="AD880" s="211"/>
      <c r="AE880" s="211"/>
      <c r="AF880" s="211"/>
      <c r="AG880" s="211"/>
      <c r="AH880" s="211"/>
      <c r="AI880" s="211"/>
      <c r="AJ880" s="211"/>
      <c r="AK880" s="211"/>
      <c r="AL880" s="211"/>
      <c r="AM880" s="211"/>
      <c r="AN880" s="211"/>
      <c r="AO880" s="211"/>
      <c r="AP880" s="211"/>
      <c r="AQ880" s="211"/>
      <c r="AR880" s="211"/>
      <c r="AS880" s="211"/>
      <c r="AT880" s="211"/>
      <c r="AU880" s="211"/>
      <c r="AV880" s="211"/>
      <c r="AW880" s="211"/>
      <c r="AX880" s="211"/>
      <c r="AY880" s="211"/>
      <c r="AZ880" s="211"/>
    </row>
    <row r="881" spans="1:52" s="213" customFormat="1" x14ac:dyDescent="0.35">
      <c r="A881" s="211"/>
      <c r="B881" s="211"/>
      <c r="C881" s="211"/>
      <c r="D881" s="211"/>
      <c r="E881" s="211"/>
      <c r="F881" s="211"/>
      <c r="G881" s="211"/>
      <c r="H881" s="211"/>
      <c r="I881" s="212"/>
      <c r="J881" s="212"/>
      <c r="K881" s="212"/>
      <c r="L881" s="212"/>
      <c r="M881" s="212"/>
      <c r="N881" s="212"/>
      <c r="O881" s="212"/>
      <c r="P881" s="211"/>
      <c r="Q881" s="211"/>
      <c r="R881" s="211"/>
      <c r="S881" s="211"/>
      <c r="T881" s="211"/>
      <c r="U881" s="211"/>
      <c r="V881" s="211"/>
      <c r="W881" s="211"/>
      <c r="X881" s="211"/>
      <c r="Y881" s="211"/>
      <c r="Z881" s="211"/>
      <c r="AD881" s="211"/>
      <c r="AE881" s="211"/>
      <c r="AF881" s="211"/>
      <c r="AG881" s="211"/>
      <c r="AH881" s="211"/>
      <c r="AI881" s="211"/>
      <c r="AJ881" s="211"/>
      <c r="AK881" s="211"/>
      <c r="AL881" s="211"/>
      <c r="AM881" s="211"/>
      <c r="AN881" s="211"/>
      <c r="AO881" s="211"/>
      <c r="AP881" s="211"/>
      <c r="AQ881" s="211"/>
      <c r="AR881" s="211"/>
      <c r="AS881" s="211"/>
      <c r="AT881" s="211"/>
      <c r="AU881" s="211"/>
      <c r="AV881" s="211"/>
      <c r="AW881" s="211"/>
      <c r="AX881" s="211"/>
      <c r="AY881" s="211"/>
      <c r="AZ881" s="211"/>
    </row>
    <row r="882" spans="1:52" s="213" customFormat="1" x14ac:dyDescent="0.35">
      <c r="A882" s="211"/>
      <c r="B882" s="211"/>
      <c r="C882" s="211"/>
      <c r="D882" s="211"/>
      <c r="E882" s="211"/>
      <c r="F882" s="211"/>
      <c r="G882" s="211"/>
      <c r="H882" s="211"/>
      <c r="I882" s="212"/>
      <c r="J882" s="212"/>
      <c r="K882" s="212"/>
      <c r="L882" s="212"/>
      <c r="M882" s="212"/>
      <c r="N882" s="212"/>
      <c r="O882" s="212"/>
      <c r="P882" s="211"/>
      <c r="Q882" s="211"/>
      <c r="R882" s="211"/>
      <c r="S882" s="211"/>
      <c r="T882" s="211"/>
      <c r="U882" s="211"/>
      <c r="V882" s="211"/>
      <c r="W882" s="211"/>
      <c r="X882" s="211"/>
      <c r="Y882" s="211"/>
      <c r="Z882" s="211"/>
      <c r="AD882" s="211"/>
      <c r="AE882" s="211"/>
      <c r="AF882" s="211"/>
      <c r="AG882" s="211"/>
      <c r="AH882" s="211"/>
      <c r="AI882" s="211"/>
      <c r="AJ882" s="211"/>
      <c r="AK882" s="211"/>
      <c r="AL882" s="211"/>
      <c r="AM882" s="211"/>
      <c r="AN882" s="211"/>
      <c r="AO882" s="211"/>
      <c r="AP882" s="211"/>
      <c r="AQ882" s="211"/>
      <c r="AR882" s="211"/>
      <c r="AS882" s="211"/>
      <c r="AT882" s="211"/>
      <c r="AU882" s="211"/>
      <c r="AV882" s="211"/>
      <c r="AW882" s="211"/>
      <c r="AX882" s="211"/>
      <c r="AY882" s="211"/>
      <c r="AZ882" s="211"/>
    </row>
    <row r="883" spans="1:52" s="213" customFormat="1" x14ac:dyDescent="0.35">
      <c r="A883" s="211"/>
      <c r="B883" s="211"/>
      <c r="C883" s="211"/>
      <c r="D883" s="211"/>
      <c r="E883" s="211"/>
      <c r="F883" s="211"/>
      <c r="G883" s="211"/>
      <c r="H883" s="211"/>
      <c r="I883" s="212"/>
      <c r="J883" s="212"/>
      <c r="K883" s="212"/>
      <c r="L883" s="212"/>
      <c r="M883" s="212"/>
      <c r="N883" s="212"/>
      <c r="O883" s="212"/>
      <c r="P883" s="211"/>
      <c r="Q883" s="211"/>
      <c r="R883" s="211"/>
      <c r="S883" s="211"/>
      <c r="T883" s="211"/>
      <c r="U883" s="211"/>
      <c r="V883" s="211"/>
      <c r="W883" s="211"/>
      <c r="X883" s="211"/>
      <c r="Y883" s="211"/>
      <c r="Z883" s="211"/>
      <c r="AD883" s="211"/>
      <c r="AE883" s="211"/>
      <c r="AF883" s="211"/>
      <c r="AG883" s="211"/>
      <c r="AH883" s="211"/>
      <c r="AI883" s="211"/>
      <c r="AJ883" s="211"/>
      <c r="AK883" s="211"/>
      <c r="AL883" s="211"/>
      <c r="AM883" s="211"/>
      <c r="AN883" s="211"/>
      <c r="AO883" s="211"/>
      <c r="AP883" s="211"/>
      <c r="AQ883" s="211"/>
      <c r="AR883" s="211"/>
      <c r="AS883" s="211"/>
      <c r="AT883" s="211"/>
      <c r="AU883" s="211"/>
      <c r="AV883" s="211"/>
      <c r="AW883" s="211"/>
      <c r="AX883" s="211"/>
      <c r="AY883" s="211"/>
      <c r="AZ883" s="211"/>
    </row>
    <row r="884" spans="1:52" s="213" customFormat="1" x14ac:dyDescent="0.35">
      <c r="A884" s="211"/>
      <c r="B884" s="211"/>
      <c r="C884" s="211"/>
      <c r="D884" s="211"/>
      <c r="E884" s="211"/>
      <c r="F884" s="211"/>
      <c r="G884" s="211"/>
      <c r="H884" s="211"/>
      <c r="I884" s="212"/>
      <c r="J884" s="212"/>
      <c r="K884" s="212"/>
      <c r="L884" s="212"/>
      <c r="M884" s="212"/>
      <c r="N884" s="212"/>
      <c r="O884" s="212"/>
      <c r="P884" s="211"/>
      <c r="Q884" s="211"/>
      <c r="R884" s="211"/>
      <c r="S884" s="211"/>
      <c r="T884" s="211"/>
      <c r="U884" s="211"/>
      <c r="V884" s="211"/>
      <c r="W884" s="211"/>
      <c r="X884" s="211"/>
      <c r="Y884" s="211"/>
      <c r="Z884" s="211"/>
      <c r="AD884" s="211"/>
      <c r="AE884" s="211"/>
      <c r="AF884" s="211"/>
      <c r="AG884" s="211"/>
      <c r="AH884" s="211"/>
      <c r="AI884" s="211"/>
      <c r="AJ884" s="211"/>
      <c r="AK884" s="211"/>
      <c r="AL884" s="211"/>
      <c r="AM884" s="211"/>
      <c r="AN884" s="211"/>
      <c r="AO884" s="211"/>
      <c r="AP884" s="211"/>
      <c r="AQ884" s="211"/>
      <c r="AR884" s="211"/>
      <c r="AS884" s="211"/>
      <c r="AT884" s="211"/>
      <c r="AU884" s="211"/>
      <c r="AV884" s="211"/>
      <c r="AW884" s="211"/>
      <c r="AX884" s="211"/>
      <c r="AY884" s="211"/>
      <c r="AZ884" s="211"/>
    </row>
    <row r="885" spans="1:52" s="213" customFormat="1" x14ac:dyDescent="0.35">
      <c r="A885" s="211"/>
      <c r="B885" s="211"/>
      <c r="C885" s="211"/>
      <c r="D885" s="211"/>
      <c r="E885" s="211"/>
      <c r="F885" s="211"/>
      <c r="G885" s="211"/>
      <c r="H885" s="211"/>
      <c r="I885" s="212"/>
      <c r="J885" s="212"/>
      <c r="K885" s="212"/>
      <c r="L885" s="212"/>
      <c r="M885" s="212"/>
      <c r="N885" s="212"/>
      <c r="O885" s="212"/>
      <c r="P885" s="211"/>
      <c r="Q885" s="211"/>
      <c r="R885" s="211"/>
      <c r="S885" s="211"/>
      <c r="T885" s="211"/>
      <c r="U885" s="211"/>
      <c r="V885" s="211"/>
      <c r="W885" s="211"/>
      <c r="X885" s="211"/>
      <c r="Y885" s="211"/>
      <c r="Z885" s="211"/>
      <c r="AD885" s="211"/>
      <c r="AE885" s="211"/>
      <c r="AF885" s="211"/>
      <c r="AG885" s="211"/>
      <c r="AH885" s="211"/>
      <c r="AI885" s="211"/>
      <c r="AJ885" s="211"/>
      <c r="AK885" s="211"/>
      <c r="AL885" s="211"/>
      <c r="AM885" s="211"/>
      <c r="AN885" s="211"/>
      <c r="AO885" s="211"/>
      <c r="AP885" s="211"/>
      <c r="AQ885" s="211"/>
      <c r="AR885" s="211"/>
      <c r="AS885" s="211"/>
      <c r="AT885" s="211"/>
      <c r="AU885" s="211"/>
      <c r="AV885" s="211"/>
      <c r="AW885" s="211"/>
      <c r="AX885" s="211"/>
      <c r="AY885" s="211"/>
      <c r="AZ885" s="211"/>
    </row>
    <row r="886" spans="1:52" s="213" customFormat="1" x14ac:dyDescent="0.35">
      <c r="A886" s="211"/>
      <c r="B886" s="211"/>
      <c r="C886" s="211"/>
      <c r="D886" s="211"/>
      <c r="E886" s="211"/>
      <c r="F886" s="211"/>
      <c r="G886" s="211"/>
      <c r="H886" s="211"/>
      <c r="I886" s="212"/>
      <c r="J886" s="212"/>
      <c r="K886" s="212"/>
      <c r="L886" s="212"/>
      <c r="M886" s="212"/>
      <c r="N886" s="212"/>
      <c r="O886" s="212"/>
      <c r="P886" s="211"/>
      <c r="Q886" s="211"/>
      <c r="R886" s="211"/>
      <c r="S886" s="211"/>
      <c r="T886" s="211"/>
      <c r="U886" s="211"/>
      <c r="V886" s="211"/>
      <c r="W886" s="211"/>
      <c r="X886" s="211"/>
      <c r="Y886" s="211"/>
      <c r="Z886" s="211"/>
      <c r="AD886" s="211"/>
      <c r="AE886" s="211"/>
      <c r="AF886" s="211"/>
      <c r="AG886" s="211"/>
      <c r="AH886" s="211"/>
      <c r="AI886" s="211"/>
      <c r="AJ886" s="211"/>
      <c r="AK886" s="211"/>
      <c r="AL886" s="211"/>
      <c r="AM886" s="211"/>
      <c r="AN886" s="211"/>
      <c r="AO886" s="211"/>
      <c r="AP886" s="211"/>
      <c r="AQ886" s="211"/>
      <c r="AR886" s="211"/>
      <c r="AS886" s="211"/>
      <c r="AT886" s="211"/>
      <c r="AU886" s="211"/>
      <c r="AV886" s="211"/>
      <c r="AW886" s="211"/>
      <c r="AX886" s="211"/>
      <c r="AY886" s="211"/>
      <c r="AZ886" s="211"/>
    </row>
    <row r="887" spans="1:52" s="213" customFormat="1" x14ac:dyDescent="0.35">
      <c r="A887" s="211"/>
      <c r="B887" s="211"/>
      <c r="C887" s="211"/>
      <c r="D887" s="211"/>
      <c r="E887" s="211"/>
      <c r="F887" s="211"/>
      <c r="G887" s="211"/>
      <c r="H887" s="211"/>
      <c r="I887" s="212"/>
      <c r="J887" s="212"/>
      <c r="K887" s="212"/>
      <c r="L887" s="212"/>
      <c r="M887" s="212"/>
      <c r="N887" s="212"/>
      <c r="O887" s="212"/>
      <c r="P887" s="211"/>
      <c r="Q887" s="211"/>
      <c r="R887" s="211"/>
      <c r="S887" s="211"/>
      <c r="T887" s="211"/>
      <c r="U887" s="211"/>
      <c r="V887" s="211"/>
      <c r="W887" s="211"/>
      <c r="X887" s="211"/>
      <c r="Y887" s="211"/>
      <c r="Z887" s="211"/>
      <c r="AD887" s="211"/>
      <c r="AE887" s="211"/>
      <c r="AF887" s="211"/>
      <c r="AG887" s="211"/>
      <c r="AH887" s="211"/>
      <c r="AI887" s="211"/>
      <c r="AJ887" s="211"/>
      <c r="AK887" s="211"/>
      <c r="AL887" s="211"/>
      <c r="AM887" s="211"/>
      <c r="AN887" s="211"/>
      <c r="AO887" s="211"/>
      <c r="AP887" s="211"/>
      <c r="AQ887" s="211"/>
      <c r="AR887" s="211"/>
      <c r="AS887" s="211"/>
      <c r="AT887" s="211"/>
      <c r="AU887" s="211"/>
      <c r="AV887" s="211"/>
      <c r="AW887" s="211"/>
      <c r="AX887" s="211"/>
      <c r="AY887" s="211"/>
      <c r="AZ887" s="211"/>
    </row>
    <row r="888" spans="1:52" s="213" customFormat="1" x14ac:dyDescent="0.35">
      <c r="A888" s="211"/>
      <c r="B888" s="211"/>
      <c r="C888" s="211"/>
      <c r="D888" s="211"/>
      <c r="E888" s="211"/>
      <c r="F888" s="211"/>
      <c r="G888" s="211"/>
      <c r="H888" s="211"/>
      <c r="I888" s="212"/>
      <c r="J888" s="212"/>
      <c r="K888" s="212"/>
      <c r="L888" s="212"/>
      <c r="M888" s="212"/>
      <c r="N888" s="212"/>
      <c r="O888" s="212"/>
      <c r="P888" s="211"/>
      <c r="Q888" s="211"/>
      <c r="R888" s="211"/>
      <c r="S888" s="211"/>
      <c r="T888" s="211"/>
      <c r="U888" s="211"/>
      <c r="V888" s="211"/>
      <c r="W888" s="211"/>
      <c r="X888" s="211"/>
      <c r="Y888" s="211"/>
      <c r="Z888" s="211"/>
      <c r="AD888" s="211"/>
      <c r="AE888" s="211"/>
      <c r="AF888" s="211"/>
      <c r="AG888" s="211"/>
      <c r="AH888" s="211"/>
      <c r="AI888" s="211"/>
      <c r="AJ888" s="211"/>
      <c r="AK888" s="211"/>
      <c r="AL888" s="211"/>
      <c r="AM888" s="211"/>
      <c r="AN888" s="211"/>
      <c r="AO888" s="211"/>
      <c r="AP888" s="211"/>
      <c r="AQ888" s="211"/>
      <c r="AR888" s="211"/>
      <c r="AS888" s="211"/>
      <c r="AT888" s="211"/>
      <c r="AU888" s="211"/>
      <c r="AV888" s="211"/>
      <c r="AW888" s="211"/>
      <c r="AX888" s="211"/>
      <c r="AY888" s="211"/>
      <c r="AZ888" s="211"/>
    </row>
    <row r="889" spans="1:52" s="213" customFormat="1" x14ac:dyDescent="0.35">
      <c r="A889" s="211"/>
      <c r="B889" s="211"/>
      <c r="C889" s="211"/>
      <c r="D889" s="211"/>
      <c r="E889" s="211"/>
      <c r="F889" s="211"/>
      <c r="G889" s="211"/>
      <c r="H889" s="211"/>
      <c r="I889" s="212"/>
      <c r="J889" s="212"/>
      <c r="K889" s="212"/>
      <c r="L889" s="212"/>
      <c r="M889" s="212"/>
      <c r="N889" s="212"/>
      <c r="O889" s="212"/>
      <c r="P889" s="211"/>
      <c r="Q889" s="211"/>
      <c r="R889" s="211"/>
      <c r="S889" s="211"/>
      <c r="T889" s="211"/>
      <c r="U889" s="211"/>
      <c r="V889" s="211"/>
      <c r="W889" s="211"/>
      <c r="X889" s="211"/>
      <c r="Y889" s="211"/>
      <c r="Z889" s="211"/>
      <c r="AD889" s="211"/>
      <c r="AE889" s="211"/>
      <c r="AF889" s="211"/>
      <c r="AG889" s="211"/>
      <c r="AH889" s="211"/>
      <c r="AI889" s="211"/>
      <c r="AJ889" s="211"/>
      <c r="AK889" s="211"/>
      <c r="AL889" s="211"/>
      <c r="AM889" s="211"/>
      <c r="AN889" s="211"/>
      <c r="AO889" s="211"/>
      <c r="AP889" s="211"/>
      <c r="AQ889" s="211"/>
      <c r="AR889" s="211"/>
      <c r="AS889" s="211"/>
      <c r="AT889" s="211"/>
      <c r="AU889" s="211"/>
      <c r="AV889" s="211"/>
      <c r="AW889" s="211"/>
      <c r="AX889" s="211"/>
      <c r="AY889" s="211"/>
      <c r="AZ889" s="211"/>
    </row>
    <row r="890" spans="1:52" s="213" customFormat="1" x14ac:dyDescent="0.35">
      <c r="A890" s="211"/>
      <c r="B890" s="211"/>
      <c r="C890" s="211"/>
      <c r="D890" s="211"/>
      <c r="E890" s="211"/>
      <c r="F890" s="211"/>
      <c r="G890" s="211"/>
      <c r="H890" s="211"/>
      <c r="I890" s="212"/>
      <c r="J890" s="212"/>
      <c r="K890" s="212"/>
      <c r="L890" s="212"/>
      <c r="M890" s="212"/>
      <c r="N890" s="212"/>
      <c r="O890" s="212"/>
      <c r="P890" s="211"/>
      <c r="Q890" s="211"/>
      <c r="R890" s="211"/>
      <c r="S890" s="211"/>
      <c r="T890" s="211"/>
      <c r="U890" s="211"/>
      <c r="V890" s="211"/>
      <c r="W890" s="211"/>
      <c r="X890" s="211"/>
      <c r="Y890" s="211"/>
      <c r="Z890" s="211"/>
      <c r="AD890" s="211"/>
      <c r="AE890" s="211"/>
      <c r="AF890" s="211"/>
      <c r="AG890" s="211"/>
      <c r="AH890" s="211"/>
      <c r="AI890" s="211"/>
      <c r="AJ890" s="211"/>
      <c r="AK890" s="211"/>
      <c r="AL890" s="211"/>
      <c r="AM890" s="211"/>
      <c r="AN890" s="211"/>
      <c r="AO890" s="211"/>
      <c r="AP890" s="211"/>
      <c r="AQ890" s="211"/>
      <c r="AR890" s="211"/>
      <c r="AS890" s="211"/>
      <c r="AT890" s="211"/>
      <c r="AU890" s="211"/>
      <c r="AV890" s="211"/>
      <c r="AW890" s="211"/>
      <c r="AX890" s="211"/>
      <c r="AY890" s="211"/>
      <c r="AZ890" s="211"/>
    </row>
    <row r="891" spans="1:52" s="213" customFormat="1" x14ac:dyDescent="0.35">
      <c r="A891" s="211"/>
      <c r="B891" s="211"/>
      <c r="C891" s="211"/>
      <c r="D891" s="211"/>
      <c r="E891" s="211"/>
      <c r="F891" s="211"/>
      <c r="G891" s="211"/>
      <c r="H891" s="211"/>
      <c r="I891" s="212"/>
      <c r="J891" s="212"/>
      <c r="K891" s="212"/>
      <c r="L891" s="212"/>
      <c r="M891" s="212"/>
      <c r="N891" s="212"/>
      <c r="O891" s="212"/>
      <c r="P891" s="211"/>
      <c r="Q891" s="211"/>
      <c r="R891" s="211"/>
      <c r="S891" s="211"/>
      <c r="T891" s="211"/>
      <c r="U891" s="211"/>
      <c r="V891" s="211"/>
      <c r="W891" s="211"/>
      <c r="X891" s="211"/>
      <c r="Y891" s="211"/>
      <c r="Z891" s="211"/>
      <c r="AD891" s="211"/>
      <c r="AE891" s="211"/>
      <c r="AF891" s="211"/>
      <c r="AG891" s="211"/>
      <c r="AH891" s="211"/>
      <c r="AI891" s="211"/>
      <c r="AJ891" s="211"/>
      <c r="AK891" s="211"/>
      <c r="AL891" s="211"/>
      <c r="AM891" s="211"/>
      <c r="AN891" s="211"/>
      <c r="AO891" s="211"/>
      <c r="AP891" s="211"/>
      <c r="AQ891" s="211"/>
      <c r="AR891" s="211"/>
      <c r="AS891" s="211"/>
      <c r="AT891" s="211"/>
      <c r="AU891" s="211"/>
      <c r="AV891" s="211"/>
      <c r="AW891" s="211"/>
      <c r="AX891" s="211"/>
      <c r="AY891" s="211"/>
      <c r="AZ891" s="211"/>
    </row>
    <row r="892" spans="1:52" s="213" customFormat="1" x14ac:dyDescent="0.35">
      <c r="A892" s="211"/>
      <c r="B892" s="211"/>
      <c r="C892" s="211"/>
      <c r="D892" s="211"/>
      <c r="E892" s="211"/>
      <c r="F892" s="211"/>
      <c r="G892" s="211"/>
      <c r="H892" s="211"/>
      <c r="I892" s="212"/>
      <c r="J892" s="212"/>
      <c r="K892" s="212"/>
      <c r="L892" s="212"/>
      <c r="M892" s="212"/>
      <c r="N892" s="212"/>
      <c r="O892" s="212"/>
      <c r="P892" s="211"/>
      <c r="Q892" s="211"/>
      <c r="R892" s="211"/>
      <c r="S892" s="211"/>
      <c r="T892" s="211"/>
      <c r="U892" s="211"/>
      <c r="V892" s="211"/>
      <c r="W892" s="211"/>
      <c r="X892" s="211"/>
      <c r="Y892" s="211"/>
      <c r="Z892" s="211"/>
      <c r="AD892" s="211"/>
      <c r="AE892" s="211"/>
      <c r="AF892" s="211"/>
      <c r="AG892" s="211"/>
      <c r="AH892" s="211"/>
      <c r="AI892" s="211"/>
      <c r="AJ892" s="211"/>
      <c r="AK892" s="211"/>
      <c r="AL892" s="211"/>
      <c r="AM892" s="211"/>
      <c r="AN892" s="211"/>
      <c r="AO892" s="211"/>
      <c r="AP892" s="211"/>
      <c r="AQ892" s="211"/>
      <c r="AR892" s="211"/>
      <c r="AS892" s="211"/>
      <c r="AT892" s="211"/>
      <c r="AU892" s="211"/>
      <c r="AV892" s="211"/>
      <c r="AW892" s="211"/>
      <c r="AX892" s="211"/>
      <c r="AY892" s="211"/>
      <c r="AZ892" s="211"/>
    </row>
    <row r="893" spans="1:52" s="213" customFormat="1" x14ac:dyDescent="0.35">
      <c r="A893" s="211"/>
      <c r="B893" s="211"/>
      <c r="C893" s="211"/>
      <c r="D893" s="211"/>
      <c r="E893" s="211"/>
      <c r="F893" s="211"/>
      <c r="G893" s="211"/>
      <c r="H893" s="211"/>
      <c r="I893" s="212"/>
      <c r="J893" s="212"/>
      <c r="K893" s="212"/>
      <c r="L893" s="212"/>
      <c r="M893" s="212"/>
      <c r="N893" s="212"/>
      <c r="O893" s="212"/>
      <c r="P893" s="211"/>
      <c r="Q893" s="211"/>
      <c r="R893" s="211"/>
      <c r="S893" s="211"/>
      <c r="T893" s="211"/>
      <c r="U893" s="211"/>
      <c r="V893" s="211"/>
      <c r="W893" s="211"/>
      <c r="X893" s="211"/>
      <c r="Y893" s="211"/>
      <c r="Z893" s="211"/>
      <c r="AD893" s="211"/>
      <c r="AE893" s="211"/>
      <c r="AF893" s="211"/>
      <c r="AG893" s="211"/>
      <c r="AH893" s="211"/>
      <c r="AI893" s="211"/>
      <c r="AJ893" s="211"/>
      <c r="AK893" s="211"/>
      <c r="AL893" s="211"/>
      <c r="AM893" s="211"/>
      <c r="AN893" s="211"/>
      <c r="AO893" s="211"/>
      <c r="AP893" s="211"/>
      <c r="AQ893" s="211"/>
      <c r="AR893" s="211"/>
      <c r="AS893" s="211"/>
      <c r="AT893" s="211"/>
      <c r="AU893" s="211"/>
      <c r="AV893" s="211"/>
      <c r="AW893" s="211"/>
      <c r="AX893" s="211"/>
      <c r="AY893" s="211"/>
      <c r="AZ893" s="211"/>
    </row>
    <row r="894" spans="1:52" s="213" customFormat="1" x14ac:dyDescent="0.35">
      <c r="A894" s="211"/>
      <c r="B894" s="211"/>
      <c r="C894" s="211"/>
      <c r="D894" s="211"/>
      <c r="E894" s="211"/>
      <c r="F894" s="211"/>
      <c r="G894" s="211"/>
      <c r="H894" s="211"/>
      <c r="I894" s="212"/>
      <c r="J894" s="212"/>
      <c r="K894" s="212"/>
      <c r="L894" s="212"/>
      <c r="M894" s="212"/>
      <c r="N894" s="212"/>
      <c r="O894" s="212"/>
      <c r="P894" s="211"/>
      <c r="Q894" s="211"/>
      <c r="R894" s="211"/>
      <c r="S894" s="211"/>
      <c r="T894" s="211"/>
      <c r="U894" s="211"/>
      <c r="V894" s="211"/>
      <c r="W894" s="211"/>
      <c r="X894" s="211"/>
      <c r="Y894" s="211"/>
      <c r="Z894" s="211"/>
      <c r="AD894" s="211"/>
      <c r="AE894" s="211"/>
      <c r="AF894" s="211"/>
      <c r="AG894" s="211"/>
      <c r="AH894" s="211"/>
      <c r="AI894" s="211"/>
      <c r="AJ894" s="211"/>
      <c r="AK894" s="211"/>
      <c r="AL894" s="211"/>
      <c r="AM894" s="211"/>
      <c r="AN894" s="211"/>
      <c r="AO894" s="211"/>
      <c r="AP894" s="211"/>
      <c r="AQ894" s="211"/>
      <c r="AR894" s="211"/>
      <c r="AS894" s="211"/>
      <c r="AT894" s="211"/>
      <c r="AU894" s="211"/>
      <c r="AV894" s="211"/>
      <c r="AW894" s="211"/>
      <c r="AX894" s="211"/>
      <c r="AY894" s="211"/>
      <c r="AZ894" s="211"/>
    </row>
    <row r="895" spans="1:52" s="213" customFormat="1" x14ac:dyDescent="0.35">
      <c r="A895" s="211"/>
      <c r="B895" s="211"/>
      <c r="C895" s="211"/>
      <c r="D895" s="211"/>
      <c r="E895" s="211"/>
      <c r="F895" s="211"/>
      <c r="G895" s="211"/>
      <c r="H895" s="211"/>
      <c r="I895" s="212"/>
      <c r="J895" s="212"/>
      <c r="K895" s="212"/>
      <c r="L895" s="212"/>
      <c r="M895" s="212"/>
      <c r="N895" s="212"/>
      <c r="O895" s="212"/>
      <c r="P895" s="211"/>
      <c r="Q895" s="211"/>
      <c r="R895" s="211"/>
      <c r="S895" s="211"/>
      <c r="T895" s="211"/>
      <c r="U895" s="211"/>
      <c r="V895" s="211"/>
      <c r="W895" s="211"/>
      <c r="X895" s="211"/>
      <c r="Y895" s="211"/>
      <c r="Z895" s="211"/>
      <c r="AD895" s="211"/>
      <c r="AE895" s="211"/>
      <c r="AF895" s="211"/>
      <c r="AG895" s="211"/>
      <c r="AH895" s="211"/>
      <c r="AI895" s="211"/>
      <c r="AJ895" s="211"/>
      <c r="AK895" s="211"/>
      <c r="AL895" s="211"/>
      <c r="AM895" s="211"/>
      <c r="AN895" s="211"/>
      <c r="AO895" s="211"/>
      <c r="AP895" s="211"/>
      <c r="AQ895" s="211"/>
      <c r="AR895" s="211"/>
      <c r="AS895" s="211"/>
      <c r="AT895" s="211"/>
      <c r="AU895" s="211"/>
      <c r="AV895" s="211"/>
      <c r="AW895" s="211"/>
      <c r="AX895" s="211"/>
      <c r="AY895" s="211"/>
      <c r="AZ895" s="211"/>
    </row>
    <row r="896" spans="1:52" s="213" customFormat="1" x14ac:dyDescent="0.35">
      <c r="A896" s="211"/>
      <c r="B896" s="211"/>
      <c r="C896" s="211"/>
      <c r="D896" s="211"/>
      <c r="E896" s="211"/>
      <c r="F896" s="211"/>
      <c r="G896" s="211"/>
      <c r="H896" s="211"/>
      <c r="I896" s="212"/>
      <c r="J896" s="212"/>
      <c r="K896" s="212"/>
      <c r="L896" s="212"/>
      <c r="M896" s="212"/>
      <c r="N896" s="212"/>
      <c r="O896" s="212"/>
      <c r="P896" s="211"/>
      <c r="Q896" s="211"/>
      <c r="R896" s="211"/>
      <c r="S896" s="211"/>
      <c r="T896" s="211"/>
      <c r="U896" s="211"/>
      <c r="V896" s="211"/>
      <c r="W896" s="211"/>
      <c r="X896" s="211"/>
      <c r="Y896" s="211"/>
      <c r="Z896" s="211"/>
      <c r="AD896" s="211"/>
      <c r="AE896" s="211"/>
      <c r="AF896" s="211"/>
      <c r="AG896" s="211"/>
      <c r="AH896" s="211"/>
      <c r="AI896" s="211"/>
      <c r="AJ896" s="211"/>
      <c r="AK896" s="211"/>
      <c r="AL896" s="211"/>
      <c r="AM896" s="211"/>
      <c r="AN896" s="211"/>
      <c r="AO896" s="211"/>
      <c r="AP896" s="211"/>
      <c r="AQ896" s="211"/>
      <c r="AR896" s="211"/>
      <c r="AS896" s="211"/>
      <c r="AT896" s="211"/>
      <c r="AU896" s="211"/>
      <c r="AV896" s="211"/>
      <c r="AW896" s="211"/>
      <c r="AX896" s="211"/>
      <c r="AY896" s="211"/>
      <c r="AZ896" s="211"/>
    </row>
    <row r="897" spans="1:52" s="213" customFormat="1" x14ac:dyDescent="0.35">
      <c r="A897" s="211"/>
      <c r="B897" s="211"/>
      <c r="C897" s="211"/>
      <c r="D897" s="211"/>
      <c r="E897" s="211"/>
      <c r="F897" s="211"/>
      <c r="G897" s="211"/>
      <c r="H897" s="211"/>
      <c r="I897" s="212"/>
      <c r="J897" s="212"/>
      <c r="K897" s="212"/>
      <c r="L897" s="212"/>
      <c r="M897" s="212"/>
      <c r="N897" s="212"/>
      <c r="O897" s="212"/>
      <c r="P897" s="211"/>
      <c r="Q897" s="211"/>
      <c r="R897" s="211"/>
      <c r="S897" s="211"/>
      <c r="T897" s="211"/>
      <c r="U897" s="211"/>
      <c r="V897" s="211"/>
      <c r="W897" s="211"/>
      <c r="X897" s="211"/>
      <c r="Y897" s="211"/>
      <c r="Z897" s="211"/>
      <c r="AD897" s="211"/>
      <c r="AE897" s="211"/>
      <c r="AF897" s="211"/>
      <c r="AG897" s="211"/>
      <c r="AH897" s="211"/>
      <c r="AI897" s="211"/>
      <c r="AJ897" s="211"/>
      <c r="AK897" s="211"/>
      <c r="AL897" s="211"/>
      <c r="AM897" s="211"/>
      <c r="AN897" s="211"/>
      <c r="AO897" s="211"/>
      <c r="AP897" s="211"/>
      <c r="AQ897" s="211"/>
      <c r="AR897" s="211"/>
      <c r="AS897" s="211"/>
      <c r="AT897" s="211"/>
      <c r="AU897" s="211"/>
      <c r="AV897" s="211"/>
      <c r="AW897" s="211"/>
      <c r="AX897" s="211"/>
      <c r="AY897" s="211"/>
      <c r="AZ897" s="211"/>
    </row>
    <row r="898" spans="1:52" s="213" customFormat="1" x14ac:dyDescent="0.35">
      <c r="A898" s="211"/>
      <c r="B898" s="211"/>
      <c r="C898" s="211"/>
      <c r="D898" s="211"/>
      <c r="E898" s="211"/>
      <c r="F898" s="211"/>
      <c r="G898" s="211"/>
      <c r="H898" s="211"/>
      <c r="I898" s="212"/>
      <c r="J898" s="212"/>
      <c r="K898" s="212"/>
      <c r="L898" s="212"/>
      <c r="M898" s="212"/>
      <c r="N898" s="212"/>
      <c r="O898" s="212"/>
      <c r="P898" s="211"/>
      <c r="Q898" s="211"/>
      <c r="R898" s="211"/>
      <c r="S898" s="211"/>
      <c r="T898" s="211"/>
      <c r="U898" s="211"/>
      <c r="V898" s="211"/>
      <c r="W898" s="211"/>
      <c r="X898" s="211"/>
      <c r="Y898" s="211"/>
      <c r="Z898" s="211"/>
      <c r="AD898" s="211"/>
      <c r="AE898" s="211"/>
      <c r="AF898" s="211"/>
      <c r="AG898" s="211"/>
      <c r="AH898" s="211"/>
      <c r="AI898" s="211"/>
      <c r="AJ898" s="211"/>
      <c r="AK898" s="211"/>
      <c r="AL898" s="211"/>
      <c r="AM898" s="211"/>
      <c r="AN898" s="211"/>
      <c r="AO898" s="211"/>
      <c r="AP898" s="211"/>
      <c r="AQ898" s="211"/>
      <c r="AR898" s="211"/>
      <c r="AS898" s="211"/>
      <c r="AT898" s="211"/>
      <c r="AU898" s="211"/>
      <c r="AV898" s="211"/>
      <c r="AW898" s="211"/>
      <c r="AX898" s="211"/>
      <c r="AY898" s="211"/>
      <c r="AZ898" s="211"/>
    </row>
    <row r="899" spans="1:52" s="213" customFormat="1" x14ac:dyDescent="0.35">
      <c r="A899" s="211"/>
      <c r="B899" s="211"/>
      <c r="C899" s="211"/>
      <c r="D899" s="211"/>
      <c r="E899" s="211"/>
      <c r="F899" s="211"/>
      <c r="G899" s="211"/>
      <c r="H899" s="211"/>
      <c r="I899" s="212"/>
      <c r="J899" s="212"/>
      <c r="K899" s="212"/>
      <c r="L899" s="212"/>
      <c r="M899" s="212"/>
      <c r="N899" s="212"/>
      <c r="O899" s="212"/>
      <c r="P899" s="211"/>
      <c r="Q899" s="211"/>
      <c r="R899" s="211"/>
      <c r="S899" s="211"/>
      <c r="T899" s="211"/>
      <c r="U899" s="211"/>
      <c r="V899" s="211"/>
      <c r="W899" s="211"/>
      <c r="X899" s="211"/>
      <c r="Y899" s="211"/>
      <c r="Z899" s="211"/>
      <c r="AD899" s="211"/>
      <c r="AE899" s="211"/>
      <c r="AF899" s="211"/>
      <c r="AG899" s="211"/>
      <c r="AH899" s="211"/>
      <c r="AI899" s="211"/>
      <c r="AJ899" s="211"/>
      <c r="AK899" s="211"/>
      <c r="AL899" s="211"/>
      <c r="AM899" s="211"/>
      <c r="AN899" s="211"/>
      <c r="AO899" s="211"/>
      <c r="AP899" s="211"/>
      <c r="AQ899" s="211"/>
      <c r="AR899" s="211"/>
      <c r="AS899" s="211"/>
      <c r="AT899" s="211"/>
      <c r="AU899" s="211"/>
      <c r="AV899" s="211"/>
      <c r="AW899" s="211"/>
      <c r="AX899" s="211"/>
      <c r="AY899" s="211"/>
      <c r="AZ899" s="211"/>
    </row>
    <row r="900" spans="1:52" s="213" customFormat="1" x14ac:dyDescent="0.35">
      <c r="A900" s="211"/>
      <c r="B900" s="211"/>
      <c r="C900" s="211"/>
      <c r="D900" s="211"/>
      <c r="E900" s="211"/>
      <c r="F900" s="211"/>
      <c r="G900" s="211"/>
      <c r="H900" s="211"/>
      <c r="I900" s="212"/>
      <c r="J900" s="212"/>
      <c r="K900" s="212"/>
      <c r="L900" s="212"/>
      <c r="M900" s="212"/>
      <c r="N900" s="212"/>
      <c r="O900" s="212"/>
      <c r="P900" s="211"/>
      <c r="Q900" s="211"/>
      <c r="R900" s="211"/>
      <c r="S900" s="211"/>
      <c r="T900" s="211"/>
      <c r="U900" s="211"/>
      <c r="V900" s="211"/>
      <c r="W900" s="211"/>
      <c r="X900" s="211"/>
      <c r="Y900" s="211"/>
      <c r="Z900" s="211"/>
      <c r="AD900" s="211"/>
      <c r="AE900" s="211"/>
      <c r="AF900" s="211"/>
      <c r="AG900" s="211"/>
      <c r="AH900" s="211"/>
      <c r="AI900" s="211"/>
      <c r="AJ900" s="211"/>
      <c r="AK900" s="211"/>
      <c r="AL900" s="211"/>
      <c r="AM900" s="211"/>
      <c r="AN900" s="211"/>
      <c r="AO900" s="211"/>
      <c r="AP900" s="211"/>
      <c r="AQ900" s="211"/>
      <c r="AR900" s="211"/>
      <c r="AS900" s="211"/>
      <c r="AT900" s="211"/>
      <c r="AU900" s="211"/>
      <c r="AV900" s="211"/>
      <c r="AW900" s="211"/>
      <c r="AX900" s="211"/>
      <c r="AY900" s="211"/>
      <c r="AZ900" s="211"/>
    </row>
    <row r="901" spans="1:52" s="213" customFormat="1" x14ac:dyDescent="0.35">
      <c r="A901" s="211"/>
      <c r="B901" s="211"/>
      <c r="C901" s="211"/>
      <c r="D901" s="211"/>
      <c r="E901" s="211"/>
      <c r="F901" s="211"/>
      <c r="G901" s="211"/>
      <c r="H901" s="211"/>
      <c r="I901" s="212"/>
      <c r="J901" s="212"/>
      <c r="K901" s="212"/>
      <c r="L901" s="212"/>
      <c r="M901" s="212"/>
      <c r="N901" s="212"/>
      <c r="O901" s="212"/>
      <c r="P901" s="211"/>
      <c r="Q901" s="211"/>
      <c r="R901" s="211"/>
      <c r="S901" s="211"/>
      <c r="T901" s="211"/>
      <c r="U901" s="211"/>
      <c r="V901" s="211"/>
      <c r="W901" s="211"/>
      <c r="X901" s="211"/>
      <c r="Y901" s="211"/>
      <c r="Z901" s="211"/>
      <c r="AD901" s="211"/>
      <c r="AE901" s="211"/>
      <c r="AF901" s="211"/>
      <c r="AG901" s="211"/>
      <c r="AH901" s="211"/>
      <c r="AI901" s="211"/>
      <c r="AJ901" s="211"/>
      <c r="AK901" s="211"/>
      <c r="AL901" s="211"/>
      <c r="AM901" s="211"/>
      <c r="AN901" s="211"/>
      <c r="AO901" s="211"/>
      <c r="AP901" s="211"/>
      <c r="AQ901" s="211"/>
      <c r="AR901" s="211"/>
      <c r="AS901" s="211"/>
      <c r="AT901" s="211"/>
      <c r="AU901" s="211"/>
      <c r="AV901" s="211"/>
      <c r="AW901" s="211"/>
      <c r="AX901" s="211"/>
      <c r="AY901" s="211"/>
      <c r="AZ901" s="211"/>
    </row>
    <row r="902" spans="1:52" s="213" customFormat="1" x14ac:dyDescent="0.35">
      <c r="A902" s="211"/>
      <c r="B902" s="211"/>
      <c r="C902" s="211"/>
      <c r="D902" s="211"/>
      <c r="E902" s="211"/>
      <c r="F902" s="211"/>
      <c r="G902" s="211"/>
      <c r="H902" s="211"/>
      <c r="I902" s="212"/>
      <c r="J902" s="212"/>
      <c r="K902" s="212"/>
      <c r="L902" s="212"/>
      <c r="M902" s="212"/>
      <c r="N902" s="212"/>
      <c r="O902" s="212"/>
      <c r="P902" s="211"/>
      <c r="Q902" s="211"/>
      <c r="R902" s="211"/>
      <c r="S902" s="211"/>
      <c r="T902" s="211"/>
      <c r="U902" s="211"/>
      <c r="V902" s="211"/>
      <c r="W902" s="211"/>
      <c r="X902" s="211"/>
      <c r="Y902" s="211"/>
      <c r="Z902" s="211"/>
      <c r="AD902" s="211"/>
      <c r="AE902" s="211"/>
      <c r="AF902" s="211"/>
      <c r="AG902" s="211"/>
      <c r="AH902" s="211"/>
      <c r="AI902" s="211"/>
      <c r="AJ902" s="211"/>
      <c r="AK902" s="211"/>
      <c r="AL902" s="211"/>
      <c r="AM902" s="211"/>
      <c r="AN902" s="211"/>
      <c r="AO902" s="211"/>
      <c r="AP902" s="211"/>
      <c r="AQ902" s="211"/>
      <c r="AR902" s="211"/>
      <c r="AS902" s="211"/>
      <c r="AT902" s="211"/>
      <c r="AU902" s="211"/>
      <c r="AV902" s="211"/>
      <c r="AW902" s="211"/>
      <c r="AX902" s="211"/>
      <c r="AY902" s="211"/>
      <c r="AZ902" s="211"/>
    </row>
    <row r="903" spans="1:52" s="213" customFormat="1" x14ac:dyDescent="0.35">
      <c r="A903" s="211"/>
      <c r="B903" s="211"/>
      <c r="C903" s="211"/>
      <c r="D903" s="211"/>
      <c r="E903" s="211"/>
      <c r="F903" s="211"/>
      <c r="G903" s="211"/>
      <c r="H903" s="211"/>
      <c r="I903" s="212"/>
      <c r="J903" s="212"/>
      <c r="K903" s="212"/>
      <c r="L903" s="212"/>
      <c r="M903" s="212"/>
      <c r="N903" s="212"/>
      <c r="O903" s="212"/>
      <c r="P903" s="211"/>
      <c r="Q903" s="211"/>
      <c r="R903" s="211"/>
      <c r="S903" s="211"/>
      <c r="T903" s="211"/>
      <c r="U903" s="211"/>
      <c r="V903" s="211"/>
      <c r="W903" s="211"/>
      <c r="X903" s="211"/>
      <c r="Y903" s="211"/>
      <c r="Z903" s="211"/>
      <c r="AD903" s="211"/>
      <c r="AE903" s="211"/>
      <c r="AF903" s="211"/>
      <c r="AG903" s="211"/>
      <c r="AH903" s="211"/>
      <c r="AI903" s="211"/>
      <c r="AJ903" s="211"/>
      <c r="AK903" s="211"/>
      <c r="AL903" s="211"/>
      <c r="AM903" s="211"/>
      <c r="AN903" s="211"/>
      <c r="AO903" s="211"/>
      <c r="AP903" s="211"/>
      <c r="AQ903" s="211"/>
      <c r="AR903" s="211"/>
      <c r="AS903" s="211"/>
      <c r="AT903" s="211"/>
      <c r="AU903" s="211"/>
      <c r="AV903" s="211"/>
      <c r="AW903" s="211"/>
      <c r="AX903" s="211"/>
      <c r="AY903" s="211"/>
      <c r="AZ903" s="211"/>
    </row>
    <row r="904" spans="1:52" s="213" customFormat="1" x14ac:dyDescent="0.35">
      <c r="A904" s="211"/>
      <c r="B904" s="211"/>
      <c r="C904" s="211"/>
      <c r="D904" s="211"/>
      <c r="E904" s="211"/>
      <c r="F904" s="211"/>
      <c r="G904" s="211"/>
      <c r="H904" s="211"/>
      <c r="I904" s="212"/>
      <c r="J904" s="212"/>
      <c r="K904" s="212"/>
      <c r="L904" s="212"/>
      <c r="M904" s="212"/>
      <c r="N904" s="212"/>
      <c r="O904" s="212"/>
      <c r="P904" s="211"/>
      <c r="Q904" s="211"/>
      <c r="R904" s="211"/>
      <c r="S904" s="211"/>
      <c r="T904" s="211"/>
      <c r="U904" s="211"/>
      <c r="V904" s="211"/>
      <c r="W904" s="211"/>
      <c r="X904" s="211"/>
      <c r="Y904" s="211"/>
      <c r="Z904" s="211"/>
      <c r="AD904" s="211"/>
      <c r="AE904" s="211"/>
      <c r="AF904" s="211"/>
      <c r="AG904" s="211"/>
      <c r="AH904" s="211"/>
      <c r="AI904" s="211"/>
      <c r="AJ904" s="211"/>
      <c r="AK904" s="211"/>
      <c r="AL904" s="211"/>
      <c r="AM904" s="211"/>
      <c r="AN904" s="211"/>
      <c r="AO904" s="211"/>
      <c r="AP904" s="211"/>
      <c r="AQ904" s="211"/>
      <c r="AR904" s="211"/>
      <c r="AS904" s="211"/>
      <c r="AT904" s="211"/>
      <c r="AU904" s="211"/>
      <c r="AV904" s="211"/>
      <c r="AW904" s="211"/>
      <c r="AX904" s="211"/>
      <c r="AY904" s="211"/>
      <c r="AZ904" s="211"/>
    </row>
    <row r="905" spans="1:52" s="213" customFormat="1" x14ac:dyDescent="0.35">
      <c r="A905" s="211"/>
      <c r="B905" s="211"/>
      <c r="C905" s="211"/>
      <c r="D905" s="211"/>
      <c r="E905" s="211"/>
      <c r="F905" s="211"/>
      <c r="G905" s="211"/>
      <c r="H905" s="211"/>
      <c r="I905" s="212"/>
      <c r="J905" s="212"/>
      <c r="K905" s="212"/>
      <c r="L905" s="212"/>
      <c r="M905" s="212"/>
      <c r="N905" s="212"/>
      <c r="O905" s="212"/>
      <c r="P905" s="211"/>
      <c r="Q905" s="211"/>
      <c r="R905" s="211"/>
      <c r="S905" s="211"/>
      <c r="T905" s="211"/>
      <c r="U905" s="211"/>
      <c r="V905" s="211"/>
      <c r="W905" s="211"/>
      <c r="X905" s="211"/>
      <c r="Y905" s="211"/>
      <c r="Z905" s="211"/>
      <c r="AD905" s="211"/>
      <c r="AE905" s="211"/>
      <c r="AF905" s="211"/>
      <c r="AG905" s="211"/>
      <c r="AH905" s="211"/>
      <c r="AI905" s="211"/>
      <c r="AJ905" s="211"/>
      <c r="AK905" s="211"/>
      <c r="AL905" s="211"/>
      <c r="AM905" s="211"/>
      <c r="AN905" s="211"/>
      <c r="AO905" s="211"/>
      <c r="AP905" s="211"/>
      <c r="AQ905" s="211"/>
      <c r="AR905" s="211"/>
      <c r="AS905" s="211"/>
      <c r="AT905" s="211"/>
      <c r="AU905" s="211"/>
      <c r="AV905" s="211"/>
      <c r="AW905" s="211"/>
      <c r="AX905" s="211"/>
      <c r="AY905" s="211"/>
      <c r="AZ905" s="211"/>
    </row>
    <row r="906" spans="1:52" s="213" customFormat="1" x14ac:dyDescent="0.35">
      <c r="A906" s="211"/>
      <c r="B906" s="211"/>
      <c r="C906" s="211"/>
      <c r="D906" s="211"/>
      <c r="E906" s="211"/>
      <c r="F906" s="211"/>
      <c r="G906" s="211"/>
      <c r="H906" s="211"/>
      <c r="I906" s="212"/>
      <c r="J906" s="212"/>
      <c r="K906" s="212"/>
      <c r="L906" s="212"/>
      <c r="M906" s="212"/>
      <c r="N906" s="212"/>
      <c r="O906" s="212"/>
      <c r="P906" s="211"/>
      <c r="Q906" s="211"/>
      <c r="R906" s="211"/>
      <c r="S906" s="211"/>
      <c r="T906" s="211"/>
      <c r="U906" s="211"/>
      <c r="V906" s="211"/>
      <c r="W906" s="211"/>
      <c r="X906" s="211"/>
      <c r="Y906" s="211"/>
      <c r="Z906" s="211"/>
      <c r="AD906" s="211"/>
      <c r="AE906" s="211"/>
      <c r="AF906" s="211"/>
      <c r="AG906" s="211"/>
      <c r="AH906" s="211"/>
      <c r="AI906" s="211"/>
      <c r="AJ906" s="211"/>
      <c r="AK906" s="211"/>
      <c r="AL906" s="211"/>
      <c r="AM906" s="211"/>
      <c r="AN906" s="211"/>
      <c r="AO906" s="211"/>
      <c r="AP906" s="211"/>
      <c r="AQ906" s="211"/>
      <c r="AR906" s="211"/>
      <c r="AS906" s="211"/>
      <c r="AT906" s="211"/>
      <c r="AU906" s="211"/>
      <c r="AV906" s="211"/>
      <c r="AW906" s="211"/>
      <c r="AX906" s="211"/>
      <c r="AY906" s="211"/>
      <c r="AZ906" s="211"/>
    </row>
    <row r="907" spans="1:52" s="213" customFormat="1" x14ac:dyDescent="0.35">
      <c r="A907" s="211"/>
      <c r="B907" s="211"/>
      <c r="C907" s="211"/>
      <c r="D907" s="211"/>
      <c r="E907" s="211"/>
      <c r="F907" s="211"/>
      <c r="G907" s="211"/>
      <c r="H907" s="211"/>
      <c r="I907" s="212"/>
      <c r="J907" s="212"/>
      <c r="K907" s="212"/>
      <c r="L907" s="212"/>
      <c r="M907" s="212"/>
      <c r="N907" s="212"/>
      <c r="O907" s="212"/>
      <c r="P907" s="211"/>
      <c r="Q907" s="211"/>
      <c r="R907" s="211"/>
      <c r="S907" s="211"/>
      <c r="T907" s="211"/>
      <c r="U907" s="211"/>
      <c r="V907" s="211"/>
      <c r="W907" s="211"/>
      <c r="X907" s="211"/>
      <c r="Y907" s="211"/>
      <c r="Z907" s="211"/>
      <c r="AD907" s="211"/>
      <c r="AE907" s="211"/>
      <c r="AF907" s="211"/>
      <c r="AG907" s="211"/>
      <c r="AH907" s="211"/>
      <c r="AI907" s="211"/>
      <c r="AJ907" s="211"/>
      <c r="AK907" s="211"/>
      <c r="AL907" s="211"/>
      <c r="AM907" s="211"/>
      <c r="AN907" s="211"/>
      <c r="AO907" s="211"/>
      <c r="AP907" s="211"/>
      <c r="AQ907" s="211"/>
      <c r="AR907" s="211"/>
      <c r="AS907" s="211"/>
      <c r="AT907" s="211"/>
      <c r="AU907" s="211"/>
      <c r="AV907" s="211"/>
      <c r="AW907" s="211"/>
      <c r="AX907" s="211"/>
      <c r="AY907" s="211"/>
      <c r="AZ907" s="211"/>
    </row>
    <row r="908" spans="1:52" s="213" customFormat="1" x14ac:dyDescent="0.35">
      <c r="A908" s="211"/>
      <c r="B908" s="211"/>
      <c r="C908" s="211"/>
      <c r="D908" s="211"/>
      <c r="E908" s="211"/>
      <c r="F908" s="211"/>
      <c r="G908" s="211"/>
      <c r="H908" s="211"/>
      <c r="I908" s="212"/>
      <c r="J908" s="212"/>
      <c r="K908" s="212"/>
      <c r="L908" s="212"/>
      <c r="M908" s="212"/>
      <c r="N908" s="212"/>
      <c r="O908" s="212"/>
      <c r="P908" s="211"/>
      <c r="Q908" s="211"/>
      <c r="R908" s="211"/>
      <c r="S908" s="211"/>
      <c r="T908" s="211"/>
      <c r="U908" s="211"/>
      <c r="V908" s="211"/>
      <c r="W908" s="211"/>
      <c r="X908" s="211"/>
      <c r="Y908" s="211"/>
      <c r="Z908" s="211"/>
      <c r="AD908" s="211"/>
      <c r="AE908" s="211"/>
      <c r="AF908" s="211"/>
      <c r="AG908" s="211"/>
      <c r="AH908" s="211"/>
      <c r="AI908" s="211"/>
      <c r="AJ908" s="211"/>
      <c r="AK908" s="211"/>
      <c r="AL908" s="211"/>
      <c r="AM908" s="211"/>
      <c r="AN908" s="211"/>
      <c r="AO908" s="211"/>
      <c r="AP908" s="211"/>
      <c r="AQ908" s="211"/>
      <c r="AR908" s="211"/>
      <c r="AS908" s="211"/>
      <c r="AT908" s="211"/>
      <c r="AU908" s="211"/>
      <c r="AV908" s="211"/>
      <c r="AW908" s="211"/>
      <c r="AX908" s="211"/>
      <c r="AY908" s="211"/>
      <c r="AZ908" s="211"/>
    </row>
    <row r="909" spans="1:52" s="213" customFormat="1" x14ac:dyDescent="0.35">
      <c r="A909" s="211"/>
      <c r="B909" s="211"/>
      <c r="C909" s="211"/>
      <c r="D909" s="211"/>
      <c r="E909" s="211"/>
      <c r="F909" s="211"/>
      <c r="G909" s="211"/>
      <c r="H909" s="211"/>
      <c r="I909" s="212"/>
      <c r="J909" s="212"/>
      <c r="K909" s="212"/>
      <c r="L909" s="212"/>
      <c r="M909" s="212"/>
      <c r="N909" s="212"/>
      <c r="O909" s="212"/>
      <c r="P909" s="211"/>
      <c r="Q909" s="211"/>
      <c r="R909" s="211"/>
      <c r="S909" s="211"/>
      <c r="T909" s="211"/>
      <c r="U909" s="211"/>
      <c r="V909" s="211"/>
      <c r="W909" s="211"/>
      <c r="X909" s="211"/>
      <c r="Y909" s="211"/>
      <c r="Z909" s="211"/>
      <c r="AD909" s="211"/>
      <c r="AE909" s="211"/>
      <c r="AF909" s="211"/>
      <c r="AG909" s="211"/>
      <c r="AH909" s="211"/>
      <c r="AI909" s="211"/>
      <c r="AJ909" s="211"/>
      <c r="AK909" s="211"/>
      <c r="AL909" s="211"/>
      <c r="AM909" s="211"/>
      <c r="AN909" s="211"/>
      <c r="AO909" s="211"/>
      <c r="AP909" s="211"/>
      <c r="AQ909" s="211"/>
      <c r="AR909" s="211"/>
      <c r="AS909" s="211"/>
      <c r="AT909" s="211"/>
      <c r="AU909" s="211"/>
      <c r="AV909" s="211"/>
      <c r="AW909" s="211"/>
      <c r="AX909" s="211"/>
      <c r="AY909" s="211"/>
      <c r="AZ909" s="211"/>
    </row>
    <row r="910" spans="1:52" s="213" customFormat="1" x14ac:dyDescent="0.35">
      <c r="A910" s="211"/>
      <c r="B910" s="211"/>
      <c r="C910" s="211"/>
      <c r="D910" s="211"/>
      <c r="E910" s="211"/>
      <c r="F910" s="211"/>
      <c r="G910" s="211"/>
      <c r="H910" s="211"/>
      <c r="I910" s="212"/>
      <c r="J910" s="212"/>
      <c r="K910" s="212"/>
      <c r="L910" s="212"/>
      <c r="M910" s="212"/>
      <c r="N910" s="212"/>
      <c r="O910" s="212"/>
      <c r="P910" s="211"/>
      <c r="Q910" s="211"/>
      <c r="R910" s="211"/>
      <c r="S910" s="211"/>
      <c r="T910" s="211"/>
      <c r="U910" s="211"/>
      <c r="V910" s="211"/>
      <c r="W910" s="211"/>
      <c r="X910" s="211"/>
      <c r="Y910" s="211"/>
      <c r="Z910" s="211"/>
      <c r="AD910" s="211"/>
      <c r="AE910" s="211"/>
      <c r="AF910" s="211"/>
      <c r="AG910" s="211"/>
      <c r="AH910" s="211"/>
      <c r="AI910" s="211"/>
      <c r="AJ910" s="211"/>
      <c r="AK910" s="211"/>
      <c r="AL910" s="211"/>
      <c r="AM910" s="211"/>
      <c r="AN910" s="211"/>
      <c r="AO910" s="211"/>
      <c r="AP910" s="211"/>
      <c r="AQ910" s="211"/>
      <c r="AR910" s="211"/>
      <c r="AS910" s="211"/>
      <c r="AT910" s="211"/>
      <c r="AU910" s="211"/>
      <c r="AV910" s="211"/>
      <c r="AW910" s="211"/>
      <c r="AX910" s="211"/>
      <c r="AY910" s="211"/>
      <c r="AZ910" s="211"/>
    </row>
    <row r="911" spans="1:52" s="213" customFormat="1" x14ac:dyDescent="0.35">
      <c r="A911" s="211"/>
      <c r="B911" s="211"/>
      <c r="C911" s="211"/>
      <c r="D911" s="211"/>
      <c r="E911" s="211"/>
      <c r="F911" s="211"/>
      <c r="G911" s="211"/>
      <c r="H911" s="211"/>
      <c r="I911" s="212"/>
      <c r="J911" s="212"/>
      <c r="K911" s="212"/>
      <c r="L911" s="212"/>
      <c r="M911" s="212"/>
      <c r="N911" s="212"/>
      <c r="O911" s="212"/>
      <c r="P911" s="211"/>
      <c r="Q911" s="211"/>
      <c r="R911" s="211"/>
      <c r="S911" s="211"/>
      <c r="T911" s="211"/>
      <c r="U911" s="211"/>
      <c r="V911" s="211"/>
      <c r="W911" s="211"/>
      <c r="X911" s="211"/>
      <c r="Y911" s="211"/>
      <c r="Z911" s="211"/>
      <c r="AD911" s="211"/>
      <c r="AE911" s="211"/>
      <c r="AF911" s="211"/>
      <c r="AG911" s="211"/>
      <c r="AH911" s="211"/>
      <c r="AI911" s="211"/>
      <c r="AJ911" s="211"/>
      <c r="AK911" s="211"/>
      <c r="AL911" s="211"/>
      <c r="AM911" s="211"/>
      <c r="AN911" s="211"/>
      <c r="AO911" s="211"/>
      <c r="AP911" s="211"/>
      <c r="AQ911" s="211"/>
      <c r="AR911" s="211"/>
      <c r="AS911" s="211"/>
      <c r="AT911" s="211"/>
      <c r="AU911" s="211"/>
      <c r="AV911" s="211"/>
      <c r="AW911" s="211"/>
      <c r="AX911" s="211"/>
      <c r="AY911" s="211"/>
      <c r="AZ911" s="211"/>
    </row>
    <row r="912" spans="1:52" s="213" customFormat="1" x14ac:dyDescent="0.35">
      <c r="A912" s="211"/>
      <c r="B912" s="211"/>
      <c r="C912" s="211"/>
      <c r="D912" s="211"/>
      <c r="E912" s="211"/>
      <c r="F912" s="211"/>
      <c r="G912" s="211"/>
      <c r="H912" s="211"/>
      <c r="I912" s="212"/>
      <c r="J912" s="212"/>
      <c r="K912" s="212"/>
      <c r="L912" s="212"/>
      <c r="M912" s="212"/>
      <c r="N912" s="212"/>
      <c r="O912" s="212"/>
      <c r="P912" s="211"/>
      <c r="Q912" s="211"/>
      <c r="R912" s="211"/>
      <c r="S912" s="211"/>
      <c r="T912" s="211"/>
      <c r="U912" s="211"/>
      <c r="V912" s="211"/>
      <c r="W912" s="211"/>
      <c r="X912" s="211"/>
      <c r="Y912" s="211"/>
      <c r="Z912" s="211"/>
      <c r="AD912" s="211"/>
      <c r="AE912" s="211"/>
      <c r="AF912" s="211"/>
      <c r="AG912" s="211"/>
      <c r="AH912" s="211"/>
      <c r="AI912" s="211"/>
      <c r="AJ912" s="211"/>
      <c r="AK912" s="211"/>
      <c r="AL912" s="211"/>
      <c r="AM912" s="211"/>
      <c r="AN912" s="211"/>
      <c r="AO912" s="211"/>
      <c r="AP912" s="211"/>
      <c r="AQ912" s="211"/>
      <c r="AR912" s="211"/>
      <c r="AS912" s="211"/>
      <c r="AT912" s="211"/>
      <c r="AU912" s="211"/>
      <c r="AV912" s="211"/>
      <c r="AW912" s="211"/>
      <c r="AX912" s="211"/>
      <c r="AY912" s="211"/>
      <c r="AZ912" s="211"/>
    </row>
    <row r="913" spans="1:52" s="213" customFormat="1" x14ac:dyDescent="0.35">
      <c r="A913" s="211"/>
      <c r="B913" s="211"/>
      <c r="C913" s="211"/>
      <c r="D913" s="211"/>
      <c r="E913" s="211"/>
      <c r="F913" s="211"/>
      <c r="G913" s="211"/>
      <c r="H913" s="211"/>
      <c r="I913" s="212"/>
      <c r="J913" s="212"/>
      <c r="K913" s="212"/>
      <c r="L913" s="212"/>
      <c r="M913" s="212"/>
      <c r="N913" s="212"/>
      <c r="O913" s="212"/>
      <c r="P913" s="211"/>
      <c r="Q913" s="211"/>
      <c r="R913" s="211"/>
      <c r="S913" s="211"/>
      <c r="T913" s="211"/>
      <c r="U913" s="211"/>
      <c r="V913" s="211"/>
      <c r="W913" s="211"/>
      <c r="X913" s="211"/>
      <c r="Y913" s="211"/>
      <c r="Z913" s="211"/>
      <c r="AD913" s="211"/>
      <c r="AE913" s="211"/>
      <c r="AF913" s="211"/>
      <c r="AG913" s="211"/>
      <c r="AH913" s="211"/>
      <c r="AI913" s="211"/>
      <c r="AJ913" s="211"/>
      <c r="AK913" s="211"/>
      <c r="AL913" s="211"/>
      <c r="AM913" s="211"/>
      <c r="AN913" s="211"/>
      <c r="AO913" s="211"/>
      <c r="AP913" s="211"/>
      <c r="AQ913" s="211"/>
      <c r="AR913" s="211"/>
      <c r="AS913" s="211"/>
      <c r="AT913" s="211"/>
      <c r="AU913" s="211"/>
      <c r="AV913" s="211"/>
      <c r="AW913" s="211"/>
      <c r="AX913" s="211"/>
      <c r="AY913" s="211"/>
      <c r="AZ913" s="211"/>
    </row>
    <row r="914" spans="1:52" s="213" customFormat="1" x14ac:dyDescent="0.35">
      <c r="A914" s="211"/>
      <c r="B914" s="211"/>
      <c r="C914" s="211"/>
      <c r="D914" s="211"/>
      <c r="E914" s="211"/>
      <c r="F914" s="211"/>
      <c r="G914" s="211"/>
      <c r="H914" s="211"/>
      <c r="I914" s="212"/>
      <c r="J914" s="212"/>
      <c r="K914" s="212"/>
      <c r="L914" s="212"/>
      <c r="M914" s="212"/>
      <c r="N914" s="212"/>
      <c r="O914" s="212"/>
      <c r="P914" s="211"/>
      <c r="Q914" s="211"/>
      <c r="R914" s="211"/>
      <c r="S914" s="211"/>
      <c r="T914" s="211"/>
      <c r="U914" s="211"/>
      <c r="V914" s="211"/>
      <c r="W914" s="211"/>
      <c r="X914" s="211"/>
      <c r="Y914" s="211"/>
      <c r="Z914" s="211"/>
      <c r="AD914" s="211"/>
      <c r="AE914" s="211"/>
      <c r="AF914" s="211"/>
      <c r="AG914" s="211"/>
      <c r="AH914" s="211"/>
      <c r="AI914" s="211"/>
      <c r="AJ914" s="211"/>
      <c r="AK914" s="211"/>
      <c r="AL914" s="211"/>
      <c r="AM914" s="211"/>
      <c r="AN914" s="211"/>
      <c r="AO914" s="211"/>
      <c r="AP914" s="211"/>
      <c r="AQ914" s="211"/>
      <c r="AR914" s="211"/>
      <c r="AS914" s="211"/>
      <c r="AT914" s="211"/>
      <c r="AU914" s="211"/>
      <c r="AV914" s="211"/>
      <c r="AW914" s="211"/>
      <c r="AX914" s="211"/>
      <c r="AY914" s="211"/>
      <c r="AZ914" s="211"/>
    </row>
    <row r="915" spans="1:52" s="213" customFormat="1" x14ac:dyDescent="0.35">
      <c r="A915" s="211"/>
      <c r="B915" s="211"/>
      <c r="C915" s="211"/>
      <c r="D915" s="211"/>
      <c r="E915" s="211"/>
      <c r="F915" s="211"/>
      <c r="G915" s="211"/>
      <c r="H915" s="211"/>
      <c r="I915" s="212"/>
      <c r="J915" s="212"/>
      <c r="K915" s="212"/>
      <c r="L915" s="212"/>
      <c r="M915" s="212"/>
      <c r="N915" s="212"/>
      <c r="O915" s="212"/>
      <c r="P915" s="211"/>
      <c r="Q915" s="211"/>
      <c r="R915" s="211"/>
      <c r="S915" s="211"/>
      <c r="T915" s="211"/>
      <c r="U915" s="211"/>
      <c r="V915" s="211"/>
      <c r="W915" s="211"/>
      <c r="X915" s="211"/>
      <c r="Y915" s="211"/>
      <c r="Z915" s="211"/>
      <c r="AD915" s="211"/>
      <c r="AE915" s="211"/>
      <c r="AF915" s="211"/>
      <c r="AG915" s="211"/>
      <c r="AH915" s="211"/>
      <c r="AI915" s="211"/>
      <c r="AJ915" s="211"/>
      <c r="AK915" s="211"/>
      <c r="AL915" s="211"/>
      <c r="AM915" s="211"/>
      <c r="AN915" s="211"/>
      <c r="AO915" s="211"/>
      <c r="AP915" s="211"/>
      <c r="AQ915" s="211"/>
      <c r="AR915" s="211"/>
      <c r="AS915" s="211"/>
      <c r="AT915" s="211"/>
      <c r="AU915" s="211"/>
      <c r="AV915" s="211"/>
      <c r="AW915" s="211"/>
      <c r="AX915" s="211"/>
      <c r="AY915" s="211"/>
      <c r="AZ915" s="211"/>
    </row>
    <row r="916" spans="1:52" s="213" customFormat="1" x14ac:dyDescent="0.35">
      <c r="A916" s="211"/>
      <c r="B916" s="211"/>
      <c r="C916" s="211"/>
      <c r="D916" s="211"/>
      <c r="E916" s="211"/>
      <c r="F916" s="211"/>
      <c r="G916" s="211"/>
      <c r="H916" s="211"/>
      <c r="I916" s="212"/>
      <c r="J916" s="212"/>
      <c r="K916" s="212"/>
      <c r="L916" s="212"/>
      <c r="M916" s="212"/>
      <c r="N916" s="212"/>
      <c r="O916" s="212"/>
      <c r="P916" s="211"/>
      <c r="Q916" s="211"/>
      <c r="R916" s="211"/>
      <c r="S916" s="211"/>
      <c r="T916" s="211"/>
      <c r="U916" s="211"/>
      <c r="V916" s="211"/>
      <c r="W916" s="211"/>
      <c r="X916" s="211"/>
      <c r="Y916" s="211"/>
      <c r="Z916" s="211"/>
      <c r="AD916" s="211"/>
      <c r="AE916" s="211"/>
      <c r="AF916" s="211"/>
      <c r="AG916" s="211"/>
      <c r="AH916" s="211"/>
      <c r="AI916" s="211"/>
      <c r="AJ916" s="211"/>
      <c r="AK916" s="211"/>
      <c r="AL916" s="211"/>
      <c r="AM916" s="211"/>
      <c r="AN916" s="211"/>
      <c r="AO916" s="211"/>
      <c r="AP916" s="211"/>
      <c r="AQ916" s="211"/>
      <c r="AR916" s="211"/>
      <c r="AS916" s="211"/>
      <c r="AT916" s="211"/>
      <c r="AU916" s="211"/>
      <c r="AV916" s="211"/>
      <c r="AW916" s="211"/>
      <c r="AX916" s="211"/>
      <c r="AY916" s="211"/>
      <c r="AZ916" s="211"/>
    </row>
    <row r="917" spans="1:52" s="213" customFormat="1" x14ac:dyDescent="0.35">
      <c r="A917" s="211"/>
      <c r="B917" s="211"/>
      <c r="C917" s="211"/>
      <c r="D917" s="211"/>
      <c r="E917" s="211"/>
      <c r="F917" s="211"/>
      <c r="G917" s="211"/>
      <c r="H917" s="211"/>
      <c r="I917" s="212"/>
      <c r="J917" s="212"/>
      <c r="K917" s="212"/>
      <c r="L917" s="212"/>
      <c r="M917" s="212"/>
      <c r="N917" s="212"/>
      <c r="O917" s="212"/>
      <c r="P917" s="211"/>
      <c r="Q917" s="211"/>
      <c r="R917" s="211"/>
      <c r="S917" s="211"/>
      <c r="T917" s="211"/>
      <c r="U917" s="211"/>
      <c r="V917" s="211"/>
      <c r="W917" s="211"/>
      <c r="X917" s="211"/>
      <c r="Y917" s="211"/>
      <c r="Z917" s="211"/>
      <c r="AD917" s="211"/>
      <c r="AE917" s="211"/>
      <c r="AF917" s="211"/>
      <c r="AG917" s="211"/>
      <c r="AH917" s="211"/>
      <c r="AI917" s="211"/>
      <c r="AJ917" s="211"/>
      <c r="AK917" s="211"/>
      <c r="AL917" s="211"/>
      <c r="AM917" s="211"/>
      <c r="AN917" s="211"/>
      <c r="AO917" s="211"/>
      <c r="AP917" s="211"/>
      <c r="AQ917" s="211"/>
      <c r="AR917" s="211"/>
      <c r="AS917" s="211"/>
      <c r="AT917" s="211"/>
      <c r="AU917" s="211"/>
      <c r="AV917" s="211"/>
      <c r="AW917" s="211"/>
      <c r="AX917" s="211"/>
      <c r="AY917" s="211"/>
      <c r="AZ917" s="211"/>
    </row>
    <row r="918" spans="1:52" s="213" customFormat="1" x14ac:dyDescent="0.35">
      <c r="A918" s="211"/>
      <c r="B918" s="211"/>
      <c r="C918" s="211"/>
      <c r="D918" s="211"/>
      <c r="E918" s="211"/>
      <c r="F918" s="211"/>
      <c r="G918" s="211"/>
      <c r="H918" s="211"/>
      <c r="I918" s="212"/>
      <c r="J918" s="212"/>
      <c r="K918" s="212"/>
      <c r="L918" s="212"/>
      <c r="M918" s="212"/>
      <c r="N918" s="212"/>
      <c r="O918" s="212"/>
      <c r="P918" s="211"/>
      <c r="Q918" s="211"/>
      <c r="R918" s="211"/>
      <c r="S918" s="211"/>
      <c r="T918" s="211"/>
      <c r="U918" s="211"/>
      <c r="V918" s="211"/>
      <c r="W918" s="211"/>
      <c r="X918" s="211"/>
      <c r="Y918" s="211"/>
      <c r="Z918" s="211"/>
      <c r="AD918" s="211"/>
      <c r="AE918" s="211"/>
      <c r="AF918" s="211"/>
      <c r="AG918" s="211"/>
      <c r="AH918" s="211"/>
      <c r="AI918" s="211"/>
      <c r="AJ918" s="211"/>
      <c r="AK918" s="211"/>
      <c r="AL918" s="211"/>
      <c r="AM918" s="211"/>
      <c r="AN918" s="211"/>
      <c r="AO918" s="211"/>
      <c r="AP918" s="211"/>
      <c r="AQ918" s="211"/>
      <c r="AR918" s="211"/>
      <c r="AS918" s="211"/>
      <c r="AT918" s="211"/>
      <c r="AU918" s="211"/>
      <c r="AV918" s="211"/>
      <c r="AW918" s="211"/>
      <c r="AX918" s="211"/>
      <c r="AY918" s="211"/>
      <c r="AZ918" s="211"/>
    </row>
    <row r="919" spans="1:52" s="213" customFormat="1" x14ac:dyDescent="0.35">
      <c r="A919" s="211"/>
      <c r="B919" s="211"/>
      <c r="C919" s="211"/>
      <c r="D919" s="211"/>
      <c r="E919" s="211"/>
      <c r="F919" s="211"/>
      <c r="G919" s="211"/>
      <c r="H919" s="211"/>
      <c r="I919" s="212"/>
      <c r="J919" s="212"/>
      <c r="K919" s="212"/>
      <c r="L919" s="212"/>
      <c r="M919" s="212"/>
      <c r="N919" s="212"/>
      <c r="O919" s="212"/>
      <c r="P919" s="211"/>
      <c r="Q919" s="211"/>
      <c r="R919" s="211"/>
      <c r="S919" s="211"/>
      <c r="T919" s="211"/>
      <c r="U919" s="211"/>
      <c r="V919" s="211"/>
      <c r="W919" s="211"/>
      <c r="X919" s="211"/>
      <c r="Y919" s="211"/>
      <c r="Z919" s="211"/>
      <c r="AD919" s="211"/>
      <c r="AE919" s="211"/>
      <c r="AF919" s="211"/>
      <c r="AG919" s="211"/>
      <c r="AH919" s="211"/>
      <c r="AI919" s="211"/>
      <c r="AJ919" s="211"/>
      <c r="AK919" s="211"/>
      <c r="AL919" s="211"/>
      <c r="AM919" s="211"/>
      <c r="AN919" s="211"/>
      <c r="AO919" s="211"/>
      <c r="AP919" s="211"/>
      <c r="AQ919" s="211"/>
      <c r="AR919" s="211"/>
      <c r="AS919" s="211"/>
      <c r="AT919" s="211"/>
      <c r="AU919" s="211"/>
      <c r="AV919" s="211"/>
      <c r="AW919" s="211"/>
      <c r="AX919" s="211"/>
      <c r="AY919" s="211"/>
      <c r="AZ919" s="211"/>
    </row>
    <row r="920" spans="1:52" s="213" customFormat="1" x14ac:dyDescent="0.35">
      <c r="A920" s="211"/>
      <c r="B920" s="211"/>
      <c r="C920" s="211"/>
      <c r="D920" s="211"/>
      <c r="E920" s="211"/>
      <c r="F920" s="211"/>
      <c r="G920" s="211"/>
      <c r="H920" s="211"/>
      <c r="I920" s="212"/>
      <c r="J920" s="212"/>
      <c r="K920" s="212"/>
      <c r="L920" s="212"/>
      <c r="M920" s="212"/>
      <c r="N920" s="212"/>
      <c r="O920" s="212"/>
      <c r="P920" s="211"/>
      <c r="Q920" s="211"/>
      <c r="R920" s="211"/>
      <c r="S920" s="211"/>
      <c r="T920" s="211"/>
      <c r="U920" s="211"/>
      <c r="V920" s="211"/>
      <c r="W920" s="211"/>
      <c r="X920" s="211"/>
      <c r="Y920" s="211"/>
      <c r="Z920" s="211"/>
      <c r="AD920" s="211"/>
      <c r="AE920" s="211"/>
      <c r="AF920" s="211"/>
      <c r="AG920" s="211"/>
      <c r="AH920" s="211"/>
      <c r="AI920" s="211"/>
      <c r="AJ920" s="211"/>
      <c r="AK920" s="211"/>
      <c r="AL920" s="211"/>
      <c r="AM920" s="211"/>
      <c r="AN920" s="211"/>
      <c r="AO920" s="211"/>
      <c r="AP920" s="211"/>
      <c r="AQ920" s="211"/>
      <c r="AR920" s="211"/>
      <c r="AS920" s="211"/>
      <c r="AT920" s="211"/>
      <c r="AU920" s="211"/>
      <c r="AV920" s="211"/>
      <c r="AW920" s="211"/>
      <c r="AX920" s="211"/>
      <c r="AY920" s="211"/>
      <c r="AZ920" s="211"/>
    </row>
    <row r="921" spans="1:52" s="213" customFormat="1" x14ac:dyDescent="0.35">
      <c r="A921" s="211"/>
      <c r="B921" s="211"/>
      <c r="C921" s="211"/>
      <c r="D921" s="211"/>
      <c r="E921" s="211"/>
      <c r="F921" s="211"/>
      <c r="G921" s="211"/>
      <c r="H921" s="211"/>
      <c r="I921" s="212"/>
      <c r="J921" s="212"/>
      <c r="K921" s="212"/>
      <c r="L921" s="212"/>
      <c r="M921" s="212"/>
      <c r="N921" s="212"/>
      <c r="O921" s="212"/>
      <c r="P921" s="211"/>
      <c r="Q921" s="211"/>
      <c r="R921" s="211"/>
      <c r="S921" s="211"/>
      <c r="T921" s="211"/>
      <c r="U921" s="211"/>
      <c r="V921" s="211"/>
      <c r="W921" s="211"/>
      <c r="X921" s="211"/>
      <c r="Y921" s="211"/>
      <c r="Z921" s="211"/>
      <c r="AD921" s="211"/>
      <c r="AE921" s="211"/>
      <c r="AF921" s="211"/>
      <c r="AG921" s="211"/>
      <c r="AH921" s="211"/>
      <c r="AI921" s="211"/>
      <c r="AJ921" s="211"/>
      <c r="AK921" s="211"/>
      <c r="AL921" s="211"/>
      <c r="AM921" s="211"/>
      <c r="AN921" s="211"/>
      <c r="AO921" s="211"/>
      <c r="AP921" s="211"/>
      <c r="AQ921" s="211"/>
      <c r="AR921" s="211"/>
      <c r="AS921" s="211"/>
      <c r="AT921" s="211"/>
      <c r="AU921" s="211"/>
      <c r="AV921" s="211"/>
      <c r="AW921" s="211"/>
      <c r="AX921" s="211"/>
      <c r="AY921" s="211"/>
      <c r="AZ921" s="211"/>
    </row>
    <row r="922" spans="1:52" s="213" customFormat="1" x14ac:dyDescent="0.35">
      <c r="A922" s="211"/>
      <c r="B922" s="211"/>
      <c r="C922" s="211"/>
      <c r="D922" s="211"/>
      <c r="E922" s="211"/>
      <c r="F922" s="211"/>
      <c r="G922" s="211"/>
      <c r="H922" s="211"/>
      <c r="I922" s="212"/>
      <c r="J922" s="212"/>
      <c r="K922" s="212"/>
      <c r="L922" s="212"/>
      <c r="M922" s="212"/>
      <c r="N922" s="212"/>
      <c r="O922" s="212"/>
      <c r="P922" s="211"/>
      <c r="Q922" s="211"/>
      <c r="R922" s="211"/>
      <c r="S922" s="211"/>
      <c r="T922" s="211"/>
      <c r="U922" s="211"/>
      <c r="V922" s="211"/>
      <c r="W922" s="211"/>
      <c r="X922" s="211"/>
      <c r="Y922" s="211"/>
      <c r="Z922" s="211"/>
      <c r="AD922" s="211"/>
      <c r="AE922" s="211"/>
      <c r="AF922" s="211"/>
      <c r="AG922" s="211"/>
      <c r="AH922" s="211"/>
      <c r="AI922" s="211"/>
      <c r="AJ922" s="211"/>
      <c r="AK922" s="211"/>
      <c r="AL922" s="211"/>
      <c r="AM922" s="211"/>
      <c r="AN922" s="211"/>
      <c r="AO922" s="211"/>
      <c r="AP922" s="211"/>
      <c r="AQ922" s="211"/>
      <c r="AR922" s="211"/>
      <c r="AS922" s="211"/>
      <c r="AT922" s="211"/>
      <c r="AU922" s="211"/>
      <c r="AV922" s="211"/>
      <c r="AW922" s="211"/>
      <c r="AX922" s="211"/>
      <c r="AY922" s="211"/>
      <c r="AZ922" s="211"/>
    </row>
    <row r="923" spans="1:52" s="213" customFormat="1" x14ac:dyDescent="0.35">
      <c r="A923" s="211"/>
      <c r="B923" s="211"/>
      <c r="C923" s="211"/>
      <c r="D923" s="211"/>
      <c r="E923" s="211"/>
      <c r="F923" s="211"/>
      <c r="G923" s="211"/>
      <c r="H923" s="211"/>
      <c r="I923" s="212"/>
      <c r="J923" s="212"/>
      <c r="K923" s="212"/>
      <c r="L923" s="212"/>
      <c r="M923" s="212"/>
      <c r="N923" s="212"/>
      <c r="O923" s="212"/>
      <c r="P923" s="211"/>
      <c r="Q923" s="211"/>
      <c r="R923" s="211"/>
      <c r="S923" s="211"/>
      <c r="T923" s="211"/>
      <c r="U923" s="211"/>
      <c r="V923" s="211"/>
      <c r="W923" s="211"/>
      <c r="X923" s="211"/>
      <c r="Y923" s="211"/>
      <c r="Z923" s="211"/>
      <c r="AD923" s="211"/>
      <c r="AE923" s="211"/>
      <c r="AF923" s="211"/>
      <c r="AG923" s="211"/>
      <c r="AH923" s="211"/>
      <c r="AI923" s="211"/>
      <c r="AJ923" s="211"/>
      <c r="AK923" s="211"/>
      <c r="AL923" s="211"/>
      <c r="AM923" s="211"/>
      <c r="AN923" s="211"/>
      <c r="AO923" s="211"/>
      <c r="AP923" s="211"/>
      <c r="AQ923" s="211"/>
      <c r="AR923" s="211"/>
      <c r="AS923" s="211"/>
      <c r="AT923" s="211"/>
      <c r="AU923" s="211"/>
      <c r="AV923" s="211"/>
      <c r="AW923" s="211"/>
      <c r="AX923" s="211"/>
      <c r="AY923" s="211"/>
      <c r="AZ923" s="211"/>
    </row>
    <row r="924" spans="1:52" s="213" customFormat="1" x14ac:dyDescent="0.35">
      <c r="A924" s="211"/>
      <c r="B924" s="211"/>
      <c r="C924" s="211"/>
      <c r="D924" s="211"/>
      <c r="E924" s="211"/>
      <c r="F924" s="211"/>
      <c r="G924" s="211"/>
      <c r="H924" s="211"/>
      <c r="I924" s="212"/>
      <c r="J924" s="212"/>
      <c r="K924" s="212"/>
      <c r="L924" s="212"/>
      <c r="M924" s="212"/>
      <c r="N924" s="212"/>
      <c r="O924" s="212"/>
      <c r="P924" s="211"/>
      <c r="Q924" s="211"/>
      <c r="R924" s="211"/>
      <c r="S924" s="211"/>
      <c r="T924" s="211"/>
      <c r="U924" s="211"/>
      <c r="V924" s="211"/>
      <c r="W924" s="211"/>
      <c r="X924" s="211"/>
      <c r="Y924" s="211"/>
      <c r="Z924" s="211"/>
      <c r="AD924" s="211"/>
      <c r="AE924" s="211"/>
      <c r="AF924" s="211"/>
      <c r="AG924" s="211"/>
      <c r="AH924" s="211"/>
      <c r="AI924" s="211"/>
      <c r="AJ924" s="211"/>
      <c r="AK924" s="211"/>
      <c r="AL924" s="211"/>
      <c r="AM924" s="211"/>
      <c r="AN924" s="211"/>
      <c r="AO924" s="211"/>
      <c r="AP924" s="211"/>
      <c r="AQ924" s="211"/>
      <c r="AR924" s="211"/>
      <c r="AS924" s="211"/>
      <c r="AT924" s="211"/>
      <c r="AU924" s="211"/>
      <c r="AV924" s="211"/>
      <c r="AW924" s="211"/>
      <c r="AX924" s="211"/>
      <c r="AY924" s="211"/>
      <c r="AZ924" s="211"/>
    </row>
    <row r="925" spans="1:52" s="213" customFormat="1" x14ac:dyDescent="0.35">
      <c r="A925" s="211"/>
      <c r="B925" s="211"/>
      <c r="C925" s="211"/>
      <c r="D925" s="211"/>
      <c r="E925" s="211"/>
      <c r="F925" s="211"/>
      <c r="G925" s="211"/>
      <c r="H925" s="211"/>
      <c r="I925" s="212"/>
      <c r="J925" s="212"/>
      <c r="K925" s="212"/>
      <c r="L925" s="212"/>
      <c r="M925" s="212"/>
      <c r="N925" s="212"/>
      <c r="O925" s="212"/>
      <c r="P925" s="211"/>
      <c r="Q925" s="211"/>
      <c r="R925" s="211"/>
      <c r="S925" s="211"/>
      <c r="T925" s="211"/>
      <c r="U925" s="211"/>
      <c r="V925" s="211"/>
      <c r="W925" s="211"/>
      <c r="X925" s="211"/>
      <c r="Y925" s="211"/>
      <c r="Z925" s="211"/>
      <c r="AD925" s="211"/>
      <c r="AE925" s="211"/>
      <c r="AF925" s="211"/>
      <c r="AG925" s="211"/>
      <c r="AH925" s="211"/>
      <c r="AI925" s="211"/>
      <c r="AJ925" s="211"/>
      <c r="AK925" s="211"/>
      <c r="AL925" s="211"/>
      <c r="AM925" s="211"/>
      <c r="AN925" s="211"/>
      <c r="AO925" s="211"/>
      <c r="AP925" s="211"/>
      <c r="AQ925" s="211"/>
      <c r="AR925" s="211"/>
      <c r="AS925" s="211"/>
      <c r="AT925" s="211"/>
      <c r="AU925" s="211"/>
      <c r="AV925" s="211"/>
      <c r="AW925" s="211"/>
      <c r="AX925" s="211"/>
      <c r="AY925" s="211"/>
      <c r="AZ925" s="211"/>
    </row>
    <row r="926" spans="1:52" s="213" customFormat="1" x14ac:dyDescent="0.35">
      <c r="A926" s="211"/>
      <c r="B926" s="211"/>
      <c r="C926" s="211"/>
      <c r="D926" s="211"/>
      <c r="E926" s="211"/>
      <c r="F926" s="211"/>
      <c r="G926" s="211"/>
      <c r="H926" s="211"/>
      <c r="I926" s="212"/>
      <c r="J926" s="212"/>
      <c r="K926" s="212"/>
      <c r="L926" s="212"/>
      <c r="M926" s="212"/>
      <c r="N926" s="212"/>
      <c r="O926" s="212"/>
      <c r="P926" s="211"/>
      <c r="Q926" s="211"/>
      <c r="R926" s="211"/>
      <c r="S926" s="211"/>
      <c r="T926" s="211"/>
      <c r="U926" s="211"/>
      <c r="V926" s="211"/>
      <c r="W926" s="211"/>
      <c r="X926" s="211"/>
      <c r="Y926" s="211"/>
      <c r="Z926" s="211"/>
      <c r="AD926" s="211"/>
      <c r="AE926" s="211"/>
      <c r="AF926" s="211"/>
      <c r="AG926" s="211"/>
      <c r="AH926" s="211"/>
      <c r="AI926" s="211"/>
      <c r="AJ926" s="211"/>
      <c r="AK926" s="211"/>
      <c r="AL926" s="211"/>
      <c r="AM926" s="211"/>
      <c r="AN926" s="211"/>
      <c r="AO926" s="211"/>
      <c r="AP926" s="211"/>
      <c r="AQ926" s="211"/>
      <c r="AR926" s="211"/>
      <c r="AS926" s="211"/>
      <c r="AT926" s="211"/>
      <c r="AU926" s="211"/>
      <c r="AV926" s="211"/>
      <c r="AW926" s="211"/>
      <c r="AX926" s="211"/>
      <c r="AY926" s="211"/>
      <c r="AZ926" s="211"/>
    </row>
    <row r="927" spans="1:52" s="213" customFormat="1" x14ac:dyDescent="0.35">
      <c r="A927" s="211"/>
      <c r="B927" s="211"/>
      <c r="C927" s="211"/>
      <c r="D927" s="211"/>
      <c r="E927" s="211"/>
      <c r="F927" s="211"/>
      <c r="G927" s="211"/>
      <c r="H927" s="211"/>
      <c r="I927" s="212"/>
      <c r="J927" s="212"/>
      <c r="K927" s="212"/>
      <c r="L927" s="212"/>
      <c r="M927" s="212"/>
      <c r="N927" s="212"/>
      <c r="O927" s="212"/>
      <c r="P927" s="211"/>
      <c r="Q927" s="211"/>
      <c r="R927" s="211"/>
      <c r="S927" s="211"/>
      <c r="T927" s="211"/>
      <c r="U927" s="211"/>
      <c r="V927" s="211"/>
      <c r="W927" s="211"/>
      <c r="X927" s="211"/>
      <c r="Y927" s="211"/>
      <c r="Z927" s="211"/>
      <c r="AD927" s="211"/>
      <c r="AE927" s="211"/>
      <c r="AF927" s="211"/>
      <c r="AG927" s="211"/>
      <c r="AH927" s="211"/>
      <c r="AI927" s="211"/>
      <c r="AJ927" s="211"/>
      <c r="AK927" s="211"/>
      <c r="AL927" s="211"/>
      <c r="AM927" s="211"/>
      <c r="AN927" s="211"/>
      <c r="AO927" s="211"/>
      <c r="AP927" s="211"/>
      <c r="AQ927" s="211"/>
      <c r="AR927" s="211"/>
      <c r="AS927" s="211"/>
      <c r="AT927" s="211"/>
      <c r="AU927" s="211"/>
      <c r="AV927" s="211"/>
      <c r="AW927" s="211"/>
      <c r="AX927" s="211"/>
      <c r="AY927" s="211"/>
      <c r="AZ927" s="211"/>
    </row>
    <row r="928" spans="1:52" s="213" customFormat="1" x14ac:dyDescent="0.35">
      <c r="A928" s="211"/>
      <c r="B928" s="211"/>
      <c r="C928" s="211"/>
      <c r="D928" s="211"/>
      <c r="E928" s="211"/>
      <c r="F928" s="211"/>
      <c r="G928" s="211"/>
      <c r="H928" s="211"/>
      <c r="I928" s="212"/>
      <c r="J928" s="212"/>
      <c r="K928" s="212"/>
      <c r="L928" s="212"/>
      <c r="M928" s="212"/>
      <c r="N928" s="212"/>
      <c r="O928" s="212"/>
      <c r="P928" s="211"/>
      <c r="Q928" s="211"/>
      <c r="R928" s="211"/>
      <c r="S928" s="211"/>
      <c r="T928" s="211"/>
      <c r="U928" s="211"/>
      <c r="V928" s="211"/>
      <c r="W928" s="211"/>
      <c r="X928" s="211"/>
      <c r="Y928" s="211"/>
      <c r="Z928" s="211"/>
      <c r="AD928" s="211"/>
      <c r="AE928" s="211"/>
      <c r="AF928" s="211"/>
      <c r="AG928" s="211"/>
      <c r="AH928" s="211"/>
      <c r="AI928" s="211"/>
      <c r="AJ928" s="211"/>
      <c r="AK928" s="211"/>
      <c r="AL928" s="211"/>
      <c r="AM928" s="211"/>
      <c r="AN928" s="211"/>
      <c r="AO928" s="211"/>
      <c r="AP928" s="211"/>
      <c r="AQ928" s="211"/>
      <c r="AR928" s="211"/>
      <c r="AS928" s="211"/>
      <c r="AT928" s="211"/>
      <c r="AU928" s="211"/>
      <c r="AV928" s="211"/>
      <c r="AW928" s="211"/>
      <c r="AX928" s="211"/>
      <c r="AY928" s="211"/>
      <c r="AZ928" s="211"/>
    </row>
    <row r="929" spans="1:55" s="213" customFormat="1" x14ac:dyDescent="0.35">
      <c r="A929" s="211"/>
      <c r="B929" s="211"/>
      <c r="C929" s="211"/>
      <c r="D929" s="211"/>
      <c r="E929" s="211"/>
      <c r="F929" s="211"/>
      <c r="G929" s="211"/>
      <c r="H929" s="211"/>
      <c r="I929" s="212"/>
      <c r="J929" s="212"/>
      <c r="K929" s="212"/>
      <c r="L929" s="212"/>
      <c r="M929" s="212"/>
      <c r="N929" s="212"/>
      <c r="O929" s="212"/>
      <c r="P929" s="211"/>
      <c r="Q929" s="211"/>
      <c r="R929" s="211"/>
      <c r="S929" s="211"/>
      <c r="T929" s="211"/>
      <c r="U929" s="211"/>
      <c r="V929" s="211"/>
      <c r="W929" s="211"/>
      <c r="X929" s="211"/>
      <c r="Y929" s="211"/>
      <c r="Z929" s="211"/>
      <c r="AD929" s="211"/>
      <c r="AE929" s="211"/>
      <c r="AF929" s="211"/>
      <c r="AG929" s="211"/>
      <c r="AH929" s="211"/>
      <c r="AI929" s="211"/>
      <c r="AJ929" s="211"/>
      <c r="AK929" s="211"/>
      <c r="AL929" s="211"/>
      <c r="AM929" s="211"/>
      <c r="AN929" s="211"/>
      <c r="AO929" s="211"/>
      <c r="AP929" s="211"/>
      <c r="AQ929" s="211"/>
      <c r="AR929" s="211"/>
      <c r="AS929" s="211"/>
      <c r="AT929" s="211"/>
      <c r="AU929" s="211"/>
      <c r="AV929" s="211"/>
      <c r="AW929" s="211"/>
      <c r="AX929" s="211"/>
      <c r="AY929" s="211"/>
      <c r="AZ929" s="211"/>
    </row>
    <row r="930" spans="1:55" s="213" customFormat="1" x14ac:dyDescent="0.35">
      <c r="A930" s="211"/>
      <c r="B930" s="211"/>
      <c r="C930" s="211"/>
      <c r="D930" s="211"/>
      <c r="E930" s="211"/>
      <c r="F930" s="211"/>
      <c r="G930" s="211"/>
      <c r="H930" s="211"/>
      <c r="I930" s="212"/>
      <c r="J930" s="212"/>
      <c r="K930" s="212"/>
      <c r="L930" s="212"/>
      <c r="M930" s="212"/>
      <c r="N930" s="212"/>
      <c r="O930" s="212"/>
      <c r="P930" s="211"/>
      <c r="Q930" s="211"/>
      <c r="R930" s="211"/>
      <c r="S930" s="211"/>
      <c r="T930" s="211"/>
      <c r="U930" s="211"/>
      <c r="V930" s="211"/>
      <c r="W930" s="211"/>
      <c r="X930" s="211"/>
      <c r="Y930" s="211"/>
      <c r="Z930" s="211"/>
      <c r="AD930" s="211"/>
      <c r="AE930" s="211"/>
      <c r="AF930" s="211"/>
      <c r="AG930" s="211"/>
      <c r="AH930" s="211"/>
      <c r="AI930" s="211"/>
      <c r="AJ930" s="211"/>
      <c r="AK930" s="211"/>
      <c r="AL930" s="211"/>
      <c r="AM930" s="211"/>
      <c r="AN930" s="211"/>
      <c r="AO930" s="211"/>
      <c r="AP930" s="211"/>
      <c r="AQ930" s="211"/>
      <c r="AR930" s="211"/>
      <c r="AS930" s="211"/>
      <c r="AT930" s="211"/>
      <c r="AU930" s="211"/>
      <c r="AV930" s="211"/>
      <c r="AW930" s="211"/>
      <c r="AX930" s="211"/>
      <c r="AY930" s="211"/>
      <c r="AZ930" s="211"/>
    </row>
    <row r="931" spans="1:55" s="213" customFormat="1" x14ac:dyDescent="0.35">
      <c r="A931" s="211"/>
      <c r="B931" s="211"/>
      <c r="C931" s="211"/>
      <c r="D931" s="211"/>
      <c r="E931" s="211"/>
      <c r="F931" s="211"/>
      <c r="G931" s="211"/>
      <c r="H931" s="211"/>
      <c r="I931" s="212"/>
      <c r="J931" s="212"/>
      <c r="K931" s="212"/>
      <c r="L931" s="212"/>
      <c r="M931" s="212"/>
      <c r="N931" s="212"/>
      <c r="O931" s="212"/>
      <c r="P931" s="211"/>
      <c r="Q931" s="211"/>
      <c r="R931" s="211"/>
      <c r="S931" s="211"/>
      <c r="T931" s="211"/>
      <c r="U931" s="211"/>
      <c r="V931" s="211"/>
      <c r="W931" s="211"/>
      <c r="X931" s="211"/>
      <c r="Y931" s="211"/>
      <c r="Z931" s="211"/>
      <c r="AD931" s="211"/>
      <c r="AE931" s="211"/>
      <c r="AF931" s="211"/>
      <c r="AG931" s="211"/>
      <c r="AH931" s="211"/>
      <c r="AI931" s="211"/>
      <c r="AJ931" s="211"/>
      <c r="AK931" s="211"/>
      <c r="AL931" s="211"/>
      <c r="AM931" s="211"/>
      <c r="AN931" s="211"/>
      <c r="AO931" s="211"/>
      <c r="AP931" s="211"/>
      <c r="AQ931" s="211"/>
      <c r="AR931" s="211"/>
      <c r="AS931" s="211"/>
      <c r="AT931" s="211"/>
      <c r="AU931" s="211"/>
      <c r="AV931" s="211"/>
      <c r="AW931" s="211"/>
      <c r="AX931" s="211"/>
      <c r="AY931" s="211"/>
      <c r="AZ931" s="211"/>
    </row>
    <row r="932" spans="1:55" s="213" customFormat="1" x14ac:dyDescent="0.35">
      <c r="A932" s="211"/>
      <c r="B932" s="211"/>
      <c r="C932" s="211"/>
      <c r="D932" s="211"/>
      <c r="E932" s="211"/>
      <c r="F932" s="211"/>
      <c r="G932" s="211"/>
      <c r="H932" s="211"/>
      <c r="I932" s="212"/>
      <c r="J932" s="212"/>
      <c r="K932" s="212"/>
      <c r="L932" s="212"/>
      <c r="M932" s="212"/>
      <c r="N932" s="212"/>
      <c r="O932" s="212"/>
      <c r="P932" s="211"/>
      <c r="Q932" s="211"/>
      <c r="R932" s="211"/>
      <c r="S932" s="211"/>
      <c r="T932" s="211"/>
      <c r="U932" s="211"/>
      <c r="V932" s="211"/>
      <c r="W932" s="211"/>
      <c r="X932" s="211"/>
      <c r="Y932" s="211"/>
      <c r="Z932" s="211"/>
      <c r="AD932" s="211"/>
      <c r="AE932" s="211"/>
      <c r="AF932" s="211"/>
      <c r="AG932" s="211"/>
      <c r="AH932" s="211"/>
      <c r="AI932" s="211"/>
      <c r="AJ932" s="211"/>
      <c r="AK932" s="211"/>
      <c r="AL932" s="211"/>
      <c r="AM932" s="211"/>
      <c r="AN932" s="211"/>
      <c r="AO932" s="211"/>
      <c r="AP932" s="211"/>
      <c r="AQ932" s="211"/>
      <c r="AR932" s="211"/>
      <c r="AS932" s="211"/>
      <c r="AT932" s="211"/>
      <c r="AU932" s="211"/>
      <c r="AV932" s="211"/>
      <c r="AW932" s="211"/>
      <c r="AX932" s="211"/>
      <c r="AY932" s="211"/>
      <c r="AZ932" s="211"/>
    </row>
    <row r="933" spans="1:55" s="213" customFormat="1" x14ac:dyDescent="0.35">
      <c r="A933" s="211"/>
      <c r="B933" s="211"/>
      <c r="C933" s="211"/>
      <c r="D933" s="211"/>
      <c r="E933" s="211"/>
      <c r="F933" s="211"/>
      <c r="G933" s="211"/>
      <c r="H933" s="211"/>
      <c r="I933" s="212"/>
      <c r="J933" s="212"/>
      <c r="K933" s="212"/>
      <c r="L933" s="212"/>
      <c r="M933" s="212"/>
      <c r="N933" s="212"/>
      <c r="O933" s="212"/>
      <c r="P933" s="211"/>
      <c r="Q933" s="211"/>
      <c r="R933" s="211"/>
      <c r="S933" s="211"/>
      <c r="T933" s="211"/>
      <c r="U933" s="211"/>
      <c r="V933" s="211"/>
      <c r="W933" s="211"/>
      <c r="X933" s="211"/>
      <c r="Y933" s="211"/>
      <c r="Z933" s="211"/>
      <c r="AD933" s="211"/>
      <c r="AE933" s="211"/>
      <c r="AF933" s="211"/>
      <c r="AG933" s="211"/>
      <c r="AH933" s="211"/>
      <c r="AI933" s="211"/>
      <c r="AJ933" s="211"/>
      <c r="AK933" s="211"/>
      <c r="AL933" s="211"/>
      <c r="AM933" s="211"/>
      <c r="AN933" s="211"/>
      <c r="AO933" s="211"/>
      <c r="AP933" s="211"/>
      <c r="AQ933" s="211"/>
      <c r="AR933" s="211"/>
      <c r="AS933" s="211"/>
      <c r="AT933" s="211"/>
      <c r="AU933" s="211"/>
      <c r="AV933" s="211"/>
      <c r="AW933" s="211"/>
      <c r="AX933" s="211"/>
      <c r="AY933" s="211"/>
      <c r="AZ933" s="211"/>
    </row>
    <row r="934" spans="1:55" s="213" customFormat="1" x14ac:dyDescent="0.35">
      <c r="A934" s="211"/>
      <c r="B934" s="211"/>
      <c r="C934" s="211"/>
      <c r="D934" s="211"/>
      <c r="E934" s="211"/>
      <c r="F934" s="211"/>
      <c r="G934" s="211"/>
      <c r="H934" s="211"/>
      <c r="I934" s="212"/>
      <c r="J934" s="212"/>
      <c r="K934" s="212"/>
      <c r="L934" s="212"/>
      <c r="M934" s="212"/>
      <c r="N934" s="212"/>
      <c r="O934" s="212"/>
      <c r="P934" s="211"/>
      <c r="Q934" s="211"/>
      <c r="R934" s="211"/>
      <c r="S934" s="211"/>
      <c r="T934" s="211"/>
      <c r="U934" s="211"/>
      <c r="V934" s="211"/>
      <c r="W934" s="211"/>
      <c r="X934" s="211"/>
      <c r="Y934" s="211"/>
      <c r="Z934" s="211"/>
      <c r="AD934" s="211"/>
      <c r="AE934" s="211"/>
      <c r="AF934" s="211"/>
      <c r="AG934" s="211"/>
      <c r="AH934" s="211"/>
      <c r="AI934" s="211"/>
      <c r="AJ934" s="211"/>
      <c r="AK934" s="211"/>
      <c r="AL934" s="211"/>
      <c r="AM934" s="211"/>
      <c r="AN934" s="211"/>
      <c r="AO934" s="211"/>
      <c r="AP934" s="211"/>
      <c r="AQ934" s="211"/>
      <c r="AR934" s="211"/>
      <c r="AS934" s="211"/>
      <c r="AT934" s="211"/>
      <c r="AU934" s="211"/>
      <c r="AV934" s="211"/>
      <c r="AW934" s="211"/>
      <c r="AX934" s="211"/>
      <c r="AY934" s="211"/>
      <c r="AZ934" s="211"/>
    </row>
    <row r="935" spans="1:55" s="213" customFormat="1" x14ac:dyDescent="0.35">
      <c r="A935" s="211"/>
      <c r="B935" s="211"/>
      <c r="C935" s="211"/>
      <c r="D935" s="211"/>
      <c r="E935" s="211"/>
      <c r="F935" s="211"/>
      <c r="G935" s="211"/>
      <c r="H935" s="211"/>
      <c r="I935" s="212"/>
      <c r="J935" s="212"/>
      <c r="K935" s="212"/>
      <c r="L935" s="212"/>
      <c r="M935" s="212"/>
      <c r="N935" s="212"/>
      <c r="O935" s="212"/>
      <c r="P935" s="211"/>
      <c r="Q935" s="211"/>
      <c r="R935" s="211"/>
      <c r="S935" s="211"/>
      <c r="T935" s="211"/>
      <c r="U935" s="211"/>
      <c r="V935" s="211"/>
      <c r="W935" s="211"/>
      <c r="X935" s="211"/>
      <c r="Y935" s="211"/>
      <c r="Z935" s="211"/>
      <c r="AD935" s="211"/>
      <c r="AE935" s="211"/>
      <c r="AF935" s="211"/>
      <c r="AG935" s="211"/>
      <c r="AH935" s="211"/>
      <c r="AI935" s="211"/>
      <c r="AJ935" s="211"/>
      <c r="AK935" s="211"/>
      <c r="AL935" s="211"/>
      <c r="AM935" s="211"/>
      <c r="AN935" s="211"/>
      <c r="AO935" s="211"/>
      <c r="AP935" s="211"/>
      <c r="AQ935" s="211"/>
      <c r="AR935" s="211"/>
      <c r="AS935" s="211"/>
      <c r="AT935" s="211"/>
      <c r="AU935" s="211"/>
      <c r="AV935" s="211"/>
      <c r="AW935" s="211"/>
      <c r="AX935" s="211"/>
      <c r="AY935" s="211"/>
      <c r="AZ935" s="211"/>
    </row>
    <row r="936" spans="1:55" s="213" customFormat="1" x14ac:dyDescent="0.35">
      <c r="A936" s="211"/>
      <c r="B936" s="211"/>
      <c r="C936" s="211"/>
      <c r="D936" s="211"/>
      <c r="E936" s="211"/>
      <c r="F936" s="211"/>
      <c r="G936" s="211"/>
      <c r="H936" s="211"/>
      <c r="I936" s="212"/>
      <c r="J936" s="212"/>
      <c r="K936" s="212"/>
      <c r="L936" s="212"/>
      <c r="M936" s="212"/>
      <c r="N936" s="212"/>
      <c r="O936" s="212"/>
      <c r="P936" s="211"/>
      <c r="Q936" s="211"/>
      <c r="R936" s="211"/>
      <c r="S936" s="211"/>
      <c r="T936" s="211"/>
      <c r="U936" s="211"/>
      <c r="V936" s="211"/>
      <c r="W936" s="211"/>
      <c r="X936" s="211"/>
      <c r="Y936" s="211"/>
      <c r="Z936" s="211"/>
      <c r="AD936" s="211"/>
      <c r="AE936" s="211"/>
      <c r="AF936" s="211"/>
      <c r="AG936" s="211"/>
      <c r="AH936" s="211"/>
      <c r="AI936" s="211"/>
      <c r="AJ936" s="211"/>
      <c r="AK936" s="211"/>
      <c r="AL936" s="211"/>
      <c r="AM936" s="211"/>
      <c r="AN936" s="211"/>
      <c r="AO936" s="211"/>
      <c r="AP936" s="211"/>
      <c r="AQ936" s="211"/>
      <c r="AR936" s="211"/>
      <c r="AS936" s="211"/>
      <c r="AT936" s="211"/>
      <c r="AU936" s="211"/>
      <c r="AV936" s="211"/>
      <c r="AW936" s="211"/>
      <c r="AX936" s="211"/>
      <c r="AY936" s="211"/>
      <c r="AZ936" s="211"/>
    </row>
    <row r="937" spans="1:55" s="213" customFormat="1" x14ac:dyDescent="0.35">
      <c r="A937" s="211"/>
      <c r="B937" s="211"/>
      <c r="C937" s="211"/>
      <c r="D937" s="211"/>
      <c r="E937" s="211"/>
      <c r="F937" s="211"/>
      <c r="G937" s="211"/>
      <c r="H937" s="211"/>
      <c r="I937" s="212"/>
      <c r="J937" s="212"/>
      <c r="K937" s="212"/>
      <c r="L937" s="212"/>
      <c r="M937" s="212"/>
      <c r="N937" s="212"/>
      <c r="O937" s="212"/>
      <c r="P937" s="211"/>
      <c r="Q937" s="211"/>
      <c r="R937" s="211"/>
      <c r="S937" s="211"/>
      <c r="T937" s="211"/>
      <c r="U937" s="211"/>
      <c r="V937" s="211"/>
      <c r="W937" s="211"/>
      <c r="X937" s="211"/>
      <c r="Y937" s="211"/>
      <c r="Z937" s="211"/>
      <c r="AD937" s="211"/>
      <c r="AE937" s="211"/>
      <c r="AF937" s="211"/>
      <c r="AG937" s="211"/>
      <c r="AH937" s="211"/>
      <c r="AI937" s="211"/>
      <c r="AJ937" s="211"/>
      <c r="AK937" s="211"/>
      <c r="AL937" s="211"/>
      <c r="AM937" s="211"/>
      <c r="AN937" s="211"/>
      <c r="AO937" s="211"/>
      <c r="AP937" s="211"/>
      <c r="AQ937" s="211"/>
      <c r="AR937" s="211"/>
      <c r="AS937" s="211"/>
      <c r="AT937" s="211"/>
      <c r="AU937" s="211"/>
      <c r="AV937" s="211"/>
      <c r="AW937" s="211"/>
      <c r="AX937" s="211"/>
      <c r="AY937" s="211"/>
      <c r="AZ937" s="211"/>
    </row>
    <row r="938" spans="1:55" s="213" customFormat="1" x14ac:dyDescent="0.35">
      <c r="A938" s="211"/>
      <c r="B938" s="211"/>
      <c r="C938" s="211"/>
      <c r="D938" s="211"/>
      <c r="E938" s="211"/>
      <c r="F938" s="211"/>
      <c r="G938" s="211"/>
      <c r="H938" s="211"/>
      <c r="I938" s="212"/>
      <c r="J938" s="212"/>
      <c r="K938" s="212"/>
      <c r="L938" s="212"/>
      <c r="M938" s="212"/>
      <c r="N938" s="212"/>
      <c r="O938" s="212"/>
      <c r="P938" s="211"/>
      <c r="Q938" s="211"/>
      <c r="R938" s="211"/>
      <c r="S938" s="211"/>
      <c r="T938" s="211"/>
      <c r="U938" s="211"/>
      <c r="V938" s="211"/>
      <c r="W938" s="211"/>
      <c r="X938" s="211"/>
      <c r="Y938" s="211"/>
      <c r="Z938" s="211"/>
      <c r="AD938" s="211"/>
      <c r="AE938" s="211"/>
      <c r="AF938" s="211"/>
      <c r="AG938" s="211"/>
      <c r="AH938" s="211"/>
      <c r="AI938" s="211"/>
      <c r="AJ938" s="211"/>
      <c r="AK938" s="211"/>
      <c r="AL938" s="211"/>
      <c r="AM938" s="211"/>
      <c r="AN938" s="211"/>
      <c r="AO938" s="211"/>
      <c r="AP938" s="211"/>
      <c r="AQ938" s="211"/>
      <c r="AR938" s="211"/>
      <c r="AS938" s="211"/>
      <c r="AT938" s="211"/>
      <c r="AU938" s="211"/>
      <c r="AV938" s="211"/>
      <c r="AW938" s="211"/>
      <c r="AX938" s="211"/>
      <c r="AY938" s="211"/>
      <c r="AZ938" s="211"/>
      <c r="BA938" s="211"/>
      <c r="BB938" s="211"/>
      <c r="BC938" s="211"/>
    </row>
    <row r="939" spans="1:55" s="213" customFormat="1" x14ac:dyDescent="0.35">
      <c r="A939" s="211"/>
      <c r="B939" s="211"/>
      <c r="C939" s="211"/>
      <c r="D939" s="211"/>
      <c r="E939" s="211"/>
      <c r="F939" s="211"/>
      <c r="G939" s="211"/>
      <c r="H939" s="211"/>
      <c r="I939" s="212"/>
      <c r="J939" s="212"/>
      <c r="K939" s="212"/>
      <c r="L939" s="212"/>
      <c r="M939" s="212"/>
      <c r="N939" s="212"/>
      <c r="O939" s="212"/>
      <c r="P939" s="211"/>
      <c r="Q939" s="211"/>
      <c r="R939" s="211"/>
      <c r="S939" s="211"/>
      <c r="T939" s="211"/>
      <c r="U939" s="211"/>
      <c r="V939" s="211"/>
      <c r="W939" s="211"/>
      <c r="X939" s="211"/>
      <c r="Y939" s="211"/>
      <c r="Z939" s="211"/>
      <c r="AD939" s="211"/>
      <c r="AE939" s="211"/>
      <c r="AF939" s="211"/>
      <c r="AG939" s="211"/>
      <c r="AH939" s="211"/>
      <c r="AI939" s="211"/>
      <c r="AJ939" s="211"/>
      <c r="AK939" s="211"/>
      <c r="AL939" s="211"/>
      <c r="AM939" s="211"/>
      <c r="AN939" s="211"/>
      <c r="AO939" s="211"/>
      <c r="AP939" s="211"/>
      <c r="AQ939" s="211"/>
      <c r="AR939" s="211"/>
      <c r="AS939" s="211"/>
      <c r="AT939" s="211"/>
      <c r="AU939" s="211"/>
      <c r="AV939" s="211"/>
      <c r="AW939" s="211"/>
      <c r="AX939" s="211"/>
      <c r="AY939" s="211"/>
      <c r="AZ939" s="211"/>
      <c r="BA939" s="211"/>
      <c r="BB939" s="211"/>
      <c r="BC939" s="211"/>
    </row>
    <row r="940" spans="1:55" s="213" customFormat="1" x14ac:dyDescent="0.35">
      <c r="A940" s="211"/>
      <c r="B940" s="211"/>
      <c r="C940" s="211"/>
      <c r="D940" s="211"/>
      <c r="E940" s="211"/>
      <c r="F940" s="211"/>
      <c r="G940" s="211"/>
      <c r="H940" s="211"/>
      <c r="I940" s="212"/>
      <c r="J940" s="212"/>
      <c r="K940" s="212"/>
      <c r="L940" s="212"/>
      <c r="M940" s="212"/>
      <c r="N940" s="212"/>
      <c r="O940" s="212"/>
      <c r="P940" s="211"/>
      <c r="Q940" s="211"/>
      <c r="R940" s="211"/>
      <c r="S940" s="211"/>
      <c r="T940" s="211"/>
      <c r="U940" s="211"/>
      <c r="V940" s="211"/>
      <c r="W940" s="211"/>
      <c r="X940" s="211"/>
      <c r="Y940" s="211"/>
      <c r="Z940" s="211"/>
      <c r="AD940" s="211"/>
      <c r="AE940" s="211"/>
      <c r="AF940" s="211"/>
      <c r="AG940" s="211"/>
      <c r="AH940" s="211"/>
      <c r="AI940" s="211"/>
      <c r="AJ940" s="211"/>
      <c r="AK940" s="211"/>
      <c r="AL940" s="211"/>
      <c r="AM940" s="211"/>
      <c r="AN940" s="211"/>
      <c r="AO940" s="211"/>
      <c r="AP940" s="211"/>
      <c r="AQ940" s="211"/>
      <c r="AR940" s="211"/>
      <c r="AS940" s="211"/>
      <c r="AT940" s="211"/>
      <c r="AU940" s="211"/>
      <c r="AV940" s="211"/>
      <c r="AW940" s="211"/>
      <c r="AX940" s="211"/>
      <c r="AY940" s="211"/>
      <c r="AZ940" s="211"/>
      <c r="BA940" s="211"/>
      <c r="BB940" s="211"/>
      <c r="BC940" s="211"/>
    </row>
    <row r="941" spans="1:55" s="213" customFormat="1" x14ac:dyDescent="0.35">
      <c r="A941" s="211"/>
      <c r="B941" s="211"/>
      <c r="C941" s="211"/>
      <c r="D941" s="211"/>
      <c r="E941" s="211"/>
      <c r="F941" s="211"/>
      <c r="G941" s="211"/>
      <c r="H941" s="211"/>
      <c r="I941" s="212"/>
      <c r="J941" s="212"/>
      <c r="K941" s="212"/>
      <c r="L941" s="212"/>
      <c r="M941" s="212"/>
      <c r="N941" s="212"/>
      <c r="O941" s="212"/>
      <c r="P941" s="211"/>
      <c r="Q941" s="211"/>
      <c r="R941" s="211"/>
      <c r="S941" s="211"/>
      <c r="T941" s="211"/>
      <c r="U941" s="211"/>
      <c r="V941" s="211"/>
      <c r="W941" s="211"/>
      <c r="X941" s="211"/>
      <c r="Y941" s="211"/>
      <c r="Z941" s="211"/>
      <c r="AD941" s="211"/>
      <c r="AE941" s="211"/>
      <c r="AF941" s="211"/>
      <c r="AG941" s="211"/>
      <c r="AH941" s="211"/>
      <c r="AI941" s="211"/>
      <c r="AJ941" s="211"/>
      <c r="AK941" s="211"/>
      <c r="AL941" s="211"/>
      <c r="AM941" s="211"/>
      <c r="AN941" s="211"/>
      <c r="AO941" s="211"/>
      <c r="AP941" s="211"/>
      <c r="AQ941" s="211"/>
      <c r="AR941" s="211"/>
      <c r="AS941" s="211"/>
      <c r="AT941" s="211"/>
      <c r="AU941" s="211"/>
      <c r="AV941" s="211"/>
      <c r="AW941" s="211"/>
      <c r="AX941" s="211"/>
      <c r="AY941" s="211"/>
      <c r="AZ941" s="211"/>
      <c r="BA941" s="211"/>
      <c r="BB941" s="211"/>
      <c r="BC941" s="211"/>
    </row>
    <row r="942" spans="1:55" s="213" customFormat="1" x14ac:dyDescent="0.35">
      <c r="A942" s="211"/>
      <c r="B942" s="211"/>
      <c r="C942" s="211"/>
      <c r="D942" s="211"/>
      <c r="E942" s="211"/>
      <c r="F942" s="211"/>
      <c r="G942" s="211"/>
      <c r="H942" s="211"/>
      <c r="I942" s="212"/>
      <c r="J942" s="212"/>
      <c r="K942" s="212"/>
      <c r="L942" s="212"/>
      <c r="M942" s="212"/>
      <c r="N942" s="212"/>
      <c r="O942" s="212"/>
      <c r="P942" s="211"/>
      <c r="Q942" s="211"/>
      <c r="R942" s="211"/>
      <c r="S942" s="211"/>
      <c r="T942" s="211"/>
      <c r="U942" s="211"/>
      <c r="V942" s="211"/>
      <c r="W942" s="211"/>
      <c r="X942" s="211"/>
      <c r="Y942" s="211"/>
      <c r="Z942" s="211"/>
      <c r="AD942" s="211"/>
      <c r="AE942" s="211"/>
      <c r="AF942" s="211"/>
      <c r="AG942" s="211"/>
      <c r="AH942" s="211"/>
      <c r="AI942" s="211"/>
      <c r="AJ942" s="211"/>
      <c r="AK942" s="211"/>
      <c r="AL942" s="211"/>
      <c r="AM942" s="211"/>
      <c r="AN942" s="211"/>
      <c r="AO942" s="211"/>
      <c r="AP942" s="211"/>
      <c r="AQ942" s="211"/>
      <c r="AR942" s="211"/>
      <c r="AS942" s="211"/>
      <c r="AT942" s="211"/>
      <c r="AU942" s="211"/>
      <c r="AV942" s="211"/>
      <c r="AW942" s="211"/>
      <c r="AX942" s="211"/>
      <c r="AY942" s="211"/>
      <c r="AZ942" s="211"/>
      <c r="BA942" s="211"/>
      <c r="BB942" s="211"/>
      <c r="BC942" s="211"/>
    </row>
    <row r="943" spans="1:55" s="213" customFormat="1" x14ac:dyDescent="0.35">
      <c r="A943" s="211"/>
      <c r="B943" s="211"/>
      <c r="C943" s="211"/>
      <c r="D943" s="211"/>
      <c r="E943" s="211"/>
      <c r="F943" s="211"/>
      <c r="G943" s="211"/>
      <c r="H943" s="211"/>
      <c r="I943" s="212"/>
      <c r="J943" s="212"/>
      <c r="K943" s="212"/>
      <c r="L943" s="212"/>
      <c r="M943" s="212"/>
      <c r="N943" s="212"/>
      <c r="O943" s="212"/>
      <c r="P943" s="211"/>
      <c r="Q943" s="211"/>
      <c r="R943" s="211"/>
      <c r="S943" s="211"/>
      <c r="T943" s="211"/>
      <c r="U943" s="211"/>
      <c r="V943" s="211"/>
      <c r="W943" s="211"/>
      <c r="X943" s="211"/>
      <c r="Y943" s="211"/>
      <c r="Z943" s="211"/>
      <c r="AD943" s="211"/>
      <c r="AE943" s="211"/>
      <c r="AF943" s="211"/>
      <c r="AG943" s="211"/>
      <c r="AH943" s="211"/>
      <c r="AI943" s="211"/>
      <c r="AJ943" s="211"/>
      <c r="AK943" s="211"/>
      <c r="AL943" s="211"/>
      <c r="AM943" s="211"/>
      <c r="AN943" s="211"/>
      <c r="AO943" s="211"/>
      <c r="AP943" s="211"/>
      <c r="AQ943" s="211"/>
      <c r="AR943" s="211"/>
      <c r="AS943" s="211"/>
      <c r="AT943" s="211"/>
      <c r="AU943" s="211"/>
      <c r="AV943" s="211"/>
      <c r="AW943" s="211"/>
      <c r="AX943" s="211"/>
      <c r="AY943" s="211"/>
      <c r="AZ943" s="211"/>
      <c r="BA943" s="211"/>
      <c r="BB943" s="211"/>
      <c r="BC943" s="211"/>
    </row>
    <row r="944" spans="1:55" s="213" customFormat="1" x14ac:dyDescent="0.35">
      <c r="A944" s="211"/>
      <c r="B944" s="211"/>
      <c r="C944" s="211"/>
      <c r="D944" s="211"/>
      <c r="E944" s="211"/>
      <c r="F944" s="211"/>
      <c r="G944" s="211"/>
      <c r="H944" s="211"/>
      <c r="I944" s="212"/>
      <c r="J944" s="212"/>
      <c r="K944" s="212"/>
      <c r="L944" s="212"/>
      <c r="M944" s="212"/>
      <c r="N944" s="212"/>
      <c r="O944" s="212"/>
      <c r="P944" s="211"/>
      <c r="Q944" s="211"/>
      <c r="R944" s="211"/>
      <c r="S944" s="211"/>
      <c r="T944" s="211"/>
      <c r="U944" s="211"/>
      <c r="V944" s="211"/>
      <c r="W944" s="211"/>
      <c r="X944" s="211"/>
      <c r="Y944" s="211"/>
      <c r="Z944" s="211"/>
      <c r="AD944" s="211"/>
      <c r="AE944" s="211"/>
      <c r="AF944" s="211"/>
      <c r="AG944" s="211"/>
      <c r="AH944" s="211"/>
      <c r="AI944" s="211"/>
      <c r="AJ944" s="211"/>
      <c r="AK944" s="211"/>
      <c r="AL944" s="211"/>
      <c r="AM944" s="211"/>
      <c r="AN944" s="211"/>
      <c r="AO944" s="211"/>
      <c r="AP944" s="211"/>
      <c r="AQ944" s="211"/>
      <c r="AR944" s="211"/>
      <c r="AS944" s="211"/>
      <c r="AT944" s="211"/>
      <c r="AU944" s="211"/>
      <c r="AV944" s="211"/>
      <c r="AW944" s="211"/>
      <c r="AX944" s="211"/>
      <c r="AY944" s="211"/>
      <c r="AZ944" s="211"/>
      <c r="BA944" s="211"/>
      <c r="BB944" s="211"/>
      <c r="BC944" s="211"/>
    </row>
    <row r="945" spans="1:55" s="213" customFormat="1" x14ac:dyDescent="0.35">
      <c r="A945" s="211"/>
      <c r="B945" s="211"/>
      <c r="C945" s="211"/>
      <c r="D945" s="211"/>
      <c r="E945" s="211"/>
      <c r="F945" s="211"/>
      <c r="G945" s="211"/>
      <c r="H945" s="211"/>
      <c r="I945" s="212"/>
      <c r="J945" s="212"/>
      <c r="K945" s="212"/>
      <c r="L945" s="212"/>
      <c r="M945" s="212"/>
      <c r="N945" s="212"/>
      <c r="O945" s="212"/>
      <c r="P945" s="211"/>
      <c r="Q945" s="211"/>
      <c r="R945" s="211"/>
      <c r="S945" s="211"/>
      <c r="T945" s="211"/>
      <c r="U945" s="211"/>
      <c r="V945" s="211"/>
      <c r="W945" s="211"/>
      <c r="X945" s="211"/>
      <c r="Y945" s="211"/>
      <c r="Z945" s="211"/>
      <c r="AD945" s="211"/>
      <c r="AE945" s="211"/>
      <c r="AF945" s="211"/>
      <c r="AG945" s="211"/>
      <c r="AH945" s="211"/>
      <c r="AI945" s="211"/>
      <c r="AJ945" s="211"/>
      <c r="AK945" s="211"/>
      <c r="AL945" s="211"/>
      <c r="AM945" s="211"/>
      <c r="AN945" s="211"/>
      <c r="AO945" s="211"/>
      <c r="AP945" s="211"/>
      <c r="AQ945" s="211"/>
      <c r="AR945" s="211"/>
      <c r="AS945" s="211"/>
      <c r="AT945" s="211"/>
      <c r="AU945" s="211"/>
      <c r="AV945" s="211"/>
      <c r="AW945" s="211"/>
      <c r="AX945" s="211"/>
      <c r="AY945" s="211"/>
      <c r="AZ945" s="211"/>
      <c r="BA945" s="211"/>
      <c r="BB945" s="211"/>
      <c r="BC945" s="211"/>
    </row>
    <row r="946" spans="1:55" s="213" customFormat="1" x14ac:dyDescent="0.35">
      <c r="A946" s="211"/>
      <c r="B946" s="211"/>
      <c r="C946" s="211"/>
      <c r="D946" s="211"/>
      <c r="E946" s="211"/>
      <c r="F946" s="211"/>
      <c r="G946" s="211"/>
      <c r="H946" s="211"/>
      <c r="I946" s="212"/>
      <c r="J946" s="212"/>
      <c r="K946" s="212"/>
      <c r="L946" s="212"/>
      <c r="M946" s="212"/>
      <c r="N946" s="212"/>
      <c r="O946" s="212"/>
      <c r="P946" s="211"/>
      <c r="Q946" s="211"/>
      <c r="R946" s="211"/>
      <c r="S946" s="211"/>
      <c r="T946" s="211"/>
      <c r="U946" s="211"/>
      <c r="V946" s="211"/>
      <c r="W946" s="211"/>
      <c r="X946" s="211"/>
      <c r="Y946" s="211"/>
      <c r="Z946" s="211"/>
      <c r="AD946" s="211"/>
      <c r="AE946" s="211"/>
      <c r="AF946" s="211"/>
      <c r="AG946" s="211"/>
      <c r="AH946" s="211"/>
      <c r="AI946" s="211"/>
      <c r="AJ946" s="211"/>
      <c r="AK946" s="211"/>
      <c r="AL946" s="211"/>
      <c r="AM946" s="211"/>
      <c r="AN946" s="211"/>
      <c r="AO946" s="211"/>
      <c r="AP946" s="211"/>
      <c r="AQ946" s="211"/>
      <c r="AR946" s="211"/>
      <c r="AS946" s="211"/>
      <c r="AT946" s="211"/>
      <c r="AU946" s="211"/>
      <c r="AV946" s="211"/>
      <c r="AW946" s="211"/>
      <c r="AX946" s="211"/>
      <c r="AY946" s="211"/>
      <c r="AZ946" s="211"/>
      <c r="BA946" s="211"/>
      <c r="BB946" s="211"/>
      <c r="BC946" s="211"/>
    </row>
    <row r="947" spans="1:55" s="213" customFormat="1" x14ac:dyDescent="0.35">
      <c r="A947" s="211"/>
      <c r="B947" s="211"/>
      <c r="C947" s="211"/>
      <c r="D947" s="211"/>
      <c r="E947" s="211"/>
      <c r="F947" s="211"/>
      <c r="G947" s="211"/>
      <c r="H947" s="211"/>
      <c r="I947" s="212"/>
      <c r="J947" s="212"/>
      <c r="K947" s="212"/>
      <c r="L947" s="212"/>
      <c r="M947" s="212"/>
      <c r="N947" s="212"/>
      <c r="O947" s="212"/>
      <c r="P947" s="211"/>
      <c r="Q947" s="211"/>
      <c r="R947" s="211"/>
      <c r="S947" s="211"/>
      <c r="T947" s="211"/>
      <c r="U947" s="211"/>
      <c r="V947" s="211"/>
      <c r="W947" s="211"/>
      <c r="X947" s="211"/>
      <c r="Y947" s="211"/>
      <c r="Z947" s="211"/>
      <c r="AD947" s="211"/>
      <c r="AE947" s="211"/>
      <c r="AF947" s="211"/>
      <c r="AG947" s="211"/>
      <c r="AH947" s="211"/>
      <c r="AI947" s="211"/>
      <c r="AJ947" s="211"/>
      <c r="AK947" s="211"/>
      <c r="AL947" s="211"/>
      <c r="AM947" s="211"/>
      <c r="AN947" s="211"/>
      <c r="AO947" s="211"/>
      <c r="AP947" s="211"/>
      <c r="AQ947" s="211"/>
      <c r="AR947" s="211"/>
      <c r="AS947" s="211"/>
      <c r="AT947" s="211"/>
      <c r="AU947" s="211"/>
      <c r="AV947" s="211"/>
      <c r="AW947" s="211"/>
      <c r="AX947" s="211"/>
      <c r="AY947" s="211"/>
      <c r="AZ947" s="211"/>
      <c r="BA947" s="211"/>
      <c r="BB947" s="211"/>
      <c r="BC947" s="211"/>
    </row>
    <row r="948" spans="1:55" s="213" customFormat="1" x14ac:dyDescent="0.35">
      <c r="A948" s="211"/>
      <c r="B948" s="211"/>
      <c r="C948" s="211"/>
      <c r="D948" s="211"/>
      <c r="E948" s="211"/>
      <c r="F948" s="211"/>
      <c r="G948" s="211"/>
      <c r="H948" s="211"/>
      <c r="I948" s="212"/>
      <c r="J948" s="212"/>
      <c r="K948" s="212"/>
      <c r="L948" s="212"/>
      <c r="M948" s="212"/>
      <c r="N948" s="212"/>
      <c r="O948" s="212"/>
      <c r="P948" s="211"/>
      <c r="Q948" s="211"/>
      <c r="R948" s="211"/>
      <c r="S948" s="211"/>
      <c r="T948" s="211"/>
      <c r="U948" s="211"/>
      <c r="V948" s="211"/>
      <c r="W948" s="211"/>
      <c r="X948" s="211"/>
      <c r="Y948" s="211"/>
      <c r="Z948" s="211"/>
      <c r="AD948" s="211"/>
      <c r="AE948" s="211"/>
      <c r="AF948" s="211"/>
      <c r="AG948" s="211"/>
      <c r="AH948" s="211"/>
      <c r="AI948" s="211"/>
      <c r="AJ948" s="211"/>
      <c r="AK948" s="211"/>
      <c r="AL948" s="211"/>
      <c r="AM948" s="211"/>
      <c r="AN948" s="211"/>
      <c r="AO948" s="211"/>
      <c r="AP948" s="211"/>
      <c r="AQ948" s="211"/>
      <c r="AR948" s="211"/>
      <c r="AS948" s="211"/>
      <c r="AT948" s="211"/>
      <c r="AU948" s="211"/>
      <c r="AV948" s="211"/>
      <c r="AW948" s="211"/>
      <c r="AX948" s="211"/>
      <c r="AY948" s="211"/>
      <c r="AZ948" s="211"/>
      <c r="BA948" s="211"/>
      <c r="BB948" s="211"/>
      <c r="BC948" s="211"/>
    </row>
    <row r="949" spans="1:55" s="213" customFormat="1" x14ac:dyDescent="0.35">
      <c r="A949" s="211"/>
      <c r="B949" s="211"/>
      <c r="C949" s="211"/>
      <c r="D949" s="211"/>
      <c r="E949" s="211"/>
      <c r="F949" s="211"/>
      <c r="G949" s="211"/>
      <c r="H949" s="211"/>
      <c r="I949" s="212"/>
      <c r="J949" s="212"/>
      <c r="K949" s="212"/>
      <c r="L949" s="212"/>
      <c r="M949" s="212"/>
      <c r="N949" s="212"/>
      <c r="O949" s="212"/>
      <c r="P949" s="211"/>
      <c r="Q949" s="211"/>
      <c r="R949" s="211"/>
      <c r="S949" s="211"/>
      <c r="T949" s="211"/>
      <c r="U949" s="211"/>
      <c r="V949" s="211"/>
      <c r="W949" s="211"/>
      <c r="X949" s="211"/>
      <c r="Y949" s="211"/>
      <c r="Z949" s="211"/>
      <c r="AD949" s="211"/>
      <c r="AE949" s="211"/>
      <c r="AF949" s="211"/>
      <c r="AG949" s="211"/>
      <c r="AH949" s="211"/>
      <c r="AI949" s="211"/>
      <c r="AJ949" s="211"/>
      <c r="AK949" s="211"/>
      <c r="AL949" s="211"/>
      <c r="AM949" s="211"/>
      <c r="AN949" s="211"/>
      <c r="AO949" s="211"/>
      <c r="AP949" s="211"/>
      <c r="AQ949" s="211"/>
      <c r="AR949" s="211"/>
      <c r="AS949" s="211"/>
      <c r="AT949" s="211"/>
      <c r="AU949" s="211"/>
      <c r="AV949" s="211"/>
      <c r="AW949" s="211"/>
      <c r="AX949" s="211"/>
      <c r="AY949" s="211"/>
      <c r="AZ949" s="211"/>
      <c r="BA949" s="211"/>
      <c r="BB949" s="211"/>
      <c r="BC949" s="211"/>
    </row>
    <row r="950" spans="1:55" s="213" customFormat="1" x14ac:dyDescent="0.35">
      <c r="A950" s="211"/>
      <c r="B950" s="211"/>
      <c r="C950" s="211"/>
      <c r="D950" s="211"/>
      <c r="E950" s="211"/>
      <c r="F950" s="211"/>
      <c r="G950" s="211"/>
      <c r="H950" s="211"/>
      <c r="I950" s="212"/>
      <c r="J950" s="212"/>
      <c r="K950" s="212"/>
      <c r="L950" s="212"/>
      <c r="M950" s="212"/>
      <c r="N950" s="212"/>
      <c r="O950" s="212"/>
      <c r="P950" s="211"/>
      <c r="Q950" s="211"/>
      <c r="R950" s="211"/>
      <c r="S950" s="211"/>
      <c r="T950" s="211"/>
      <c r="U950" s="211"/>
      <c r="V950" s="211"/>
      <c r="W950" s="211"/>
      <c r="X950" s="211"/>
      <c r="Y950" s="211"/>
      <c r="Z950" s="211"/>
      <c r="AD950" s="211"/>
      <c r="AE950" s="211"/>
      <c r="AF950" s="211"/>
      <c r="AG950" s="211"/>
      <c r="AH950" s="211"/>
      <c r="AI950" s="211"/>
      <c r="AJ950" s="211"/>
      <c r="AK950" s="211"/>
      <c r="AL950" s="211"/>
      <c r="AM950" s="211"/>
      <c r="AN950" s="211"/>
      <c r="AO950" s="211"/>
      <c r="AP950" s="211"/>
      <c r="AQ950" s="211"/>
      <c r="AR950" s="211"/>
      <c r="AS950" s="211"/>
      <c r="AT950" s="211"/>
      <c r="AU950" s="211"/>
      <c r="AV950" s="211"/>
      <c r="AW950" s="211"/>
      <c r="AX950" s="211"/>
      <c r="AY950" s="211"/>
      <c r="AZ950" s="211"/>
      <c r="BA950" s="211"/>
      <c r="BB950" s="211"/>
      <c r="BC950" s="211"/>
    </row>
    <row r="951" spans="1:55" s="213" customFormat="1" x14ac:dyDescent="0.35">
      <c r="A951" s="211"/>
      <c r="B951" s="211"/>
      <c r="C951" s="211"/>
      <c r="D951" s="211"/>
      <c r="E951" s="211"/>
      <c r="F951" s="211"/>
      <c r="G951" s="211"/>
      <c r="H951" s="211"/>
      <c r="I951" s="212"/>
      <c r="J951" s="212"/>
      <c r="K951" s="212"/>
      <c r="L951" s="212"/>
      <c r="M951" s="212"/>
      <c r="N951" s="212"/>
      <c r="O951" s="212"/>
      <c r="P951" s="211"/>
      <c r="Q951" s="211"/>
      <c r="R951" s="211"/>
      <c r="S951" s="211"/>
      <c r="T951" s="211"/>
      <c r="U951" s="211"/>
      <c r="V951" s="211"/>
      <c r="W951" s="211"/>
      <c r="X951" s="211"/>
      <c r="Y951" s="211"/>
      <c r="Z951" s="211"/>
      <c r="AD951" s="211"/>
      <c r="AE951" s="211"/>
      <c r="AF951" s="211"/>
      <c r="AG951" s="211"/>
      <c r="AH951" s="211"/>
      <c r="AI951" s="211"/>
      <c r="AJ951" s="211"/>
      <c r="AK951" s="211"/>
      <c r="AL951" s="211"/>
      <c r="AM951" s="211"/>
      <c r="AN951" s="211"/>
      <c r="AO951" s="211"/>
      <c r="AP951" s="211"/>
      <c r="AQ951" s="211"/>
      <c r="AR951" s="211"/>
      <c r="AS951" s="211"/>
      <c r="AT951" s="211"/>
      <c r="AU951" s="211"/>
      <c r="AV951" s="211"/>
      <c r="AW951" s="211"/>
      <c r="AX951" s="211"/>
      <c r="AY951" s="211"/>
      <c r="AZ951" s="211"/>
      <c r="BA951" s="211"/>
      <c r="BB951" s="211"/>
      <c r="BC951" s="211"/>
    </row>
    <row r="952" spans="1:55" s="213" customFormat="1" x14ac:dyDescent="0.35">
      <c r="A952" s="211"/>
      <c r="B952" s="211"/>
      <c r="C952" s="211"/>
      <c r="D952" s="211"/>
      <c r="E952" s="211"/>
      <c r="F952" s="211"/>
      <c r="G952" s="211"/>
      <c r="H952" s="211"/>
      <c r="I952" s="212"/>
      <c r="J952" s="212"/>
      <c r="K952" s="212"/>
      <c r="L952" s="212"/>
      <c r="M952" s="212"/>
      <c r="N952" s="212"/>
      <c r="O952" s="212"/>
      <c r="P952" s="211"/>
      <c r="Q952" s="211"/>
      <c r="R952" s="211"/>
      <c r="S952" s="211"/>
      <c r="T952" s="211"/>
      <c r="U952" s="211"/>
      <c r="V952" s="211"/>
      <c r="W952" s="211"/>
      <c r="X952" s="211"/>
      <c r="Y952" s="211"/>
      <c r="Z952" s="211"/>
      <c r="AD952" s="211"/>
      <c r="AE952" s="211"/>
      <c r="AF952" s="211"/>
      <c r="AG952" s="211"/>
      <c r="AH952" s="211"/>
      <c r="AI952" s="211"/>
      <c r="AJ952" s="211"/>
      <c r="AK952" s="211"/>
      <c r="AL952" s="211"/>
      <c r="AM952" s="211"/>
      <c r="AN952" s="211"/>
      <c r="AO952" s="211"/>
      <c r="AP952" s="211"/>
      <c r="AQ952" s="211"/>
      <c r="AR952" s="211"/>
      <c r="AS952" s="211"/>
      <c r="AT952" s="211"/>
      <c r="AU952" s="211"/>
      <c r="AV952" s="211"/>
      <c r="AW952" s="211"/>
      <c r="AX952" s="211"/>
      <c r="AY952" s="211"/>
      <c r="AZ952" s="211"/>
      <c r="BA952" s="211"/>
      <c r="BB952" s="211"/>
      <c r="BC952" s="211"/>
    </row>
    <row r="953" spans="1:55" s="213" customFormat="1" x14ac:dyDescent="0.35">
      <c r="A953" s="211"/>
      <c r="B953" s="211"/>
      <c r="C953" s="211"/>
      <c r="D953" s="211"/>
      <c r="E953" s="211"/>
      <c r="F953" s="211"/>
      <c r="G953" s="211"/>
      <c r="H953" s="211"/>
      <c r="I953" s="212"/>
      <c r="J953" s="212"/>
      <c r="K953" s="212"/>
      <c r="L953" s="212"/>
      <c r="M953" s="212"/>
      <c r="N953" s="212"/>
      <c r="O953" s="212"/>
      <c r="P953" s="211"/>
      <c r="Q953" s="211"/>
      <c r="R953" s="211"/>
      <c r="S953" s="211"/>
      <c r="T953" s="211"/>
      <c r="U953" s="211"/>
      <c r="V953" s="211"/>
      <c r="W953" s="211"/>
      <c r="X953" s="211"/>
      <c r="Y953" s="211"/>
      <c r="Z953" s="211"/>
      <c r="AD953" s="211"/>
      <c r="AE953" s="211"/>
      <c r="AF953" s="211"/>
      <c r="AG953" s="211"/>
      <c r="AH953" s="211"/>
      <c r="AI953" s="211"/>
      <c r="AJ953" s="211"/>
      <c r="AK953" s="211"/>
      <c r="AL953" s="211"/>
      <c r="AM953" s="211"/>
      <c r="AN953" s="211"/>
      <c r="AO953" s="211"/>
      <c r="AP953" s="211"/>
      <c r="AQ953" s="211"/>
      <c r="AR953" s="211"/>
      <c r="AS953" s="211"/>
      <c r="AT953" s="211"/>
      <c r="AU953" s="211"/>
      <c r="AV953" s="211"/>
      <c r="AW953" s="211"/>
      <c r="AX953" s="211"/>
      <c r="AY953" s="211"/>
      <c r="AZ953" s="211"/>
      <c r="BA953" s="211"/>
      <c r="BB953" s="211"/>
      <c r="BC953" s="211"/>
    </row>
    <row r="954" spans="1:55" s="213" customFormat="1" x14ac:dyDescent="0.35">
      <c r="A954" s="211"/>
      <c r="B954" s="211"/>
      <c r="C954" s="211"/>
      <c r="D954" s="211"/>
      <c r="E954" s="211"/>
      <c r="F954" s="211"/>
      <c r="G954" s="211"/>
      <c r="H954" s="211"/>
      <c r="I954" s="212"/>
      <c r="J954" s="212"/>
      <c r="K954" s="212"/>
      <c r="L954" s="212"/>
      <c r="M954" s="212"/>
      <c r="N954" s="212"/>
      <c r="O954" s="212"/>
      <c r="P954" s="211"/>
      <c r="Q954" s="211"/>
      <c r="R954" s="211"/>
      <c r="S954" s="211"/>
      <c r="T954" s="211"/>
      <c r="U954" s="211"/>
      <c r="V954" s="211"/>
      <c r="W954" s="211"/>
      <c r="X954" s="211"/>
      <c r="Y954" s="211"/>
      <c r="Z954" s="211"/>
      <c r="AD954" s="211"/>
      <c r="AE954" s="211"/>
      <c r="AF954" s="211"/>
      <c r="AG954" s="211"/>
      <c r="AH954" s="211"/>
      <c r="AI954" s="211"/>
      <c r="AJ954" s="211"/>
      <c r="AK954" s="211"/>
      <c r="AL954" s="211"/>
      <c r="AM954" s="211"/>
      <c r="AN954" s="211"/>
      <c r="AO954" s="211"/>
      <c r="AP954" s="211"/>
      <c r="AQ954" s="211"/>
      <c r="AR954" s="211"/>
      <c r="AS954" s="211"/>
      <c r="AT954" s="211"/>
      <c r="AU954" s="211"/>
      <c r="AV954" s="211"/>
      <c r="AW954" s="211"/>
      <c r="AX954" s="211"/>
      <c r="AY954" s="211"/>
      <c r="AZ954" s="211"/>
      <c r="BA954" s="211"/>
      <c r="BB954" s="211"/>
      <c r="BC954" s="211"/>
    </row>
    <row r="955" spans="1:55" s="213" customFormat="1" x14ac:dyDescent="0.35">
      <c r="A955" s="211"/>
      <c r="B955" s="211"/>
      <c r="C955" s="211"/>
      <c r="D955" s="211"/>
      <c r="E955" s="211"/>
      <c r="F955" s="211"/>
      <c r="G955" s="211"/>
      <c r="H955" s="211"/>
      <c r="I955" s="212"/>
      <c r="J955" s="212"/>
      <c r="K955" s="212"/>
      <c r="L955" s="212"/>
      <c r="M955" s="212"/>
      <c r="N955" s="212"/>
      <c r="O955" s="212"/>
      <c r="P955" s="211"/>
      <c r="Q955" s="211"/>
      <c r="R955" s="211"/>
      <c r="S955" s="211"/>
      <c r="T955" s="211"/>
      <c r="U955" s="211"/>
      <c r="V955" s="211"/>
      <c r="W955" s="211"/>
      <c r="X955" s="211"/>
      <c r="Y955" s="211"/>
      <c r="Z955" s="211"/>
      <c r="AD955" s="211"/>
      <c r="AE955" s="211"/>
      <c r="AF955" s="211"/>
      <c r="AG955" s="211"/>
      <c r="AH955" s="211"/>
      <c r="AI955" s="211"/>
      <c r="AJ955" s="211"/>
      <c r="AK955" s="211"/>
      <c r="AL955" s="211"/>
      <c r="AM955" s="211"/>
      <c r="AN955" s="211"/>
      <c r="AO955" s="211"/>
      <c r="AP955" s="211"/>
      <c r="AQ955" s="211"/>
      <c r="AR955" s="211"/>
      <c r="AS955" s="211"/>
      <c r="AT955" s="211"/>
      <c r="AU955" s="211"/>
      <c r="AV955" s="211"/>
      <c r="AW955" s="211"/>
      <c r="AX955" s="211"/>
      <c r="AY955" s="211"/>
      <c r="AZ955" s="211"/>
      <c r="BA955" s="211"/>
      <c r="BB955" s="211"/>
      <c r="BC955" s="211"/>
    </row>
    <row r="956" spans="1:55" s="213" customFormat="1" x14ac:dyDescent="0.35">
      <c r="A956" s="211"/>
      <c r="B956" s="211"/>
      <c r="C956" s="211"/>
      <c r="D956" s="211"/>
      <c r="E956" s="211"/>
      <c r="F956" s="211"/>
      <c r="G956" s="211"/>
      <c r="H956" s="211"/>
      <c r="I956" s="212"/>
      <c r="J956" s="212"/>
      <c r="K956" s="212"/>
      <c r="L956" s="212"/>
      <c r="M956" s="212"/>
      <c r="N956" s="212"/>
      <c r="O956" s="212"/>
      <c r="P956" s="211"/>
      <c r="Q956" s="211"/>
      <c r="R956" s="211"/>
      <c r="S956" s="211"/>
      <c r="T956" s="211"/>
      <c r="U956" s="211"/>
      <c r="V956" s="211"/>
      <c r="W956" s="211"/>
      <c r="X956" s="211"/>
      <c r="Y956" s="211"/>
      <c r="Z956" s="211"/>
      <c r="AD956" s="211"/>
      <c r="AE956" s="211"/>
      <c r="AF956" s="211"/>
      <c r="AG956" s="211"/>
      <c r="AH956" s="211"/>
      <c r="AI956" s="211"/>
      <c r="AJ956" s="211"/>
      <c r="AK956" s="211"/>
      <c r="AL956" s="211"/>
      <c r="AM956" s="211"/>
      <c r="AN956" s="211"/>
      <c r="AO956" s="211"/>
      <c r="AP956" s="211"/>
      <c r="AQ956" s="211"/>
      <c r="AR956" s="211"/>
      <c r="AS956" s="211"/>
      <c r="AT956" s="211"/>
      <c r="AU956" s="211"/>
      <c r="AV956" s="211"/>
      <c r="AW956" s="211"/>
      <c r="AX956" s="211"/>
      <c r="AY956" s="211"/>
      <c r="AZ956" s="211"/>
      <c r="BA956" s="211"/>
      <c r="BB956" s="211"/>
      <c r="BC956" s="211"/>
    </row>
    <row r="957" spans="1:55" s="213" customFormat="1" x14ac:dyDescent="0.35">
      <c r="A957" s="211"/>
      <c r="B957" s="211"/>
      <c r="C957" s="211"/>
      <c r="D957" s="211"/>
      <c r="E957" s="211"/>
      <c r="F957" s="211"/>
      <c r="G957" s="211"/>
      <c r="H957" s="211"/>
      <c r="I957" s="212"/>
      <c r="J957" s="212"/>
      <c r="K957" s="212"/>
      <c r="L957" s="212"/>
      <c r="M957" s="212"/>
      <c r="N957" s="212"/>
      <c r="O957" s="212"/>
      <c r="P957" s="211"/>
      <c r="Q957" s="211"/>
      <c r="R957" s="211"/>
      <c r="S957" s="211"/>
      <c r="T957" s="211"/>
      <c r="U957" s="211"/>
      <c r="V957" s="211"/>
      <c r="W957" s="211"/>
      <c r="X957" s="211"/>
      <c r="Y957" s="211"/>
      <c r="Z957" s="211"/>
      <c r="AD957" s="211"/>
      <c r="AE957" s="211"/>
      <c r="AF957" s="211"/>
      <c r="AG957" s="211"/>
      <c r="AH957" s="211"/>
      <c r="AI957" s="211"/>
      <c r="AJ957" s="211"/>
      <c r="AK957" s="211"/>
      <c r="AL957" s="211"/>
      <c r="AM957" s="211"/>
      <c r="AN957" s="211"/>
      <c r="AO957" s="211"/>
      <c r="AP957" s="211"/>
      <c r="AQ957" s="211"/>
      <c r="AR957" s="211"/>
      <c r="AS957" s="211"/>
      <c r="AT957" s="211"/>
      <c r="AU957" s="211"/>
      <c r="AV957" s="211"/>
      <c r="AW957" s="211"/>
      <c r="AX957" s="211"/>
      <c r="AY957" s="211"/>
      <c r="AZ957" s="211"/>
      <c r="BA957" s="211"/>
      <c r="BB957" s="211"/>
      <c r="BC957" s="211"/>
    </row>
    <row r="958" spans="1:55" s="213" customFormat="1" x14ac:dyDescent="0.35">
      <c r="A958" s="211"/>
      <c r="B958" s="211"/>
      <c r="C958" s="211"/>
      <c r="D958" s="211"/>
      <c r="E958" s="211"/>
      <c r="F958" s="211"/>
      <c r="G958" s="211"/>
      <c r="H958" s="211"/>
      <c r="I958" s="212"/>
      <c r="J958" s="212"/>
      <c r="K958" s="212"/>
      <c r="L958" s="212"/>
      <c r="M958" s="212"/>
      <c r="N958" s="212"/>
      <c r="O958" s="212"/>
      <c r="P958" s="211"/>
      <c r="Q958" s="211"/>
      <c r="R958" s="211"/>
      <c r="S958" s="211"/>
      <c r="T958" s="211"/>
      <c r="U958" s="211"/>
      <c r="V958" s="211"/>
      <c r="W958" s="211"/>
      <c r="X958" s="211"/>
      <c r="Y958" s="211"/>
      <c r="Z958" s="211"/>
      <c r="AD958" s="211"/>
      <c r="AE958" s="211"/>
      <c r="AF958" s="211"/>
      <c r="AG958" s="211"/>
      <c r="AH958" s="211"/>
      <c r="AI958" s="211"/>
      <c r="AJ958" s="211"/>
      <c r="AK958" s="211"/>
      <c r="AL958" s="211"/>
      <c r="AM958" s="211"/>
      <c r="AN958" s="211"/>
      <c r="AO958" s="211"/>
      <c r="AP958" s="211"/>
      <c r="AQ958" s="211"/>
      <c r="AR958" s="211"/>
      <c r="AS958" s="211"/>
      <c r="AT958" s="211"/>
      <c r="AU958" s="211"/>
      <c r="AV958" s="211"/>
      <c r="AW958" s="211"/>
      <c r="AX958" s="211"/>
      <c r="AY958" s="211"/>
      <c r="AZ958" s="211"/>
      <c r="BA958" s="211"/>
      <c r="BB958" s="211"/>
      <c r="BC958" s="211"/>
    </row>
    <row r="959" spans="1:55" s="213" customFormat="1" x14ac:dyDescent="0.35">
      <c r="A959" s="211"/>
      <c r="B959" s="211"/>
      <c r="C959" s="211"/>
      <c r="D959" s="211"/>
      <c r="E959" s="211"/>
      <c r="F959" s="211"/>
      <c r="G959" s="211"/>
      <c r="H959" s="211"/>
      <c r="I959" s="212"/>
      <c r="J959" s="212"/>
      <c r="K959" s="212"/>
      <c r="L959" s="212"/>
      <c r="M959" s="212"/>
      <c r="N959" s="212"/>
      <c r="O959" s="212"/>
      <c r="P959" s="211"/>
      <c r="Q959" s="211"/>
      <c r="R959" s="211"/>
      <c r="S959" s="211"/>
      <c r="T959" s="211"/>
      <c r="U959" s="211"/>
      <c r="V959" s="211"/>
      <c r="W959" s="211"/>
      <c r="X959" s="211"/>
      <c r="Y959" s="211"/>
      <c r="Z959" s="211"/>
      <c r="AD959" s="211"/>
      <c r="AE959" s="211"/>
      <c r="AF959" s="211"/>
      <c r="AG959" s="211"/>
      <c r="AH959" s="211"/>
      <c r="AI959" s="211"/>
      <c r="AJ959" s="211"/>
      <c r="AK959" s="211"/>
      <c r="AL959" s="211"/>
      <c r="AM959" s="211"/>
      <c r="AN959" s="211"/>
      <c r="AO959" s="211"/>
      <c r="AP959" s="211"/>
      <c r="AQ959" s="211"/>
      <c r="AR959" s="211"/>
      <c r="AS959" s="211"/>
      <c r="AT959" s="211"/>
      <c r="AU959" s="211"/>
      <c r="AV959" s="211"/>
      <c r="AW959" s="211"/>
      <c r="AX959" s="211"/>
      <c r="AY959" s="211"/>
      <c r="AZ959" s="211"/>
      <c r="BA959" s="211"/>
      <c r="BB959" s="211"/>
      <c r="BC959" s="211"/>
    </row>
    <row r="960" spans="1:55" s="213" customFormat="1" x14ac:dyDescent="0.35">
      <c r="A960" s="211"/>
      <c r="B960" s="211"/>
      <c r="C960" s="211"/>
      <c r="D960" s="211"/>
      <c r="E960" s="211"/>
      <c r="F960" s="211"/>
      <c r="G960" s="211"/>
      <c r="H960" s="211"/>
      <c r="I960" s="212"/>
      <c r="J960" s="212"/>
      <c r="K960" s="212"/>
      <c r="L960" s="212"/>
      <c r="M960" s="212"/>
      <c r="N960" s="212"/>
      <c r="O960" s="212"/>
      <c r="P960" s="211"/>
      <c r="Q960" s="211"/>
      <c r="R960" s="211"/>
      <c r="S960" s="211"/>
      <c r="T960" s="211"/>
      <c r="U960" s="211"/>
      <c r="V960" s="211"/>
      <c r="W960" s="211"/>
      <c r="X960" s="211"/>
      <c r="Y960" s="211"/>
      <c r="Z960" s="211"/>
      <c r="AD960" s="211"/>
      <c r="AE960" s="211"/>
      <c r="AF960" s="211"/>
      <c r="AG960" s="211"/>
      <c r="AH960" s="211"/>
      <c r="AI960" s="211"/>
      <c r="AJ960" s="211"/>
      <c r="AK960" s="211"/>
      <c r="AL960" s="211"/>
      <c r="AM960" s="211"/>
      <c r="AN960" s="211"/>
      <c r="AO960" s="211"/>
      <c r="AP960" s="211"/>
      <c r="AQ960" s="211"/>
      <c r="AR960" s="211"/>
      <c r="AS960" s="211"/>
      <c r="AT960" s="211"/>
      <c r="AU960" s="211"/>
      <c r="AV960" s="211"/>
      <c r="AW960" s="211"/>
      <c r="AX960" s="211"/>
      <c r="AY960" s="211"/>
      <c r="AZ960" s="211"/>
      <c r="BA960" s="211"/>
      <c r="BB960" s="211"/>
      <c r="BC960" s="211"/>
    </row>
    <row r="961" spans="1:55" s="213" customFormat="1" x14ac:dyDescent="0.35">
      <c r="A961" s="211"/>
      <c r="B961" s="211"/>
      <c r="C961" s="211"/>
      <c r="D961" s="211"/>
      <c r="E961" s="211"/>
      <c r="F961" s="211"/>
      <c r="G961" s="211"/>
      <c r="H961" s="211"/>
      <c r="I961" s="212"/>
      <c r="J961" s="212"/>
      <c r="K961" s="212"/>
      <c r="L961" s="212"/>
      <c r="M961" s="212"/>
      <c r="N961" s="212"/>
      <c r="O961" s="212"/>
      <c r="P961" s="211"/>
      <c r="Q961" s="211"/>
      <c r="R961" s="211"/>
      <c r="S961" s="211"/>
      <c r="T961" s="211"/>
      <c r="U961" s="211"/>
      <c r="V961" s="211"/>
      <c r="W961" s="211"/>
      <c r="X961" s="211"/>
      <c r="Y961" s="211"/>
      <c r="Z961" s="211"/>
      <c r="AD961" s="211"/>
      <c r="AE961" s="211"/>
      <c r="AF961" s="211"/>
      <c r="AG961" s="211"/>
      <c r="AH961" s="211"/>
      <c r="AI961" s="211"/>
      <c r="AJ961" s="211"/>
      <c r="AK961" s="211"/>
      <c r="AL961" s="211"/>
      <c r="AM961" s="211"/>
      <c r="AN961" s="211"/>
      <c r="AO961" s="211"/>
      <c r="AP961" s="211"/>
      <c r="AQ961" s="211"/>
      <c r="AR961" s="211"/>
      <c r="AS961" s="211"/>
      <c r="AT961" s="211"/>
      <c r="AU961" s="211"/>
      <c r="AV961" s="211"/>
      <c r="AW961" s="211"/>
      <c r="AX961" s="211"/>
      <c r="AY961" s="211"/>
      <c r="AZ961" s="211"/>
      <c r="BA961" s="211"/>
      <c r="BB961" s="211"/>
      <c r="BC961" s="211"/>
    </row>
    <row r="962" spans="1:55" s="213" customFormat="1" x14ac:dyDescent="0.35">
      <c r="A962" s="211"/>
      <c r="B962" s="211"/>
      <c r="C962" s="211"/>
      <c r="D962" s="211"/>
      <c r="E962" s="211"/>
      <c r="F962" s="211"/>
      <c r="G962" s="211"/>
      <c r="H962" s="211"/>
      <c r="I962" s="212"/>
      <c r="J962" s="212"/>
      <c r="K962" s="212"/>
      <c r="L962" s="212"/>
      <c r="M962" s="212"/>
      <c r="N962" s="212"/>
      <c r="O962" s="212"/>
      <c r="P962" s="211"/>
      <c r="Q962" s="211"/>
      <c r="R962" s="211"/>
      <c r="S962" s="211"/>
      <c r="T962" s="211"/>
      <c r="U962" s="211"/>
      <c r="V962" s="211"/>
      <c r="W962" s="211"/>
      <c r="X962" s="211"/>
      <c r="Y962" s="211"/>
      <c r="Z962" s="211"/>
      <c r="AD962" s="211"/>
      <c r="AE962" s="211"/>
      <c r="AF962" s="211"/>
      <c r="AG962" s="211"/>
      <c r="AH962" s="211"/>
      <c r="AI962" s="211"/>
      <c r="AJ962" s="211"/>
      <c r="AK962" s="211"/>
      <c r="AL962" s="211"/>
      <c r="AM962" s="211"/>
      <c r="AN962" s="211"/>
      <c r="AO962" s="211"/>
      <c r="AP962" s="211"/>
      <c r="AQ962" s="211"/>
      <c r="AR962" s="211"/>
      <c r="AS962" s="211"/>
      <c r="AT962" s="211"/>
      <c r="AU962" s="211"/>
      <c r="AV962" s="211"/>
      <c r="AW962" s="211"/>
      <c r="AX962" s="211"/>
      <c r="AY962" s="211"/>
      <c r="AZ962" s="211"/>
      <c r="BA962" s="211"/>
      <c r="BB962" s="211"/>
      <c r="BC962" s="211"/>
    </row>
    <row r="963" spans="1:55" s="213" customFormat="1" x14ac:dyDescent="0.35">
      <c r="A963" s="211"/>
      <c r="B963" s="211"/>
      <c r="C963" s="211"/>
      <c r="D963" s="211"/>
      <c r="E963" s="211"/>
      <c r="F963" s="211"/>
      <c r="G963" s="211"/>
      <c r="H963" s="211"/>
      <c r="I963" s="212"/>
      <c r="J963" s="212"/>
      <c r="K963" s="212"/>
      <c r="L963" s="212"/>
      <c r="M963" s="212"/>
      <c r="N963" s="212"/>
      <c r="O963" s="212"/>
      <c r="P963" s="211"/>
      <c r="Q963" s="211"/>
      <c r="R963" s="211"/>
      <c r="S963" s="211"/>
      <c r="T963" s="211"/>
      <c r="U963" s="211"/>
      <c r="V963" s="211"/>
      <c r="W963" s="211"/>
      <c r="X963" s="211"/>
      <c r="Y963" s="211"/>
      <c r="Z963" s="211"/>
      <c r="AD963" s="211"/>
      <c r="AE963" s="211"/>
      <c r="AF963" s="211"/>
      <c r="AG963" s="211"/>
      <c r="AH963" s="211"/>
      <c r="AI963" s="211"/>
      <c r="AJ963" s="211"/>
      <c r="AK963" s="211"/>
      <c r="AL963" s="211"/>
      <c r="AM963" s="211"/>
      <c r="AN963" s="211"/>
      <c r="AO963" s="211"/>
      <c r="AP963" s="211"/>
      <c r="AQ963" s="211"/>
      <c r="AR963" s="211"/>
      <c r="AS963" s="211"/>
      <c r="AT963" s="211"/>
      <c r="AU963" s="211"/>
      <c r="AV963" s="211"/>
      <c r="AW963" s="211"/>
      <c r="AX963" s="211"/>
      <c r="AY963" s="211"/>
      <c r="AZ963" s="211"/>
      <c r="BA963" s="211"/>
      <c r="BB963" s="211"/>
      <c r="BC963" s="211"/>
    </row>
    <row r="964" spans="1:55" s="213" customFormat="1" x14ac:dyDescent="0.35">
      <c r="A964" s="211"/>
      <c r="B964" s="211"/>
      <c r="C964" s="211"/>
      <c r="D964" s="211"/>
      <c r="E964" s="211"/>
      <c r="F964" s="211"/>
      <c r="G964" s="211"/>
      <c r="H964" s="211"/>
      <c r="I964" s="212"/>
      <c r="J964" s="212"/>
      <c r="K964" s="212"/>
      <c r="L964" s="212"/>
      <c r="M964" s="212"/>
      <c r="N964" s="212"/>
      <c r="O964" s="212"/>
      <c r="P964" s="211"/>
      <c r="Q964" s="211"/>
      <c r="R964" s="211"/>
      <c r="S964" s="211"/>
      <c r="T964" s="211"/>
      <c r="U964" s="211"/>
      <c r="V964" s="211"/>
      <c r="W964" s="211"/>
      <c r="X964" s="211"/>
      <c r="Y964" s="211"/>
      <c r="Z964" s="211"/>
      <c r="AD964" s="211"/>
      <c r="AE964" s="211"/>
      <c r="AF964" s="211"/>
      <c r="AG964" s="211"/>
      <c r="AH964" s="211"/>
      <c r="AI964" s="211"/>
      <c r="AJ964" s="211"/>
      <c r="AK964" s="211"/>
      <c r="AL964" s="211"/>
      <c r="AM964" s="211"/>
      <c r="AN964" s="211"/>
      <c r="AO964" s="211"/>
      <c r="AP964" s="211"/>
      <c r="AQ964" s="211"/>
      <c r="AR964" s="211"/>
      <c r="AS964" s="211"/>
      <c r="AT964" s="211"/>
      <c r="AU964" s="211"/>
      <c r="AV964" s="211"/>
      <c r="AW964" s="211"/>
      <c r="AX964" s="211"/>
      <c r="AY964" s="211"/>
      <c r="AZ964" s="211"/>
      <c r="BA964" s="211"/>
      <c r="BB964" s="211"/>
      <c r="BC964" s="211"/>
    </row>
    <row r="965" spans="1:55" s="213" customFormat="1" x14ac:dyDescent="0.35">
      <c r="A965" s="211"/>
      <c r="B965" s="211"/>
      <c r="C965" s="211"/>
      <c r="D965" s="211"/>
      <c r="E965" s="211"/>
      <c r="F965" s="211"/>
      <c r="G965" s="211"/>
      <c r="H965" s="211"/>
      <c r="I965" s="212"/>
      <c r="J965" s="212"/>
      <c r="K965" s="212"/>
      <c r="L965" s="212"/>
      <c r="M965" s="212"/>
      <c r="N965" s="212"/>
      <c r="O965" s="212"/>
      <c r="P965" s="211"/>
      <c r="Q965" s="211"/>
      <c r="R965" s="211"/>
      <c r="S965" s="211"/>
      <c r="T965" s="211"/>
      <c r="U965" s="211"/>
      <c r="V965" s="211"/>
      <c r="W965" s="211"/>
      <c r="X965" s="211"/>
      <c r="Y965" s="211"/>
      <c r="Z965" s="211"/>
      <c r="AD965" s="211"/>
      <c r="AE965" s="211"/>
      <c r="AF965" s="211"/>
      <c r="AG965" s="211"/>
      <c r="AH965" s="211"/>
      <c r="AI965" s="211"/>
      <c r="AJ965" s="211"/>
      <c r="AK965" s="211"/>
      <c r="AL965" s="211"/>
      <c r="AM965" s="211"/>
      <c r="AN965" s="211"/>
      <c r="AO965" s="211"/>
      <c r="AP965" s="211"/>
      <c r="AQ965" s="211"/>
      <c r="AR965" s="211"/>
      <c r="AS965" s="211"/>
      <c r="AT965" s="211"/>
      <c r="AU965" s="211"/>
      <c r="AV965" s="211"/>
      <c r="AW965" s="211"/>
      <c r="AX965" s="211"/>
      <c r="AY965" s="211"/>
      <c r="AZ965" s="211"/>
      <c r="BA965" s="211"/>
      <c r="BB965" s="211"/>
      <c r="BC965" s="211"/>
    </row>
    <row r="966" spans="1:55" s="213" customFormat="1" x14ac:dyDescent="0.35">
      <c r="A966" s="211"/>
      <c r="B966" s="211"/>
      <c r="C966" s="211"/>
      <c r="D966" s="211"/>
      <c r="E966" s="211"/>
      <c r="F966" s="211"/>
      <c r="G966" s="211"/>
      <c r="H966" s="211"/>
      <c r="I966" s="212"/>
      <c r="J966" s="212"/>
      <c r="K966" s="212"/>
      <c r="L966" s="212"/>
      <c r="M966" s="212"/>
      <c r="N966" s="212"/>
      <c r="O966" s="212"/>
      <c r="P966" s="211"/>
      <c r="Q966" s="211"/>
      <c r="R966" s="211"/>
      <c r="S966" s="211"/>
      <c r="T966" s="211"/>
      <c r="U966" s="211"/>
      <c r="V966" s="211"/>
      <c r="W966" s="211"/>
      <c r="X966" s="211"/>
      <c r="Y966" s="211"/>
      <c r="Z966" s="211"/>
      <c r="AD966" s="211"/>
      <c r="AE966" s="211"/>
      <c r="AF966" s="211"/>
      <c r="AG966" s="211"/>
      <c r="AH966" s="211"/>
      <c r="AI966" s="211"/>
      <c r="AJ966" s="211"/>
      <c r="AK966" s="211"/>
      <c r="AL966" s="211"/>
      <c r="AM966" s="211"/>
      <c r="AN966" s="211"/>
      <c r="AO966" s="211"/>
      <c r="AP966" s="211"/>
      <c r="AQ966" s="211"/>
      <c r="AR966" s="211"/>
      <c r="AS966" s="211"/>
      <c r="AT966" s="211"/>
      <c r="AU966" s="211"/>
      <c r="AV966" s="211"/>
      <c r="AW966" s="211"/>
      <c r="AX966" s="211"/>
      <c r="AY966" s="211"/>
      <c r="AZ966" s="211"/>
      <c r="BA966" s="211"/>
      <c r="BB966" s="211"/>
      <c r="BC966" s="211"/>
    </row>
    <row r="967" spans="1:55" s="213" customFormat="1" x14ac:dyDescent="0.35">
      <c r="A967" s="211"/>
      <c r="B967" s="211"/>
      <c r="C967" s="211"/>
      <c r="D967" s="211"/>
      <c r="E967" s="211"/>
      <c r="F967" s="211"/>
      <c r="G967" s="211"/>
      <c r="H967" s="211"/>
      <c r="I967" s="212"/>
      <c r="J967" s="212"/>
      <c r="K967" s="212"/>
      <c r="L967" s="212"/>
      <c r="M967" s="212"/>
      <c r="N967" s="212"/>
      <c r="O967" s="212"/>
      <c r="P967" s="211"/>
      <c r="Q967" s="211"/>
      <c r="R967" s="211"/>
      <c r="S967" s="211"/>
      <c r="T967" s="211"/>
      <c r="U967" s="211"/>
      <c r="V967" s="211"/>
      <c r="W967" s="211"/>
      <c r="X967" s="211"/>
      <c r="Y967" s="211"/>
      <c r="Z967" s="211"/>
      <c r="AD967" s="211"/>
      <c r="AE967" s="211"/>
      <c r="AF967" s="211"/>
      <c r="AG967" s="211"/>
      <c r="AH967" s="211"/>
      <c r="AI967" s="211"/>
      <c r="AJ967" s="211"/>
      <c r="AK967" s="211"/>
      <c r="AL967" s="211"/>
      <c r="AM967" s="211"/>
      <c r="AN967" s="211"/>
      <c r="AO967" s="211"/>
      <c r="AP967" s="211"/>
      <c r="AQ967" s="211"/>
      <c r="AR967" s="211"/>
      <c r="AS967" s="211"/>
      <c r="AT967" s="211"/>
      <c r="AU967" s="211"/>
      <c r="AV967" s="211"/>
      <c r="AW967" s="211"/>
      <c r="AX967" s="211"/>
      <c r="AY967" s="211"/>
      <c r="AZ967" s="211"/>
      <c r="BA967" s="211"/>
      <c r="BB967" s="211"/>
      <c r="BC967" s="211"/>
    </row>
    <row r="968" spans="1:55" s="213" customFormat="1" x14ac:dyDescent="0.35">
      <c r="A968" s="211"/>
      <c r="B968" s="211"/>
      <c r="C968" s="211"/>
      <c r="D968" s="211"/>
      <c r="E968" s="211"/>
      <c r="F968" s="211"/>
      <c r="G968" s="211"/>
      <c r="H968" s="211"/>
      <c r="I968" s="212"/>
      <c r="J968" s="212"/>
      <c r="K968" s="212"/>
      <c r="L968" s="212"/>
      <c r="M968" s="212"/>
      <c r="N968" s="212"/>
      <c r="O968" s="212"/>
      <c r="P968" s="211"/>
      <c r="Q968" s="211"/>
      <c r="R968" s="211"/>
      <c r="S968" s="211"/>
      <c r="T968" s="211"/>
      <c r="U968" s="211"/>
      <c r="V968" s="211"/>
      <c r="W968" s="211"/>
      <c r="X968" s="211"/>
      <c r="Y968" s="211"/>
      <c r="Z968" s="211"/>
      <c r="AD968" s="211"/>
      <c r="AE968" s="211"/>
      <c r="AF968" s="211"/>
      <c r="AG968" s="211"/>
      <c r="AH968" s="211"/>
      <c r="AI968" s="211"/>
      <c r="AJ968" s="211"/>
      <c r="AK968" s="211"/>
      <c r="AL968" s="211"/>
      <c r="AM968" s="211"/>
      <c r="AN968" s="211"/>
      <c r="AO968" s="211"/>
      <c r="AP968" s="211"/>
      <c r="AQ968" s="211"/>
      <c r="AR968" s="211"/>
      <c r="AS968" s="211"/>
      <c r="AT968" s="211"/>
      <c r="AU968" s="211"/>
      <c r="AV968" s="211"/>
      <c r="AW968" s="211"/>
      <c r="AX968" s="211"/>
      <c r="AY968" s="211"/>
      <c r="AZ968" s="211"/>
      <c r="BA968" s="211"/>
      <c r="BB968" s="211"/>
      <c r="BC968" s="211"/>
    </row>
    <row r="969" spans="1:55" s="213" customFormat="1" x14ac:dyDescent="0.35">
      <c r="A969" s="211"/>
      <c r="B969" s="211"/>
      <c r="C969" s="211"/>
      <c r="D969" s="211"/>
      <c r="E969" s="211"/>
      <c r="F969" s="211"/>
      <c r="G969" s="211"/>
      <c r="H969" s="211"/>
      <c r="I969" s="212"/>
      <c r="J969" s="212"/>
      <c r="K969" s="212"/>
      <c r="L969" s="212"/>
      <c r="M969" s="212"/>
      <c r="N969" s="212"/>
      <c r="O969" s="212"/>
      <c r="P969" s="211"/>
      <c r="Q969" s="211"/>
      <c r="R969" s="211"/>
      <c r="S969" s="211"/>
      <c r="T969" s="211"/>
      <c r="U969" s="211"/>
      <c r="V969" s="211"/>
      <c r="W969" s="211"/>
      <c r="X969" s="211"/>
      <c r="Y969" s="211"/>
      <c r="Z969" s="211"/>
      <c r="AD969" s="211"/>
      <c r="AE969" s="211"/>
      <c r="AF969" s="211"/>
      <c r="AG969" s="211"/>
      <c r="AH969" s="211"/>
      <c r="AI969" s="211"/>
      <c r="AJ969" s="211"/>
      <c r="AK969" s="211"/>
      <c r="AL969" s="211"/>
      <c r="AM969" s="211"/>
      <c r="AN969" s="211"/>
      <c r="AO969" s="211"/>
      <c r="AP969" s="211"/>
      <c r="AQ969" s="211"/>
      <c r="AR969" s="211"/>
      <c r="AS969" s="211"/>
      <c r="AT969" s="211"/>
      <c r="AU969" s="211"/>
      <c r="AV969" s="211"/>
      <c r="AW969" s="211"/>
      <c r="AX969" s="211"/>
      <c r="AY969" s="211"/>
      <c r="AZ969" s="211"/>
      <c r="BA969" s="211"/>
      <c r="BB969" s="211"/>
      <c r="BC969" s="211"/>
    </row>
    <row r="970" spans="1:55" s="213" customFormat="1" x14ac:dyDescent="0.35">
      <c r="A970" s="211"/>
      <c r="B970" s="211"/>
      <c r="C970" s="211"/>
      <c r="D970" s="211"/>
      <c r="E970" s="211"/>
      <c r="F970" s="211"/>
      <c r="G970" s="211"/>
      <c r="H970" s="211"/>
      <c r="I970" s="212"/>
      <c r="J970" s="212"/>
      <c r="K970" s="212"/>
      <c r="L970" s="212"/>
      <c r="M970" s="212"/>
      <c r="N970" s="212"/>
      <c r="O970" s="212"/>
      <c r="P970" s="211"/>
      <c r="Q970" s="211"/>
      <c r="R970" s="211"/>
      <c r="S970" s="211"/>
      <c r="T970" s="211"/>
      <c r="U970" s="211"/>
      <c r="V970" s="211"/>
      <c r="W970" s="211"/>
      <c r="X970" s="211"/>
      <c r="Y970" s="211"/>
      <c r="Z970" s="211"/>
      <c r="AD970" s="211"/>
      <c r="AE970" s="211"/>
      <c r="AF970" s="211"/>
      <c r="AG970" s="211"/>
      <c r="AH970" s="211"/>
      <c r="AI970" s="211"/>
      <c r="AJ970" s="211"/>
      <c r="AK970" s="211"/>
      <c r="AL970" s="211"/>
      <c r="AM970" s="211"/>
      <c r="AN970" s="211"/>
      <c r="AO970" s="211"/>
      <c r="AP970" s="211"/>
      <c r="AQ970" s="211"/>
      <c r="AR970" s="211"/>
      <c r="AS970" s="211"/>
      <c r="AT970" s="211"/>
      <c r="AU970" s="211"/>
      <c r="AV970" s="211"/>
      <c r="AW970" s="211"/>
      <c r="AX970" s="211"/>
      <c r="AY970" s="211"/>
      <c r="AZ970" s="211"/>
      <c r="BA970" s="211"/>
      <c r="BB970" s="211"/>
      <c r="BC970" s="211"/>
    </row>
    <row r="971" spans="1:55" s="213" customFormat="1" x14ac:dyDescent="0.35">
      <c r="A971" s="211"/>
      <c r="B971" s="211"/>
      <c r="C971" s="211"/>
      <c r="D971" s="211"/>
      <c r="E971" s="211"/>
      <c r="F971" s="211"/>
      <c r="G971" s="211"/>
      <c r="H971" s="211"/>
      <c r="I971" s="212"/>
      <c r="J971" s="212"/>
      <c r="K971" s="212"/>
      <c r="L971" s="212"/>
      <c r="M971" s="212"/>
      <c r="N971" s="212"/>
      <c r="O971" s="212"/>
      <c r="P971" s="211"/>
      <c r="Q971" s="211"/>
      <c r="R971" s="211"/>
      <c r="S971" s="211"/>
      <c r="T971" s="211"/>
      <c r="U971" s="211"/>
      <c r="V971" s="211"/>
      <c r="W971" s="211"/>
      <c r="X971" s="211"/>
      <c r="Y971" s="211"/>
      <c r="Z971" s="211"/>
      <c r="AD971" s="211"/>
      <c r="AE971" s="211"/>
      <c r="AF971" s="211"/>
      <c r="AG971" s="211"/>
      <c r="AH971" s="211"/>
      <c r="AI971" s="211"/>
      <c r="AJ971" s="211"/>
      <c r="AK971" s="211"/>
      <c r="AL971" s="211"/>
      <c r="AM971" s="211"/>
      <c r="AN971" s="211"/>
      <c r="AO971" s="211"/>
      <c r="AP971" s="211"/>
      <c r="AQ971" s="211"/>
      <c r="AR971" s="211"/>
      <c r="AS971" s="211"/>
      <c r="AT971" s="211"/>
      <c r="AU971" s="211"/>
      <c r="AV971" s="211"/>
      <c r="AW971" s="211"/>
      <c r="AX971" s="211"/>
      <c r="AY971" s="211"/>
      <c r="AZ971" s="211"/>
      <c r="BA971" s="211"/>
      <c r="BB971" s="211"/>
      <c r="BC971" s="211"/>
    </row>
    <row r="972" spans="1:55" s="213" customFormat="1" x14ac:dyDescent="0.35">
      <c r="A972" s="211"/>
      <c r="B972" s="211"/>
      <c r="C972" s="211"/>
      <c r="D972" s="211"/>
      <c r="E972" s="211"/>
      <c r="F972" s="211"/>
      <c r="G972" s="211"/>
      <c r="H972" s="211"/>
      <c r="I972" s="212"/>
      <c r="J972" s="212"/>
      <c r="K972" s="212"/>
      <c r="L972" s="212"/>
      <c r="M972" s="212"/>
      <c r="N972" s="212"/>
      <c r="O972" s="212"/>
      <c r="P972" s="211"/>
      <c r="Q972" s="211"/>
      <c r="R972" s="211"/>
      <c r="S972" s="211"/>
      <c r="T972" s="211"/>
      <c r="U972" s="211"/>
      <c r="V972" s="211"/>
      <c r="W972" s="211"/>
      <c r="X972" s="211"/>
      <c r="Y972" s="211"/>
      <c r="Z972" s="211"/>
      <c r="AD972" s="211"/>
      <c r="AE972" s="211"/>
      <c r="AF972" s="211"/>
      <c r="AG972" s="211"/>
      <c r="AH972" s="211"/>
      <c r="AI972" s="211"/>
      <c r="AJ972" s="211"/>
      <c r="AK972" s="211"/>
      <c r="AL972" s="211"/>
      <c r="AM972" s="211"/>
      <c r="AN972" s="211"/>
      <c r="AO972" s="211"/>
      <c r="AP972" s="211"/>
      <c r="AQ972" s="211"/>
      <c r="AR972" s="211"/>
      <c r="AS972" s="211"/>
      <c r="AT972" s="211"/>
      <c r="AU972" s="211"/>
      <c r="AV972" s="211"/>
      <c r="AW972" s="211"/>
      <c r="AX972" s="211"/>
      <c r="AY972" s="211"/>
      <c r="AZ972" s="211"/>
      <c r="BA972" s="211"/>
      <c r="BB972" s="211"/>
      <c r="BC972" s="211"/>
    </row>
    <row r="973" spans="1:55" s="213" customFormat="1" x14ac:dyDescent="0.35">
      <c r="A973" s="211"/>
      <c r="B973" s="211"/>
      <c r="C973" s="211"/>
      <c r="D973" s="211"/>
      <c r="E973" s="211"/>
      <c r="F973" s="211"/>
      <c r="G973" s="211"/>
      <c r="H973" s="211"/>
      <c r="I973" s="212"/>
      <c r="J973" s="212"/>
      <c r="K973" s="212"/>
      <c r="L973" s="212"/>
      <c r="M973" s="212"/>
      <c r="N973" s="212"/>
      <c r="O973" s="212"/>
      <c r="P973" s="211"/>
      <c r="Q973" s="211"/>
      <c r="R973" s="211"/>
      <c r="S973" s="211"/>
      <c r="T973" s="211"/>
      <c r="U973" s="211"/>
      <c r="V973" s="211"/>
      <c r="W973" s="211"/>
      <c r="X973" s="211"/>
      <c r="Y973" s="211"/>
      <c r="Z973" s="211"/>
      <c r="AD973" s="211"/>
      <c r="AE973" s="211"/>
      <c r="AF973" s="211"/>
      <c r="AG973" s="211"/>
      <c r="AH973" s="211"/>
      <c r="AI973" s="211"/>
      <c r="AJ973" s="211"/>
      <c r="AK973" s="211"/>
      <c r="AL973" s="211"/>
      <c r="AM973" s="211"/>
      <c r="AN973" s="211"/>
      <c r="AO973" s="211"/>
      <c r="AP973" s="211"/>
      <c r="AQ973" s="211"/>
      <c r="AR973" s="211"/>
      <c r="AS973" s="211"/>
      <c r="AT973" s="211"/>
      <c r="AU973" s="211"/>
      <c r="AV973" s="211"/>
      <c r="AW973" s="211"/>
      <c r="AX973" s="211"/>
      <c r="AY973" s="211"/>
      <c r="AZ973" s="211"/>
      <c r="BA973" s="211"/>
      <c r="BB973" s="211"/>
      <c r="BC973" s="211"/>
    </row>
    <row r="974" spans="1:55" s="213" customFormat="1" x14ac:dyDescent="0.35">
      <c r="A974" s="211"/>
      <c r="B974" s="211"/>
      <c r="C974" s="211"/>
      <c r="D974" s="211"/>
      <c r="E974" s="211"/>
      <c r="F974" s="211"/>
      <c r="G974" s="211"/>
      <c r="H974" s="211"/>
      <c r="I974" s="212"/>
      <c r="J974" s="212"/>
      <c r="K974" s="212"/>
      <c r="L974" s="212"/>
      <c r="M974" s="212"/>
      <c r="N974" s="212"/>
      <c r="O974" s="212"/>
      <c r="P974" s="211"/>
      <c r="Q974" s="211"/>
      <c r="R974" s="211"/>
      <c r="S974" s="211"/>
      <c r="T974" s="211"/>
      <c r="U974" s="211"/>
      <c r="V974" s="211"/>
      <c r="W974" s="211"/>
      <c r="X974" s="211"/>
      <c r="Y974" s="211"/>
      <c r="Z974" s="211"/>
      <c r="AD974" s="211"/>
      <c r="AE974" s="211"/>
      <c r="AF974" s="211"/>
      <c r="AG974" s="211"/>
      <c r="AH974" s="211"/>
      <c r="AI974" s="211"/>
      <c r="AJ974" s="211"/>
      <c r="AK974" s="211"/>
      <c r="AL974" s="211"/>
      <c r="AM974" s="211"/>
      <c r="AN974" s="211"/>
      <c r="AO974" s="211"/>
      <c r="AP974" s="211"/>
      <c r="AQ974" s="211"/>
      <c r="AR974" s="211"/>
      <c r="AS974" s="211"/>
      <c r="AT974" s="211"/>
      <c r="AU974" s="211"/>
      <c r="AV974" s="211"/>
      <c r="AW974" s="211"/>
      <c r="AX974" s="211"/>
      <c r="AY974" s="211"/>
      <c r="AZ974" s="211"/>
      <c r="BA974" s="211"/>
      <c r="BB974" s="211"/>
      <c r="BC974" s="211"/>
    </row>
    <row r="975" spans="1:55" s="213" customFormat="1" x14ac:dyDescent="0.35">
      <c r="A975" s="211"/>
      <c r="B975" s="211"/>
      <c r="C975" s="211"/>
      <c r="D975" s="211"/>
      <c r="E975" s="211"/>
      <c r="F975" s="211"/>
      <c r="G975" s="211"/>
      <c r="H975" s="211"/>
      <c r="I975" s="212"/>
      <c r="J975" s="212"/>
      <c r="K975" s="212"/>
      <c r="L975" s="212"/>
      <c r="M975" s="212"/>
      <c r="N975" s="212"/>
      <c r="O975" s="212"/>
      <c r="P975" s="211"/>
      <c r="Q975" s="211"/>
      <c r="R975" s="211"/>
      <c r="S975" s="211"/>
      <c r="T975" s="211"/>
      <c r="U975" s="211"/>
      <c r="V975" s="211"/>
      <c r="W975" s="211"/>
      <c r="X975" s="211"/>
      <c r="Y975" s="211"/>
      <c r="Z975" s="211"/>
      <c r="AD975" s="211"/>
      <c r="AE975" s="211"/>
      <c r="AF975" s="211"/>
      <c r="AG975" s="211"/>
      <c r="AH975" s="211"/>
      <c r="AI975" s="211"/>
      <c r="AJ975" s="211"/>
      <c r="AK975" s="211"/>
      <c r="AL975" s="211"/>
      <c r="AM975" s="211"/>
      <c r="AN975" s="211"/>
      <c r="AO975" s="211"/>
      <c r="AP975" s="211"/>
      <c r="AQ975" s="211"/>
      <c r="AR975" s="211"/>
      <c r="AS975" s="211"/>
      <c r="AT975" s="211"/>
      <c r="AU975" s="211"/>
      <c r="AV975" s="211"/>
      <c r="AW975" s="211"/>
      <c r="AX975" s="211"/>
      <c r="AY975" s="211"/>
      <c r="AZ975" s="211"/>
      <c r="BA975" s="211"/>
      <c r="BB975" s="211"/>
      <c r="BC975" s="211"/>
    </row>
    <row r="976" spans="1:55" s="213" customFormat="1" x14ac:dyDescent="0.35">
      <c r="A976" s="211"/>
      <c r="B976" s="211"/>
      <c r="C976" s="211"/>
      <c r="D976" s="211"/>
      <c r="E976" s="211"/>
      <c r="F976" s="211"/>
      <c r="G976" s="211"/>
      <c r="H976" s="211"/>
      <c r="I976" s="212"/>
      <c r="J976" s="212"/>
      <c r="K976" s="212"/>
      <c r="L976" s="212"/>
      <c r="M976" s="212"/>
      <c r="N976" s="212"/>
      <c r="O976" s="212"/>
      <c r="P976" s="211"/>
      <c r="Q976" s="211"/>
      <c r="R976" s="211"/>
      <c r="S976" s="211"/>
      <c r="T976" s="211"/>
      <c r="U976" s="211"/>
      <c r="V976" s="211"/>
      <c r="W976" s="211"/>
      <c r="X976" s="211"/>
      <c r="Y976" s="211"/>
      <c r="Z976" s="211"/>
      <c r="AD976" s="211"/>
      <c r="AE976" s="211"/>
      <c r="AF976" s="211"/>
      <c r="AG976" s="211"/>
      <c r="AH976" s="211"/>
      <c r="AI976" s="211"/>
      <c r="AJ976" s="211"/>
      <c r="AK976" s="211"/>
      <c r="AL976" s="211"/>
      <c r="AM976" s="211"/>
      <c r="AN976" s="211"/>
      <c r="AO976" s="211"/>
      <c r="AP976" s="211"/>
      <c r="AQ976" s="211"/>
      <c r="AR976" s="211"/>
      <c r="AS976" s="211"/>
      <c r="AT976" s="211"/>
      <c r="AU976" s="211"/>
      <c r="AV976" s="211"/>
      <c r="AW976" s="211"/>
      <c r="AX976" s="211"/>
      <c r="AY976" s="211"/>
      <c r="AZ976" s="211"/>
      <c r="BA976" s="211"/>
      <c r="BB976" s="211"/>
      <c r="BC976" s="211"/>
    </row>
    <row r="977" spans="1:55" s="213" customFormat="1" x14ac:dyDescent="0.35">
      <c r="A977" s="211"/>
      <c r="B977" s="211"/>
      <c r="C977" s="211"/>
      <c r="D977" s="211"/>
      <c r="E977" s="211"/>
      <c r="F977" s="211"/>
      <c r="G977" s="211"/>
      <c r="H977" s="211"/>
      <c r="I977" s="212"/>
      <c r="J977" s="212"/>
      <c r="K977" s="212"/>
      <c r="L977" s="212"/>
      <c r="M977" s="212"/>
      <c r="N977" s="212"/>
      <c r="O977" s="212"/>
      <c r="P977" s="211"/>
      <c r="Q977" s="211"/>
      <c r="R977" s="211"/>
      <c r="S977" s="211"/>
      <c r="T977" s="211"/>
      <c r="U977" s="211"/>
      <c r="V977" s="211"/>
      <c r="W977" s="211"/>
      <c r="X977" s="211"/>
      <c r="Y977" s="211"/>
      <c r="Z977" s="211"/>
      <c r="AD977" s="211"/>
      <c r="AE977" s="211"/>
      <c r="AF977" s="211"/>
      <c r="AG977" s="211"/>
      <c r="AH977" s="211"/>
      <c r="AI977" s="211"/>
      <c r="AJ977" s="211"/>
      <c r="AK977" s="211"/>
      <c r="AL977" s="211"/>
      <c r="AM977" s="211"/>
      <c r="AN977" s="211"/>
      <c r="AO977" s="211"/>
      <c r="AP977" s="211"/>
      <c r="AQ977" s="211"/>
      <c r="AR977" s="211"/>
      <c r="AS977" s="211"/>
      <c r="AT977" s="211"/>
      <c r="AU977" s="211"/>
      <c r="AV977" s="211"/>
      <c r="AW977" s="211"/>
      <c r="AX977" s="211"/>
      <c r="AY977" s="211"/>
      <c r="AZ977" s="211"/>
      <c r="BA977" s="211"/>
      <c r="BB977" s="211"/>
      <c r="BC977" s="211"/>
    </row>
    <row r="978" spans="1:55" s="213" customFormat="1" x14ac:dyDescent="0.35">
      <c r="A978" s="211"/>
      <c r="B978" s="211"/>
      <c r="C978" s="211"/>
      <c r="D978" s="211"/>
      <c r="E978" s="211"/>
      <c r="F978" s="211"/>
      <c r="G978" s="211"/>
      <c r="H978" s="211"/>
      <c r="I978" s="212"/>
      <c r="J978" s="212"/>
      <c r="K978" s="212"/>
      <c r="L978" s="212"/>
      <c r="M978" s="212"/>
      <c r="N978" s="212"/>
      <c r="O978" s="212"/>
      <c r="P978" s="211"/>
      <c r="Q978" s="211"/>
      <c r="R978" s="211"/>
      <c r="S978" s="211"/>
      <c r="T978" s="211"/>
      <c r="U978" s="211"/>
      <c r="V978" s="211"/>
      <c r="W978" s="211"/>
      <c r="X978" s="211"/>
      <c r="Y978" s="211"/>
      <c r="Z978" s="211"/>
      <c r="AD978" s="211"/>
      <c r="AE978" s="211"/>
      <c r="AF978" s="211"/>
      <c r="AG978" s="211"/>
      <c r="AH978" s="211"/>
      <c r="AI978" s="211"/>
      <c r="AJ978" s="211"/>
      <c r="AK978" s="211"/>
      <c r="AL978" s="211"/>
      <c r="AM978" s="211"/>
      <c r="AN978" s="211"/>
      <c r="AO978" s="211"/>
      <c r="AP978" s="211"/>
      <c r="AQ978" s="211"/>
      <c r="AR978" s="211"/>
      <c r="AS978" s="211"/>
      <c r="AT978" s="211"/>
      <c r="AU978" s="211"/>
      <c r="AV978" s="211"/>
      <c r="AW978" s="211"/>
      <c r="AX978" s="211"/>
      <c r="AY978" s="211"/>
      <c r="AZ978" s="211"/>
      <c r="BA978" s="211"/>
      <c r="BB978" s="211"/>
      <c r="BC978" s="211"/>
    </row>
    <row r="979" spans="1:55" s="213" customFormat="1" x14ac:dyDescent="0.35">
      <c r="A979" s="211"/>
      <c r="B979" s="211"/>
      <c r="C979" s="211"/>
      <c r="D979" s="211"/>
      <c r="E979" s="211"/>
      <c r="F979" s="211"/>
      <c r="G979" s="211"/>
      <c r="H979" s="211"/>
      <c r="I979" s="212"/>
      <c r="J979" s="212"/>
      <c r="K979" s="212"/>
      <c r="L979" s="212"/>
      <c r="M979" s="212"/>
      <c r="N979" s="212"/>
      <c r="O979" s="212"/>
      <c r="P979" s="211"/>
      <c r="Q979" s="211"/>
      <c r="R979" s="211"/>
      <c r="S979" s="211"/>
      <c r="T979" s="211"/>
      <c r="U979" s="211"/>
      <c r="V979" s="211"/>
      <c r="W979" s="211"/>
      <c r="X979" s="211"/>
      <c r="Y979" s="211"/>
      <c r="Z979" s="211"/>
      <c r="AD979" s="211"/>
      <c r="AE979" s="211"/>
      <c r="AF979" s="211"/>
      <c r="AG979" s="211"/>
      <c r="AH979" s="211"/>
      <c r="AI979" s="211"/>
      <c r="AJ979" s="211"/>
      <c r="AK979" s="211"/>
      <c r="AL979" s="211"/>
      <c r="AM979" s="211"/>
      <c r="AN979" s="211"/>
      <c r="AO979" s="211"/>
      <c r="AP979" s="211"/>
      <c r="AQ979" s="211"/>
      <c r="AR979" s="211"/>
      <c r="AS979" s="211"/>
      <c r="AT979" s="211"/>
      <c r="AU979" s="211"/>
      <c r="AV979" s="211"/>
      <c r="AW979" s="211"/>
      <c r="AX979" s="211"/>
      <c r="AY979" s="211"/>
      <c r="AZ979" s="211"/>
      <c r="BA979" s="211"/>
      <c r="BB979" s="211"/>
      <c r="BC979" s="211"/>
    </row>
    <row r="980" spans="1:55" s="213" customFormat="1" x14ac:dyDescent="0.35">
      <c r="A980" s="211"/>
      <c r="B980" s="211"/>
      <c r="C980" s="211"/>
      <c r="D980" s="211"/>
      <c r="E980" s="211"/>
      <c r="F980" s="211"/>
      <c r="G980" s="211"/>
      <c r="H980" s="211"/>
      <c r="I980" s="212"/>
      <c r="J980" s="212"/>
      <c r="K980" s="212"/>
      <c r="L980" s="212"/>
      <c r="M980" s="212"/>
      <c r="N980" s="212"/>
      <c r="O980" s="212"/>
      <c r="P980" s="211"/>
      <c r="Q980" s="211"/>
      <c r="R980" s="211"/>
      <c r="S980" s="211"/>
      <c r="T980" s="211"/>
      <c r="U980" s="211"/>
      <c r="V980" s="211"/>
      <c r="W980" s="211"/>
      <c r="X980" s="211"/>
      <c r="Y980" s="211"/>
      <c r="Z980" s="211"/>
      <c r="AD980" s="211"/>
      <c r="AE980" s="211"/>
      <c r="AF980" s="211"/>
      <c r="AG980" s="211"/>
      <c r="AH980" s="211"/>
      <c r="AI980" s="211"/>
      <c r="AJ980" s="211"/>
      <c r="AK980" s="211"/>
      <c r="AL980" s="211"/>
      <c r="AM980" s="211"/>
      <c r="AN980" s="211"/>
      <c r="AO980" s="211"/>
      <c r="AP980" s="211"/>
      <c r="AQ980" s="211"/>
      <c r="AR980" s="211"/>
      <c r="AS980" s="211"/>
      <c r="AT980" s="211"/>
      <c r="AU980" s="211"/>
      <c r="AV980" s="211"/>
      <c r="AW980" s="211"/>
      <c r="AX980" s="211"/>
      <c r="AY980" s="211"/>
      <c r="AZ980" s="211"/>
      <c r="BA980" s="211"/>
      <c r="BB980" s="211"/>
      <c r="BC980" s="211"/>
    </row>
    <row r="981" spans="1:55" s="213" customFormat="1" x14ac:dyDescent="0.35">
      <c r="A981" s="211"/>
      <c r="B981" s="211"/>
      <c r="C981" s="211"/>
      <c r="D981" s="211"/>
      <c r="E981" s="211"/>
      <c r="F981" s="211"/>
      <c r="G981" s="211"/>
      <c r="H981" s="211"/>
      <c r="I981" s="212"/>
      <c r="J981" s="212"/>
      <c r="K981" s="212"/>
      <c r="L981" s="212"/>
      <c r="M981" s="212"/>
      <c r="N981" s="212"/>
      <c r="O981" s="212"/>
      <c r="P981" s="211"/>
      <c r="Q981" s="211"/>
      <c r="R981" s="211"/>
      <c r="S981" s="211"/>
      <c r="T981" s="211"/>
      <c r="U981" s="211"/>
      <c r="V981" s="211"/>
      <c r="W981" s="211"/>
      <c r="X981" s="211"/>
      <c r="Y981" s="211"/>
      <c r="Z981" s="211"/>
      <c r="AD981" s="211"/>
      <c r="AE981" s="211"/>
      <c r="AF981" s="211"/>
      <c r="AG981" s="211"/>
      <c r="AH981" s="211"/>
      <c r="AI981" s="211"/>
      <c r="AJ981" s="211"/>
      <c r="AK981" s="211"/>
      <c r="AL981" s="211"/>
      <c r="AM981" s="211"/>
      <c r="AN981" s="211"/>
      <c r="AO981" s="211"/>
      <c r="AP981" s="211"/>
      <c r="AQ981" s="211"/>
      <c r="AR981" s="211"/>
      <c r="AS981" s="211"/>
      <c r="AT981" s="211"/>
      <c r="AU981" s="211"/>
      <c r="AV981" s="211"/>
      <c r="AW981" s="211"/>
      <c r="AX981" s="211"/>
      <c r="AY981" s="211"/>
      <c r="AZ981" s="211"/>
      <c r="BA981" s="211"/>
      <c r="BB981" s="211"/>
      <c r="BC981" s="211"/>
    </row>
    <row r="982" spans="1:55" s="213" customFormat="1" x14ac:dyDescent="0.35">
      <c r="A982" s="211"/>
      <c r="B982" s="211"/>
      <c r="C982" s="211"/>
      <c r="D982" s="211"/>
      <c r="E982" s="211"/>
      <c r="F982" s="211"/>
      <c r="G982" s="211"/>
      <c r="H982" s="211"/>
      <c r="I982" s="212"/>
      <c r="J982" s="212"/>
      <c r="K982" s="212"/>
      <c r="L982" s="212"/>
      <c r="M982" s="212"/>
      <c r="N982" s="212"/>
      <c r="O982" s="212"/>
      <c r="P982" s="211"/>
      <c r="Q982" s="211"/>
      <c r="R982" s="211"/>
      <c r="S982" s="211"/>
      <c r="T982" s="211"/>
      <c r="U982" s="211"/>
      <c r="V982" s="211"/>
      <c r="W982" s="211"/>
      <c r="X982" s="211"/>
      <c r="Y982" s="211"/>
      <c r="Z982" s="211"/>
      <c r="AD982" s="211"/>
      <c r="AE982" s="211"/>
      <c r="AF982" s="211"/>
      <c r="AG982" s="211"/>
      <c r="AH982" s="211"/>
      <c r="AI982" s="211"/>
      <c r="AJ982" s="211"/>
      <c r="AK982" s="211"/>
      <c r="AL982" s="211"/>
      <c r="AM982" s="211"/>
      <c r="AN982" s="211"/>
      <c r="AO982" s="211"/>
      <c r="AP982" s="211"/>
      <c r="AQ982" s="211"/>
      <c r="AR982" s="211"/>
      <c r="AS982" s="211"/>
      <c r="AT982" s="211"/>
      <c r="AU982" s="211"/>
      <c r="AV982" s="211"/>
      <c r="AW982" s="211"/>
      <c r="AX982" s="211"/>
      <c r="AY982" s="211"/>
      <c r="AZ982" s="211"/>
      <c r="BA982" s="211"/>
      <c r="BB982" s="211"/>
      <c r="BC982" s="211"/>
    </row>
    <row r="983" spans="1:55" s="213" customFormat="1" x14ac:dyDescent="0.35">
      <c r="A983" s="211"/>
      <c r="B983" s="211"/>
      <c r="C983" s="211"/>
      <c r="D983" s="211"/>
      <c r="E983" s="211"/>
      <c r="F983" s="211"/>
      <c r="G983" s="211"/>
      <c r="H983" s="211"/>
      <c r="I983" s="212"/>
      <c r="J983" s="212"/>
      <c r="K983" s="212"/>
      <c r="L983" s="212"/>
      <c r="M983" s="212"/>
      <c r="N983" s="212"/>
      <c r="O983" s="212"/>
      <c r="P983" s="211"/>
      <c r="Q983" s="211"/>
      <c r="R983" s="211"/>
      <c r="S983" s="211"/>
      <c r="T983" s="211"/>
      <c r="U983" s="211"/>
      <c r="V983" s="211"/>
      <c r="W983" s="211"/>
      <c r="X983" s="211"/>
      <c r="Y983" s="211"/>
      <c r="Z983" s="211"/>
      <c r="AD983" s="211"/>
      <c r="AE983" s="211"/>
      <c r="AF983" s="211"/>
      <c r="AG983" s="211"/>
      <c r="AH983" s="211"/>
      <c r="AI983" s="211"/>
      <c r="AJ983" s="211"/>
      <c r="AK983" s="211"/>
      <c r="AL983" s="211"/>
      <c r="AM983" s="211"/>
      <c r="AN983" s="211"/>
      <c r="AO983" s="211"/>
      <c r="AP983" s="211"/>
      <c r="AQ983" s="211"/>
      <c r="AR983" s="211"/>
      <c r="AS983" s="211"/>
      <c r="AT983" s="211"/>
      <c r="AU983" s="211"/>
      <c r="AV983" s="211"/>
      <c r="AW983" s="211"/>
      <c r="AX983" s="211"/>
      <c r="AY983" s="211"/>
      <c r="AZ983" s="211"/>
      <c r="BA983" s="211"/>
      <c r="BB983" s="211"/>
      <c r="BC983" s="211"/>
    </row>
    <row r="984" spans="1:55" s="213" customFormat="1" x14ac:dyDescent="0.35">
      <c r="A984" s="211"/>
      <c r="B984" s="211"/>
      <c r="C984" s="211"/>
      <c r="D984" s="211"/>
      <c r="E984" s="211"/>
      <c r="F984" s="211"/>
      <c r="G984" s="211"/>
      <c r="H984" s="211"/>
      <c r="I984" s="212"/>
      <c r="J984" s="212"/>
      <c r="K984" s="212"/>
      <c r="L984" s="212"/>
      <c r="M984" s="212"/>
      <c r="N984" s="212"/>
      <c r="O984" s="212"/>
      <c r="P984" s="211"/>
      <c r="Q984" s="211"/>
      <c r="R984" s="211"/>
      <c r="S984" s="211"/>
      <c r="T984" s="211"/>
      <c r="U984" s="211"/>
      <c r="V984" s="211"/>
      <c r="W984" s="211"/>
      <c r="X984" s="211"/>
      <c r="Y984" s="211"/>
      <c r="Z984" s="211"/>
      <c r="AD984" s="211"/>
      <c r="AE984" s="211"/>
      <c r="AF984" s="211"/>
      <c r="AG984" s="211"/>
      <c r="AH984" s="211"/>
      <c r="AI984" s="211"/>
      <c r="AJ984" s="211"/>
      <c r="AK984" s="211"/>
      <c r="AL984" s="211"/>
      <c r="AM984" s="211"/>
      <c r="AN984" s="211"/>
      <c r="AO984" s="211"/>
      <c r="AP984" s="211"/>
      <c r="AQ984" s="211"/>
      <c r="AR984" s="211"/>
      <c r="AS984" s="211"/>
      <c r="AT984" s="211"/>
      <c r="AU984" s="211"/>
      <c r="AV984" s="211"/>
      <c r="AW984" s="211"/>
      <c r="AX984" s="211"/>
      <c r="AY984" s="211"/>
      <c r="AZ984" s="211"/>
      <c r="BA984" s="211"/>
      <c r="BB984" s="211"/>
      <c r="BC984" s="211"/>
    </row>
    <row r="985" spans="1:55" s="213" customFormat="1" x14ac:dyDescent="0.35">
      <c r="A985" s="211"/>
      <c r="B985" s="211"/>
      <c r="C985" s="211"/>
      <c r="D985" s="211"/>
      <c r="E985" s="211"/>
      <c r="F985" s="211"/>
      <c r="G985" s="211"/>
      <c r="H985" s="211"/>
      <c r="I985" s="212"/>
      <c r="J985" s="212"/>
      <c r="K985" s="212"/>
      <c r="L985" s="212"/>
      <c r="M985" s="212"/>
      <c r="N985" s="212"/>
      <c r="O985" s="212"/>
      <c r="P985" s="211"/>
      <c r="Q985" s="211"/>
      <c r="R985" s="211"/>
      <c r="S985" s="211"/>
      <c r="T985" s="211"/>
      <c r="U985" s="211"/>
      <c r="V985" s="211"/>
      <c r="W985" s="211"/>
      <c r="X985" s="211"/>
      <c r="Y985" s="211"/>
      <c r="Z985" s="211"/>
      <c r="AD985" s="211"/>
      <c r="AE985" s="211"/>
      <c r="AF985" s="211"/>
      <c r="AG985" s="211"/>
      <c r="AH985" s="211"/>
      <c r="AI985" s="211"/>
      <c r="AJ985" s="211"/>
      <c r="AK985" s="211"/>
      <c r="AL985" s="211"/>
      <c r="AM985" s="211"/>
      <c r="AN985" s="211"/>
      <c r="AO985" s="211"/>
      <c r="AP985" s="211"/>
      <c r="AQ985" s="211"/>
      <c r="AR985" s="211"/>
      <c r="AS985" s="211"/>
      <c r="AT985" s="211"/>
      <c r="AU985" s="211"/>
      <c r="AV985" s="211"/>
      <c r="AW985" s="211"/>
      <c r="AX985" s="211"/>
      <c r="AY985" s="211"/>
      <c r="AZ985" s="211"/>
      <c r="BA985" s="211"/>
      <c r="BB985" s="211"/>
      <c r="BC985" s="211"/>
    </row>
    <row r="986" spans="1:55" s="213" customFormat="1" x14ac:dyDescent="0.35">
      <c r="A986" s="211"/>
      <c r="B986" s="211"/>
      <c r="C986" s="211"/>
      <c r="D986" s="211"/>
      <c r="E986" s="211"/>
      <c r="F986" s="211"/>
      <c r="G986" s="211"/>
      <c r="H986" s="211"/>
      <c r="I986" s="212"/>
      <c r="J986" s="212"/>
      <c r="K986" s="212"/>
      <c r="L986" s="212"/>
      <c r="M986" s="212"/>
      <c r="N986" s="212"/>
      <c r="O986" s="212"/>
      <c r="P986" s="211"/>
      <c r="Q986" s="211"/>
      <c r="R986" s="211"/>
      <c r="S986" s="211"/>
      <c r="T986" s="211"/>
      <c r="U986" s="211"/>
      <c r="V986" s="211"/>
      <c r="W986" s="211"/>
      <c r="X986" s="211"/>
      <c r="Y986" s="211"/>
      <c r="Z986" s="211"/>
      <c r="AD986" s="211"/>
      <c r="AE986" s="211"/>
      <c r="AF986" s="211"/>
      <c r="AG986" s="211"/>
      <c r="AH986" s="211"/>
      <c r="AI986" s="211"/>
      <c r="AJ986" s="211"/>
      <c r="AK986" s="211"/>
      <c r="AL986" s="211"/>
      <c r="AM986" s="211"/>
      <c r="AN986" s="211"/>
      <c r="AO986" s="211"/>
      <c r="AP986" s="211"/>
      <c r="AQ986" s="211"/>
      <c r="AR986" s="211"/>
      <c r="AS986" s="211"/>
      <c r="AT986" s="211"/>
      <c r="AU986" s="211"/>
      <c r="AV986" s="211"/>
      <c r="AW986" s="211"/>
      <c r="AX986" s="211"/>
      <c r="AY986" s="211"/>
      <c r="AZ986" s="211"/>
      <c r="BA986" s="211"/>
      <c r="BB986" s="211"/>
      <c r="BC986" s="211"/>
    </row>
    <row r="987" spans="1:55" s="213" customFormat="1" x14ac:dyDescent="0.35">
      <c r="A987" s="211"/>
      <c r="B987" s="211"/>
      <c r="C987" s="211"/>
      <c r="D987" s="211"/>
      <c r="E987" s="211"/>
      <c r="F987" s="211"/>
      <c r="G987" s="211"/>
      <c r="H987" s="211"/>
      <c r="I987" s="212"/>
      <c r="J987" s="212"/>
      <c r="K987" s="212"/>
      <c r="L987" s="212"/>
      <c r="M987" s="212"/>
      <c r="N987" s="212"/>
      <c r="O987" s="212"/>
      <c r="P987" s="211"/>
      <c r="Q987" s="211"/>
      <c r="R987" s="211"/>
      <c r="S987" s="211"/>
      <c r="T987" s="211"/>
      <c r="U987" s="211"/>
      <c r="V987" s="211"/>
      <c r="W987" s="211"/>
      <c r="X987" s="211"/>
      <c r="Y987" s="211"/>
      <c r="Z987" s="211"/>
      <c r="AD987" s="211"/>
      <c r="AE987" s="211"/>
      <c r="AF987" s="211"/>
      <c r="AG987" s="211"/>
      <c r="AH987" s="211"/>
      <c r="AI987" s="211"/>
      <c r="AJ987" s="211"/>
      <c r="AK987" s="211"/>
      <c r="AL987" s="211"/>
      <c r="AM987" s="211"/>
      <c r="AN987" s="211"/>
      <c r="AO987" s="211"/>
      <c r="AP987" s="211"/>
      <c r="AQ987" s="211"/>
      <c r="AR987" s="211"/>
      <c r="AS987" s="211"/>
      <c r="AT987" s="211"/>
      <c r="AU987" s="211"/>
      <c r="AV987" s="211"/>
      <c r="AW987" s="211"/>
      <c r="AX987" s="211"/>
      <c r="AY987" s="211"/>
      <c r="AZ987" s="211"/>
      <c r="BA987" s="211"/>
      <c r="BB987" s="211"/>
      <c r="BC987" s="211"/>
    </row>
    <row r="988" spans="1:55" s="213" customFormat="1" x14ac:dyDescent="0.35">
      <c r="A988" s="211"/>
      <c r="B988" s="211"/>
      <c r="C988" s="211"/>
      <c r="D988" s="211"/>
      <c r="E988" s="211"/>
      <c r="F988" s="211"/>
      <c r="G988" s="211"/>
      <c r="H988" s="211"/>
      <c r="I988" s="212"/>
      <c r="J988" s="212"/>
      <c r="K988" s="212"/>
      <c r="L988" s="212"/>
      <c r="M988" s="212"/>
      <c r="N988" s="212"/>
      <c r="O988" s="212"/>
      <c r="P988" s="211"/>
      <c r="Q988" s="211"/>
      <c r="R988" s="211"/>
      <c r="S988" s="211"/>
      <c r="T988" s="211"/>
      <c r="U988" s="211"/>
      <c r="V988" s="211"/>
      <c r="W988" s="211"/>
      <c r="X988" s="211"/>
      <c r="Y988" s="211"/>
      <c r="Z988" s="211"/>
      <c r="AD988" s="211"/>
      <c r="AE988" s="211"/>
      <c r="AF988" s="211"/>
      <c r="AG988" s="211"/>
      <c r="AH988" s="211"/>
      <c r="AI988" s="211"/>
      <c r="AJ988" s="211"/>
      <c r="AK988" s="211"/>
      <c r="AL988" s="211"/>
      <c r="AM988" s="211"/>
      <c r="AN988" s="211"/>
      <c r="AO988" s="211"/>
      <c r="AP988" s="211"/>
      <c r="AQ988" s="211"/>
      <c r="AR988" s="211"/>
      <c r="AS988" s="211"/>
      <c r="AT988" s="211"/>
      <c r="AU988" s="211"/>
      <c r="AV988" s="211"/>
      <c r="AW988" s="211"/>
      <c r="AX988" s="211"/>
      <c r="AY988" s="211"/>
      <c r="AZ988" s="211"/>
      <c r="BA988" s="211"/>
      <c r="BB988" s="211"/>
      <c r="BC988" s="211"/>
    </row>
    <row r="989" spans="1:55" s="213" customFormat="1" x14ac:dyDescent="0.35">
      <c r="A989" s="211"/>
      <c r="B989" s="211"/>
      <c r="C989" s="211"/>
      <c r="D989" s="211"/>
      <c r="E989" s="211"/>
      <c r="F989" s="211"/>
      <c r="G989" s="211"/>
      <c r="H989" s="211"/>
      <c r="I989" s="212"/>
      <c r="J989" s="212"/>
      <c r="K989" s="212"/>
      <c r="L989" s="212"/>
      <c r="M989" s="212"/>
      <c r="N989" s="212"/>
      <c r="O989" s="212"/>
      <c r="P989" s="211"/>
      <c r="Q989" s="211"/>
      <c r="R989" s="211"/>
      <c r="S989" s="211"/>
      <c r="T989" s="211"/>
      <c r="U989" s="211"/>
      <c r="V989" s="211"/>
      <c r="W989" s="211"/>
      <c r="X989" s="211"/>
      <c r="Y989" s="211"/>
      <c r="Z989" s="211"/>
      <c r="AD989" s="211"/>
      <c r="AE989" s="211"/>
      <c r="AF989" s="211"/>
      <c r="AG989" s="211"/>
      <c r="AH989" s="211"/>
      <c r="AI989" s="211"/>
      <c r="AJ989" s="211"/>
      <c r="AK989" s="211"/>
      <c r="AL989" s="211"/>
      <c r="AM989" s="211"/>
      <c r="AN989" s="211"/>
      <c r="AO989" s="211"/>
      <c r="AP989" s="211"/>
      <c r="AQ989" s="211"/>
      <c r="AR989" s="211"/>
      <c r="AS989" s="211"/>
      <c r="AT989" s="211"/>
      <c r="AU989" s="211"/>
      <c r="AV989" s="211"/>
      <c r="AW989" s="211"/>
      <c r="AX989" s="211"/>
      <c r="AY989" s="211"/>
      <c r="AZ989" s="211"/>
      <c r="BA989" s="211"/>
      <c r="BB989" s="211"/>
      <c r="BC989" s="211"/>
    </row>
    <row r="990" spans="1:55" s="213" customFormat="1" x14ac:dyDescent="0.35">
      <c r="A990" s="211"/>
      <c r="B990" s="211"/>
      <c r="C990" s="211"/>
      <c r="D990" s="211"/>
      <c r="E990" s="211"/>
      <c r="F990" s="211"/>
      <c r="G990" s="211"/>
      <c r="H990" s="211"/>
      <c r="I990" s="212"/>
      <c r="J990" s="212"/>
      <c r="K990" s="212"/>
      <c r="L990" s="212"/>
      <c r="M990" s="212"/>
      <c r="N990" s="212"/>
      <c r="O990" s="212"/>
      <c r="P990" s="211"/>
      <c r="Q990" s="211"/>
      <c r="R990" s="211"/>
      <c r="S990" s="211"/>
      <c r="T990" s="211"/>
      <c r="U990" s="211"/>
      <c r="V990" s="211"/>
      <c r="W990" s="211"/>
      <c r="X990" s="211"/>
      <c r="Y990" s="211"/>
      <c r="Z990" s="211"/>
      <c r="AD990" s="211"/>
      <c r="AE990" s="211"/>
      <c r="AF990" s="211"/>
      <c r="AG990" s="211"/>
      <c r="AH990" s="211"/>
      <c r="AI990" s="211"/>
      <c r="AJ990" s="211"/>
      <c r="AK990" s="211"/>
      <c r="AL990" s="211"/>
      <c r="AM990" s="211"/>
      <c r="AN990" s="211"/>
      <c r="AO990" s="211"/>
      <c r="AP990" s="211"/>
      <c r="AQ990" s="211"/>
      <c r="AR990" s="211"/>
      <c r="AS990" s="211"/>
      <c r="AT990" s="211"/>
      <c r="AU990" s="211"/>
      <c r="AV990" s="211"/>
      <c r="AW990" s="211"/>
      <c r="AX990" s="211"/>
      <c r="AY990" s="211"/>
      <c r="AZ990" s="211"/>
      <c r="BA990" s="211"/>
      <c r="BB990" s="211"/>
      <c r="BC990" s="211"/>
    </row>
    <row r="991" spans="1:55" s="213" customFormat="1" x14ac:dyDescent="0.35">
      <c r="A991" s="211"/>
      <c r="B991" s="211"/>
      <c r="C991" s="211"/>
      <c r="D991" s="211"/>
      <c r="E991" s="211"/>
      <c r="F991" s="211"/>
      <c r="G991" s="211"/>
      <c r="H991" s="211"/>
      <c r="I991" s="212"/>
      <c r="J991" s="212"/>
      <c r="K991" s="212"/>
      <c r="L991" s="212"/>
      <c r="M991" s="212"/>
      <c r="N991" s="212"/>
      <c r="O991" s="212"/>
      <c r="P991" s="211"/>
      <c r="Q991" s="211"/>
      <c r="R991" s="211"/>
      <c r="S991" s="211"/>
      <c r="T991" s="211"/>
      <c r="U991" s="211"/>
      <c r="V991" s="211"/>
      <c r="W991" s="211"/>
      <c r="X991" s="211"/>
      <c r="Y991" s="211"/>
      <c r="Z991" s="211"/>
      <c r="AD991" s="211"/>
      <c r="AE991" s="211"/>
      <c r="AF991" s="211"/>
      <c r="AG991" s="211"/>
      <c r="AH991" s="211"/>
      <c r="AI991" s="211"/>
      <c r="AJ991" s="211"/>
      <c r="AK991" s="211"/>
      <c r="AL991" s="211"/>
      <c r="AM991" s="211"/>
      <c r="AN991" s="211"/>
      <c r="AO991" s="211"/>
      <c r="AP991" s="211"/>
      <c r="AQ991" s="211"/>
      <c r="AR991" s="211"/>
      <c r="AS991" s="211"/>
      <c r="AT991" s="211"/>
      <c r="AU991" s="211"/>
      <c r="AV991" s="211"/>
      <c r="AW991" s="211"/>
      <c r="AX991" s="211"/>
      <c r="AY991" s="211"/>
      <c r="AZ991" s="211"/>
      <c r="BA991" s="211"/>
      <c r="BB991" s="211"/>
      <c r="BC991" s="211"/>
    </row>
    <row r="992" spans="1:55" s="213" customFormat="1" x14ac:dyDescent="0.35">
      <c r="A992" s="211"/>
      <c r="B992" s="211"/>
      <c r="C992" s="211"/>
      <c r="D992" s="211"/>
      <c r="E992" s="211"/>
      <c r="F992" s="211"/>
      <c r="G992" s="211"/>
      <c r="H992" s="211"/>
      <c r="I992" s="212"/>
      <c r="J992" s="212"/>
      <c r="K992" s="212"/>
      <c r="L992" s="212"/>
      <c r="M992" s="212"/>
      <c r="N992" s="212"/>
      <c r="O992" s="212"/>
      <c r="P992" s="211"/>
      <c r="Q992" s="211"/>
      <c r="R992" s="211"/>
      <c r="S992" s="211"/>
      <c r="T992" s="211"/>
      <c r="U992" s="211"/>
      <c r="V992" s="211"/>
      <c r="W992" s="211"/>
      <c r="X992" s="211"/>
      <c r="Y992" s="211"/>
      <c r="Z992" s="211"/>
      <c r="AD992" s="211"/>
      <c r="AE992" s="211"/>
      <c r="AF992" s="211"/>
      <c r="AG992" s="211"/>
      <c r="AH992" s="211"/>
      <c r="AI992" s="211"/>
      <c r="AJ992" s="211"/>
      <c r="AK992" s="211"/>
      <c r="AL992" s="211"/>
      <c r="AM992" s="211"/>
      <c r="AN992" s="211"/>
      <c r="AO992" s="211"/>
      <c r="AP992" s="211"/>
      <c r="AQ992" s="211"/>
      <c r="AR992" s="211"/>
      <c r="AS992" s="211"/>
      <c r="AT992" s="211"/>
      <c r="AU992" s="211"/>
      <c r="AV992" s="211"/>
      <c r="AW992" s="211"/>
      <c r="AX992" s="211"/>
      <c r="AY992" s="211"/>
      <c r="AZ992" s="211"/>
      <c r="BA992" s="211"/>
      <c r="BB992" s="211"/>
      <c r="BC992" s="211"/>
    </row>
    <row r="993" spans="1:55" s="213" customFormat="1" x14ac:dyDescent="0.35">
      <c r="A993" s="211"/>
      <c r="B993" s="211"/>
      <c r="C993" s="211"/>
      <c r="D993" s="211"/>
      <c r="E993" s="211"/>
      <c r="F993" s="211"/>
      <c r="G993" s="211"/>
      <c r="H993" s="211"/>
      <c r="I993" s="212"/>
      <c r="J993" s="212"/>
      <c r="K993" s="212"/>
      <c r="L993" s="212"/>
      <c r="M993" s="212"/>
      <c r="N993" s="212"/>
      <c r="O993" s="212"/>
      <c r="P993" s="211"/>
      <c r="Q993" s="211"/>
      <c r="R993" s="211"/>
      <c r="S993" s="211"/>
      <c r="T993" s="211"/>
      <c r="U993" s="211"/>
      <c r="V993" s="211"/>
      <c r="W993" s="211"/>
      <c r="X993" s="211"/>
      <c r="Y993" s="211"/>
      <c r="Z993" s="211"/>
      <c r="AD993" s="211"/>
      <c r="AE993" s="211"/>
      <c r="AF993" s="211"/>
      <c r="AG993" s="211"/>
      <c r="AH993" s="211"/>
      <c r="AI993" s="211"/>
      <c r="AJ993" s="211"/>
      <c r="AK993" s="211"/>
      <c r="AL993" s="211"/>
      <c r="AM993" s="211"/>
      <c r="AN993" s="211"/>
      <c r="AO993" s="211"/>
      <c r="AP993" s="211"/>
      <c r="AQ993" s="211"/>
      <c r="AR993" s="211"/>
      <c r="AS993" s="211"/>
      <c r="AT993" s="211"/>
      <c r="AU993" s="211"/>
      <c r="AV993" s="211"/>
      <c r="AW993" s="211"/>
      <c r="AX993" s="211"/>
      <c r="AY993" s="211"/>
      <c r="AZ993" s="211"/>
      <c r="BA993" s="211"/>
      <c r="BB993" s="211"/>
      <c r="BC993" s="211"/>
    </row>
    <row r="994" spans="1:55" s="213" customFormat="1" x14ac:dyDescent="0.35">
      <c r="A994" s="211"/>
      <c r="B994" s="211"/>
      <c r="C994" s="211"/>
      <c r="D994" s="211"/>
      <c r="E994" s="211"/>
      <c r="F994" s="211"/>
      <c r="G994" s="211"/>
      <c r="H994" s="211"/>
      <c r="I994" s="212"/>
      <c r="J994" s="212"/>
      <c r="K994" s="212"/>
      <c r="L994" s="212"/>
      <c r="M994" s="212"/>
      <c r="N994" s="212"/>
      <c r="O994" s="212"/>
      <c r="P994" s="211"/>
      <c r="Q994" s="211"/>
      <c r="R994" s="211"/>
      <c r="S994" s="211"/>
      <c r="T994" s="211"/>
      <c r="U994" s="211"/>
      <c r="V994" s="211"/>
      <c r="W994" s="211"/>
      <c r="X994" s="211"/>
      <c r="Y994" s="211"/>
      <c r="Z994" s="211"/>
      <c r="AD994" s="211"/>
      <c r="AE994" s="211"/>
      <c r="AF994" s="211"/>
      <c r="AG994" s="211"/>
      <c r="AH994" s="211"/>
      <c r="AI994" s="211"/>
      <c r="AJ994" s="211"/>
      <c r="AK994" s="211"/>
      <c r="AL994" s="211"/>
      <c r="AM994" s="211"/>
      <c r="AN994" s="211"/>
      <c r="AO994" s="211"/>
      <c r="AP994" s="211"/>
      <c r="AQ994" s="211"/>
      <c r="AR994" s="211"/>
      <c r="AS994" s="211"/>
      <c r="AT994" s="211"/>
      <c r="AU994" s="211"/>
      <c r="AV994" s="211"/>
      <c r="AW994" s="211"/>
      <c r="AX994" s="211"/>
      <c r="AY994" s="211"/>
      <c r="AZ994" s="211"/>
      <c r="BA994" s="211"/>
      <c r="BB994" s="211"/>
      <c r="BC994" s="211"/>
    </row>
    <row r="995" spans="1:55" s="213" customFormat="1" x14ac:dyDescent="0.35">
      <c r="A995" s="211"/>
      <c r="B995" s="211"/>
      <c r="C995" s="211"/>
      <c r="D995" s="211"/>
      <c r="E995" s="211"/>
      <c r="F995" s="211"/>
      <c r="G995" s="211"/>
      <c r="H995" s="211"/>
      <c r="I995" s="212"/>
      <c r="J995" s="212"/>
      <c r="K995" s="212"/>
      <c r="L995" s="212"/>
      <c r="M995" s="212"/>
      <c r="N995" s="212"/>
      <c r="O995" s="212"/>
      <c r="P995" s="211"/>
      <c r="Q995" s="211"/>
      <c r="R995" s="211"/>
      <c r="S995" s="211"/>
      <c r="T995" s="211"/>
      <c r="U995" s="211"/>
      <c r="V995" s="211"/>
      <c r="W995" s="211"/>
      <c r="X995" s="211"/>
      <c r="Y995" s="211"/>
      <c r="Z995" s="211"/>
      <c r="AD995" s="211"/>
      <c r="AE995" s="211"/>
      <c r="AF995" s="211"/>
      <c r="AG995" s="211"/>
      <c r="AH995" s="211"/>
      <c r="AI995" s="211"/>
      <c r="AJ995" s="211"/>
      <c r="AK995" s="211"/>
      <c r="AL995" s="211"/>
      <c r="AM995" s="211"/>
      <c r="AN995" s="211"/>
      <c r="AO995" s="211"/>
      <c r="AP995" s="211"/>
      <c r="AQ995" s="211"/>
      <c r="AR995" s="211"/>
      <c r="AS995" s="211"/>
      <c r="AT995" s="211"/>
      <c r="AU995" s="211"/>
      <c r="AV995" s="211"/>
      <c r="AW995" s="211"/>
      <c r="AX995" s="211"/>
      <c r="AY995" s="211"/>
      <c r="AZ995" s="211"/>
      <c r="BA995" s="211"/>
      <c r="BB995" s="211"/>
      <c r="BC995" s="211"/>
    </row>
    <row r="996" spans="1:55" s="213" customFormat="1" x14ac:dyDescent="0.35">
      <c r="A996" s="211"/>
      <c r="B996" s="211"/>
      <c r="C996" s="211"/>
      <c r="D996" s="211"/>
      <c r="E996" s="211"/>
      <c r="F996" s="211"/>
      <c r="G996" s="211"/>
      <c r="H996" s="211"/>
      <c r="I996" s="212"/>
      <c r="J996" s="212"/>
      <c r="K996" s="212"/>
      <c r="L996" s="212"/>
      <c r="M996" s="212"/>
      <c r="N996" s="212"/>
      <c r="O996" s="212"/>
      <c r="P996" s="211"/>
      <c r="Q996" s="211"/>
      <c r="R996" s="211"/>
      <c r="S996" s="211"/>
      <c r="T996" s="211"/>
      <c r="U996" s="211"/>
      <c r="V996" s="211"/>
      <c r="W996" s="211"/>
      <c r="X996" s="211"/>
      <c r="Y996" s="211"/>
      <c r="Z996" s="211"/>
      <c r="AD996" s="211"/>
      <c r="AE996" s="211"/>
      <c r="AF996" s="211"/>
      <c r="AG996" s="211"/>
      <c r="AH996" s="211"/>
      <c r="AI996" s="211"/>
      <c r="AJ996" s="211"/>
      <c r="AK996" s="211"/>
      <c r="AL996" s="211"/>
      <c r="AM996" s="211"/>
      <c r="AN996" s="211"/>
      <c r="AO996" s="211"/>
      <c r="AP996" s="211"/>
      <c r="AQ996" s="211"/>
      <c r="AR996" s="211"/>
      <c r="AS996" s="211"/>
      <c r="AT996" s="211"/>
      <c r="AU996" s="211"/>
      <c r="AV996" s="211"/>
      <c r="AW996" s="211"/>
      <c r="AX996" s="211"/>
      <c r="AY996" s="211"/>
      <c r="AZ996" s="211"/>
      <c r="BA996" s="211"/>
      <c r="BB996" s="211"/>
      <c r="BC996" s="211"/>
    </row>
    <row r="997" spans="1:55" s="213" customFormat="1" x14ac:dyDescent="0.35">
      <c r="A997" s="211"/>
      <c r="B997" s="211"/>
      <c r="C997" s="211"/>
      <c r="D997" s="211"/>
      <c r="E997" s="211"/>
      <c r="F997" s="211"/>
      <c r="G997" s="211"/>
      <c r="H997" s="211"/>
      <c r="I997" s="212"/>
      <c r="J997" s="212"/>
      <c r="K997" s="212"/>
      <c r="L997" s="212"/>
      <c r="M997" s="212"/>
      <c r="N997" s="212"/>
      <c r="O997" s="212"/>
      <c r="P997" s="211"/>
      <c r="Q997" s="211"/>
      <c r="R997" s="211"/>
      <c r="S997" s="211"/>
      <c r="T997" s="211"/>
      <c r="U997" s="211"/>
      <c r="V997" s="211"/>
      <c r="W997" s="211"/>
      <c r="X997" s="211"/>
      <c r="Y997" s="211"/>
      <c r="Z997" s="211"/>
      <c r="AD997" s="211"/>
      <c r="AE997" s="211"/>
      <c r="AF997" s="211"/>
      <c r="AG997" s="211"/>
      <c r="AH997" s="211"/>
      <c r="AI997" s="211"/>
      <c r="AJ997" s="211"/>
      <c r="AK997" s="211"/>
      <c r="AL997" s="211"/>
      <c r="AM997" s="211"/>
      <c r="AN997" s="211"/>
      <c r="AO997" s="211"/>
      <c r="AP997" s="211"/>
      <c r="AQ997" s="211"/>
      <c r="AR997" s="211"/>
      <c r="AS997" s="211"/>
      <c r="AT997" s="211"/>
      <c r="AU997" s="211"/>
      <c r="AV997" s="211"/>
      <c r="AW997" s="211"/>
      <c r="AX997" s="211"/>
      <c r="AY997" s="211"/>
      <c r="AZ997" s="211"/>
      <c r="BA997" s="211"/>
      <c r="BB997" s="211"/>
      <c r="BC997" s="211"/>
    </row>
    <row r="998" spans="1:55" s="213" customFormat="1" x14ac:dyDescent="0.35">
      <c r="A998" s="211"/>
      <c r="B998" s="211"/>
      <c r="C998" s="211"/>
      <c r="D998" s="211"/>
      <c r="E998" s="211"/>
      <c r="F998" s="211"/>
      <c r="G998" s="211"/>
      <c r="H998" s="211"/>
      <c r="I998" s="212"/>
      <c r="J998" s="212"/>
      <c r="K998" s="212"/>
      <c r="L998" s="212"/>
      <c r="M998" s="212"/>
      <c r="N998" s="212"/>
      <c r="O998" s="212"/>
      <c r="P998" s="211"/>
      <c r="Q998" s="211"/>
      <c r="R998" s="211"/>
      <c r="S998" s="211"/>
      <c r="T998" s="211"/>
      <c r="U998" s="211"/>
      <c r="V998" s="211"/>
      <c r="W998" s="211"/>
      <c r="X998" s="211"/>
      <c r="Y998" s="211"/>
      <c r="Z998" s="211"/>
      <c r="AD998" s="211"/>
      <c r="AE998" s="211"/>
      <c r="AF998" s="211"/>
      <c r="AG998" s="211"/>
      <c r="AH998" s="211"/>
      <c r="AI998" s="211"/>
      <c r="AJ998" s="211"/>
      <c r="AK998" s="211"/>
      <c r="AL998" s="211"/>
      <c r="AM998" s="211"/>
      <c r="AN998" s="211"/>
      <c r="AO998" s="211"/>
      <c r="AP998" s="211"/>
      <c r="AQ998" s="211"/>
      <c r="AR998" s="211"/>
      <c r="AS998" s="211"/>
      <c r="AT998" s="211"/>
      <c r="AU998" s="211"/>
      <c r="AV998" s="211"/>
      <c r="AW998" s="211"/>
      <c r="AX998" s="211"/>
      <c r="AY998" s="211"/>
      <c r="AZ998" s="211"/>
      <c r="BA998" s="211"/>
      <c r="BB998" s="211"/>
      <c r="BC998" s="211"/>
    </row>
    <row r="999" spans="1:55" s="213" customFormat="1" x14ac:dyDescent="0.35">
      <c r="A999" s="211"/>
      <c r="B999" s="211"/>
      <c r="C999" s="211"/>
      <c r="D999" s="211"/>
      <c r="E999" s="211"/>
      <c r="F999" s="211"/>
      <c r="G999" s="211"/>
      <c r="H999" s="211"/>
      <c r="I999" s="212"/>
      <c r="J999" s="212"/>
      <c r="K999" s="212"/>
      <c r="L999" s="212"/>
      <c r="M999" s="212"/>
      <c r="N999" s="212"/>
      <c r="O999" s="212"/>
      <c r="P999" s="211"/>
      <c r="Q999" s="211"/>
      <c r="R999" s="211"/>
      <c r="S999" s="211"/>
      <c r="T999" s="211"/>
      <c r="U999" s="211"/>
      <c r="V999" s="211"/>
      <c r="W999" s="211"/>
      <c r="X999" s="211"/>
      <c r="Y999" s="211"/>
      <c r="Z999" s="211"/>
      <c r="AD999" s="211"/>
      <c r="AE999" s="211"/>
      <c r="AF999" s="211"/>
      <c r="AG999" s="211"/>
      <c r="AH999" s="211"/>
      <c r="AI999" s="211"/>
      <c r="AJ999" s="211"/>
      <c r="AK999" s="211"/>
      <c r="AL999" s="211"/>
      <c r="AM999" s="211"/>
      <c r="AN999" s="211"/>
      <c r="AO999" s="211"/>
      <c r="AP999" s="211"/>
      <c r="AQ999" s="211"/>
      <c r="AR999" s="211"/>
      <c r="AS999" s="211"/>
      <c r="AT999" s="211"/>
      <c r="AU999" s="211"/>
      <c r="AV999" s="211"/>
      <c r="AW999" s="211"/>
      <c r="AX999" s="211"/>
      <c r="AY999" s="211"/>
      <c r="AZ999" s="211"/>
      <c r="BA999" s="211"/>
      <c r="BB999" s="211"/>
      <c r="BC999" s="211"/>
    </row>
    <row r="1000" spans="1:55" s="213" customFormat="1" x14ac:dyDescent="0.35">
      <c r="A1000" s="211"/>
      <c r="B1000" s="211"/>
      <c r="C1000" s="211"/>
      <c r="D1000" s="211"/>
      <c r="E1000" s="211"/>
      <c r="F1000" s="211"/>
      <c r="G1000" s="211"/>
      <c r="H1000" s="211"/>
      <c r="I1000" s="212"/>
      <c r="J1000" s="212"/>
      <c r="K1000" s="212"/>
      <c r="L1000" s="212"/>
      <c r="M1000" s="212"/>
      <c r="N1000" s="212"/>
      <c r="O1000" s="212"/>
      <c r="P1000" s="211"/>
      <c r="Q1000" s="211"/>
      <c r="R1000" s="211"/>
      <c r="S1000" s="211"/>
      <c r="T1000" s="211"/>
      <c r="U1000" s="211"/>
      <c r="V1000" s="211"/>
      <c r="W1000" s="211"/>
      <c r="X1000" s="211"/>
      <c r="Y1000" s="211"/>
      <c r="Z1000" s="211"/>
      <c r="AD1000" s="211"/>
      <c r="AE1000" s="211"/>
      <c r="AF1000" s="211"/>
      <c r="AG1000" s="211"/>
      <c r="AH1000" s="211"/>
      <c r="AI1000" s="211"/>
      <c r="AJ1000" s="211"/>
      <c r="AK1000" s="211"/>
      <c r="AL1000" s="211"/>
      <c r="AM1000" s="211"/>
      <c r="AN1000" s="211"/>
      <c r="AO1000" s="211"/>
      <c r="AP1000" s="211"/>
      <c r="AQ1000" s="211"/>
      <c r="AR1000" s="211"/>
      <c r="AS1000" s="211"/>
      <c r="AT1000" s="211"/>
      <c r="AU1000" s="211"/>
      <c r="AV1000" s="211"/>
      <c r="AW1000" s="211"/>
      <c r="AX1000" s="211"/>
      <c r="AY1000" s="211"/>
      <c r="AZ1000" s="211"/>
      <c r="BA1000" s="211"/>
      <c r="BB1000" s="211"/>
      <c r="BC1000" s="211"/>
    </row>
    <row r="1001" spans="1:55" s="213" customFormat="1" x14ac:dyDescent="0.35">
      <c r="A1001" s="211"/>
      <c r="B1001" s="211"/>
      <c r="C1001" s="211"/>
      <c r="D1001" s="211"/>
      <c r="E1001" s="211"/>
      <c r="F1001" s="211"/>
      <c r="G1001" s="211"/>
      <c r="H1001" s="211"/>
      <c r="I1001" s="212"/>
      <c r="J1001" s="212"/>
      <c r="K1001" s="212"/>
      <c r="L1001" s="212"/>
      <c r="M1001" s="212"/>
      <c r="N1001" s="212"/>
      <c r="O1001" s="212"/>
      <c r="P1001" s="211"/>
      <c r="Q1001" s="211"/>
      <c r="R1001" s="211"/>
      <c r="S1001" s="211"/>
      <c r="T1001" s="211"/>
      <c r="U1001" s="211"/>
      <c r="V1001" s="211"/>
      <c r="W1001" s="211"/>
      <c r="X1001" s="211"/>
      <c r="Y1001" s="211"/>
      <c r="Z1001" s="211"/>
      <c r="AD1001" s="211"/>
      <c r="AE1001" s="211"/>
      <c r="AF1001" s="211"/>
      <c r="AG1001" s="211"/>
      <c r="AH1001" s="211"/>
      <c r="AI1001" s="211"/>
      <c r="AJ1001" s="211"/>
      <c r="AK1001" s="211"/>
      <c r="AL1001" s="211"/>
      <c r="AM1001" s="211"/>
      <c r="AN1001" s="211"/>
      <c r="AO1001" s="211"/>
      <c r="AP1001" s="211"/>
      <c r="AQ1001" s="211"/>
      <c r="AR1001" s="211"/>
      <c r="AS1001" s="211"/>
      <c r="AT1001" s="211"/>
      <c r="AU1001" s="211"/>
      <c r="AV1001" s="211"/>
      <c r="AW1001" s="211"/>
      <c r="AX1001" s="211"/>
      <c r="AY1001" s="211"/>
      <c r="AZ1001" s="211"/>
      <c r="BA1001" s="211"/>
      <c r="BB1001" s="211"/>
      <c r="BC1001" s="211"/>
    </row>
    <row r="1002" spans="1:55" s="213" customFormat="1" x14ac:dyDescent="0.35">
      <c r="A1002" s="211"/>
      <c r="B1002" s="211"/>
      <c r="C1002" s="211"/>
      <c r="D1002" s="211"/>
      <c r="E1002" s="211"/>
      <c r="F1002" s="211"/>
      <c r="G1002" s="211"/>
      <c r="H1002" s="211"/>
      <c r="I1002" s="212"/>
      <c r="J1002" s="212"/>
      <c r="K1002" s="212"/>
      <c r="L1002" s="212"/>
      <c r="M1002" s="212"/>
      <c r="N1002" s="212"/>
      <c r="O1002" s="212"/>
      <c r="P1002" s="211"/>
      <c r="Q1002" s="211"/>
      <c r="R1002" s="211"/>
      <c r="S1002" s="211"/>
      <c r="T1002" s="211"/>
      <c r="U1002" s="211"/>
      <c r="V1002" s="211"/>
      <c r="W1002" s="211"/>
      <c r="X1002" s="211"/>
      <c r="Y1002" s="211"/>
      <c r="Z1002" s="211"/>
      <c r="AD1002" s="211"/>
      <c r="AE1002" s="211"/>
      <c r="AF1002" s="211"/>
      <c r="AG1002" s="211"/>
      <c r="AH1002" s="211"/>
      <c r="AI1002" s="211"/>
      <c r="AJ1002" s="211"/>
      <c r="AK1002" s="211"/>
      <c r="AL1002" s="211"/>
      <c r="AM1002" s="211"/>
      <c r="AN1002" s="211"/>
      <c r="AO1002" s="211"/>
      <c r="AP1002" s="211"/>
      <c r="AQ1002" s="211"/>
      <c r="AR1002" s="211"/>
      <c r="AS1002" s="211"/>
      <c r="AT1002" s="211"/>
      <c r="AU1002" s="211"/>
      <c r="AV1002" s="211"/>
      <c r="AW1002" s="211"/>
      <c r="AX1002" s="211"/>
      <c r="AY1002" s="211"/>
      <c r="AZ1002" s="211"/>
      <c r="BA1002" s="211"/>
      <c r="BB1002" s="211"/>
      <c r="BC1002" s="211"/>
    </row>
    <row r="1003" spans="1:55" s="213" customFormat="1" x14ac:dyDescent="0.35">
      <c r="A1003" s="211"/>
      <c r="B1003" s="211"/>
      <c r="C1003" s="211"/>
      <c r="D1003" s="211"/>
      <c r="E1003" s="211"/>
      <c r="F1003" s="211"/>
      <c r="G1003" s="211"/>
      <c r="H1003" s="211"/>
      <c r="I1003" s="212"/>
      <c r="J1003" s="212"/>
      <c r="K1003" s="212"/>
      <c r="L1003" s="212"/>
      <c r="M1003" s="212"/>
      <c r="N1003" s="212"/>
      <c r="O1003" s="212"/>
      <c r="P1003" s="211"/>
      <c r="Q1003" s="211"/>
      <c r="R1003" s="211"/>
      <c r="S1003" s="211"/>
      <c r="T1003" s="211"/>
      <c r="U1003" s="211"/>
      <c r="V1003" s="211"/>
      <c r="W1003" s="211"/>
      <c r="X1003" s="211"/>
      <c r="Y1003" s="211"/>
      <c r="Z1003" s="211"/>
      <c r="AD1003" s="211"/>
      <c r="AE1003" s="211"/>
      <c r="AF1003" s="211"/>
      <c r="AG1003" s="211"/>
      <c r="AH1003" s="211"/>
      <c r="AI1003" s="211"/>
      <c r="AJ1003" s="211"/>
      <c r="AK1003" s="211"/>
      <c r="AL1003" s="211"/>
      <c r="AM1003" s="211"/>
      <c r="AN1003" s="211"/>
      <c r="AO1003" s="211"/>
      <c r="AP1003" s="211"/>
      <c r="AQ1003" s="211"/>
      <c r="AR1003" s="211"/>
      <c r="AS1003" s="211"/>
      <c r="AT1003" s="211"/>
      <c r="AU1003" s="211"/>
      <c r="AV1003" s="211"/>
      <c r="AW1003" s="211"/>
      <c r="AX1003" s="211"/>
      <c r="AY1003" s="211"/>
      <c r="AZ1003" s="211"/>
      <c r="BA1003" s="211"/>
      <c r="BB1003" s="211"/>
      <c r="BC1003" s="211"/>
    </row>
    <row r="1004" spans="1:55" s="213" customFormat="1" x14ac:dyDescent="0.35">
      <c r="A1004" s="211"/>
      <c r="B1004" s="211"/>
      <c r="C1004" s="211"/>
      <c r="D1004" s="211"/>
      <c r="E1004" s="211"/>
      <c r="F1004" s="211"/>
      <c r="G1004" s="211"/>
      <c r="H1004" s="211"/>
      <c r="I1004" s="212"/>
      <c r="J1004" s="212"/>
      <c r="K1004" s="212"/>
      <c r="L1004" s="212"/>
      <c r="M1004" s="212"/>
      <c r="N1004" s="212"/>
      <c r="O1004" s="212"/>
      <c r="P1004" s="211"/>
      <c r="Q1004" s="211"/>
      <c r="R1004" s="211"/>
      <c r="S1004" s="211"/>
      <c r="T1004" s="211"/>
      <c r="U1004" s="211"/>
      <c r="V1004" s="211"/>
      <c r="W1004" s="211"/>
      <c r="X1004" s="211"/>
      <c r="Y1004" s="211"/>
      <c r="Z1004" s="211"/>
      <c r="AD1004" s="211"/>
      <c r="AE1004" s="211"/>
      <c r="AF1004" s="211"/>
      <c r="AG1004" s="211"/>
      <c r="AH1004" s="211"/>
      <c r="AI1004" s="211"/>
      <c r="AJ1004" s="211"/>
      <c r="AK1004" s="211"/>
      <c r="AL1004" s="211"/>
      <c r="AM1004" s="211"/>
      <c r="AN1004" s="211"/>
      <c r="AO1004" s="211"/>
      <c r="AP1004" s="211"/>
      <c r="AQ1004" s="211"/>
      <c r="AR1004" s="211"/>
      <c r="AS1004" s="211"/>
      <c r="AT1004" s="211"/>
      <c r="AU1004" s="211"/>
      <c r="AV1004" s="211"/>
      <c r="AW1004" s="211"/>
      <c r="AX1004" s="211"/>
      <c r="AY1004" s="211"/>
      <c r="AZ1004" s="211"/>
      <c r="BA1004" s="211"/>
      <c r="BB1004" s="211"/>
      <c r="BC1004" s="211"/>
    </row>
    <row r="1005" spans="1:55" s="213" customFormat="1" x14ac:dyDescent="0.35">
      <c r="A1005" s="211"/>
      <c r="B1005" s="211"/>
      <c r="C1005" s="211"/>
      <c r="D1005" s="211"/>
      <c r="E1005" s="211"/>
      <c r="F1005" s="211"/>
      <c r="G1005" s="211"/>
      <c r="H1005" s="211"/>
      <c r="I1005" s="212"/>
      <c r="J1005" s="212"/>
      <c r="K1005" s="212"/>
      <c r="L1005" s="212"/>
      <c r="M1005" s="212"/>
      <c r="N1005" s="212"/>
      <c r="O1005" s="212"/>
      <c r="P1005" s="211"/>
      <c r="Q1005" s="211"/>
      <c r="R1005" s="211"/>
      <c r="S1005" s="211"/>
      <c r="T1005" s="211"/>
      <c r="U1005" s="211"/>
      <c r="V1005" s="211"/>
      <c r="W1005" s="211"/>
      <c r="X1005" s="211"/>
      <c r="Y1005" s="211"/>
      <c r="Z1005" s="211"/>
      <c r="AD1005" s="211"/>
      <c r="AE1005" s="211"/>
      <c r="AF1005" s="211"/>
      <c r="AG1005" s="211"/>
      <c r="AH1005" s="211"/>
      <c r="AI1005" s="211"/>
      <c r="AJ1005" s="211"/>
      <c r="AK1005" s="211"/>
      <c r="AL1005" s="211"/>
      <c r="AM1005" s="211"/>
      <c r="AN1005" s="211"/>
      <c r="AO1005" s="211"/>
      <c r="AP1005" s="211"/>
      <c r="AQ1005" s="211"/>
      <c r="AR1005" s="211"/>
      <c r="AS1005" s="211"/>
      <c r="AT1005" s="211"/>
      <c r="AU1005" s="211"/>
      <c r="AV1005" s="211"/>
      <c r="AW1005" s="211"/>
      <c r="AX1005" s="211"/>
      <c r="AY1005" s="211"/>
      <c r="AZ1005" s="211"/>
      <c r="BA1005" s="211"/>
      <c r="BB1005" s="211"/>
      <c r="BC1005" s="211"/>
    </row>
    <row r="1006" spans="1:55" s="213" customFormat="1" x14ac:dyDescent="0.35">
      <c r="A1006" s="211"/>
      <c r="B1006" s="211"/>
      <c r="C1006" s="211"/>
      <c r="D1006" s="211"/>
      <c r="E1006" s="211"/>
      <c r="F1006" s="211"/>
      <c r="G1006" s="211"/>
      <c r="H1006" s="211"/>
      <c r="I1006" s="212"/>
      <c r="J1006" s="212"/>
      <c r="K1006" s="212"/>
      <c r="L1006" s="212"/>
      <c r="M1006" s="212"/>
      <c r="N1006" s="212"/>
      <c r="O1006" s="212"/>
      <c r="P1006" s="211"/>
      <c r="Q1006" s="211"/>
      <c r="R1006" s="211"/>
      <c r="S1006" s="211"/>
      <c r="T1006" s="211"/>
      <c r="U1006" s="211"/>
      <c r="V1006" s="211"/>
      <c r="W1006" s="211"/>
      <c r="X1006" s="211"/>
      <c r="Y1006" s="211"/>
      <c r="Z1006" s="211"/>
      <c r="AD1006" s="211"/>
      <c r="AE1006" s="211"/>
      <c r="AF1006" s="211"/>
      <c r="AG1006" s="211"/>
      <c r="AH1006" s="211"/>
      <c r="AI1006" s="211"/>
      <c r="AJ1006" s="211"/>
      <c r="AK1006" s="211"/>
      <c r="AL1006" s="211"/>
      <c r="AM1006" s="211"/>
      <c r="AN1006" s="211"/>
      <c r="AO1006" s="211"/>
      <c r="AP1006" s="211"/>
      <c r="AQ1006" s="211"/>
      <c r="AR1006" s="211"/>
      <c r="AS1006" s="211"/>
      <c r="AT1006" s="211"/>
      <c r="AU1006" s="211"/>
      <c r="AV1006" s="211"/>
      <c r="AW1006" s="211"/>
      <c r="AX1006" s="211"/>
      <c r="AY1006" s="211"/>
      <c r="AZ1006" s="211"/>
      <c r="BA1006" s="211"/>
      <c r="BB1006" s="211"/>
      <c r="BC1006" s="211"/>
    </row>
    <row r="1007" spans="1:55" s="213" customFormat="1" x14ac:dyDescent="0.35">
      <c r="A1007" s="211"/>
      <c r="B1007" s="211"/>
      <c r="C1007" s="211"/>
      <c r="D1007" s="211"/>
      <c r="E1007" s="211"/>
      <c r="F1007" s="211"/>
      <c r="G1007" s="211"/>
      <c r="H1007" s="211"/>
      <c r="I1007" s="212"/>
      <c r="J1007" s="212"/>
      <c r="K1007" s="212"/>
      <c r="L1007" s="212"/>
      <c r="M1007" s="212"/>
      <c r="N1007" s="212"/>
      <c r="O1007" s="212"/>
      <c r="P1007" s="211"/>
      <c r="Q1007" s="211"/>
      <c r="R1007" s="211"/>
      <c r="S1007" s="211"/>
      <c r="T1007" s="211"/>
      <c r="U1007" s="211"/>
      <c r="V1007" s="211"/>
      <c r="W1007" s="211"/>
      <c r="X1007" s="211"/>
      <c r="Y1007" s="211"/>
      <c r="Z1007" s="211"/>
      <c r="AD1007" s="211"/>
      <c r="AE1007" s="211"/>
      <c r="AF1007" s="211"/>
      <c r="AG1007" s="211"/>
      <c r="AH1007" s="211"/>
      <c r="AI1007" s="211"/>
      <c r="AJ1007" s="211"/>
      <c r="AK1007" s="211"/>
      <c r="AL1007" s="211"/>
      <c r="AM1007" s="211"/>
      <c r="AN1007" s="211"/>
      <c r="AO1007" s="211"/>
      <c r="AP1007" s="211"/>
      <c r="AQ1007" s="211"/>
      <c r="AR1007" s="211"/>
      <c r="AS1007" s="211"/>
      <c r="AT1007" s="211"/>
      <c r="AU1007" s="211"/>
      <c r="AV1007" s="211"/>
      <c r="AW1007" s="211"/>
      <c r="AX1007" s="211"/>
      <c r="AY1007" s="211"/>
      <c r="AZ1007" s="211"/>
      <c r="BA1007" s="211"/>
      <c r="BB1007" s="211"/>
      <c r="BC1007" s="211"/>
    </row>
    <row r="1008" spans="1:55" s="213" customFormat="1" x14ac:dyDescent="0.35">
      <c r="A1008" s="211"/>
      <c r="B1008" s="211"/>
      <c r="C1008" s="211"/>
      <c r="D1008" s="211"/>
      <c r="E1008" s="211"/>
      <c r="F1008" s="211"/>
      <c r="G1008" s="211"/>
      <c r="H1008" s="211"/>
      <c r="I1008" s="212"/>
      <c r="J1008" s="212"/>
      <c r="K1008" s="212"/>
      <c r="L1008" s="212"/>
      <c r="M1008" s="212"/>
      <c r="N1008" s="212"/>
      <c r="O1008" s="212"/>
      <c r="P1008" s="211"/>
      <c r="Q1008" s="211"/>
      <c r="R1008" s="211"/>
      <c r="S1008" s="211"/>
      <c r="T1008" s="211"/>
      <c r="U1008" s="211"/>
      <c r="V1008" s="211"/>
      <c r="W1008" s="211"/>
      <c r="X1008" s="211"/>
      <c r="Y1008" s="211"/>
      <c r="Z1008" s="211"/>
      <c r="AD1008" s="211"/>
      <c r="AE1008" s="211"/>
      <c r="AF1008" s="211"/>
      <c r="AG1008" s="211"/>
      <c r="AH1008" s="211"/>
      <c r="AI1008" s="211"/>
      <c r="AJ1008" s="211"/>
      <c r="AK1008" s="211"/>
      <c r="AL1008" s="211"/>
      <c r="AM1008" s="211"/>
      <c r="AN1008" s="211"/>
      <c r="AO1008" s="211"/>
      <c r="AP1008" s="211"/>
      <c r="AQ1008" s="211"/>
      <c r="AR1008" s="211"/>
      <c r="AS1008" s="211"/>
      <c r="AT1008" s="211"/>
      <c r="AU1008" s="211"/>
      <c r="AV1008" s="211"/>
      <c r="AW1008" s="211"/>
      <c r="AX1008" s="211"/>
      <c r="AY1008" s="211"/>
      <c r="AZ1008" s="211"/>
      <c r="BA1008" s="211"/>
      <c r="BB1008" s="211"/>
      <c r="BC1008" s="211"/>
    </row>
    <row r="1009" spans="1:55" s="213" customFormat="1" x14ac:dyDescent="0.35">
      <c r="A1009" s="211"/>
      <c r="B1009" s="211"/>
      <c r="C1009" s="211"/>
      <c r="D1009" s="211"/>
      <c r="E1009" s="211"/>
      <c r="F1009" s="211"/>
      <c r="G1009" s="211"/>
      <c r="H1009" s="211"/>
      <c r="I1009" s="212"/>
      <c r="J1009" s="212"/>
      <c r="K1009" s="212"/>
      <c r="L1009" s="212"/>
      <c r="M1009" s="212"/>
      <c r="N1009" s="212"/>
      <c r="O1009" s="212"/>
      <c r="P1009" s="211"/>
      <c r="Q1009" s="211"/>
      <c r="R1009" s="211"/>
      <c r="S1009" s="211"/>
      <c r="T1009" s="211"/>
      <c r="U1009" s="211"/>
      <c r="V1009" s="211"/>
      <c r="W1009" s="211"/>
      <c r="X1009" s="211"/>
      <c r="Y1009" s="211"/>
      <c r="Z1009" s="211"/>
      <c r="AD1009" s="211"/>
      <c r="AE1009" s="211"/>
      <c r="AF1009" s="211"/>
      <c r="AG1009" s="211"/>
      <c r="AH1009" s="211"/>
      <c r="AI1009" s="211"/>
      <c r="AJ1009" s="211"/>
      <c r="AK1009" s="211"/>
      <c r="AL1009" s="211"/>
      <c r="AM1009" s="211"/>
      <c r="AN1009" s="211"/>
      <c r="AO1009" s="211"/>
      <c r="AP1009" s="211"/>
      <c r="AQ1009" s="211"/>
      <c r="AR1009" s="211"/>
      <c r="AS1009" s="211"/>
      <c r="AT1009" s="211"/>
      <c r="AU1009" s="211"/>
      <c r="AV1009" s="211"/>
      <c r="AW1009" s="211"/>
      <c r="AX1009" s="211"/>
      <c r="AY1009" s="211"/>
      <c r="AZ1009" s="211"/>
      <c r="BA1009" s="211"/>
      <c r="BB1009" s="211"/>
      <c r="BC1009" s="211"/>
    </row>
    <row r="1010" spans="1:55" s="213" customFormat="1" x14ac:dyDescent="0.35">
      <c r="A1010" s="211"/>
      <c r="B1010" s="211"/>
      <c r="C1010" s="211"/>
      <c r="D1010" s="211"/>
      <c r="E1010" s="211"/>
      <c r="F1010" s="211"/>
      <c r="G1010" s="211"/>
      <c r="H1010" s="211"/>
      <c r="I1010" s="212"/>
      <c r="J1010" s="212"/>
      <c r="K1010" s="212"/>
      <c r="L1010" s="212"/>
      <c r="M1010" s="212"/>
      <c r="N1010" s="212"/>
      <c r="O1010" s="212"/>
      <c r="P1010" s="211"/>
      <c r="Q1010" s="211"/>
      <c r="R1010" s="211"/>
      <c r="S1010" s="211"/>
      <c r="T1010" s="211"/>
      <c r="U1010" s="211"/>
      <c r="V1010" s="211"/>
      <c r="W1010" s="211"/>
      <c r="X1010" s="211"/>
      <c r="Y1010" s="211"/>
      <c r="Z1010" s="211"/>
      <c r="AD1010" s="211"/>
      <c r="AE1010" s="211"/>
      <c r="AF1010" s="211"/>
      <c r="AG1010" s="211"/>
      <c r="AH1010" s="211"/>
      <c r="AI1010" s="211"/>
      <c r="AJ1010" s="211"/>
      <c r="AK1010" s="211"/>
      <c r="AL1010" s="211"/>
      <c r="AM1010" s="211"/>
      <c r="AN1010" s="211"/>
      <c r="AO1010" s="211"/>
      <c r="AP1010" s="211"/>
      <c r="AQ1010" s="211"/>
      <c r="AR1010" s="211"/>
      <c r="AS1010" s="211"/>
      <c r="AT1010" s="211"/>
      <c r="AU1010" s="211"/>
      <c r="AV1010" s="211"/>
      <c r="AW1010" s="211"/>
      <c r="AX1010" s="211"/>
      <c r="AY1010" s="211"/>
      <c r="AZ1010" s="211"/>
      <c r="BA1010" s="211"/>
      <c r="BB1010" s="211"/>
      <c r="BC1010" s="211"/>
    </row>
    <row r="1011" spans="1:55" s="213" customFormat="1" x14ac:dyDescent="0.35">
      <c r="A1011" s="211"/>
      <c r="B1011" s="211"/>
      <c r="C1011" s="211"/>
      <c r="D1011" s="211"/>
      <c r="E1011" s="211"/>
      <c r="F1011" s="211"/>
      <c r="G1011" s="211"/>
      <c r="H1011" s="211"/>
      <c r="I1011" s="212"/>
      <c r="J1011" s="212"/>
      <c r="K1011" s="212"/>
      <c r="L1011" s="212"/>
      <c r="M1011" s="212"/>
      <c r="N1011" s="212"/>
      <c r="O1011" s="212"/>
      <c r="P1011" s="211"/>
      <c r="Q1011" s="211"/>
      <c r="R1011" s="211"/>
      <c r="S1011" s="211"/>
      <c r="T1011" s="211"/>
      <c r="U1011" s="211"/>
      <c r="V1011" s="211"/>
      <c r="W1011" s="211"/>
      <c r="X1011" s="211"/>
      <c r="Y1011" s="211"/>
      <c r="Z1011" s="211"/>
      <c r="AD1011" s="211"/>
      <c r="AE1011" s="211"/>
      <c r="AF1011" s="211"/>
      <c r="AG1011" s="211"/>
      <c r="AH1011" s="211"/>
      <c r="AI1011" s="211"/>
      <c r="AJ1011" s="211"/>
      <c r="AK1011" s="211"/>
      <c r="AL1011" s="211"/>
      <c r="AM1011" s="211"/>
      <c r="AN1011" s="211"/>
      <c r="AO1011" s="211"/>
      <c r="AP1011" s="211"/>
      <c r="AQ1011" s="211"/>
      <c r="AR1011" s="211"/>
      <c r="AS1011" s="211"/>
      <c r="AT1011" s="211"/>
      <c r="AU1011" s="211"/>
      <c r="AV1011" s="211"/>
      <c r="AW1011" s="211"/>
      <c r="AX1011" s="211"/>
      <c r="AY1011" s="211"/>
      <c r="AZ1011" s="211"/>
      <c r="BA1011" s="211"/>
      <c r="BB1011" s="211"/>
      <c r="BC1011" s="211"/>
    </row>
    <row r="1012" spans="1:55" s="213" customFormat="1" x14ac:dyDescent="0.35">
      <c r="A1012" s="211"/>
      <c r="B1012" s="211"/>
      <c r="C1012" s="211"/>
      <c r="D1012" s="211"/>
      <c r="E1012" s="211"/>
      <c r="F1012" s="211"/>
      <c r="G1012" s="211"/>
      <c r="H1012" s="211"/>
      <c r="I1012" s="212"/>
      <c r="J1012" s="212"/>
      <c r="K1012" s="212"/>
      <c r="L1012" s="212"/>
      <c r="M1012" s="212"/>
      <c r="N1012" s="212"/>
      <c r="O1012" s="212"/>
      <c r="P1012" s="211"/>
      <c r="Q1012" s="211"/>
      <c r="R1012" s="211"/>
      <c r="S1012" s="211"/>
      <c r="T1012" s="211"/>
      <c r="U1012" s="211"/>
      <c r="V1012" s="211"/>
      <c r="W1012" s="211"/>
      <c r="X1012" s="211"/>
      <c r="Y1012" s="211"/>
      <c r="Z1012" s="211"/>
      <c r="AD1012" s="211"/>
      <c r="AE1012" s="211"/>
      <c r="AF1012" s="211"/>
      <c r="AG1012" s="211"/>
      <c r="AH1012" s="211"/>
      <c r="AI1012" s="211"/>
      <c r="AJ1012" s="211"/>
      <c r="AK1012" s="211"/>
      <c r="AL1012" s="211"/>
      <c r="AM1012" s="211"/>
      <c r="AN1012" s="211"/>
      <c r="AO1012" s="211"/>
      <c r="AP1012" s="211"/>
      <c r="AQ1012" s="211"/>
      <c r="AR1012" s="211"/>
      <c r="AS1012" s="211"/>
      <c r="AT1012" s="211"/>
      <c r="AU1012" s="211"/>
      <c r="AV1012" s="211"/>
      <c r="AW1012" s="211"/>
      <c r="AX1012" s="211"/>
      <c r="AY1012" s="211"/>
      <c r="AZ1012" s="211"/>
      <c r="BA1012" s="211"/>
      <c r="BB1012" s="211"/>
      <c r="BC1012" s="211"/>
    </row>
    <row r="1013" spans="1:55" s="213" customFormat="1" x14ac:dyDescent="0.35">
      <c r="A1013" s="211"/>
      <c r="B1013" s="211"/>
      <c r="C1013" s="211"/>
      <c r="D1013" s="211"/>
      <c r="E1013" s="211"/>
      <c r="F1013" s="211"/>
      <c r="G1013" s="211"/>
      <c r="H1013" s="211"/>
      <c r="I1013" s="212"/>
      <c r="J1013" s="212"/>
      <c r="K1013" s="212"/>
      <c r="L1013" s="212"/>
      <c r="M1013" s="212"/>
      <c r="N1013" s="212"/>
      <c r="O1013" s="212"/>
      <c r="P1013" s="211"/>
      <c r="Q1013" s="211"/>
      <c r="R1013" s="211"/>
      <c r="S1013" s="211"/>
      <c r="T1013" s="211"/>
      <c r="U1013" s="211"/>
      <c r="V1013" s="211"/>
      <c r="W1013" s="211"/>
      <c r="X1013" s="211"/>
      <c r="Y1013" s="211"/>
      <c r="Z1013" s="211"/>
      <c r="AD1013" s="211"/>
      <c r="AE1013" s="211"/>
      <c r="AF1013" s="211"/>
      <c r="AG1013" s="211"/>
      <c r="AH1013" s="211"/>
      <c r="AI1013" s="211"/>
      <c r="AJ1013" s="211"/>
      <c r="AK1013" s="211"/>
      <c r="AL1013" s="211"/>
      <c r="AM1013" s="211"/>
      <c r="AN1013" s="211"/>
      <c r="AO1013" s="211"/>
      <c r="AP1013" s="211"/>
      <c r="AQ1013" s="211"/>
      <c r="AR1013" s="211"/>
      <c r="AS1013" s="211"/>
      <c r="AT1013" s="211"/>
      <c r="AU1013" s="211"/>
      <c r="AV1013" s="211"/>
      <c r="AW1013" s="211"/>
      <c r="AX1013" s="211"/>
      <c r="AY1013" s="211"/>
      <c r="AZ1013" s="211"/>
      <c r="BA1013" s="211"/>
      <c r="BB1013" s="211"/>
      <c r="BC1013" s="211"/>
    </row>
    <row r="1014" spans="1:55" s="213" customFormat="1" x14ac:dyDescent="0.35">
      <c r="A1014" s="211"/>
      <c r="B1014" s="211"/>
      <c r="C1014" s="211"/>
      <c r="D1014" s="211"/>
      <c r="E1014" s="211"/>
      <c r="F1014" s="211"/>
      <c r="G1014" s="211"/>
      <c r="H1014" s="211"/>
      <c r="I1014" s="212"/>
      <c r="J1014" s="212"/>
      <c r="K1014" s="212"/>
      <c r="L1014" s="212"/>
      <c r="M1014" s="212"/>
      <c r="N1014" s="212"/>
      <c r="O1014" s="212"/>
      <c r="P1014" s="211"/>
      <c r="Q1014" s="211"/>
      <c r="R1014" s="211"/>
      <c r="S1014" s="211"/>
      <c r="T1014" s="211"/>
      <c r="U1014" s="211"/>
      <c r="V1014" s="211"/>
      <c r="W1014" s="211"/>
      <c r="X1014" s="211"/>
      <c r="Y1014" s="211"/>
      <c r="Z1014" s="211"/>
      <c r="AD1014" s="211"/>
      <c r="AE1014" s="211"/>
      <c r="AF1014" s="211"/>
      <c r="AG1014" s="211"/>
      <c r="AH1014" s="211"/>
      <c r="AI1014" s="211"/>
      <c r="AJ1014" s="211"/>
      <c r="AK1014" s="211"/>
      <c r="AL1014" s="211"/>
      <c r="AM1014" s="211"/>
      <c r="AN1014" s="211"/>
      <c r="AO1014" s="211"/>
      <c r="AP1014" s="211"/>
      <c r="AQ1014" s="211"/>
      <c r="AR1014" s="211"/>
      <c r="AS1014" s="211"/>
      <c r="AT1014" s="211"/>
      <c r="AU1014" s="211"/>
      <c r="AV1014" s="211"/>
      <c r="AW1014" s="211"/>
      <c r="AX1014" s="211"/>
      <c r="AY1014" s="211"/>
      <c r="AZ1014" s="211"/>
      <c r="BA1014" s="211"/>
      <c r="BB1014" s="211"/>
      <c r="BC1014" s="211"/>
    </row>
    <row r="1015" spans="1:55" s="213" customFormat="1" x14ac:dyDescent="0.35">
      <c r="A1015" s="211"/>
      <c r="B1015" s="211"/>
      <c r="C1015" s="211"/>
      <c r="D1015" s="211"/>
      <c r="E1015" s="211"/>
      <c r="F1015" s="211"/>
      <c r="G1015" s="211"/>
      <c r="H1015" s="211"/>
      <c r="I1015" s="212"/>
      <c r="J1015" s="212"/>
      <c r="K1015" s="212"/>
      <c r="L1015" s="212"/>
      <c r="M1015" s="212"/>
      <c r="N1015" s="212"/>
      <c r="O1015" s="212"/>
      <c r="P1015" s="211"/>
      <c r="Q1015" s="211"/>
      <c r="R1015" s="211"/>
      <c r="S1015" s="211"/>
      <c r="T1015" s="211"/>
      <c r="U1015" s="211"/>
      <c r="V1015" s="211"/>
      <c r="W1015" s="211"/>
      <c r="X1015" s="211"/>
      <c r="Y1015" s="211"/>
      <c r="Z1015" s="211"/>
      <c r="AD1015" s="211"/>
      <c r="AE1015" s="211"/>
      <c r="AF1015" s="211"/>
      <c r="AG1015" s="211"/>
      <c r="AH1015" s="211"/>
      <c r="AI1015" s="211"/>
      <c r="AJ1015" s="211"/>
      <c r="AK1015" s="211"/>
      <c r="AL1015" s="211"/>
      <c r="AM1015" s="211"/>
      <c r="AN1015" s="211"/>
      <c r="AO1015" s="211"/>
      <c r="AP1015" s="211"/>
      <c r="AQ1015" s="211"/>
      <c r="AR1015" s="211"/>
      <c r="AS1015" s="211"/>
      <c r="AT1015" s="211"/>
      <c r="AU1015" s="211"/>
      <c r="AV1015" s="211"/>
      <c r="AW1015" s="211"/>
      <c r="AX1015" s="211"/>
      <c r="AY1015" s="211"/>
      <c r="AZ1015" s="211"/>
      <c r="BA1015" s="211"/>
      <c r="BB1015" s="211"/>
      <c r="BC1015" s="211"/>
    </row>
    <row r="1016" spans="1:55" s="213" customFormat="1" x14ac:dyDescent="0.35">
      <c r="A1016" s="211"/>
      <c r="B1016" s="211"/>
      <c r="C1016" s="211"/>
      <c r="D1016" s="211"/>
      <c r="E1016" s="211"/>
      <c r="F1016" s="211"/>
      <c r="G1016" s="211"/>
      <c r="H1016" s="211"/>
      <c r="I1016" s="212"/>
      <c r="J1016" s="212"/>
      <c r="K1016" s="212"/>
      <c r="L1016" s="212"/>
      <c r="M1016" s="212"/>
      <c r="N1016" s="212"/>
      <c r="O1016" s="212"/>
      <c r="P1016" s="211"/>
      <c r="Q1016" s="211"/>
      <c r="R1016" s="211"/>
      <c r="S1016" s="211"/>
      <c r="T1016" s="211"/>
      <c r="U1016" s="211"/>
      <c r="V1016" s="211"/>
      <c r="W1016" s="211"/>
      <c r="X1016" s="211"/>
      <c r="Y1016" s="211"/>
      <c r="Z1016" s="211"/>
      <c r="AD1016" s="211"/>
      <c r="AE1016" s="211"/>
      <c r="AF1016" s="211"/>
      <c r="AG1016" s="211"/>
      <c r="AH1016" s="211"/>
      <c r="AI1016" s="211"/>
      <c r="AJ1016" s="211"/>
      <c r="AK1016" s="211"/>
      <c r="AL1016" s="211"/>
      <c r="AM1016" s="211"/>
      <c r="AN1016" s="211"/>
      <c r="AO1016" s="211"/>
      <c r="AP1016" s="211"/>
      <c r="AQ1016" s="211"/>
      <c r="AR1016" s="211"/>
      <c r="AS1016" s="211"/>
      <c r="AT1016" s="211"/>
      <c r="AU1016" s="211"/>
      <c r="AV1016" s="211"/>
      <c r="AW1016" s="211"/>
      <c r="AX1016" s="211"/>
      <c r="AY1016" s="211"/>
      <c r="AZ1016" s="211"/>
      <c r="BA1016" s="211"/>
      <c r="BB1016" s="211"/>
      <c r="BC1016" s="211"/>
    </row>
    <row r="1017" spans="1:55" s="213" customFormat="1" x14ac:dyDescent="0.35">
      <c r="A1017" s="211"/>
      <c r="B1017" s="211"/>
      <c r="C1017" s="211"/>
      <c r="D1017" s="211"/>
      <c r="E1017" s="211"/>
      <c r="F1017" s="211"/>
      <c r="G1017" s="211"/>
      <c r="H1017" s="211"/>
      <c r="I1017" s="212"/>
      <c r="J1017" s="212"/>
      <c r="K1017" s="212"/>
      <c r="L1017" s="212"/>
      <c r="M1017" s="212"/>
      <c r="N1017" s="212"/>
      <c r="O1017" s="212"/>
      <c r="P1017" s="211"/>
      <c r="Q1017" s="211"/>
      <c r="R1017" s="211"/>
      <c r="S1017" s="211"/>
      <c r="T1017" s="211"/>
      <c r="U1017" s="211"/>
      <c r="V1017" s="211"/>
      <c r="W1017" s="211"/>
      <c r="X1017" s="211"/>
      <c r="Y1017" s="211"/>
      <c r="Z1017" s="211"/>
      <c r="AD1017" s="211"/>
      <c r="AE1017" s="211"/>
      <c r="AF1017" s="211"/>
      <c r="AG1017" s="211"/>
      <c r="AH1017" s="211"/>
      <c r="AI1017" s="211"/>
      <c r="AJ1017" s="211"/>
      <c r="AK1017" s="211"/>
      <c r="AL1017" s="211"/>
      <c r="AM1017" s="211"/>
      <c r="AN1017" s="211"/>
      <c r="AO1017" s="211"/>
      <c r="AP1017" s="211"/>
      <c r="AQ1017" s="211"/>
      <c r="AR1017" s="211"/>
      <c r="AS1017" s="211"/>
      <c r="AT1017" s="211"/>
      <c r="AU1017" s="211"/>
      <c r="AV1017" s="211"/>
      <c r="AW1017" s="211"/>
      <c r="AX1017" s="211"/>
      <c r="AY1017" s="211"/>
      <c r="AZ1017" s="211"/>
      <c r="BA1017" s="211"/>
      <c r="BB1017" s="211"/>
      <c r="BC1017" s="211"/>
    </row>
    <row r="1018" spans="1:55" s="213" customFormat="1" x14ac:dyDescent="0.35">
      <c r="A1018" s="211"/>
      <c r="B1018" s="211"/>
      <c r="C1018" s="211"/>
      <c r="D1018" s="211"/>
      <c r="E1018" s="211"/>
      <c r="F1018" s="211"/>
      <c r="G1018" s="211"/>
      <c r="H1018" s="211"/>
      <c r="I1018" s="212"/>
      <c r="J1018" s="212"/>
      <c r="K1018" s="212"/>
      <c r="L1018" s="212"/>
      <c r="M1018" s="212"/>
      <c r="N1018" s="212"/>
      <c r="O1018" s="212"/>
      <c r="P1018" s="211"/>
      <c r="Q1018" s="211"/>
      <c r="R1018" s="211"/>
      <c r="S1018" s="211"/>
      <c r="T1018" s="211"/>
      <c r="U1018" s="211"/>
      <c r="V1018" s="211"/>
      <c r="W1018" s="211"/>
      <c r="X1018" s="211"/>
      <c r="Y1018" s="211"/>
      <c r="Z1018" s="211"/>
      <c r="AD1018" s="211"/>
      <c r="AE1018" s="211"/>
      <c r="AF1018" s="211"/>
      <c r="AG1018" s="211"/>
      <c r="AH1018" s="211"/>
      <c r="AI1018" s="211"/>
      <c r="AJ1018" s="211"/>
      <c r="AK1018" s="211"/>
      <c r="AL1018" s="211"/>
      <c r="AM1018" s="211"/>
      <c r="AN1018" s="211"/>
      <c r="AO1018" s="211"/>
      <c r="AP1018" s="211"/>
      <c r="AQ1018" s="211"/>
      <c r="AR1018" s="211"/>
      <c r="AS1018" s="211"/>
      <c r="AT1018" s="211"/>
      <c r="AU1018" s="211"/>
      <c r="AV1018" s="211"/>
      <c r="AW1018" s="211"/>
      <c r="AX1018" s="211"/>
      <c r="AY1018" s="211"/>
      <c r="AZ1018" s="211"/>
      <c r="BA1018" s="211"/>
      <c r="BB1018" s="211"/>
      <c r="BC1018" s="211"/>
    </row>
    <row r="1019" spans="1:55" s="213" customFormat="1" x14ac:dyDescent="0.35">
      <c r="A1019" s="211"/>
      <c r="B1019" s="211"/>
      <c r="C1019" s="211"/>
      <c r="D1019" s="211"/>
      <c r="E1019" s="211"/>
      <c r="F1019" s="211"/>
      <c r="G1019" s="211"/>
      <c r="H1019" s="211"/>
      <c r="I1019" s="212"/>
      <c r="J1019" s="212"/>
      <c r="K1019" s="212"/>
      <c r="L1019" s="212"/>
      <c r="M1019" s="212"/>
      <c r="N1019" s="212"/>
      <c r="O1019" s="212"/>
      <c r="P1019" s="211"/>
      <c r="Q1019" s="211"/>
      <c r="R1019" s="211"/>
      <c r="S1019" s="211"/>
      <c r="T1019" s="211"/>
      <c r="U1019" s="211"/>
      <c r="V1019" s="211"/>
      <c r="W1019" s="211"/>
      <c r="X1019" s="211"/>
      <c r="Y1019" s="211"/>
      <c r="Z1019" s="211"/>
      <c r="AD1019" s="211"/>
      <c r="AE1019" s="211"/>
      <c r="AF1019" s="211"/>
      <c r="AG1019" s="211"/>
      <c r="AH1019" s="211"/>
      <c r="AI1019" s="211"/>
      <c r="AJ1019" s="211"/>
      <c r="AK1019" s="211"/>
      <c r="AL1019" s="211"/>
      <c r="AM1019" s="211"/>
      <c r="AN1019" s="211"/>
      <c r="AO1019" s="211"/>
      <c r="AP1019" s="211"/>
      <c r="AQ1019" s="211"/>
      <c r="AR1019" s="211"/>
      <c r="AS1019" s="211"/>
      <c r="AT1019" s="211"/>
      <c r="AU1019" s="211"/>
      <c r="AV1019" s="211"/>
      <c r="AW1019" s="211"/>
      <c r="AX1019" s="211"/>
      <c r="AY1019" s="211"/>
      <c r="AZ1019" s="211"/>
      <c r="BA1019" s="211"/>
      <c r="BB1019" s="211"/>
      <c r="BC1019" s="211"/>
    </row>
    <row r="1020" spans="1:55" s="213" customFormat="1" x14ac:dyDescent="0.35">
      <c r="A1020" s="211"/>
      <c r="B1020" s="211"/>
      <c r="C1020" s="211"/>
      <c r="D1020" s="211"/>
      <c r="E1020" s="211"/>
      <c r="F1020" s="211"/>
      <c r="G1020" s="211"/>
      <c r="H1020" s="211"/>
      <c r="I1020" s="212"/>
      <c r="J1020" s="212"/>
      <c r="K1020" s="212"/>
      <c r="L1020" s="212"/>
      <c r="M1020" s="212"/>
      <c r="N1020" s="212"/>
      <c r="O1020" s="212"/>
      <c r="P1020" s="211"/>
      <c r="Q1020" s="211"/>
      <c r="R1020" s="211"/>
      <c r="S1020" s="211"/>
      <c r="T1020" s="211"/>
      <c r="U1020" s="211"/>
      <c r="V1020" s="211"/>
      <c r="W1020" s="211"/>
      <c r="X1020" s="211"/>
      <c r="Y1020" s="211"/>
      <c r="Z1020" s="211"/>
      <c r="AD1020" s="211"/>
      <c r="AE1020" s="211"/>
      <c r="AF1020" s="211"/>
      <c r="AG1020" s="211"/>
      <c r="AH1020" s="211"/>
      <c r="AI1020" s="211"/>
      <c r="AJ1020" s="211"/>
      <c r="AK1020" s="211"/>
      <c r="AL1020" s="211"/>
      <c r="AM1020" s="211"/>
      <c r="AN1020" s="211"/>
      <c r="AO1020" s="211"/>
      <c r="AP1020" s="211"/>
      <c r="AQ1020" s="211"/>
      <c r="AR1020" s="211"/>
      <c r="AS1020" s="211"/>
      <c r="AT1020" s="211"/>
      <c r="AU1020" s="211"/>
      <c r="AV1020" s="211"/>
      <c r="AW1020" s="211"/>
      <c r="AX1020" s="211"/>
      <c r="AY1020" s="211"/>
      <c r="AZ1020" s="211"/>
      <c r="BA1020" s="211"/>
      <c r="BB1020" s="211"/>
      <c r="BC1020" s="211"/>
    </row>
    <row r="1021" spans="1:55" s="213" customFormat="1" x14ac:dyDescent="0.35">
      <c r="A1021" s="211"/>
      <c r="B1021" s="211"/>
      <c r="C1021" s="211"/>
      <c r="D1021" s="211"/>
      <c r="E1021" s="211"/>
      <c r="F1021" s="211"/>
      <c r="G1021" s="211"/>
      <c r="H1021" s="211"/>
      <c r="I1021" s="212"/>
      <c r="J1021" s="212"/>
      <c r="K1021" s="212"/>
      <c r="L1021" s="212"/>
      <c r="M1021" s="212"/>
      <c r="N1021" s="212"/>
      <c r="O1021" s="212"/>
      <c r="P1021" s="211"/>
      <c r="Q1021" s="211"/>
      <c r="R1021" s="211"/>
      <c r="S1021" s="211"/>
      <c r="T1021" s="211"/>
      <c r="U1021" s="211"/>
      <c r="V1021" s="211"/>
      <c r="W1021" s="211"/>
      <c r="X1021" s="211"/>
      <c r="Y1021" s="211"/>
      <c r="Z1021" s="211"/>
      <c r="AD1021" s="211"/>
      <c r="AE1021" s="211"/>
      <c r="AF1021" s="211"/>
      <c r="AG1021" s="211"/>
      <c r="AH1021" s="211"/>
      <c r="AI1021" s="211"/>
      <c r="AJ1021" s="211"/>
      <c r="AK1021" s="211"/>
      <c r="AL1021" s="211"/>
      <c r="AM1021" s="211"/>
      <c r="AN1021" s="211"/>
      <c r="AO1021" s="211"/>
      <c r="AP1021" s="211"/>
      <c r="AQ1021" s="211"/>
      <c r="AR1021" s="211"/>
      <c r="AS1021" s="211"/>
      <c r="AT1021" s="211"/>
      <c r="AU1021" s="211"/>
      <c r="AV1021" s="211"/>
      <c r="AW1021" s="211"/>
      <c r="AX1021" s="211"/>
      <c r="AY1021" s="211"/>
      <c r="AZ1021" s="211"/>
      <c r="BA1021" s="211"/>
      <c r="BB1021" s="211"/>
      <c r="BC1021" s="211"/>
    </row>
    <row r="1022" spans="1:55" s="213" customFormat="1" x14ac:dyDescent="0.35">
      <c r="A1022" s="211"/>
      <c r="B1022" s="211"/>
      <c r="C1022" s="211"/>
      <c r="D1022" s="211"/>
      <c r="E1022" s="211"/>
      <c r="F1022" s="211"/>
      <c r="G1022" s="211"/>
      <c r="H1022" s="211"/>
      <c r="I1022" s="212"/>
      <c r="J1022" s="212"/>
      <c r="K1022" s="212"/>
      <c r="L1022" s="212"/>
      <c r="M1022" s="212"/>
      <c r="N1022" s="212"/>
      <c r="O1022" s="212"/>
      <c r="P1022" s="211"/>
      <c r="Q1022" s="211"/>
      <c r="R1022" s="211"/>
      <c r="S1022" s="211"/>
      <c r="T1022" s="211"/>
      <c r="U1022" s="211"/>
      <c r="V1022" s="211"/>
      <c r="W1022" s="211"/>
      <c r="X1022" s="211"/>
      <c r="Y1022" s="211"/>
      <c r="Z1022" s="211"/>
      <c r="AD1022" s="211"/>
      <c r="AE1022" s="211"/>
      <c r="AF1022" s="211"/>
      <c r="AG1022" s="211"/>
      <c r="AH1022" s="211"/>
      <c r="AI1022" s="211"/>
      <c r="AJ1022" s="211"/>
      <c r="AK1022" s="211"/>
      <c r="AL1022" s="211"/>
      <c r="AM1022" s="211"/>
      <c r="AN1022" s="211"/>
      <c r="AO1022" s="211"/>
      <c r="AP1022" s="211"/>
      <c r="AQ1022" s="211"/>
      <c r="AR1022" s="211"/>
      <c r="AS1022" s="211"/>
      <c r="AT1022" s="211"/>
      <c r="AU1022" s="211"/>
      <c r="AV1022" s="211"/>
      <c r="AW1022" s="211"/>
      <c r="AX1022" s="211"/>
      <c r="AY1022" s="211"/>
      <c r="AZ1022" s="211"/>
      <c r="BA1022" s="211"/>
      <c r="BB1022" s="211"/>
      <c r="BC1022" s="211"/>
    </row>
    <row r="1023" spans="1:55" s="213" customFormat="1" x14ac:dyDescent="0.35">
      <c r="A1023" s="211"/>
      <c r="B1023" s="211"/>
      <c r="C1023" s="211"/>
      <c r="D1023" s="211"/>
      <c r="E1023" s="211"/>
      <c r="F1023" s="211"/>
      <c r="G1023" s="211"/>
      <c r="H1023" s="211"/>
      <c r="I1023" s="212"/>
      <c r="J1023" s="212"/>
      <c r="K1023" s="212"/>
      <c r="L1023" s="212"/>
      <c r="M1023" s="212"/>
      <c r="N1023" s="212"/>
      <c r="O1023" s="212"/>
      <c r="P1023" s="211"/>
      <c r="Q1023" s="211"/>
      <c r="R1023" s="211"/>
      <c r="S1023" s="211"/>
      <c r="T1023" s="211"/>
      <c r="U1023" s="211"/>
      <c r="V1023" s="211"/>
      <c r="W1023" s="211"/>
      <c r="X1023" s="211"/>
      <c r="Y1023" s="211"/>
      <c r="Z1023" s="211"/>
      <c r="AD1023" s="211"/>
      <c r="AE1023" s="211"/>
      <c r="AF1023" s="211"/>
      <c r="AG1023" s="211"/>
      <c r="AH1023" s="211"/>
      <c r="AI1023" s="211"/>
      <c r="AJ1023" s="211"/>
      <c r="AK1023" s="211"/>
      <c r="AL1023" s="211"/>
      <c r="AM1023" s="211"/>
      <c r="AN1023" s="211"/>
      <c r="AO1023" s="211"/>
      <c r="AP1023" s="211"/>
      <c r="AQ1023" s="211"/>
      <c r="AR1023" s="211"/>
      <c r="AS1023" s="211"/>
      <c r="AT1023" s="211"/>
      <c r="AU1023" s="211"/>
      <c r="AV1023" s="211"/>
      <c r="AW1023" s="211"/>
      <c r="AX1023" s="211"/>
      <c r="AY1023" s="211"/>
      <c r="AZ1023" s="211"/>
      <c r="BA1023" s="211"/>
      <c r="BB1023" s="211"/>
      <c r="BC1023" s="211"/>
    </row>
    <row r="1024" spans="1:55" s="213" customFormat="1" x14ac:dyDescent="0.35">
      <c r="A1024" s="211"/>
      <c r="B1024" s="211"/>
      <c r="C1024" s="211"/>
      <c r="D1024" s="211"/>
      <c r="E1024" s="211"/>
      <c r="F1024" s="211"/>
      <c r="G1024" s="211"/>
      <c r="H1024" s="211"/>
      <c r="I1024" s="212"/>
      <c r="J1024" s="212"/>
      <c r="K1024" s="212"/>
      <c r="L1024" s="212"/>
      <c r="M1024" s="212"/>
      <c r="N1024" s="212"/>
      <c r="O1024" s="212"/>
      <c r="P1024" s="211"/>
      <c r="Q1024" s="211"/>
      <c r="R1024" s="211"/>
      <c r="S1024" s="211"/>
      <c r="T1024" s="211"/>
      <c r="U1024" s="211"/>
      <c r="V1024" s="211"/>
      <c r="W1024" s="211"/>
      <c r="X1024" s="211"/>
      <c r="Y1024" s="211"/>
      <c r="Z1024" s="211"/>
      <c r="AD1024" s="211"/>
      <c r="AE1024" s="211"/>
      <c r="AF1024" s="211"/>
      <c r="AG1024" s="211"/>
      <c r="AH1024" s="211"/>
      <c r="AI1024" s="211"/>
      <c r="AJ1024" s="211"/>
      <c r="AK1024" s="211"/>
      <c r="AL1024" s="211"/>
      <c r="AM1024" s="211"/>
      <c r="AN1024" s="211"/>
      <c r="AO1024" s="211"/>
      <c r="AP1024" s="211"/>
      <c r="AQ1024" s="211"/>
      <c r="AR1024" s="211"/>
      <c r="AS1024" s="211"/>
      <c r="AT1024" s="211"/>
      <c r="AU1024" s="211"/>
      <c r="AV1024" s="211"/>
      <c r="AW1024" s="211"/>
      <c r="AX1024" s="211"/>
      <c r="AY1024" s="211"/>
      <c r="AZ1024" s="211"/>
      <c r="BA1024" s="211"/>
      <c r="BB1024" s="211"/>
      <c r="BC1024" s="211"/>
    </row>
    <row r="1025" spans="1:55" s="213" customFormat="1" x14ac:dyDescent="0.35">
      <c r="A1025" s="211"/>
      <c r="B1025" s="211"/>
      <c r="C1025" s="211"/>
      <c r="D1025" s="211"/>
      <c r="E1025" s="211"/>
      <c r="F1025" s="211"/>
      <c r="G1025" s="211"/>
      <c r="H1025" s="211"/>
      <c r="I1025" s="212"/>
      <c r="J1025" s="212"/>
      <c r="K1025" s="212"/>
      <c r="L1025" s="212"/>
      <c r="M1025" s="212"/>
      <c r="N1025" s="212"/>
      <c r="O1025" s="212"/>
      <c r="P1025" s="211"/>
      <c r="Q1025" s="211"/>
      <c r="R1025" s="211"/>
      <c r="S1025" s="211"/>
      <c r="T1025" s="211"/>
      <c r="U1025" s="211"/>
      <c r="V1025" s="211"/>
      <c r="W1025" s="211"/>
      <c r="X1025" s="211"/>
      <c r="Y1025" s="211"/>
      <c r="Z1025" s="211"/>
      <c r="AD1025" s="211"/>
      <c r="AE1025" s="211"/>
      <c r="AF1025" s="211"/>
      <c r="AG1025" s="211"/>
      <c r="AH1025" s="211"/>
      <c r="AI1025" s="211"/>
      <c r="AJ1025" s="211"/>
      <c r="AK1025" s="211"/>
      <c r="AL1025" s="211"/>
      <c r="AM1025" s="211"/>
      <c r="AN1025" s="211"/>
      <c r="AO1025" s="211"/>
      <c r="AP1025" s="211"/>
      <c r="AQ1025" s="211"/>
      <c r="AR1025" s="211"/>
      <c r="AS1025" s="211"/>
      <c r="AT1025" s="211"/>
      <c r="AU1025" s="211"/>
      <c r="AV1025" s="211"/>
      <c r="AW1025" s="211"/>
      <c r="AX1025" s="211"/>
      <c r="AY1025" s="211"/>
      <c r="AZ1025" s="211"/>
      <c r="BA1025" s="211"/>
      <c r="BB1025" s="211"/>
      <c r="BC1025" s="211"/>
    </row>
    <row r="1026" spans="1:55" s="213" customFormat="1" x14ac:dyDescent="0.35">
      <c r="A1026" s="211"/>
      <c r="B1026" s="211"/>
      <c r="C1026" s="211"/>
      <c r="D1026" s="211"/>
      <c r="E1026" s="211"/>
      <c r="F1026" s="211"/>
      <c r="G1026" s="211"/>
      <c r="H1026" s="211"/>
      <c r="I1026" s="212"/>
      <c r="J1026" s="212"/>
      <c r="K1026" s="212"/>
      <c r="L1026" s="212"/>
      <c r="M1026" s="212"/>
      <c r="N1026" s="212"/>
      <c r="O1026" s="212"/>
      <c r="P1026" s="211"/>
      <c r="Q1026" s="211"/>
      <c r="R1026" s="211"/>
      <c r="S1026" s="211"/>
      <c r="T1026" s="211"/>
      <c r="U1026" s="211"/>
      <c r="V1026" s="211"/>
      <c r="W1026" s="211"/>
      <c r="X1026" s="211"/>
      <c r="Y1026" s="211"/>
      <c r="Z1026" s="211"/>
      <c r="AD1026" s="211"/>
      <c r="AE1026" s="211"/>
      <c r="AF1026" s="211"/>
      <c r="AG1026" s="211"/>
      <c r="AH1026" s="211"/>
      <c r="AI1026" s="211"/>
      <c r="AJ1026" s="211"/>
      <c r="AK1026" s="211"/>
      <c r="AL1026" s="211"/>
      <c r="AM1026" s="211"/>
      <c r="AN1026" s="211"/>
      <c r="AO1026" s="211"/>
      <c r="AP1026" s="211"/>
      <c r="AQ1026" s="211"/>
      <c r="AR1026" s="211"/>
      <c r="AS1026" s="211"/>
      <c r="AT1026" s="211"/>
      <c r="AU1026" s="211"/>
      <c r="AV1026" s="211"/>
      <c r="AW1026" s="211"/>
      <c r="AX1026" s="211"/>
      <c r="AY1026" s="211"/>
      <c r="AZ1026" s="211"/>
      <c r="BA1026" s="211"/>
      <c r="BB1026" s="211"/>
      <c r="BC1026" s="211"/>
    </row>
    <row r="1027" spans="1:55" s="213" customFormat="1" x14ac:dyDescent="0.35">
      <c r="A1027" s="211"/>
      <c r="B1027" s="211"/>
      <c r="C1027" s="211"/>
      <c r="D1027" s="211"/>
      <c r="E1027" s="211"/>
      <c r="F1027" s="211"/>
      <c r="G1027" s="211"/>
      <c r="H1027" s="211"/>
      <c r="I1027" s="212"/>
      <c r="J1027" s="212"/>
      <c r="K1027" s="212"/>
      <c r="L1027" s="212"/>
      <c r="M1027" s="212"/>
      <c r="N1027" s="212"/>
      <c r="O1027" s="212"/>
      <c r="P1027" s="211"/>
      <c r="Q1027" s="211"/>
      <c r="R1027" s="211"/>
      <c r="S1027" s="211"/>
      <c r="T1027" s="211"/>
      <c r="U1027" s="211"/>
      <c r="V1027" s="211"/>
      <c r="W1027" s="211"/>
      <c r="X1027" s="211"/>
      <c r="Y1027" s="211"/>
      <c r="Z1027" s="211"/>
      <c r="AD1027" s="211"/>
      <c r="AE1027" s="211"/>
      <c r="AF1027" s="211"/>
      <c r="AG1027" s="211"/>
      <c r="AH1027" s="211"/>
      <c r="AI1027" s="211"/>
      <c r="AJ1027" s="211"/>
      <c r="AK1027" s="211"/>
      <c r="AL1027" s="211"/>
      <c r="AM1027" s="211"/>
      <c r="AN1027" s="211"/>
      <c r="AO1027" s="211"/>
      <c r="AP1027" s="211"/>
      <c r="AQ1027" s="211"/>
      <c r="AR1027" s="211"/>
      <c r="AS1027" s="211"/>
      <c r="AT1027" s="211"/>
      <c r="AU1027" s="211"/>
      <c r="AV1027" s="211"/>
      <c r="AW1027" s="211"/>
      <c r="AX1027" s="211"/>
      <c r="AY1027" s="211"/>
      <c r="AZ1027" s="211"/>
      <c r="BA1027" s="211"/>
      <c r="BB1027" s="211"/>
      <c r="BC1027" s="211"/>
    </row>
    <row r="1028" spans="1:55" s="213" customFormat="1" x14ac:dyDescent="0.35">
      <c r="A1028" s="211"/>
      <c r="B1028" s="211"/>
      <c r="C1028" s="211"/>
      <c r="D1028" s="211"/>
      <c r="E1028" s="211"/>
      <c r="F1028" s="211"/>
      <c r="G1028" s="211"/>
      <c r="H1028" s="211"/>
      <c r="I1028" s="212"/>
      <c r="J1028" s="212"/>
      <c r="K1028" s="212"/>
      <c r="L1028" s="212"/>
      <c r="M1028" s="212"/>
      <c r="N1028" s="212"/>
      <c r="O1028" s="212"/>
      <c r="P1028" s="211"/>
      <c r="Q1028" s="211"/>
      <c r="R1028" s="211"/>
      <c r="S1028" s="211"/>
      <c r="T1028" s="211"/>
      <c r="U1028" s="211"/>
      <c r="V1028" s="211"/>
      <c r="W1028" s="211"/>
      <c r="X1028" s="211"/>
      <c r="Y1028" s="211"/>
      <c r="Z1028" s="211"/>
      <c r="AD1028" s="211"/>
      <c r="AE1028" s="211"/>
      <c r="AF1028" s="211"/>
      <c r="AG1028" s="211"/>
      <c r="AH1028" s="211"/>
      <c r="AI1028" s="211"/>
      <c r="AJ1028" s="211"/>
      <c r="AK1028" s="211"/>
      <c r="AL1028" s="211"/>
      <c r="AM1028" s="211"/>
      <c r="AN1028" s="211"/>
      <c r="AO1028" s="211"/>
      <c r="AP1028" s="211"/>
      <c r="AQ1028" s="211"/>
      <c r="AR1028" s="211"/>
      <c r="AS1028" s="211"/>
      <c r="AT1028" s="211"/>
      <c r="AU1028" s="211"/>
      <c r="AV1028" s="211"/>
      <c r="AW1028" s="211"/>
      <c r="AX1028" s="211"/>
      <c r="AY1028" s="211"/>
      <c r="AZ1028" s="211"/>
      <c r="BA1028" s="211"/>
      <c r="BB1028" s="211"/>
      <c r="BC1028" s="211"/>
    </row>
    <row r="1029" spans="1:55" s="213" customFormat="1" x14ac:dyDescent="0.35">
      <c r="A1029" s="211"/>
      <c r="B1029" s="211"/>
      <c r="C1029" s="211"/>
      <c r="D1029" s="211"/>
      <c r="E1029" s="211"/>
      <c r="F1029" s="211"/>
      <c r="G1029" s="211"/>
      <c r="H1029" s="211"/>
      <c r="I1029" s="212"/>
      <c r="J1029" s="212"/>
      <c r="K1029" s="212"/>
      <c r="L1029" s="212"/>
      <c r="M1029" s="212"/>
      <c r="N1029" s="212"/>
      <c r="O1029" s="212"/>
      <c r="P1029" s="211"/>
      <c r="Q1029" s="211"/>
      <c r="R1029" s="211"/>
      <c r="S1029" s="211"/>
      <c r="T1029" s="211"/>
      <c r="U1029" s="211"/>
      <c r="V1029" s="211"/>
      <c r="W1029" s="211"/>
      <c r="X1029" s="211"/>
      <c r="Y1029" s="211"/>
      <c r="Z1029" s="211"/>
      <c r="AD1029" s="211"/>
      <c r="AE1029" s="211"/>
      <c r="AF1029" s="211"/>
      <c r="AG1029" s="211"/>
      <c r="AH1029" s="211"/>
      <c r="AI1029" s="211"/>
      <c r="AJ1029" s="211"/>
      <c r="AK1029" s="211"/>
      <c r="AL1029" s="211"/>
      <c r="AM1029" s="211"/>
      <c r="AN1029" s="211"/>
      <c r="AO1029" s="211"/>
      <c r="AP1029" s="211"/>
      <c r="AQ1029" s="211"/>
      <c r="AR1029" s="211"/>
      <c r="AS1029" s="211"/>
      <c r="AT1029" s="211"/>
      <c r="AU1029" s="211"/>
      <c r="AV1029" s="211"/>
      <c r="AW1029" s="211"/>
      <c r="AX1029" s="211"/>
      <c r="AY1029" s="211"/>
      <c r="AZ1029" s="211"/>
      <c r="BA1029" s="211"/>
      <c r="BB1029" s="211"/>
      <c r="BC1029" s="211"/>
    </row>
    <row r="1030" spans="1:55" s="213" customFormat="1" x14ac:dyDescent="0.35">
      <c r="A1030" s="211"/>
      <c r="B1030" s="211"/>
      <c r="C1030" s="211"/>
      <c r="D1030" s="211"/>
      <c r="E1030" s="211"/>
      <c r="F1030" s="211"/>
      <c r="G1030" s="211"/>
      <c r="H1030" s="211"/>
      <c r="I1030" s="212"/>
      <c r="J1030" s="212"/>
      <c r="K1030" s="212"/>
      <c r="L1030" s="212"/>
      <c r="M1030" s="212"/>
      <c r="N1030" s="212"/>
      <c r="O1030" s="212"/>
      <c r="P1030" s="211"/>
      <c r="Q1030" s="211"/>
      <c r="R1030" s="211"/>
      <c r="S1030" s="211"/>
      <c r="T1030" s="211"/>
      <c r="U1030" s="211"/>
      <c r="V1030" s="211"/>
      <c r="W1030" s="211"/>
      <c r="X1030" s="211"/>
      <c r="Y1030" s="211"/>
      <c r="Z1030" s="211"/>
      <c r="AD1030" s="211"/>
      <c r="AE1030" s="211"/>
      <c r="AF1030" s="211"/>
      <c r="AG1030" s="211"/>
      <c r="AH1030" s="211"/>
      <c r="AI1030" s="211"/>
      <c r="AJ1030" s="211"/>
      <c r="AK1030" s="211"/>
      <c r="AL1030" s="211"/>
      <c r="AM1030" s="211"/>
      <c r="AN1030" s="211"/>
      <c r="AO1030" s="211"/>
      <c r="AP1030" s="211"/>
      <c r="AQ1030" s="211"/>
      <c r="AR1030" s="211"/>
      <c r="AS1030" s="211"/>
      <c r="AT1030" s="211"/>
      <c r="AU1030" s="211"/>
      <c r="AV1030" s="211"/>
      <c r="AW1030" s="211"/>
      <c r="AX1030" s="211"/>
      <c r="AY1030" s="211"/>
      <c r="AZ1030" s="211"/>
      <c r="BA1030" s="211"/>
      <c r="BB1030" s="211"/>
      <c r="BC1030" s="211"/>
    </row>
    <row r="1031" spans="1:55" s="213" customFormat="1" x14ac:dyDescent="0.35">
      <c r="A1031" s="211"/>
      <c r="B1031" s="211"/>
      <c r="C1031" s="211"/>
      <c r="D1031" s="211"/>
      <c r="E1031" s="211"/>
      <c r="F1031" s="211"/>
      <c r="G1031" s="211"/>
      <c r="H1031" s="211"/>
      <c r="I1031" s="212"/>
      <c r="J1031" s="212"/>
      <c r="K1031" s="212"/>
      <c r="L1031" s="212"/>
      <c r="M1031" s="212"/>
      <c r="N1031" s="212"/>
      <c r="O1031" s="212"/>
      <c r="P1031" s="211"/>
      <c r="Q1031" s="211"/>
      <c r="R1031" s="211"/>
      <c r="S1031" s="211"/>
      <c r="T1031" s="211"/>
      <c r="U1031" s="211"/>
      <c r="V1031" s="211"/>
      <c r="W1031" s="211"/>
      <c r="X1031" s="211"/>
      <c r="Y1031" s="211"/>
      <c r="Z1031" s="211"/>
      <c r="AD1031" s="211"/>
      <c r="AE1031" s="211"/>
      <c r="AF1031" s="211"/>
      <c r="AG1031" s="211"/>
      <c r="AH1031" s="211"/>
      <c r="AI1031" s="211"/>
      <c r="AJ1031" s="211"/>
      <c r="AK1031" s="211"/>
      <c r="AL1031" s="211"/>
      <c r="AM1031" s="211"/>
      <c r="AN1031" s="211"/>
      <c r="AO1031" s="211"/>
      <c r="AP1031" s="211"/>
      <c r="AQ1031" s="211"/>
      <c r="AR1031" s="211"/>
      <c r="AS1031" s="211"/>
      <c r="AT1031" s="211"/>
      <c r="AU1031" s="211"/>
      <c r="AV1031" s="211"/>
      <c r="AW1031" s="211"/>
      <c r="AX1031" s="211"/>
      <c r="AY1031" s="211"/>
      <c r="AZ1031" s="211"/>
      <c r="BA1031" s="211"/>
      <c r="BB1031" s="211"/>
      <c r="BC1031" s="211"/>
    </row>
    <row r="1032" spans="1:55" s="213" customFormat="1" x14ac:dyDescent="0.35">
      <c r="A1032" s="211"/>
      <c r="B1032" s="211"/>
      <c r="C1032" s="211"/>
      <c r="D1032" s="211"/>
      <c r="E1032" s="211"/>
      <c r="F1032" s="211"/>
      <c r="G1032" s="211"/>
      <c r="H1032" s="211"/>
      <c r="I1032" s="212"/>
      <c r="J1032" s="212"/>
      <c r="K1032" s="212"/>
      <c r="L1032" s="212"/>
      <c r="M1032" s="212"/>
      <c r="N1032" s="212"/>
      <c r="O1032" s="212"/>
      <c r="P1032" s="211"/>
      <c r="Q1032" s="211"/>
      <c r="R1032" s="211"/>
      <c r="S1032" s="211"/>
      <c r="T1032" s="211"/>
      <c r="U1032" s="211"/>
      <c r="V1032" s="211"/>
      <c r="W1032" s="211"/>
      <c r="X1032" s="211"/>
      <c r="Y1032" s="211"/>
      <c r="Z1032" s="211"/>
      <c r="AD1032" s="211"/>
      <c r="AE1032" s="211"/>
      <c r="AF1032" s="211"/>
      <c r="AG1032" s="211"/>
      <c r="AH1032" s="211"/>
      <c r="AI1032" s="211"/>
      <c r="AJ1032" s="211"/>
      <c r="AK1032" s="211"/>
      <c r="AL1032" s="211"/>
      <c r="AM1032" s="211"/>
      <c r="AN1032" s="211"/>
      <c r="AO1032" s="211"/>
      <c r="AP1032" s="211"/>
      <c r="AQ1032" s="211"/>
      <c r="AR1032" s="211"/>
      <c r="AS1032" s="211"/>
      <c r="AT1032" s="211"/>
      <c r="AU1032" s="211"/>
      <c r="AV1032" s="211"/>
      <c r="AW1032" s="211"/>
      <c r="AX1032" s="211"/>
      <c r="AY1032" s="211"/>
      <c r="AZ1032" s="211"/>
      <c r="BA1032" s="211"/>
      <c r="BB1032" s="211"/>
      <c r="BC1032" s="211"/>
    </row>
    <row r="1033" spans="1:55" s="213" customFormat="1" x14ac:dyDescent="0.35">
      <c r="A1033" s="211"/>
      <c r="B1033" s="211"/>
      <c r="C1033" s="211"/>
      <c r="D1033" s="211"/>
      <c r="E1033" s="211"/>
      <c r="F1033" s="211"/>
      <c r="G1033" s="211"/>
      <c r="H1033" s="211"/>
      <c r="I1033" s="212"/>
      <c r="J1033" s="212"/>
      <c r="K1033" s="212"/>
      <c r="L1033" s="212"/>
      <c r="M1033" s="212"/>
      <c r="N1033" s="212"/>
      <c r="O1033" s="212"/>
      <c r="P1033" s="211"/>
      <c r="Q1033" s="211"/>
      <c r="R1033" s="211"/>
      <c r="S1033" s="211"/>
      <c r="T1033" s="211"/>
      <c r="U1033" s="211"/>
      <c r="V1033" s="211"/>
      <c r="W1033" s="211"/>
      <c r="X1033" s="211"/>
      <c r="Y1033" s="211"/>
      <c r="Z1033" s="211"/>
      <c r="AD1033" s="211"/>
      <c r="AE1033" s="211"/>
      <c r="AF1033" s="211"/>
      <c r="AG1033" s="211"/>
      <c r="AH1033" s="211"/>
      <c r="AI1033" s="211"/>
      <c r="AJ1033" s="211"/>
      <c r="AK1033" s="211"/>
      <c r="AL1033" s="211"/>
      <c r="AM1033" s="211"/>
      <c r="AN1033" s="211"/>
      <c r="AO1033" s="211"/>
      <c r="AP1033" s="211"/>
      <c r="AQ1033" s="211"/>
      <c r="AR1033" s="211"/>
      <c r="AS1033" s="211"/>
      <c r="AT1033" s="211"/>
      <c r="AU1033" s="211"/>
      <c r="AV1033" s="211"/>
      <c r="AW1033" s="211"/>
      <c r="AX1033" s="211"/>
      <c r="AY1033" s="211"/>
      <c r="AZ1033" s="211"/>
      <c r="BA1033" s="211"/>
      <c r="BB1033" s="211"/>
      <c r="BC1033" s="211"/>
    </row>
    <row r="1034" spans="1:55" s="213" customFormat="1" x14ac:dyDescent="0.35">
      <c r="A1034" s="211"/>
      <c r="B1034" s="211"/>
      <c r="C1034" s="211"/>
      <c r="D1034" s="211"/>
      <c r="E1034" s="211"/>
      <c r="F1034" s="211"/>
      <c r="G1034" s="211"/>
      <c r="H1034" s="211"/>
      <c r="I1034" s="212"/>
      <c r="J1034" s="212"/>
      <c r="K1034" s="212"/>
      <c r="L1034" s="212"/>
      <c r="M1034" s="212"/>
      <c r="N1034" s="212"/>
      <c r="O1034" s="212"/>
      <c r="P1034" s="211"/>
      <c r="Q1034" s="211"/>
      <c r="R1034" s="211"/>
      <c r="S1034" s="211"/>
      <c r="T1034" s="211"/>
      <c r="U1034" s="211"/>
      <c r="V1034" s="211"/>
      <c r="W1034" s="211"/>
      <c r="X1034" s="211"/>
      <c r="Y1034" s="211"/>
      <c r="Z1034" s="211"/>
      <c r="AD1034" s="211"/>
      <c r="AE1034" s="211"/>
      <c r="AF1034" s="211"/>
      <c r="AG1034" s="211"/>
      <c r="AH1034" s="211"/>
      <c r="AI1034" s="211"/>
      <c r="AJ1034" s="211"/>
      <c r="AK1034" s="211"/>
      <c r="AL1034" s="211"/>
      <c r="AM1034" s="211"/>
      <c r="AN1034" s="211"/>
      <c r="AO1034" s="211"/>
      <c r="AP1034" s="211"/>
      <c r="AQ1034" s="211"/>
      <c r="AR1034" s="211"/>
      <c r="AS1034" s="211"/>
      <c r="AT1034" s="211"/>
      <c r="AU1034" s="211"/>
      <c r="AV1034" s="211"/>
      <c r="AW1034" s="211"/>
      <c r="AX1034" s="211"/>
      <c r="AY1034" s="211"/>
      <c r="AZ1034" s="211"/>
      <c r="BA1034" s="211"/>
      <c r="BB1034" s="211"/>
      <c r="BC1034" s="211"/>
    </row>
    <row r="1035" spans="1:55" s="213" customFormat="1" x14ac:dyDescent="0.35">
      <c r="A1035" s="211"/>
      <c r="B1035" s="211"/>
      <c r="C1035" s="211"/>
      <c r="D1035" s="211"/>
      <c r="E1035" s="211"/>
      <c r="F1035" s="211"/>
      <c r="G1035" s="211"/>
      <c r="H1035" s="211"/>
      <c r="I1035" s="212"/>
      <c r="J1035" s="212"/>
      <c r="K1035" s="212"/>
      <c r="L1035" s="212"/>
      <c r="M1035" s="212"/>
      <c r="N1035" s="212"/>
      <c r="O1035" s="212"/>
      <c r="P1035" s="211"/>
      <c r="Q1035" s="211"/>
      <c r="R1035" s="211"/>
      <c r="S1035" s="211"/>
      <c r="T1035" s="211"/>
      <c r="U1035" s="211"/>
      <c r="V1035" s="211"/>
      <c r="W1035" s="211"/>
      <c r="X1035" s="211"/>
      <c r="Y1035" s="211"/>
      <c r="Z1035" s="211"/>
      <c r="AD1035" s="211"/>
      <c r="AE1035" s="211"/>
      <c r="AF1035" s="211"/>
      <c r="AG1035" s="211"/>
      <c r="AH1035" s="211"/>
      <c r="AI1035" s="211"/>
      <c r="AJ1035" s="211"/>
      <c r="AK1035" s="211"/>
      <c r="AL1035" s="211"/>
      <c r="AM1035" s="211"/>
      <c r="AN1035" s="211"/>
      <c r="AO1035" s="211"/>
      <c r="AP1035" s="211"/>
      <c r="AQ1035" s="211"/>
      <c r="AR1035" s="211"/>
      <c r="AS1035" s="211"/>
      <c r="AT1035" s="211"/>
      <c r="AU1035" s="211"/>
      <c r="AV1035" s="211"/>
      <c r="AW1035" s="211"/>
      <c r="AX1035" s="211"/>
      <c r="AY1035" s="211"/>
      <c r="AZ1035" s="211"/>
      <c r="BA1035" s="211"/>
      <c r="BB1035" s="211"/>
      <c r="BC1035" s="211"/>
    </row>
    <row r="1036" spans="1:55" s="213" customFormat="1" x14ac:dyDescent="0.35">
      <c r="A1036" s="211"/>
      <c r="B1036" s="211"/>
      <c r="C1036" s="211"/>
      <c r="D1036" s="211"/>
      <c r="E1036" s="211"/>
      <c r="F1036" s="211"/>
      <c r="G1036" s="211"/>
      <c r="H1036" s="211"/>
      <c r="I1036" s="212"/>
      <c r="J1036" s="212"/>
      <c r="K1036" s="212"/>
      <c r="L1036" s="212"/>
      <c r="M1036" s="212"/>
      <c r="N1036" s="212"/>
      <c r="O1036" s="212"/>
      <c r="P1036" s="211"/>
      <c r="Q1036" s="211"/>
      <c r="R1036" s="211"/>
      <c r="S1036" s="211"/>
      <c r="T1036" s="211"/>
      <c r="U1036" s="211"/>
      <c r="V1036" s="211"/>
      <c r="W1036" s="211"/>
      <c r="X1036" s="211"/>
      <c r="Y1036" s="211"/>
      <c r="Z1036" s="211"/>
      <c r="AD1036" s="211"/>
      <c r="AE1036" s="211"/>
      <c r="AF1036" s="211"/>
      <c r="AG1036" s="211"/>
      <c r="AH1036" s="211"/>
      <c r="AI1036" s="211"/>
      <c r="AJ1036" s="211"/>
      <c r="AK1036" s="211"/>
      <c r="AL1036" s="211"/>
      <c r="AM1036" s="211"/>
      <c r="AN1036" s="211"/>
      <c r="AO1036" s="211"/>
      <c r="AP1036" s="211"/>
      <c r="AQ1036" s="211"/>
      <c r="AR1036" s="211"/>
      <c r="AS1036" s="211"/>
      <c r="AT1036" s="211"/>
      <c r="AU1036" s="211"/>
      <c r="AV1036" s="211"/>
      <c r="AW1036" s="211"/>
      <c r="AX1036" s="211"/>
      <c r="AY1036" s="211"/>
      <c r="AZ1036" s="211"/>
      <c r="BA1036" s="211"/>
      <c r="BB1036" s="211"/>
      <c r="BC1036" s="211"/>
    </row>
    <row r="1037" spans="1:55" s="213" customFormat="1" x14ac:dyDescent="0.35">
      <c r="A1037" s="211"/>
      <c r="B1037" s="211"/>
      <c r="C1037" s="211"/>
      <c r="D1037" s="211"/>
      <c r="E1037" s="211"/>
      <c r="F1037" s="211"/>
      <c r="G1037" s="211"/>
      <c r="H1037" s="211"/>
      <c r="I1037" s="212"/>
      <c r="J1037" s="212"/>
      <c r="K1037" s="212"/>
      <c r="L1037" s="212"/>
      <c r="M1037" s="212"/>
      <c r="N1037" s="212"/>
      <c r="O1037" s="212"/>
      <c r="P1037" s="211"/>
      <c r="Q1037" s="211"/>
      <c r="R1037" s="211"/>
      <c r="S1037" s="211"/>
      <c r="T1037" s="211"/>
      <c r="U1037" s="211"/>
      <c r="V1037" s="211"/>
      <c r="W1037" s="211"/>
      <c r="X1037" s="211"/>
      <c r="Y1037" s="211"/>
      <c r="Z1037" s="211"/>
      <c r="AD1037" s="211"/>
      <c r="AE1037" s="211"/>
      <c r="AF1037" s="211"/>
      <c r="AG1037" s="211"/>
      <c r="AH1037" s="211"/>
      <c r="AI1037" s="211"/>
      <c r="AJ1037" s="211"/>
      <c r="AK1037" s="211"/>
      <c r="AL1037" s="211"/>
      <c r="AM1037" s="211"/>
      <c r="AN1037" s="211"/>
      <c r="AO1037" s="211"/>
      <c r="AP1037" s="211"/>
      <c r="AQ1037" s="211"/>
      <c r="AR1037" s="211"/>
      <c r="AS1037" s="211"/>
      <c r="AT1037" s="211"/>
      <c r="AU1037" s="211"/>
      <c r="AV1037" s="211"/>
      <c r="AW1037" s="211"/>
      <c r="AX1037" s="211"/>
      <c r="AY1037" s="211"/>
      <c r="AZ1037" s="211"/>
      <c r="BA1037" s="211"/>
      <c r="BB1037" s="211"/>
      <c r="BC1037" s="211"/>
    </row>
    <row r="1038" spans="1:55" s="213" customFormat="1" x14ac:dyDescent="0.35">
      <c r="A1038" s="211"/>
      <c r="B1038" s="211"/>
      <c r="C1038" s="211"/>
      <c r="D1038" s="211"/>
      <c r="E1038" s="211"/>
      <c r="F1038" s="211"/>
      <c r="G1038" s="211"/>
      <c r="H1038" s="211"/>
      <c r="I1038" s="212"/>
      <c r="J1038" s="212"/>
      <c r="K1038" s="212"/>
      <c r="L1038" s="212"/>
      <c r="M1038" s="212"/>
      <c r="N1038" s="212"/>
      <c r="O1038" s="212"/>
      <c r="P1038" s="211"/>
      <c r="Q1038" s="211"/>
      <c r="R1038" s="211"/>
      <c r="S1038" s="211"/>
      <c r="T1038" s="211"/>
      <c r="U1038" s="211"/>
      <c r="V1038" s="211"/>
      <c r="W1038" s="211"/>
      <c r="X1038" s="211"/>
      <c r="Y1038" s="211"/>
      <c r="Z1038" s="211"/>
      <c r="AD1038" s="211"/>
      <c r="AE1038" s="211"/>
      <c r="AF1038" s="211"/>
      <c r="AG1038" s="211"/>
      <c r="AH1038" s="211"/>
      <c r="AI1038" s="211"/>
      <c r="AJ1038" s="211"/>
      <c r="AK1038" s="211"/>
      <c r="AL1038" s="211"/>
      <c r="AM1038" s="211"/>
      <c r="AN1038" s="211"/>
      <c r="AO1038" s="211"/>
      <c r="AP1038" s="211"/>
      <c r="AQ1038" s="211"/>
      <c r="AR1038" s="211"/>
      <c r="AS1038" s="211"/>
      <c r="AT1038" s="211"/>
      <c r="AU1038" s="211"/>
      <c r="AV1038" s="211"/>
      <c r="AW1038" s="211"/>
      <c r="AX1038" s="211"/>
      <c r="AY1038" s="211"/>
      <c r="AZ1038" s="211"/>
      <c r="BA1038" s="211"/>
      <c r="BB1038" s="211"/>
      <c r="BC1038" s="211"/>
    </row>
    <row r="1039" spans="1:55" s="213" customFormat="1" x14ac:dyDescent="0.35">
      <c r="A1039" s="211"/>
      <c r="B1039" s="211"/>
      <c r="C1039" s="211"/>
      <c r="D1039" s="211"/>
      <c r="E1039" s="211"/>
      <c r="F1039" s="211"/>
      <c r="G1039" s="211"/>
      <c r="H1039" s="211"/>
      <c r="I1039" s="212"/>
      <c r="J1039" s="212"/>
      <c r="K1039" s="212"/>
      <c r="L1039" s="212"/>
      <c r="M1039" s="212"/>
      <c r="N1039" s="212"/>
      <c r="O1039" s="212"/>
      <c r="P1039" s="211"/>
      <c r="Q1039" s="211"/>
      <c r="R1039" s="211"/>
      <c r="S1039" s="211"/>
      <c r="T1039" s="211"/>
      <c r="U1039" s="211"/>
      <c r="V1039" s="211"/>
      <c r="W1039" s="211"/>
      <c r="X1039" s="211"/>
      <c r="Y1039" s="211"/>
      <c r="Z1039" s="211"/>
      <c r="AD1039" s="211"/>
      <c r="AE1039" s="211"/>
      <c r="AF1039" s="211"/>
      <c r="AG1039" s="211"/>
      <c r="AH1039" s="211"/>
      <c r="AI1039" s="211"/>
      <c r="AJ1039" s="211"/>
      <c r="AK1039" s="211"/>
      <c r="AL1039" s="211"/>
      <c r="AM1039" s="211"/>
      <c r="AN1039" s="211"/>
      <c r="AO1039" s="211"/>
      <c r="AP1039" s="211"/>
      <c r="AQ1039" s="211"/>
      <c r="AR1039" s="211"/>
      <c r="AS1039" s="211"/>
      <c r="AT1039" s="211"/>
      <c r="AU1039" s="211"/>
      <c r="AV1039" s="211"/>
      <c r="AW1039" s="211"/>
      <c r="AX1039" s="211"/>
      <c r="AY1039" s="211"/>
      <c r="AZ1039" s="211"/>
      <c r="BA1039" s="211"/>
      <c r="BB1039" s="211"/>
      <c r="BC1039" s="211"/>
    </row>
    <row r="1040" spans="1:55" s="213" customFormat="1" x14ac:dyDescent="0.35">
      <c r="A1040" s="211"/>
      <c r="B1040" s="211"/>
      <c r="C1040" s="211"/>
      <c r="D1040" s="211"/>
      <c r="E1040" s="211"/>
      <c r="F1040" s="211"/>
      <c r="G1040" s="211"/>
      <c r="H1040" s="211"/>
      <c r="I1040" s="212"/>
      <c r="J1040" s="212"/>
      <c r="K1040" s="212"/>
      <c r="L1040" s="212"/>
      <c r="M1040" s="212"/>
      <c r="N1040" s="212"/>
      <c r="O1040" s="212"/>
      <c r="P1040" s="211"/>
      <c r="Q1040" s="211"/>
      <c r="R1040" s="211"/>
      <c r="S1040" s="211"/>
      <c r="T1040" s="211"/>
      <c r="U1040" s="211"/>
      <c r="V1040" s="211"/>
      <c r="W1040" s="211"/>
      <c r="X1040" s="211"/>
      <c r="Y1040" s="211"/>
      <c r="Z1040" s="211"/>
      <c r="AD1040" s="211"/>
      <c r="AE1040" s="211"/>
      <c r="AF1040" s="211"/>
      <c r="AG1040" s="211"/>
      <c r="AH1040" s="211"/>
      <c r="AI1040" s="211"/>
      <c r="AJ1040" s="211"/>
      <c r="AK1040" s="211"/>
      <c r="AL1040" s="211"/>
      <c r="AM1040" s="211"/>
      <c r="AN1040" s="211"/>
      <c r="AO1040" s="211"/>
      <c r="AP1040" s="211"/>
      <c r="AQ1040" s="211"/>
      <c r="AR1040" s="211"/>
      <c r="AS1040" s="211"/>
      <c r="AT1040" s="211"/>
      <c r="AU1040" s="211"/>
      <c r="AV1040" s="211"/>
      <c r="AW1040" s="211"/>
      <c r="AX1040" s="211"/>
      <c r="AY1040" s="211"/>
      <c r="AZ1040" s="211"/>
      <c r="BA1040" s="211"/>
      <c r="BB1040" s="211"/>
      <c r="BC1040" s="211"/>
    </row>
    <row r="1041" spans="1:55" s="213" customFormat="1" x14ac:dyDescent="0.35">
      <c r="A1041" s="211"/>
      <c r="B1041" s="211"/>
      <c r="C1041" s="211"/>
      <c r="D1041" s="211"/>
      <c r="E1041" s="211"/>
      <c r="F1041" s="211"/>
      <c r="G1041" s="211"/>
      <c r="H1041" s="211"/>
      <c r="I1041" s="212"/>
      <c r="J1041" s="212"/>
      <c r="K1041" s="212"/>
      <c r="L1041" s="212"/>
      <c r="M1041" s="212"/>
      <c r="N1041" s="212"/>
      <c r="O1041" s="212"/>
      <c r="P1041" s="211"/>
      <c r="Q1041" s="211"/>
      <c r="R1041" s="211"/>
      <c r="S1041" s="211"/>
      <c r="T1041" s="211"/>
      <c r="U1041" s="211"/>
      <c r="V1041" s="211"/>
      <c r="W1041" s="211"/>
      <c r="X1041" s="211"/>
      <c r="Y1041" s="211"/>
      <c r="Z1041" s="211"/>
      <c r="AD1041" s="211"/>
      <c r="AE1041" s="211"/>
      <c r="AF1041" s="211"/>
      <c r="AG1041" s="211"/>
      <c r="AH1041" s="211"/>
      <c r="AI1041" s="211"/>
      <c r="AJ1041" s="211"/>
      <c r="AK1041" s="211"/>
      <c r="AL1041" s="211"/>
      <c r="AM1041" s="211"/>
      <c r="AN1041" s="211"/>
      <c r="AO1041" s="211"/>
      <c r="AP1041" s="211"/>
      <c r="AQ1041" s="211"/>
      <c r="AR1041" s="211"/>
      <c r="AS1041" s="211"/>
      <c r="AT1041" s="211"/>
      <c r="AU1041" s="211"/>
      <c r="AV1041" s="211"/>
      <c r="AW1041" s="211"/>
      <c r="AX1041" s="211"/>
      <c r="AY1041" s="211"/>
      <c r="AZ1041" s="211"/>
      <c r="BA1041" s="211"/>
      <c r="BB1041" s="211"/>
      <c r="BC1041" s="211"/>
    </row>
    <row r="1042" spans="1:55" s="213" customFormat="1" x14ac:dyDescent="0.35">
      <c r="A1042" s="211"/>
      <c r="B1042" s="211"/>
      <c r="C1042" s="211"/>
      <c r="D1042" s="211"/>
      <c r="E1042" s="211"/>
      <c r="F1042" s="211"/>
      <c r="G1042" s="211"/>
      <c r="H1042" s="211"/>
      <c r="I1042" s="212"/>
      <c r="J1042" s="212"/>
      <c r="K1042" s="212"/>
      <c r="L1042" s="212"/>
      <c r="M1042" s="212"/>
      <c r="N1042" s="212"/>
      <c r="O1042" s="212"/>
      <c r="P1042" s="211"/>
      <c r="Q1042" s="211"/>
      <c r="R1042" s="211"/>
      <c r="S1042" s="211"/>
      <c r="T1042" s="211"/>
      <c r="U1042" s="211"/>
      <c r="V1042" s="211"/>
      <c r="W1042" s="211"/>
      <c r="X1042" s="211"/>
      <c r="Y1042" s="211"/>
      <c r="Z1042" s="211"/>
      <c r="AD1042" s="211"/>
      <c r="AE1042" s="211"/>
      <c r="AF1042" s="211"/>
      <c r="AG1042" s="211"/>
      <c r="AH1042" s="211"/>
      <c r="AI1042" s="211"/>
      <c r="AJ1042" s="211"/>
      <c r="AK1042" s="211"/>
      <c r="AL1042" s="211"/>
      <c r="AM1042" s="211"/>
      <c r="AN1042" s="211"/>
      <c r="AO1042" s="211"/>
      <c r="AP1042" s="211"/>
      <c r="AQ1042" s="211"/>
      <c r="AR1042" s="211"/>
      <c r="AS1042" s="211"/>
      <c r="AT1042" s="211"/>
      <c r="AU1042" s="211"/>
      <c r="AV1042" s="211"/>
      <c r="AW1042" s="211"/>
      <c r="AX1042" s="211"/>
      <c r="AY1042" s="211"/>
      <c r="AZ1042" s="211"/>
      <c r="BA1042" s="211"/>
      <c r="BB1042" s="211"/>
      <c r="BC1042" s="211"/>
    </row>
    <row r="1043" spans="1:55" s="213" customFormat="1" x14ac:dyDescent="0.35">
      <c r="A1043" s="211"/>
      <c r="B1043" s="211"/>
      <c r="C1043" s="211"/>
      <c r="D1043" s="211"/>
      <c r="E1043" s="211"/>
      <c r="F1043" s="211"/>
      <c r="G1043" s="211"/>
      <c r="H1043" s="211"/>
      <c r="I1043" s="212"/>
      <c r="J1043" s="212"/>
      <c r="K1043" s="212"/>
      <c r="L1043" s="212"/>
      <c r="M1043" s="212"/>
      <c r="N1043" s="212"/>
      <c r="O1043" s="212"/>
      <c r="P1043" s="211"/>
      <c r="Q1043" s="211"/>
      <c r="R1043" s="211"/>
      <c r="S1043" s="211"/>
      <c r="T1043" s="211"/>
      <c r="U1043" s="211"/>
      <c r="V1043" s="211"/>
      <c r="W1043" s="211"/>
      <c r="X1043" s="211"/>
      <c r="Y1043" s="211"/>
      <c r="Z1043" s="211"/>
      <c r="AD1043" s="211"/>
      <c r="AE1043" s="211"/>
      <c r="AF1043" s="211"/>
      <c r="AG1043" s="211"/>
      <c r="AH1043" s="211"/>
      <c r="AI1043" s="211"/>
      <c r="AJ1043" s="211"/>
      <c r="AK1043" s="211"/>
      <c r="AL1043" s="211"/>
      <c r="AM1043" s="211"/>
      <c r="AN1043" s="211"/>
      <c r="AO1043" s="211"/>
      <c r="AP1043" s="211"/>
      <c r="AQ1043" s="211"/>
      <c r="AR1043" s="211"/>
      <c r="AS1043" s="211"/>
      <c r="AT1043" s="211"/>
      <c r="AU1043" s="211"/>
      <c r="AV1043" s="211"/>
      <c r="AW1043" s="211"/>
      <c r="AX1043" s="211"/>
      <c r="AY1043" s="211"/>
      <c r="AZ1043" s="211"/>
      <c r="BA1043" s="211"/>
      <c r="BB1043" s="211"/>
      <c r="BC1043" s="211"/>
    </row>
    <row r="1044" spans="1:55" s="213" customFormat="1" x14ac:dyDescent="0.35">
      <c r="A1044" s="211"/>
      <c r="B1044" s="211"/>
      <c r="C1044" s="211"/>
      <c r="D1044" s="211"/>
      <c r="E1044" s="211"/>
      <c r="F1044" s="211"/>
      <c r="G1044" s="211"/>
      <c r="H1044" s="211"/>
      <c r="I1044" s="212"/>
      <c r="J1044" s="212"/>
      <c r="K1044" s="212"/>
      <c r="L1044" s="212"/>
      <c r="M1044" s="212"/>
      <c r="N1044" s="212"/>
      <c r="O1044" s="212"/>
      <c r="P1044" s="211"/>
      <c r="Q1044" s="211"/>
      <c r="R1044" s="211"/>
      <c r="S1044" s="211"/>
      <c r="T1044" s="211"/>
      <c r="U1044" s="211"/>
      <c r="V1044" s="211"/>
      <c r="W1044" s="211"/>
      <c r="X1044" s="211"/>
      <c r="Y1044" s="211"/>
      <c r="Z1044" s="211"/>
      <c r="AD1044" s="211"/>
      <c r="AE1044" s="211"/>
      <c r="AF1044" s="211"/>
      <c r="AG1044" s="211"/>
      <c r="AH1044" s="211"/>
      <c r="AI1044" s="211"/>
      <c r="AJ1044" s="211"/>
      <c r="AK1044" s="211"/>
      <c r="AL1044" s="211"/>
      <c r="AM1044" s="211"/>
      <c r="AN1044" s="211"/>
      <c r="AO1044" s="211"/>
      <c r="AP1044" s="211"/>
      <c r="AQ1044" s="211"/>
      <c r="AR1044" s="211"/>
      <c r="AS1044" s="211"/>
      <c r="AT1044" s="211"/>
      <c r="AU1044" s="211"/>
      <c r="AV1044" s="211"/>
      <c r="AW1044" s="211"/>
      <c r="AX1044" s="211"/>
      <c r="AY1044" s="211"/>
      <c r="AZ1044" s="211"/>
      <c r="BA1044" s="211"/>
      <c r="BB1044" s="211"/>
      <c r="BC1044" s="211"/>
    </row>
    <row r="1045" spans="1:55" s="213" customFormat="1" x14ac:dyDescent="0.35">
      <c r="A1045" s="211"/>
      <c r="B1045" s="211"/>
      <c r="C1045" s="211"/>
      <c r="D1045" s="211"/>
      <c r="E1045" s="211"/>
      <c r="F1045" s="211"/>
      <c r="G1045" s="211"/>
      <c r="H1045" s="211"/>
      <c r="I1045" s="212"/>
      <c r="J1045" s="212"/>
      <c r="K1045" s="212"/>
      <c r="L1045" s="212"/>
      <c r="M1045" s="212"/>
      <c r="N1045" s="212"/>
      <c r="O1045" s="212"/>
      <c r="P1045" s="211"/>
      <c r="Q1045" s="211"/>
      <c r="R1045" s="211"/>
      <c r="S1045" s="211"/>
      <c r="T1045" s="211"/>
      <c r="U1045" s="211"/>
      <c r="V1045" s="211"/>
      <c r="W1045" s="211"/>
      <c r="X1045" s="211"/>
      <c r="Y1045" s="211"/>
      <c r="Z1045" s="211"/>
      <c r="AD1045" s="211"/>
      <c r="AE1045" s="211"/>
      <c r="AF1045" s="211"/>
      <c r="AG1045" s="211"/>
      <c r="AH1045" s="211"/>
      <c r="AI1045" s="211"/>
      <c r="AJ1045" s="211"/>
      <c r="AK1045" s="211"/>
      <c r="AL1045" s="211"/>
      <c r="AM1045" s="211"/>
      <c r="AN1045" s="211"/>
      <c r="AO1045" s="211"/>
      <c r="AP1045" s="211"/>
      <c r="AQ1045" s="211"/>
      <c r="AR1045" s="211"/>
      <c r="AS1045" s="211"/>
      <c r="AT1045" s="211"/>
      <c r="AU1045" s="211"/>
      <c r="AV1045" s="211"/>
      <c r="AW1045" s="211"/>
      <c r="AX1045" s="211"/>
      <c r="AY1045" s="211"/>
      <c r="AZ1045" s="211"/>
      <c r="BA1045" s="211"/>
      <c r="BB1045" s="211"/>
      <c r="BC1045" s="211"/>
    </row>
    <row r="1046" spans="1:55" s="213" customFormat="1" x14ac:dyDescent="0.35">
      <c r="A1046" s="211"/>
      <c r="B1046" s="211"/>
      <c r="C1046" s="211"/>
      <c r="D1046" s="211"/>
      <c r="E1046" s="211"/>
      <c r="F1046" s="211"/>
      <c r="G1046" s="211"/>
      <c r="H1046" s="211"/>
      <c r="I1046" s="212"/>
      <c r="J1046" s="212"/>
      <c r="K1046" s="212"/>
      <c r="L1046" s="212"/>
      <c r="M1046" s="212"/>
      <c r="N1046" s="212"/>
      <c r="O1046" s="212"/>
      <c r="P1046" s="211"/>
      <c r="Q1046" s="211"/>
      <c r="R1046" s="211"/>
      <c r="S1046" s="211"/>
      <c r="T1046" s="211"/>
      <c r="U1046" s="211"/>
      <c r="V1046" s="211"/>
      <c r="W1046" s="211"/>
      <c r="X1046" s="211"/>
      <c r="Y1046" s="211"/>
      <c r="Z1046" s="211"/>
      <c r="AD1046" s="211"/>
      <c r="AE1046" s="211"/>
      <c r="AF1046" s="211"/>
      <c r="AG1046" s="211"/>
      <c r="AH1046" s="211"/>
      <c r="AI1046" s="211"/>
      <c r="AJ1046" s="211"/>
      <c r="AK1046" s="211"/>
      <c r="AL1046" s="211"/>
      <c r="AM1046" s="211"/>
      <c r="AN1046" s="211"/>
      <c r="AO1046" s="211"/>
      <c r="AP1046" s="211"/>
      <c r="AQ1046" s="211"/>
      <c r="AR1046" s="211"/>
      <c r="AS1046" s="211"/>
      <c r="AT1046" s="211"/>
      <c r="AU1046" s="211"/>
      <c r="AV1046" s="211"/>
      <c r="AW1046" s="211"/>
      <c r="AX1046" s="211"/>
      <c r="AY1046" s="211"/>
      <c r="AZ1046" s="211"/>
      <c r="BA1046" s="211"/>
      <c r="BB1046" s="211"/>
      <c r="BC1046" s="211"/>
    </row>
    <row r="1047" spans="1:55" s="213" customFormat="1" x14ac:dyDescent="0.35">
      <c r="A1047" s="211"/>
      <c r="B1047" s="211"/>
      <c r="C1047" s="211"/>
      <c r="D1047" s="211"/>
      <c r="E1047" s="211"/>
      <c r="F1047" s="211"/>
      <c r="G1047" s="211"/>
      <c r="H1047" s="211"/>
      <c r="I1047" s="212"/>
      <c r="J1047" s="212"/>
      <c r="K1047" s="212"/>
      <c r="L1047" s="212"/>
      <c r="M1047" s="212"/>
      <c r="N1047" s="212"/>
      <c r="O1047" s="212"/>
      <c r="P1047" s="211"/>
      <c r="Q1047" s="211"/>
      <c r="R1047" s="211"/>
      <c r="S1047" s="211"/>
      <c r="T1047" s="211"/>
      <c r="U1047" s="211"/>
      <c r="V1047" s="211"/>
      <c r="W1047" s="211"/>
      <c r="X1047" s="211"/>
      <c r="Y1047" s="211"/>
      <c r="Z1047" s="211"/>
      <c r="AD1047" s="211"/>
      <c r="AE1047" s="211"/>
      <c r="AF1047" s="211"/>
      <c r="AG1047" s="211"/>
      <c r="AH1047" s="211"/>
      <c r="AI1047" s="211"/>
      <c r="AJ1047" s="211"/>
      <c r="AK1047" s="211"/>
      <c r="AL1047" s="211"/>
      <c r="AM1047" s="211"/>
      <c r="AN1047" s="211"/>
      <c r="AO1047" s="211"/>
      <c r="AP1047" s="211"/>
      <c r="AQ1047" s="211"/>
      <c r="AR1047" s="211"/>
      <c r="AS1047" s="211"/>
      <c r="AT1047" s="211"/>
      <c r="AU1047" s="211"/>
      <c r="AV1047" s="211"/>
      <c r="AW1047" s="211"/>
      <c r="AX1047" s="211"/>
      <c r="AY1047" s="211"/>
      <c r="AZ1047" s="211"/>
      <c r="BA1047" s="211"/>
      <c r="BB1047" s="211"/>
      <c r="BC1047" s="211"/>
    </row>
    <row r="1048" spans="1:55" s="213" customFormat="1" x14ac:dyDescent="0.35">
      <c r="A1048" s="211"/>
      <c r="B1048" s="211"/>
      <c r="C1048" s="211"/>
      <c r="D1048" s="211"/>
      <c r="E1048" s="211"/>
      <c r="F1048" s="211"/>
      <c r="G1048" s="211"/>
      <c r="H1048" s="211"/>
      <c r="I1048" s="212"/>
      <c r="J1048" s="212"/>
      <c r="K1048" s="212"/>
      <c r="L1048" s="212"/>
      <c r="M1048" s="212"/>
      <c r="N1048" s="212"/>
      <c r="O1048" s="212"/>
      <c r="P1048" s="211"/>
      <c r="Q1048" s="211"/>
      <c r="R1048" s="211"/>
      <c r="S1048" s="211"/>
      <c r="T1048" s="211"/>
      <c r="U1048" s="211"/>
      <c r="V1048" s="211"/>
      <c r="W1048" s="211"/>
      <c r="X1048" s="211"/>
      <c r="Y1048" s="211"/>
      <c r="Z1048" s="211"/>
      <c r="AD1048" s="211"/>
      <c r="AE1048" s="211"/>
      <c r="AF1048" s="211"/>
      <c r="AG1048" s="211"/>
      <c r="AH1048" s="211"/>
      <c r="AI1048" s="211"/>
      <c r="AJ1048" s="211"/>
      <c r="AK1048" s="211"/>
      <c r="AL1048" s="211"/>
      <c r="AM1048" s="211"/>
      <c r="AN1048" s="211"/>
      <c r="AO1048" s="211"/>
      <c r="AP1048" s="211"/>
      <c r="AQ1048" s="211"/>
      <c r="AR1048" s="211"/>
      <c r="AS1048" s="211"/>
      <c r="AT1048" s="211"/>
      <c r="AU1048" s="211"/>
      <c r="AV1048" s="211"/>
      <c r="AW1048" s="211"/>
      <c r="AX1048" s="211"/>
      <c r="AY1048" s="211"/>
      <c r="AZ1048" s="211"/>
      <c r="BA1048" s="211"/>
      <c r="BB1048" s="211"/>
      <c r="BC1048" s="211"/>
    </row>
    <row r="1049" spans="1:55" s="213" customFormat="1" x14ac:dyDescent="0.35">
      <c r="A1049" s="211"/>
      <c r="B1049" s="211"/>
      <c r="C1049" s="211"/>
      <c r="D1049" s="211"/>
      <c r="E1049" s="211"/>
      <c r="F1049" s="211"/>
      <c r="G1049" s="211"/>
      <c r="H1049" s="211"/>
      <c r="I1049" s="212"/>
      <c r="J1049" s="212"/>
      <c r="K1049" s="212"/>
      <c r="L1049" s="212"/>
      <c r="M1049" s="212"/>
      <c r="N1049" s="212"/>
      <c r="O1049" s="212"/>
      <c r="P1049" s="211"/>
      <c r="Q1049" s="211"/>
      <c r="R1049" s="211"/>
      <c r="S1049" s="211"/>
      <c r="T1049" s="211"/>
      <c r="U1049" s="211"/>
      <c r="V1049" s="211"/>
      <c r="W1049" s="211"/>
      <c r="X1049" s="211"/>
      <c r="Y1049" s="211"/>
      <c r="Z1049" s="211"/>
      <c r="AD1049" s="211"/>
      <c r="AE1049" s="211"/>
      <c r="AF1049" s="211"/>
      <c r="AG1049" s="211"/>
      <c r="AH1049" s="211"/>
      <c r="AI1049" s="211"/>
      <c r="AJ1049" s="211"/>
      <c r="AK1049" s="211"/>
      <c r="AL1049" s="211"/>
      <c r="AM1049" s="211"/>
      <c r="AN1049" s="211"/>
      <c r="AO1049" s="211"/>
      <c r="AP1049" s="211"/>
      <c r="AQ1049" s="211"/>
      <c r="AR1049" s="211"/>
      <c r="AS1049" s="211"/>
      <c r="AT1049" s="211"/>
      <c r="AU1049" s="211"/>
      <c r="AV1049" s="211"/>
      <c r="AW1049" s="211"/>
      <c r="AX1049" s="211"/>
      <c r="AY1049" s="211"/>
      <c r="AZ1049" s="211"/>
      <c r="BA1049" s="211"/>
      <c r="BB1049" s="211"/>
      <c r="BC1049" s="211"/>
    </row>
    <row r="1050" spans="1:55" s="213" customFormat="1" x14ac:dyDescent="0.35">
      <c r="A1050" s="211"/>
      <c r="B1050" s="211"/>
      <c r="C1050" s="211"/>
      <c r="D1050" s="211"/>
      <c r="E1050" s="211"/>
      <c r="F1050" s="211"/>
      <c r="G1050" s="211"/>
      <c r="H1050" s="211"/>
      <c r="I1050" s="212"/>
      <c r="J1050" s="212"/>
      <c r="K1050" s="212"/>
      <c r="L1050" s="212"/>
      <c r="M1050" s="212"/>
      <c r="N1050" s="212"/>
      <c r="O1050" s="212"/>
      <c r="P1050" s="211"/>
      <c r="Q1050" s="211"/>
      <c r="R1050" s="211"/>
      <c r="S1050" s="211"/>
      <c r="T1050" s="211"/>
      <c r="U1050" s="211"/>
      <c r="V1050" s="211"/>
      <c r="W1050" s="211"/>
      <c r="X1050" s="211"/>
      <c r="Y1050" s="211"/>
      <c r="Z1050" s="211"/>
      <c r="AD1050" s="211"/>
      <c r="AE1050" s="211"/>
      <c r="AF1050" s="211"/>
      <c r="AG1050" s="211"/>
      <c r="AH1050" s="211"/>
      <c r="AI1050" s="211"/>
      <c r="AJ1050" s="211"/>
      <c r="AK1050" s="211"/>
      <c r="AL1050" s="211"/>
      <c r="AM1050" s="211"/>
      <c r="AN1050" s="211"/>
      <c r="AO1050" s="211"/>
      <c r="AP1050" s="211"/>
      <c r="AQ1050" s="211"/>
      <c r="AR1050" s="211"/>
      <c r="AS1050" s="211"/>
      <c r="AT1050" s="211"/>
      <c r="AU1050" s="211"/>
      <c r="AV1050" s="211"/>
      <c r="AW1050" s="211"/>
      <c r="AX1050" s="211"/>
      <c r="AY1050" s="211"/>
      <c r="AZ1050" s="211"/>
      <c r="BA1050" s="211"/>
      <c r="BB1050" s="211"/>
      <c r="BC1050" s="211"/>
    </row>
    <row r="1051" spans="1:55" s="213" customFormat="1" x14ac:dyDescent="0.35">
      <c r="A1051" s="211"/>
      <c r="B1051" s="211"/>
      <c r="C1051" s="211"/>
      <c r="D1051" s="211"/>
      <c r="E1051" s="211"/>
      <c r="F1051" s="211"/>
      <c r="G1051" s="211"/>
      <c r="H1051" s="211"/>
      <c r="I1051" s="212"/>
      <c r="J1051" s="212"/>
      <c r="K1051" s="212"/>
      <c r="L1051" s="212"/>
      <c r="M1051" s="212"/>
      <c r="N1051" s="212"/>
      <c r="O1051" s="212"/>
      <c r="P1051" s="211"/>
      <c r="Q1051" s="211"/>
      <c r="R1051" s="211"/>
      <c r="S1051" s="211"/>
      <c r="T1051" s="211"/>
      <c r="U1051" s="211"/>
      <c r="V1051" s="211"/>
      <c r="W1051" s="211"/>
      <c r="X1051" s="211"/>
      <c r="Y1051" s="211"/>
      <c r="Z1051" s="211"/>
      <c r="AD1051" s="211"/>
      <c r="AE1051" s="211"/>
      <c r="AF1051" s="211"/>
      <c r="AG1051" s="211"/>
      <c r="AH1051" s="211"/>
      <c r="AI1051" s="211"/>
      <c r="AJ1051" s="211"/>
      <c r="AK1051" s="211"/>
      <c r="AL1051" s="211"/>
      <c r="AM1051" s="211"/>
      <c r="AN1051" s="211"/>
      <c r="AO1051" s="211"/>
      <c r="AP1051" s="211"/>
      <c r="AQ1051" s="211"/>
      <c r="AR1051" s="211"/>
      <c r="AS1051" s="211"/>
      <c r="AT1051" s="211"/>
      <c r="AU1051" s="211"/>
      <c r="AV1051" s="211"/>
      <c r="AW1051" s="211"/>
      <c r="AX1051" s="211"/>
      <c r="AY1051" s="211"/>
      <c r="AZ1051" s="211"/>
      <c r="BA1051" s="211"/>
      <c r="BB1051" s="211"/>
      <c r="BC1051" s="211"/>
    </row>
    <row r="1052" spans="1:55" s="213" customFormat="1" x14ac:dyDescent="0.35">
      <c r="A1052" s="211"/>
      <c r="B1052" s="211"/>
      <c r="C1052" s="211"/>
      <c r="D1052" s="211"/>
      <c r="E1052" s="211"/>
      <c r="F1052" s="211"/>
      <c r="G1052" s="211"/>
      <c r="H1052" s="211"/>
      <c r="I1052" s="212"/>
      <c r="J1052" s="212"/>
      <c r="K1052" s="212"/>
      <c r="L1052" s="212"/>
      <c r="M1052" s="212"/>
      <c r="N1052" s="212"/>
      <c r="O1052" s="212"/>
      <c r="P1052" s="211"/>
      <c r="Q1052" s="211"/>
      <c r="R1052" s="211"/>
      <c r="S1052" s="211"/>
      <c r="T1052" s="211"/>
      <c r="U1052" s="211"/>
      <c r="V1052" s="211"/>
      <c r="W1052" s="211"/>
      <c r="X1052" s="211"/>
      <c r="Y1052" s="211"/>
      <c r="Z1052" s="211"/>
      <c r="AD1052" s="211"/>
      <c r="AE1052" s="211"/>
      <c r="AF1052" s="211"/>
      <c r="AG1052" s="211"/>
      <c r="AH1052" s="211"/>
      <c r="AI1052" s="211"/>
      <c r="AJ1052" s="211"/>
      <c r="AK1052" s="211"/>
      <c r="AL1052" s="211"/>
      <c r="AM1052" s="211"/>
      <c r="AN1052" s="211"/>
      <c r="AO1052" s="211"/>
      <c r="AP1052" s="211"/>
      <c r="AQ1052" s="211"/>
      <c r="AR1052" s="211"/>
      <c r="AS1052" s="211"/>
      <c r="AT1052" s="211"/>
      <c r="AU1052" s="211"/>
      <c r="AV1052" s="211"/>
      <c r="AW1052" s="211"/>
      <c r="AX1052" s="211"/>
      <c r="AY1052" s="211"/>
      <c r="AZ1052" s="211"/>
      <c r="BA1052" s="211"/>
      <c r="BB1052" s="211"/>
      <c r="BC1052" s="211"/>
    </row>
    <row r="1053" spans="1:55" s="213" customFormat="1" x14ac:dyDescent="0.35">
      <c r="A1053" s="211"/>
      <c r="B1053" s="211"/>
      <c r="C1053" s="211"/>
      <c r="D1053" s="211"/>
      <c r="E1053" s="211"/>
      <c r="F1053" s="211"/>
      <c r="G1053" s="211"/>
      <c r="H1053" s="211"/>
      <c r="I1053" s="212"/>
      <c r="J1053" s="212"/>
      <c r="K1053" s="212"/>
      <c r="L1053" s="212"/>
      <c r="M1053" s="212"/>
      <c r="N1053" s="212"/>
      <c r="O1053" s="212"/>
      <c r="P1053" s="211"/>
      <c r="Q1053" s="211"/>
      <c r="R1053" s="211"/>
      <c r="S1053" s="211"/>
      <c r="T1053" s="211"/>
      <c r="U1053" s="211"/>
      <c r="V1053" s="211"/>
      <c r="W1053" s="211"/>
      <c r="X1053" s="211"/>
      <c r="Y1053" s="211"/>
      <c r="Z1053" s="211"/>
      <c r="AD1053" s="211"/>
      <c r="AE1053" s="211"/>
      <c r="AF1053" s="211"/>
      <c r="AG1053" s="211"/>
      <c r="AH1053" s="211"/>
      <c r="AI1053" s="211"/>
      <c r="AJ1053" s="211"/>
      <c r="AK1053" s="211"/>
      <c r="AL1053" s="211"/>
      <c r="AM1053" s="211"/>
      <c r="AN1053" s="211"/>
      <c r="AO1053" s="211"/>
      <c r="AP1053" s="211"/>
      <c r="AQ1053" s="211"/>
      <c r="AR1053" s="211"/>
      <c r="AS1053" s="211"/>
      <c r="AT1053" s="211"/>
      <c r="AU1053" s="211"/>
      <c r="AV1053" s="211"/>
      <c r="AW1053" s="211"/>
      <c r="AX1053" s="211"/>
      <c r="AY1053" s="211"/>
      <c r="AZ1053" s="211"/>
      <c r="BA1053" s="211"/>
      <c r="BB1053" s="211"/>
      <c r="BC1053" s="211"/>
    </row>
    <row r="1054" spans="1:55" s="213" customFormat="1" x14ac:dyDescent="0.35">
      <c r="A1054" s="211"/>
      <c r="B1054" s="211"/>
      <c r="C1054" s="211"/>
      <c r="D1054" s="211"/>
      <c r="E1054" s="211"/>
      <c r="F1054" s="211"/>
      <c r="G1054" s="211"/>
      <c r="H1054" s="211"/>
      <c r="I1054" s="212"/>
      <c r="J1054" s="212"/>
      <c r="K1054" s="212"/>
      <c r="L1054" s="212"/>
      <c r="M1054" s="212"/>
      <c r="N1054" s="212"/>
      <c r="O1054" s="212"/>
      <c r="P1054" s="211"/>
      <c r="Q1054" s="211"/>
      <c r="R1054" s="211"/>
      <c r="S1054" s="211"/>
      <c r="T1054" s="211"/>
      <c r="U1054" s="211"/>
      <c r="V1054" s="211"/>
      <c r="W1054" s="211"/>
      <c r="X1054" s="211"/>
      <c r="Y1054" s="211"/>
      <c r="Z1054" s="211"/>
      <c r="AD1054" s="211"/>
      <c r="AE1054" s="211"/>
      <c r="AF1054" s="211"/>
      <c r="AG1054" s="211"/>
      <c r="AH1054" s="211"/>
      <c r="AI1054" s="211"/>
      <c r="AJ1054" s="211"/>
      <c r="AK1054" s="211"/>
      <c r="AL1054" s="211"/>
      <c r="AM1054" s="211"/>
      <c r="AN1054" s="211"/>
      <c r="AO1054" s="211"/>
      <c r="AP1054" s="211"/>
      <c r="AQ1054" s="211"/>
      <c r="AR1054" s="211"/>
      <c r="AS1054" s="211"/>
      <c r="AT1054" s="211"/>
      <c r="AU1054" s="211"/>
      <c r="AV1054" s="211"/>
      <c r="AW1054" s="211"/>
      <c r="AX1054" s="211"/>
      <c r="AY1054" s="211"/>
      <c r="AZ1054" s="211"/>
      <c r="BA1054" s="211"/>
      <c r="BB1054" s="211"/>
      <c r="BC1054" s="211"/>
    </row>
    <row r="1055" spans="1:55" s="213" customFormat="1" x14ac:dyDescent="0.35">
      <c r="A1055" s="211"/>
      <c r="B1055" s="211"/>
      <c r="C1055" s="211"/>
      <c r="D1055" s="211"/>
      <c r="E1055" s="211"/>
      <c r="F1055" s="211"/>
      <c r="G1055" s="211"/>
      <c r="H1055" s="211"/>
      <c r="I1055" s="212"/>
      <c r="J1055" s="212"/>
      <c r="K1055" s="212"/>
      <c r="L1055" s="212"/>
      <c r="M1055" s="212"/>
      <c r="N1055" s="212"/>
      <c r="O1055" s="212"/>
      <c r="P1055" s="211"/>
      <c r="Q1055" s="211"/>
      <c r="R1055" s="211"/>
      <c r="S1055" s="211"/>
      <c r="T1055" s="211"/>
      <c r="U1055" s="211"/>
      <c r="V1055" s="211"/>
      <c r="W1055" s="211"/>
      <c r="X1055" s="211"/>
      <c r="Y1055" s="211"/>
      <c r="Z1055" s="211"/>
      <c r="AD1055" s="211"/>
      <c r="AE1055" s="211"/>
      <c r="AF1055" s="211"/>
      <c r="AG1055" s="211"/>
      <c r="AH1055" s="211"/>
      <c r="AI1055" s="211"/>
      <c r="AJ1055" s="211"/>
      <c r="AK1055" s="211"/>
      <c r="AL1055" s="211"/>
      <c r="AM1055" s="211"/>
      <c r="AN1055" s="211"/>
      <c r="AO1055" s="211"/>
      <c r="AP1055" s="211"/>
      <c r="AQ1055" s="211"/>
      <c r="AR1055" s="211"/>
      <c r="AS1055" s="211"/>
      <c r="AT1055" s="211"/>
      <c r="AU1055" s="211"/>
      <c r="AV1055" s="211"/>
      <c r="AW1055" s="211"/>
      <c r="AX1055" s="211"/>
      <c r="AY1055" s="211"/>
      <c r="AZ1055" s="211"/>
      <c r="BA1055" s="211"/>
      <c r="BB1055" s="211"/>
      <c r="BC1055" s="211"/>
    </row>
    <row r="1056" spans="1:55" s="213" customFormat="1" x14ac:dyDescent="0.35">
      <c r="A1056" s="211"/>
      <c r="B1056" s="211"/>
      <c r="C1056" s="211"/>
      <c r="D1056" s="211"/>
      <c r="E1056" s="211"/>
      <c r="F1056" s="211"/>
      <c r="G1056" s="211"/>
      <c r="H1056" s="211"/>
      <c r="I1056" s="212"/>
      <c r="J1056" s="212"/>
      <c r="K1056" s="212"/>
      <c r="L1056" s="212"/>
      <c r="M1056" s="212"/>
      <c r="N1056" s="212"/>
      <c r="O1056" s="212"/>
      <c r="P1056" s="211"/>
      <c r="Q1056" s="211"/>
      <c r="R1056" s="211"/>
      <c r="S1056" s="211"/>
      <c r="T1056" s="211"/>
      <c r="U1056" s="211"/>
      <c r="V1056" s="211"/>
      <c r="W1056" s="211"/>
      <c r="X1056" s="211"/>
      <c r="Y1056" s="211"/>
      <c r="Z1056" s="211"/>
      <c r="AD1056" s="211"/>
      <c r="AE1056" s="211"/>
      <c r="AF1056" s="211"/>
      <c r="AG1056" s="211"/>
      <c r="AH1056" s="211"/>
      <c r="AI1056" s="211"/>
      <c r="AJ1056" s="211"/>
      <c r="AK1056" s="211"/>
      <c r="AL1056" s="211"/>
      <c r="AM1056" s="211"/>
      <c r="AN1056" s="211"/>
      <c r="AO1056" s="211"/>
      <c r="AP1056" s="211"/>
      <c r="AQ1056" s="211"/>
      <c r="AR1056" s="211"/>
      <c r="AS1056" s="211"/>
      <c r="AT1056" s="211"/>
      <c r="AU1056" s="211"/>
      <c r="AV1056" s="211"/>
      <c r="AW1056" s="211"/>
      <c r="AX1056" s="211"/>
      <c r="AY1056" s="211"/>
      <c r="AZ1056" s="211"/>
      <c r="BA1056" s="211"/>
      <c r="BB1056" s="211"/>
      <c r="BC1056" s="211"/>
    </row>
    <row r="1057" spans="1:55" s="213" customFormat="1" x14ac:dyDescent="0.35">
      <c r="A1057" s="211"/>
      <c r="B1057" s="211"/>
      <c r="C1057" s="211"/>
      <c r="D1057" s="211"/>
      <c r="E1057" s="211"/>
      <c r="F1057" s="211"/>
      <c r="G1057" s="211"/>
      <c r="H1057" s="211"/>
      <c r="I1057" s="212"/>
      <c r="J1057" s="212"/>
      <c r="K1057" s="212"/>
      <c r="L1057" s="212"/>
      <c r="M1057" s="212"/>
      <c r="N1057" s="212"/>
      <c r="O1057" s="212"/>
      <c r="P1057" s="211"/>
      <c r="Q1057" s="211"/>
      <c r="R1057" s="211"/>
      <c r="S1057" s="211"/>
      <c r="T1057" s="211"/>
      <c r="U1057" s="211"/>
      <c r="V1057" s="211"/>
      <c r="W1057" s="211"/>
      <c r="X1057" s="211"/>
      <c r="Y1057" s="211"/>
      <c r="Z1057" s="211"/>
      <c r="AD1057" s="211"/>
      <c r="AE1057" s="211"/>
      <c r="AF1057" s="211"/>
      <c r="AG1057" s="211"/>
      <c r="AH1057" s="211"/>
      <c r="AI1057" s="211"/>
      <c r="AJ1057" s="211"/>
      <c r="AK1057" s="211"/>
      <c r="AL1057" s="211"/>
      <c r="AM1057" s="211"/>
      <c r="AN1057" s="211"/>
      <c r="AO1057" s="211"/>
      <c r="AP1057" s="211"/>
      <c r="AQ1057" s="211"/>
      <c r="AR1057" s="211"/>
      <c r="AS1057" s="211"/>
      <c r="AT1057" s="211"/>
      <c r="AU1057" s="211"/>
      <c r="AV1057" s="211"/>
      <c r="AW1057" s="211"/>
      <c r="AX1057" s="211"/>
      <c r="AY1057" s="211"/>
      <c r="AZ1057" s="211"/>
      <c r="BA1057" s="211"/>
      <c r="BB1057" s="211"/>
      <c r="BC1057" s="211"/>
    </row>
    <row r="1058" spans="1:55" s="213" customFormat="1" x14ac:dyDescent="0.35">
      <c r="A1058" s="211"/>
      <c r="B1058" s="211"/>
      <c r="C1058" s="211"/>
      <c r="D1058" s="211"/>
      <c r="E1058" s="211"/>
      <c r="F1058" s="211"/>
      <c r="G1058" s="211"/>
      <c r="H1058" s="211"/>
      <c r="I1058" s="212"/>
      <c r="J1058" s="212"/>
      <c r="K1058" s="212"/>
      <c r="L1058" s="212"/>
      <c r="M1058" s="212"/>
      <c r="N1058" s="212"/>
      <c r="O1058" s="212"/>
      <c r="P1058" s="211"/>
      <c r="Q1058" s="211"/>
      <c r="R1058" s="211"/>
      <c r="S1058" s="211"/>
      <c r="T1058" s="211"/>
      <c r="U1058" s="211"/>
      <c r="V1058" s="211"/>
      <c r="W1058" s="211"/>
      <c r="X1058" s="211"/>
      <c r="Y1058" s="211"/>
      <c r="Z1058" s="211"/>
      <c r="AD1058" s="211"/>
      <c r="AE1058" s="211"/>
      <c r="AF1058" s="211"/>
      <c r="AG1058" s="211"/>
      <c r="AH1058" s="211"/>
      <c r="AI1058" s="211"/>
      <c r="AJ1058" s="211"/>
      <c r="AK1058" s="211"/>
      <c r="AL1058" s="211"/>
      <c r="AM1058" s="211"/>
      <c r="AN1058" s="211"/>
      <c r="AO1058" s="211"/>
      <c r="AP1058" s="211"/>
      <c r="AQ1058" s="211"/>
      <c r="AR1058" s="211"/>
      <c r="AS1058" s="211"/>
      <c r="AT1058" s="211"/>
      <c r="AU1058" s="211"/>
      <c r="AV1058" s="211"/>
      <c r="AW1058" s="211"/>
      <c r="AX1058" s="211"/>
      <c r="AY1058" s="211"/>
      <c r="AZ1058" s="211"/>
      <c r="BA1058" s="211"/>
      <c r="BB1058" s="211"/>
      <c r="BC1058" s="211"/>
    </row>
    <row r="1059" spans="1:55" s="213" customFormat="1" x14ac:dyDescent="0.35">
      <c r="A1059" s="211"/>
      <c r="B1059" s="211"/>
      <c r="C1059" s="211"/>
      <c r="D1059" s="211"/>
      <c r="E1059" s="211"/>
      <c r="F1059" s="211"/>
      <c r="G1059" s="211"/>
      <c r="H1059" s="211"/>
      <c r="I1059" s="212"/>
      <c r="J1059" s="212"/>
      <c r="K1059" s="212"/>
      <c r="L1059" s="212"/>
      <c r="M1059" s="212"/>
      <c r="N1059" s="212"/>
      <c r="O1059" s="212"/>
      <c r="P1059" s="211"/>
      <c r="Q1059" s="211"/>
      <c r="R1059" s="211"/>
      <c r="S1059" s="211"/>
      <c r="T1059" s="211"/>
      <c r="U1059" s="211"/>
      <c r="V1059" s="211"/>
      <c r="W1059" s="211"/>
      <c r="X1059" s="211"/>
      <c r="Y1059" s="211"/>
      <c r="Z1059" s="211"/>
      <c r="AD1059" s="211"/>
      <c r="AE1059" s="211"/>
      <c r="AF1059" s="211"/>
      <c r="AG1059" s="211"/>
      <c r="AH1059" s="211"/>
      <c r="AI1059" s="211"/>
      <c r="AJ1059" s="211"/>
      <c r="AK1059" s="211"/>
      <c r="AL1059" s="211"/>
      <c r="AM1059" s="211"/>
      <c r="AN1059" s="211"/>
      <c r="AO1059" s="211"/>
      <c r="AP1059" s="211"/>
      <c r="AQ1059" s="211"/>
      <c r="AR1059" s="211"/>
      <c r="AS1059" s="211"/>
      <c r="AT1059" s="211"/>
      <c r="AU1059" s="211"/>
      <c r="AV1059" s="211"/>
      <c r="AW1059" s="211"/>
      <c r="AX1059" s="211"/>
      <c r="AY1059" s="211"/>
      <c r="AZ1059" s="211"/>
      <c r="BA1059" s="211"/>
      <c r="BB1059" s="211"/>
      <c r="BC1059" s="211"/>
    </row>
    <row r="1060" spans="1:55" s="213" customFormat="1" x14ac:dyDescent="0.35">
      <c r="A1060" s="211"/>
      <c r="B1060" s="211"/>
      <c r="C1060" s="211"/>
      <c r="D1060" s="211"/>
      <c r="E1060" s="211"/>
      <c r="F1060" s="211"/>
      <c r="G1060" s="211"/>
      <c r="H1060" s="211"/>
      <c r="I1060" s="212"/>
      <c r="J1060" s="212"/>
      <c r="K1060" s="212"/>
      <c r="L1060" s="212"/>
      <c r="M1060" s="212"/>
      <c r="N1060" s="212"/>
      <c r="O1060" s="212"/>
      <c r="P1060" s="211"/>
      <c r="Q1060" s="211"/>
      <c r="R1060" s="211"/>
      <c r="S1060" s="211"/>
      <c r="T1060" s="211"/>
      <c r="U1060" s="211"/>
      <c r="V1060" s="211"/>
      <c r="W1060" s="211"/>
      <c r="X1060" s="211"/>
      <c r="Y1060" s="211"/>
      <c r="Z1060" s="211"/>
      <c r="AD1060" s="211"/>
      <c r="AE1060" s="211"/>
      <c r="AF1060" s="211"/>
      <c r="AG1060" s="211"/>
      <c r="AH1060" s="211"/>
      <c r="AI1060" s="211"/>
      <c r="AJ1060" s="211"/>
      <c r="AK1060" s="211"/>
      <c r="AL1060" s="211"/>
      <c r="AM1060" s="211"/>
      <c r="AN1060" s="211"/>
      <c r="AO1060" s="211"/>
      <c r="AP1060" s="211"/>
      <c r="AQ1060" s="211"/>
      <c r="AR1060" s="211"/>
      <c r="AS1060" s="211"/>
      <c r="AT1060" s="211"/>
      <c r="AU1060" s="211"/>
      <c r="AV1060" s="211"/>
      <c r="AW1060" s="211"/>
      <c r="AX1060" s="211"/>
      <c r="AY1060" s="211"/>
      <c r="AZ1060" s="211"/>
      <c r="BA1060" s="211"/>
      <c r="BB1060" s="211"/>
      <c r="BC1060" s="211"/>
    </row>
    <row r="1061" spans="1:55" s="213" customFormat="1" x14ac:dyDescent="0.35">
      <c r="A1061" s="211"/>
      <c r="B1061" s="211"/>
      <c r="C1061" s="211"/>
      <c r="D1061" s="211"/>
      <c r="E1061" s="211"/>
      <c r="F1061" s="211"/>
      <c r="G1061" s="211"/>
      <c r="H1061" s="211"/>
      <c r="I1061" s="212"/>
      <c r="J1061" s="212"/>
      <c r="K1061" s="212"/>
      <c r="L1061" s="212"/>
      <c r="M1061" s="212"/>
      <c r="N1061" s="212"/>
      <c r="O1061" s="212"/>
      <c r="P1061" s="211"/>
      <c r="Q1061" s="211"/>
      <c r="R1061" s="211"/>
      <c r="S1061" s="211"/>
      <c r="T1061" s="211"/>
      <c r="U1061" s="211"/>
      <c r="V1061" s="211"/>
      <c r="W1061" s="211"/>
      <c r="X1061" s="211"/>
      <c r="Y1061" s="211"/>
      <c r="Z1061" s="211"/>
      <c r="AD1061" s="211"/>
      <c r="AE1061" s="211"/>
      <c r="AF1061" s="211"/>
      <c r="AG1061" s="211"/>
      <c r="AH1061" s="211"/>
      <c r="AI1061" s="211"/>
      <c r="AJ1061" s="211"/>
      <c r="AK1061" s="211"/>
      <c r="AL1061" s="211"/>
      <c r="AM1061" s="211"/>
      <c r="AN1061" s="211"/>
      <c r="AO1061" s="211"/>
      <c r="AP1061" s="211"/>
      <c r="AQ1061" s="211"/>
      <c r="AR1061" s="211"/>
      <c r="AS1061" s="211"/>
      <c r="AT1061" s="211"/>
      <c r="AU1061" s="211"/>
      <c r="AV1061" s="211"/>
      <c r="AW1061" s="211"/>
      <c r="AX1061" s="211"/>
      <c r="AY1061" s="211"/>
      <c r="AZ1061" s="211"/>
      <c r="BA1061" s="211"/>
      <c r="BB1061" s="211"/>
      <c r="BC1061" s="211"/>
    </row>
    <row r="1062" spans="1:55" s="213" customFormat="1" x14ac:dyDescent="0.35">
      <c r="A1062" s="211"/>
      <c r="B1062" s="211"/>
      <c r="C1062" s="211"/>
      <c r="D1062" s="211"/>
      <c r="E1062" s="211"/>
      <c r="F1062" s="211"/>
      <c r="G1062" s="211"/>
      <c r="H1062" s="211"/>
      <c r="I1062" s="212"/>
      <c r="J1062" s="212"/>
      <c r="K1062" s="212"/>
      <c r="L1062" s="212"/>
      <c r="M1062" s="212"/>
      <c r="N1062" s="212"/>
      <c r="O1062" s="212"/>
      <c r="P1062" s="211"/>
      <c r="Q1062" s="211"/>
      <c r="R1062" s="211"/>
      <c r="S1062" s="211"/>
      <c r="T1062" s="211"/>
      <c r="U1062" s="211"/>
      <c r="V1062" s="211"/>
      <c r="W1062" s="211"/>
      <c r="X1062" s="211"/>
      <c r="Y1062" s="211"/>
      <c r="Z1062" s="211"/>
      <c r="AD1062" s="211"/>
      <c r="AE1062" s="211"/>
      <c r="AF1062" s="211"/>
      <c r="AG1062" s="211"/>
      <c r="AH1062" s="211"/>
      <c r="AI1062" s="211"/>
      <c r="AJ1062" s="211"/>
      <c r="AK1062" s="211"/>
      <c r="AL1062" s="211"/>
      <c r="AM1062" s="211"/>
      <c r="AN1062" s="211"/>
      <c r="AO1062" s="211"/>
      <c r="AP1062" s="211"/>
      <c r="AQ1062" s="211"/>
      <c r="AR1062" s="211"/>
      <c r="AS1062" s="211"/>
      <c r="AT1062" s="211"/>
      <c r="AU1062" s="211"/>
      <c r="AV1062" s="211"/>
      <c r="AW1062" s="211"/>
      <c r="AX1062" s="211"/>
      <c r="AY1062" s="211"/>
      <c r="AZ1062" s="211"/>
      <c r="BA1062" s="211"/>
      <c r="BB1062" s="211"/>
      <c r="BC1062" s="211"/>
    </row>
    <row r="1063" spans="1:55" s="213" customFormat="1" x14ac:dyDescent="0.35">
      <c r="A1063" s="211"/>
      <c r="B1063" s="211"/>
      <c r="C1063" s="211"/>
      <c r="D1063" s="211"/>
      <c r="E1063" s="211"/>
      <c r="F1063" s="211"/>
      <c r="G1063" s="211"/>
      <c r="H1063" s="211"/>
      <c r="I1063" s="212"/>
      <c r="J1063" s="212"/>
      <c r="K1063" s="212"/>
      <c r="L1063" s="212"/>
      <c r="M1063" s="212"/>
      <c r="N1063" s="212"/>
      <c r="O1063" s="212"/>
      <c r="P1063" s="211"/>
      <c r="Q1063" s="211"/>
      <c r="R1063" s="211"/>
      <c r="S1063" s="211"/>
      <c r="T1063" s="211"/>
      <c r="U1063" s="211"/>
      <c r="V1063" s="211"/>
      <c r="W1063" s="211"/>
      <c r="X1063" s="211"/>
      <c r="Y1063" s="211"/>
      <c r="Z1063" s="211"/>
      <c r="AD1063" s="211"/>
      <c r="AE1063" s="211"/>
      <c r="AF1063" s="211"/>
      <c r="AG1063" s="211"/>
      <c r="AH1063" s="211"/>
      <c r="AI1063" s="211"/>
      <c r="AJ1063" s="211"/>
      <c r="AK1063" s="211"/>
      <c r="AL1063" s="211"/>
      <c r="AM1063" s="211"/>
      <c r="AN1063" s="211"/>
      <c r="AO1063" s="211"/>
      <c r="AP1063" s="211"/>
      <c r="AQ1063" s="211"/>
      <c r="AR1063" s="211"/>
      <c r="AS1063" s="211"/>
      <c r="AT1063" s="211"/>
      <c r="AU1063" s="211"/>
      <c r="AV1063" s="211"/>
      <c r="AW1063" s="211"/>
      <c r="AX1063" s="211"/>
      <c r="AY1063" s="211"/>
      <c r="AZ1063" s="211"/>
      <c r="BA1063" s="211"/>
      <c r="BB1063" s="211"/>
      <c r="BC1063" s="211"/>
    </row>
    <row r="1064" spans="1:55" s="213" customFormat="1" x14ac:dyDescent="0.35">
      <c r="A1064" s="211"/>
      <c r="B1064" s="211"/>
      <c r="C1064" s="211"/>
      <c r="D1064" s="211"/>
      <c r="E1064" s="211"/>
      <c r="F1064" s="211"/>
      <c r="G1064" s="211"/>
      <c r="H1064" s="211"/>
      <c r="I1064" s="212"/>
      <c r="J1064" s="212"/>
      <c r="K1064" s="212"/>
      <c r="L1064" s="212"/>
      <c r="M1064" s="212"/>
      <c r="N1064" s="212"/>
      <c r="O1064" s="212"/>
      <c r="P1064" s="211"/>
      <c r="Q1064" s="211"/>
      <c r="R1064" s="211"/>
      <c r="S1064" s="211"/>
      <c r="T1064" s="211"/>
      <c r="U1064" s="211"/>
      <c r="V1064" s="211"/>
      <c r="W1064" s="211"/>
      <c r="X1064" s="211"/>
      <c r="Y1064" s="211"/>
      <c r="Z1064" s="211"/>
      <c r="AD1064" s="211"/>
      <c r="AE1064" s="211"/>
      <c r="AF1064" s="211"/>
      <c r="AG1064" s="211"/>
      <c r="AH1064" s="211"/>
      <c r="AI1064" s="211"/>
      <c r="AJ1064" s="211"/>
      <c r="AK1064" s="211"/>
      <c r="AL1064" s="211"/>
      <c r="AM1064" s="211"/>
      <c r="AN1064" s="211"/>
      <c r="AO1064" s="211"/>
      <c r="AP1064" s="211"/>
      <c r="AQ1064" s="211"/>
      <c r="AR1064" s="211"/>
      <c r="AS1064" s="211"/>
      <c r="AT1064" s="211"/>
      <c r="AU1064" s="211"/>
      <c r="AV1064" s="211"/>
      <c r="AW1064" s="211"/>
      <c r="AX1064" s="211"/>
      <c r="AY1064" s="211"/>
      <c r="AZ1064" s="211"/>
      <c r="BA1064" s="211"/>
      <c r="BB1064" s="211"/>
      <c r="BC1064" s="211"/>
    </row>
    <row r="1065" spans="1:55" s="213" customFormat="1" x14ac:dyDescent="0.35">
      <c r="A1065" s="211"/>
      <c r="B1065" s="211"/>
      <c r="C1065" s="211"/>
      <c r="D1065" s="211"/>
      <c r="E1065" s="211"/>
      <c r="F1065" s="211"/>
      <c r="G1065" s="211"/>
      <c r="H1065" s="211"/>
      <c r="I1065" s="212"/>
      <c r="J1065" s="212"/>
      <c r="K1065" s="212"/>
      <c r="L1065" s="212"/>
      <c r="M1065" s="212"/>
      <c r="N1065" s="212"/>
      <c r="O1065" s="212"/>
      <c r="P1065" s="211"/>
      <c r="Q1065" s="211"/>
      <c r="R1065" s="211"/>
      <c r="S1065" s="211"/>
      <c r="T1065" s="211"/>
      <c r="U1065" s="211"/>
      <c r="V1065" s="211"/>
      <c r="W1065" s="211"/>
      <c r="X1065" s="211"/>
      <c r="Y1065" s="211"/>
      <c r="Z1065" s="211"/>
      <c r="AD1065" s="211"/>
      <c r="AE1065" s="211"/>
      <c r="AF1065" s="211"/>
      <c r="AG1065" s="211"/>
      <c r="AH1065" s="211"/>
      <c r="AI1065" s="211"/>
      <c r="AJ1065" s="211"/>
      <c r="AK1065" s="211"/>
      <c r="AL1065" s="211"/>
      <c r="AM1065" s="211"/>
      <c r="AN1065" s="211"/>
      <c r="AO1065" s="211"/>
      <c r="AP1065" s="211"/>
      <c r="AQ1065" s="211"/>
      <c r="AR1065" s="211"/>
      <c r="AS1065" s="211"/>
      <c r="AT1065" s="211"/>
      <c r="AU1065" s="211"/>
      <c r="AV1065" s="211"/>
      <c r="AW1065" s="211"/>
      <c r="AX1065" s="211"/>
      <c r="AY1065" s="211"/>
      <c r="AZ1065" s="211"/>
      <c r="BA1065" s="211"/>
      <c r="BB1065" s="211"/>
      <c r="BC1065" s="211"/>
    </row>
    <row r="1066" spans="1:55" s="213" customFormat="1" x14ac:dyDescent="0.35">
      <c r="A1066" s="211"/>
      <c r="B1066" s="211"/>
      <c r="C1066" s="211"/>
      <c r="D1066" s="211"/>
      <c r="E1066" s="211"/>
      <c r="F1066" s="211"/>
      <c r="G1066" s="211"/>
      <c r="H1066" s="211"/>
      <c r="I1066" s="212"/>
      <c r="J1066" s="212"/>
      <c r="K1066" s="212"/>
      <c r="L1066" s="212"/>
      <c r="M1066" s="212"/>
      <c r="N1066" s="212"/>
      <c r="O1066" s="212"/>
      <c r="P1066" s="211"/>
      <c r="Q1066" s="211"/>
      <c r="R1066" s="211"/>
      <c r="S1066" s="211"/>
      <c r="T1066" s="211"/>
      <c r="U1066" s="211"/>
      <c r="V1066" s="211"/>
      <c r="W1066" s="211"/>
      <c r="X1066" s="211"/>
      <c r="Y1066" s="211"/>
      <c r="Z1066" s="211"/>
      <c r="AD1066" s="211"/>
      <c r="AE1066" s="211"/>
      <c r="AF1066" s="211"/>
      <c r="AG1066" s="211"/>
      <c r="AH1066" s="211"/>
      <c r="AI1066" s="211"/>
      <c r="AJ1066" s="211"/>
      <c r="AK1066" s="211"/>
      <c r="AL1066" s="211"/>
      <c r="AM1066" s="211"/>
      <c r="AN1066" s="211"/>
      <c r="AO1066" s="211"/>
      <c r="AP1066" s="211"/>
      <c r="AQ1066" s="211"/>
      <c r="AR1066" s="211"/>
      <c r="AS1066" s="211"/>
      <c r="AT1066" s="211"/>
      <c r="AU1066" s="211"/>
      <c r="AV1066" s="211"/>
      <c r="AW1066" s="211"/>
      <c r="AX1066" s="211"/>
      <c r="AY1066" s="211"/>
      <c r="AZ1066" s="211"/>
      <c r="BA1066" s="211"/>
      <c r="BB1066" s="211"/>
      <c r="BC1066" s="211"/>
    </row>
    <row r="1067" spans="1:55" s="213" customFormat="1" x14ac:dyDescent="0.35">
      <c r="A1067" s="211"/>
      <c r="B1067" s="211"/>
      <c r="C1067" s="211"/>
      <c r="D1067" s="211"/>
      <c r="E1067" s="211"/>
      <c r="F1067" s="211"/>
      <c r="G1067" s="211"/>
      <c r="H1067" s="211"/>
      <c r="I1067" s="212"/>
      <c r="J1067" s="212"/>
      <c r="K1067" s="212"/>
      <c r="L1067" s="212"/>
      <c r="M1067" s="212"/>
      <c r="N1067" s="212"/>
      <c r="O1067" s="212"/>
      <c r="P1067" s="211"/>
      <c r="Q1067" s="211"/>
      <c r="R1067" s="211"/>
      <c r="S1067" s="211"/>
      <c r="T1067" s="211"/>
      <c r="U1067" s="211"/>
      <c r="V1067" s="211"/>
      <c r="W1067" s="211"/>
      <c r="X1067" s="211"/>
      <c r="Y1067" s="211"/>
      <c r="Z1067" s="211"/>
      <c r="AD1067" s="211"/>
      <c r="AE1067" s="211"/>
      <c r="AF1067" s="211"/>
      <c r="AG1067" s="211"/>
      <c r="AH1067" s="211"/>
      <c r="AI1067" s="211"/>
      <c r="AJ1067" s="211"/>
      <c r="AK1067" s="211"/>
      <c r="AL1067" s="211"/>
      <c r="AM1067" s="211"/>
      <c r="AN1067" s="211"/>
      <c r="AO1067" s="211"/>
      <c r="AP1067" s="211"/>
      <c r="AQ1067" s="211"/>
      <c r="AR1067" s="211"/>
      <c r="AS1067" s="211"/>
      <c r="AT1067" s="211"/>
      <c r="AU1067" s="211"/>
      <c r="AV1067" s="211"/>
      <c r="AW1067" s="211"/>
      <c r="AX1067" s="211"/>
      <c r="AY1067" s="211"/>
      <c r="AZ1067" s="211"/>
      <c r="BA1067" s="211"/>
      <c r="BB1067" s="211"/>
      <c r="BC1067" s="211"/>
    </row>
    <row r="1068" spans="1:55" s="213" customFormat="1" x14ac:dyDescent="0.35">
      <c r="A1068" s="211"/>
      <c r="B1068" s="211"/>
      <c r="C1068" s="211"/>
      <c r="D1068" s="211"/>
      <c r="E1068" s="211"/>
      <c r="F1068" s="211"/>
      <c r="G1068" s="211"/>
      <c r="H1068" s="211"/>
      <c r="I1068" s="212"/>
      <c r="J1068" s="212"/>
      <c r="K1068" s="212"/>
      <c r="L1068" s="212"/>
      <c r="M1068" s="212"/>
      <c r="N1068" s="212"/>
      <c r="O1068" s="212"/>
      <c r="P1068" s="211"/>
      <c r="Q1068" s="211"/>
      <c r="R1068" s="211"/>
      <c r="S1068" s="211"/>
      <c r="T1068" s="211"/>
      <c r="U1068" s="211"/>
      <c r="V1068" s="211"/>
      <c r="W1068" s="211"/>
      <c r="X1068" s="211"/>
      <c r="Y1068" s="211"/>
      <c r="Z1068" s="211"/>
      <c r="AD1068" s="211"/>
      <c r="AE1068" s="211"/>
      <c r="AF1068" s="211"/>
      <c r="AG1068" s="211"/>
      <c r="AH1068" s="211"/>
      <c r="AI1068" s="211"/>
      <c r="AJ1068" s="211"/>
      <c r="AK1068" s="211"/>
      <c r="AL1068" s="211"/>
      <c r="AM1068" s="211"/>
      <c r="AN1068" s="211"/>
      <c r="AO1068" s="211"/>
      <c r="AP1068" s="211"/>
      <c r="AQ1068" s="211"/>
      <c r="AR1068" s="211"/>
      <c r="AS1068" s="211"/>
      <c r="AT1068" s="211"/>
      <c r="AU1068" s="211"/>
      <c r="AV1068" s="211"/>
      <c r="AW1068" s="211"/>
      <c r="AX1068" s="211"/>
      <c r="AY1068" s="211"/>
      <c r="AZ1068" s="211"/>
      <c r="BA1068" s="211"/>
      <c r="BB1068" s="211"/>
      <c r="BC1068" s="211"/>
    </row>
    <row r="1069" spans="1:55" s="213" customFormat="1" x14ac:dyDescent="0.35">
      <c r="A1069" s="211"/>
      <c r="B1069" s="211"/>
      <c r="C1069" s="211"/>
      <c r="D1069" s="211"/>
      <c r="E1069" s="211"/>
      <c r="F1069" s="211"/>
      <c r="G1069" s="211"/>
      <c r="H1069" s="211"/>
      <c r="I1069" s="212"/>
      <c r="J1069" s="212"/>
      <c r="K1069" s="212"/>
      <c r="L1069" s="212"/>
      <c r="M1069" s="212"/>
      <c r="N1069" s="212"/>
      <c r="O1069" s="212"/>
      <c r="P1069" s="211"/>
      <c r="Q1069" s="211"/>
      <c r="R1069" s="211"/>
      <c r="S1069" s="211"/>
      <c r="T1069" s="211"/>
      <c r="U1069" s="211"/>
      <c r="V1069" s="211"/>
      <c r="W1069" s="211"/>
      <c r="X1069" s="211"/>
      <c r="Y1069" s="211"/>
      <c r="Z1069" s="211"/>
      <c r="AD1069" s="211"/>
      <c r="AE1069" s="211"/>
      <c r="AF1069" s="211"/>
      <c r="AG1069" s="211"/>
      <c r="AH1069" s="211"/>
      <c r="AI1069" s="211"/>
      <c r="AJ1069" s="211"/>
      <c r="AK1069" s="211"/>
      <c r="AL1069" s="211"/>
      <c r="AM1069" s="211"/>
      <c r="AN1069" s="211"/>
      <c r="AO1069" s="211"/>
      <c r="AP1069" s="211"/>
      <c r="AQ1069" s="211"/>
      <c r="AR1069" s="211"/>
      <c r="AS1069" s="211"/>
      <c r="AT1069" s="211"/>
      <c r="AU1069" s="211"/>
      <c r="AV1069" s="211"/>
      <c r="AW1069" s="211"/>
      <c r="AX1069" s="211"/>
      <c r="AY1069" s="211"/>
      <c r="AZ1069" s="211"/>
      <c r="BA1069" s="211"/>
      <c r="BB1069" s="211"/>
      <c r="BC1069" s="211"/>
    </row>
    <row r="1070" spans="1:55" s="213" customFormat="1" x14ac:dyDescent="0.35">
      <c r="A1070" s="211"/>
      <c r="B1070" s="211"/>
      <c r="C1070" s="211"/>
      <c r="D1070" s="211"/>
      <c r="E1070" s="211"/>
      <c r="F1070" s="211"/>
      <c r="G1070" s="211"/>
      <c r="H1070" s="211"/>
      <c r="I1070" s="212"/>
      <c r="J1070" s="212"/>
      <c r="K1070" s="212"/>
      <c r="L1070" s="212"/>
      <c r="M1070" s="212"/>
      <c r="N1070" s="212"/>
      <c r="O1070" s="212"/>
      <c r="P1070" s="211"/>
      <c r="Q1070" s="211"/>
      <c r="R1070" s="211"/>
      <c r="S1070" s="211"/>
      <c r="T1070" s="211"/>
      <c r="U1070" s="211"/>
      <c r="V1070" s="211"/>
      <c r="W1070" s="211"/>
      <c r="X1070" s="211"/>
      <c r="Y1070" s="211"/>
      <c r="Z1070" s="211"/>
      <c r="AD1070" s="211"/>
      <c r="AE1070" s="211"/>
      <c r="AF1070" s="211"/>
      <c r="AG1070" s="211"/>
      <c r="AH1070" s="211"/>
      <c r="AI1070" s="211"/>
      <c r="AJ1070" s="211"/>
      <c r="AK1070" s="211"/>
      <c r="AL1070" s="211"/>
      <c r="AM1070" s="211"/>
      <c r="AN1070" s="211"/>
      <c r="AO1070" s="211"/>
      <c r="AP1070" s="211"/>
      <c r="AQ1070" s="211"/>
      <c r="AR1070" s="211"/>
      <c r="AS1070" s="211"/>
      <c r="AT1070" s="211"/>
      <c r="AU1070" s="211"/>
      <c r="AV1070" s="211"/>
      <c r="AW1070" s="211"/>
      <c r="AX1070" s="211"/>
      <c r="AY1070" s="211"/>
      <c r="AZ1070" s="211"/>
      <c r="BA1070" s="211"/>
      <c r="BB1070" s="211"/>
      <c r="BC1070" s="211"/>
    </row>
    <row r="1071" spans="1:55" s="213" customFormat="1" x14ac:dyDescent="0.35">
      <c r="A1071" s="211"/>
      <c r="B1071" s="211"/>
      <c r="C1071" s="211"/>
      <c r="D1071" s="211"/>
      <c r="E1071" s="211"/>
      <c r="F1071" s="211"/>
      <c r="G1071" s="211"/>
      <c r="H1071" s="211"/>
      <c r="I1071" s="212"/>
      <c r="J1071" s="212"/>
      <c r="K1071" s="212"/>
      <c r="L1071" s="212"/>
      <c r="M1071" s="212"/>
      <c r="N1071" s="212"/>
      <c r="O1071" s="212"/>
      <c r="P1071" s="211"/>
      <c r="Q1071" s="211"/>
      <c r="R1071" s="211"/>
      <c r="S1071" s="211"/>
      <c r="T1071" s="211"/>
      <c r="U1071" s="211"/>
      <c r="V1071" s="211"/>
      <c r="W1071" s="211"/>
      <c r="X1071" s="211"/>
      <c r="Y1071" s="211"/>
      <c r="Z1071" s="211"/>
      <c r="AD1071" s="211"/>
      <c r="AE1071" s="211"/>
      <c r="AF1071" s="211"/>
      <c r="AG1071" s="211"/>
      <c r="AH1071" s="211"/>
      <c r="AI1071" s="211"/>
      <c r="AJ1071" s="211"/>
      <c r="AK1071" s="211"/>
      <c r="AL1071" s="211"/>
      <c r="AM1071" s="211"/>
      <c r="AN1071" s="211"/>
      <c r="AO1071" s="211"/>
      <c r="AP1071" s="211"/>
      <c r="AQ1071" s="211"/>
      <c r="AR1071" s="211"/>
      <c r="AS1071" s="211"/>
      <c r="AT1071" s="211"/>
      <c r="AU1071" s="211"/>
      <c r="AV1071" s="211"/>
      <c r="AW1071" s="211"/>
      <c r="AX1071" s="211"/>
      <c r="AY1071" s="211"/>
      <c r="AZ1071" s="211"/>
      <c r="BA1071" s="211"/>
      <c r="BB1071" s="211"/>
      <c r="BC1071" s="211"/>
    </row>
    <row r="1072" spans="1:55" s="213" customFormat="1" x14ac:dyDescent="0.35">
      <c r="A1072" s="211"/>
      <c r="B1072" s="211"/>
      <c r="C1072" s="211"/>
      <c r="D1072" s="211"/>
      <c r="E1072" s="211"/>
      <c r="F1072" s="211"/>
      <c r="G1072" s="211"/>
      <c r="H1072" s="211"/>
      <c r="I1072" s="212"/>
      <c r="J1072" s="212"/>
      <c r="K1072" s="212"/>
      <c r="L1072" s="212"/>
      <c r="M1072" s="212"/>
      <c r="N1072" s="212"/>
      <c r="O1072" s="212"/>
      <c r="P1072" s="211"/>
      <c r="Q1072" s="211"/>
      <c r="R1072" s="211"/>
      <c r="S1072" s="211"/>
      <c r="T1072" s="211"/>
      <c r="U1072" s="211"/>
      <c r="V1072" s="211"/>
      <c r="W1072" s="211"/>
      <c r="X1072" s="211"/>
      <c r="Y1072" s="211"/>
      <c r="Z1072" s="211"/>
      <c r="AD1072" s="211"/>
      <c r="AE1072" s="211"/>
      <c r="AF1072" s="211"/>
      <c r="AG1072" s="211"/>
      <c r="AH1072" s="211"/>
      <c r="AI1072" s="211"/>
      <c r="AJ1072" s="211"/>
      <c r="AK1072" s="211"/>
      <c r="AL1072" s="211"/>
      <c r="AM1072" s="211"/>
      <c r="AN1072" s="211"/>
      <c r="AO1072" s="211"/>
      <c r="AP1072" s="211"/>
      <c r="AQ1072" s="211"/>
      <c r="AR1072" s="211"/>
      <c r="AS1072" s="211"/>
      <c r="AT1072" s="211"/>
      <c r="AU1072" s="211"/>
      <c r="AV1072" s="211"/>
      <c r="AW1072" s="211"/>
      <c r="AX1072" s="211"/>
      <c r="AY1072" s="211"/>
      <c r="AZ1072" s="211"/>
      <c r="BA1072" s="211"/>
      <c r="BB1072" s="211"/>
      <c r="BC1072" s="211"/>
    </row>
    <row r="1073" spans="1:55" s="213" customFormat="1" x14ac:dyDescent="0.35">
      <c r="A1073" s="211"/>
      <c r="B1073" s="211"/>
      <c r="C1073" s="211"/>
      <c r="D1073" s="211"/>
      <c r="E1073" s="211"/>
      <c r="F1073" s="211"/>
      <c r="G1073" s="211"/>
      <c r="H1073" s="211"/>
      <c r="I1073" s="212"/>
      <c r="J1073" s="212"/>
      <c r="K1073" s="212"/>
      <c r="L1073" s="212"/>
      <c r="M1073" s="212"/>
      <c r="N1073" s="212"/>
      <c r="O1073" s="212"/>
      <c r="P1073" s="211"/>
      <c r="Q1073" s="211"/>
      <c r="R1073" s="211"/>
      <c r="S1073" s="211"/>
      <c r="T1073" s="211"/>
      <c r="U1073" s="211"/>
      <c r="V1073" s="211"/>
      <c r="W1073" s="211"/>
      <c r="X1073" s="211"/>
      <c r="Y1073" s="211"/>
      <c r="Z1073" s="211"/>
      <c r="AD1073" s="211"/>
      <c r="AE1073" s="211"/>
      <c r="AF1073" s="211"/>
      <c r="AG1073" s="211"/>
      <c r="AH1073" s="211"/>
      <c r="AI1073" s="211"/>
      <c r="AJ1073" s="211"/>
      <c r="AK1073" s="211"/>
      <c r="AL1073" s="211"/>
      <c r="AM1073" s="211"/>
      <c r="AN1073" s="211"/>
      <c r="AO1073" s="211"/>
      <c r="AP1073" s="211"/>
      <c r="AQ1073" s="211"/>
      <c r="AR1073" s="211"/>
      <c r="AS1073" s="211"/>
      <c r="AT1073" s="211"/>
      <c r="AU1073" s="211"/>
      <c r="AV1073" s="211"/>
      <c r="AW1073" s="211"/>
      <c r="AX1073" s="211"/>
      <c r="AY1073" s="211"/>
      <c r="AZ1073" s="211"/>
      <c r="BA1073" s="211"/>
      <c r="BB1073" s="211"/>
      <c r="BC1073" s="211"/>
    </row>
    <row r="1074" spans="1:55" s="213" customFormat="1" x14ac:dyDescent="0.35">
      <c r="A1074" s="211"/>
      <c r="B1074" s="211"/>
      <c r="C1074" s="211"/>
      <c r="D1074" s="211"/>
      <c r="E1074" s="211"/>
      <c r="F1074" s="211"/>
      <c r="G1074" s="211"/>
      <c r="H1074" s="211"/>
      <c r="I1074" s="212"/>
      <c r="J1074" s="212"/>
      <c r="K1074" s="212"/>
      <c r="L1074" s="212"/>
      <c r="M1074" s="212"/>
      <c r="N1074" s="212"/>
      <c r="O1074" s="212"/>
      <c r="P1074" s="211"/>
      <c r="Q1074" s="211"/>
      <c r="R1074" s="211"/>
      <c r="S1074" s="211"/>
      <c r="T1074" s="211"/>
      <c r="U1074" s="211"/>
      <c r="V1074" s="211"/>
      <c r="W1074" s="211"/>
      <c r="X1074" s="211"/>
      <c r="Y1074" s="211"/>
      <c r="Z1074" s="211"/>
      <c r="AD1074" s="211"/>
      <c r="AE1074" s="211"/>
      <c r="AF1074" s="211"/>
      <c r="AG1074" s="211"/>
      <c r="AH1074" s="211"/>
      <c r="AI1074" s="211"/>
      <c r="AJ1074" s="211"/>
      <c r="AK1074" s="211"/>
      <c r="AL1074" s="211"/>
      <c r="AM1074" s="211"/>
      <c r="AN1074" s="211"/>
      <c r="AO1074" s="211"/>
      <c r="AP1074" s="211"/>
      <c r="AQ1074" s="211"/>
      <c r="AR1074" s="211"/>
      <c r="AS1074" s="211"/>
      <c r="AT1074" s="211"/>
      <c r="AU1074" s="211"/>
      <c r="AV1074" s="211"/>
      <c r="AW1074" s="211"/>
      <c r="AX1074" s="211"/>
      <c r="AY1074" s="211"/>
      <c r="AZ1074" s="211"/>
      <c r="BA1074" s="211"/>
      <c r="BB1074" s="211"/>
      <c r="BC1074" s="211"/>
    </row>
    <row r="1075" spans="1:55" s="213" customFormat="1" x14ac:dyDescent="0.35">
      <c r="A1075" s="211"/>
      <c r="B1075" s="211"/>
      <c r="C1075" s="211"/>
      <c r="D1075" s="211"/>
      <c r="E1075" s="211"/>
      <c r="F1075" s="211"/>
      <c r="G1075" s="211"/>
      <c r="H1075" s="211"/>
      <c r="I1075" s="212"/>
      <c r="J1075" s="212"/>
      <c r="K1075" s="212"/>
      <c r="L1075" s="212"/>
      <c r="M1075" s="212"/>
      <c r="N1075" s="212"/>
      <c r="O1075" s="212"/>
      <c r="P1075" s="211"/>
      <c r="Q1075" s="211"/>
      <c r="R1075" s="211"/>
      <c r="S1075" s="211"/>
      <c r="T1075" s="211"/>
      <c r="U1075" s="211"/>
      <c r="V1075" s="211"/>
      <c r="W1075" s="211"/>
      <c r="X1075" s="211"/>
      <c r="Y1075" s="211"/>
      <c r="Z1075" s="211"/>
      <c r="AD1075" s="211"/>
      <c r="AE1075" s="211"/>
      <c r="AF1075" s="211"/>
      <c r="AG1075" s="211"/>
      <c r="AH1075" s="211"/>
      <c r="AI1075" s="211"/>
      <c r="AJ1075" s="211"/>
      <c r="AK1075" s="211"/>
      <c r="AL1075" s="211"/>
      <c r="AM1075" s="211"/>
      <c r="AN1075" s="211"/>
      <c r="AO1075" s="211"/>
      <c r="AP1075" s="211"/>
      <c r="AQ1075" s="211"/>
      <c r="AR1075" s="211"/>
      <c r="AS1075" s="211"/>
      <c r="AT1075" s="211"/>
      <c r="AU1075" s="211"/>
      <c r="AV1075" s="211"/>
      <c r="AW1075" s="211"/>
      <c r="AX1075" s="211"/>
      <c r="AY1075" s="211"/>
      <c r="AZ1075" s="211"/>
      <c r="BA1075" s="211"/>
      <c r="BB1075" s="211"/>
      <c r="BC1075" s="211"/>
    </row>
    <row r="1076" spans="1:55" s="213" customFormat="1" x14ac:dyDescent="0.35">
      <c r="A1076" s="211"/>
      <c r="B1076" s="211"/>
      <c r="C1076" s="211"/>
      <c r="D1076" s="211"/>
      <c r="E1076" s="211"/>
      <c r="F1076" s="211"/>
      <c r="G1076" s="211"/>
      <c r="H1076" s="211"/>
      <c r="I1076" s="212"/>
      <c r="J1076" s="212"/>
      <c r="K1076" s="212"/>
      <c r="L1076" s="212"/>
      <c r="M1076" s="212"/>
      <c r="N1076" s="212"/>
      <c r="O1076" s="212"/>
      <c r="P1076" s="211"/>
      <c r="Q1076" s="211"/>
      <c r="R1076" s="211"/>
      <c r="S1076" s="211"/>
      <c r="T1076" s="211"/>
      <c r="U1076" s="211"/>
      <c r="V1076" s="211"/>
      <c r="W1076" s="211"/>
      <c r="X1076" s="211"/>
      <c r="Y1076" s="211"/>
      <c r="Z1076" s="211"/>
      <c r="AD1076" s="211"/>
      <c r="AE1076" s="211"/>
      <c r="AF1076" s="211"/>
      <c r="AG1076" s="211"/>
      <c r="AH1076" s="211"/>
      <c r="AI1076" s="211"/>
      <c r="AJ1076" s="211"/>
      <c r="AK1076" s="211"/>
      <c r="AL1076" s="211"/>
      <c r="AM1076" s="211"/>
      <c r="AN1076" s="211"/>
      <c r="AO1076" s="211"/>
      <c r="AP1076" s="211"/>
      <c r="AQ1076" s="211"/>
      <c r="AR1076" s="211"/>
      <c r="AS1076" s="211"/>
      <c r="AT1076" s="211"/>
      <c r="AU1076" s="211"/>
      <c r="AV1076" s="211"/>
      <c r="AW1076" s="211"/>
      <c r="AX1076" s="211"/>
      <c r="AY1076" s="211"/>
      <c r="AZ1076" s="211"/>
      <c r="BA1076" s="211"/>
      <c r="BB1076" s="211"/>
      <c r="BC1076" s="211"/>
    </row>
    <row r="1077" spans="1:55" s="213" customFormat="1" x14ac:dyDescent="0.35">
      <c r="A1077" s="211"/>
      <c r="B1077" s="211"/>
      <c r="C1077" s="211"/>
      <c r="D1077" s="211"/>
      <c r="E1077" s="211"/>
      <c r="F1077" s="211"/>
      <c r="G1077" s="211"/>
      <c r="H1077" s="211"/>
      <c r="I1077" s="212"/>
      <c r="J1077" s="212"/>
      <c r="K1077" s="212"/>
      <c r="L1077" s="212"/>
      <c r="M1077" s="212"/>
      <c r="N1077" s="212"/>
      <c r="O1077" s="212"/>
      <c r="P1077" s="211"/>
      <c r="Q1077" s="211"/>
      <c r="R1077" s="211"/>
      <c r="S1077" s="211"/>
      <c r="T1077" s="211"/>
      <c r="U1077" s="211"/>
      <c r="V1077" s="211"/>
      <c r="W1077" s="211"/>
      <c r="X1077" s="211"/>
      <c r="Y1077" s="211"/>
      <c r="Z1077" s="211"/>
      <c r="AD1077" s="211"/>
      <c r="AE1077" s="211"/>
      <c r="AF1077" s="211"/>
      <c r="AG1077" s="211"/>
      <c r="AH1077" s="211"/>
      <c r="AI1077" s="211"/>
      <c r="AJ1077" s="211"/>
      <c r="AK1077" s="211"/>
      <c r="AL1077" s="211"/>
      <c r="AM1077" s="211"/>
      <c r="AN1077" s="211"/>
      <c r="AO1077" s="211"/>
      <c r="AP1077" s="211"/>
      <c r="AQ1077" s="211"/>
      <c r="AR1077" s="211"/>
      <c r="AS1077" s="211"/>
      <c r="AT1077" s="211"/>
      <c r="AU1077" s="211"/>
      <c r="AV1077" s="211"/>
      <c r="AW1077" s="211"/>
      <c r="AX1077" s="211"/>
      <c r="AY1077" s="211"/>
      <c r="AZ1077" s="211"/>
      <c r="BA1077" s="211"/>
      <c r="BB1077" s="211"/>
      <c r="BC1077" s="211"/>
    </row>
    <row r="1078" spans="1:55" s="213" customFormat="1" x14ac:dyDescent="0.35">
      <c r="A1078" s="211"/>
      <c r="B1078" s="211"/>
      <c r="C1078" s="211"/>
      <c r="D1078" s="211"/>
      <c r="E1078" s="211"/>
      <c r="F1078" s="211"/>
      <c r="G1078" s="211"/>
      <c r="H1078" s="211"/>
      <c r="I1078" s="212"/>
      <c r="J1078" s="212"/>
      <c r="K1078" s="212"/>
      <c r="L1078" s="212"/>
      <c r="M1078" s="212"/>
      <c r="N1078" s="212"/>
      <c r="O1078" s="212"/>
      <c r="P1078" s="211"/>
      <c r="Q1078" s="211"/>
      <c r="R1078" s="211"/>
      <c r="S1078" s="211"/>
      <c r="T1078" s="211"/>
      <c r="U1078" s="211"/>
      <c r="V1078" s="211"/>
      <c r="W1078" s="211"/>
      <c r="X1078" s="211"/>
      <c r="Y1078" s="211"/>
      <c r="Z1078" s="211"/>
      <c r="AD1078" s="211"/>
      <c r="AE1078" s="211"/>
      <c r="AF1078" s="211"/>
      <c r="AG1078" s="211"/>
      <c r="AH1078" s="211"/>
      <c r="AI1078" s="211"/>
      <c r="AJ1078" s="211"/>
      <c r="AK1078" s="211"/>
      <c r="AL1078" s="211"/>
      <c r="AM1078" s="211"/>
      <c r="AN1078" s="211"/>
      <c r="AO1078" s="211"/>
      <c r="AP1078" s="211"/>
      <c r="AQ1078" s="211"/>
      <c r="AR1078" s="211"/>
      <c r="AS1078" s="211"/>
      <c r="AT1078" s="211"/>
      <c r="AU1078" s="211"/>
      <c r="AV1078" s="211"/>
      <c r="AW1078" s="211"/>
      <c r="AX1078" s="211"/>
      <c r="AY1078" s="211"/>
      <c r="AZ1078" s="211"/>
      <c r="BA1078" s="211"/>
      <c r="BB1078" s="211"/>
      <c r="BC1078" s="211"/>
    </row>
    <row r="1079" spans="1:55" s="213" customFormat="1" x14ac:dyDescent="0.35">
      <c r="A1079" s="211"/>
      <c r="B1079" s="211"/>
      <c r="C1079" s="211"/>
      <c r="D1079" s="211"/>
      <c r="E1079" s="211"/>
      <c r="F1079" s="211"/>
      <c r="G1079" s="211"/>
      <c r="H1079" s="211"/>
      <c r="I1079" s="212"/>
      <c r="J1079" s="212"/>
      <c r="K1079" s="212"/>
      <c r="L1079" s="212"/>
      <c r="M1079" s="212"/>
      <c r="N1079" s="212"/>
      <c r="O1079" s="212"/>
      <c r="P1079" s="211"/>
      <c r="Q1079" s="211"/>
      <c r="R1079" s="211"/>
      <c r="S1079" s="211"/>
      <c r="T1079" s="211"/>
      <c r="U1079" s="211"/>
      <c r="V1079" s="211"/>
      <c r="W1079" s="211"/>
      <c r="X1079" s="211"/>
      <c r="Y1079" s="211"/>
      <c r="Z1079" s="211"/>
      <c r="AD1079" s="211"/>
      <c r="AE1079" s="211"/>
      <c r="AF1079" s="211"/>
      <c r="AG1079" s="211"/>
      <c r="AH1079" s="211"/>
      <c r="AI1079" s="211"/>
      <c r="AJ1079" s="211"/>
      <c r="AK1079" s="211"/>
      <c r="AL1079" s="211"/>
      <c r="AM1079" s="211"/>
      <c r="AN1079" s="211"/>
      <c r="AO1079" s="211"/>
      <c r="AP1079" s="211"/>
      <c r="AQ1079" s="211"/>
      <c r="AR1079" s="211"/>
      <c r="AS1079" s="211"/>
      <c r="AT1079" s="211"/>
      <c r="AU1079" s="211"/>
      <c r="AV1079" s="211"/>
      <c r="AW1079" s="211"/>
      <c r="AX1079" s="211"/>
      <c r="AY1079" s="211"/>
      <c r="AZ1079" s="211"/>
      <c r="BA1079" s="211"/>
      <c r="BB1079" s="211"/>
      <c r="BC1079" s="211"/>
    </row>
    <row r="1080" spans="1:55" s="213" customFormat="1" x14ac:dyDescent="0.35">
      <c r="A1080" s="211"/>
      <c r="B1080" s="211"/>
      <c r="C1080" s="211"/>
      <c r="D1080" s="211"/>
      <c r="E1080" s="211"/>
      <c r="F1080" s="211"/>
      <c r="G1080" s="211"/>
      <c r="H1080" s="211"/>
      <c r="I1080" s="212"/>
      <c r="J1080" s="212"/>
      <c r="K1080" s="212"/>
      <c r="L1080" s="212"/>
      <c r="M1080" s="212"/>
      <c r="N1080" s="212"/>
      <c r="O1080" s="212"/>
      <c r="P1080" s="211"/>
      <c r="Q1080" s="211"/>
      <c r="R1080" s="211"/>
      <c r="S1080" s="211"/>
      <c r="T1080" s="211"/>
      <c r="U1080" s="211"/>
      <c r="V1080" s="211"/>
      <c r="W1080" s="211"/>
      <c r="X1080" s="211"/>
      <c r="Y1080" s="211"/>
      <c r="Z1080" s="211"/>
      <c r="AD1080" s="211"/>
      <c r="AE1080" s="211"/>
      <c r="AF1080" s="211"/>
      <c r="AG1080" s="211"/>
      <c r="AH1080" s="211"/>
      <c r="AI1080" s="211"/>
      <c r="AJ1080" s="211"/>
      <c r="AK1080" s="211"/>
      <c r="AL1080" s="211"/>
      <c r="AM1080" s="211"/>
      <c r="AN1080" s="211"/>
      <c r="AO1080" s="211"/>
      <c r="AP1080" s="211"/>
      <c r="AQ1080" s="211"/>
      <c r="AR1080" s="211"/>
      <c r="AS1080" s="211"/>
      <c r="AT1080" s="211"/>
      <c r="AU1080" s="211"/>
      <c r="AV1080" s="211"/>
      <c r="AW1080" s="211"/>
      <c r="AX1080" s="211"/>
      <c r="AY1080" s="211"/>
      <c r="AZ1080" s="211"/>
      <c r="BA1080" s="211"/>
      <c r="BB1080" s="211"/>
      <c r="BC1080" s="211"/>
    </row>
    <row r="1081" spans="1:55" s="213" customFormat="1" x14ac:dyDescent="0.35">
      <c r="A1081" s="211"/>
      <c r="B1081" s="211"/>
      <c r="C1081" s="211"/>
      <c r="D1081" s="211"/>
      <c r="E1081" s="211"/>
      <c r="F1081" s="211"/>
      <c r="G1081" s="211"/>
      <c r="H1081" s="211"/>
      <c r="I1081" s="212"/>
      <c r="J1081" s="212"/>
      <c r="K1081" s="212"/>
      <c r="L1081" s="212"/>
      <c r="M1081" s="212"/>
      <c r="N1081" s="212"/>
      <c r="O1081" s="212"/>
      <c r="P1081" s="211"/>
      <c r="Q1081" s="211"/>
      <c r="R1081" s="211"/>
      <c r="S1081" s="211"/>
      <c r="T1081" s="211"/>
      <c r="U1081" s="211"/>
      <c r="V1081" s="211"/>
      <c r="W1081" s="211"/>
      <c r="X1081" s="211"/>
      <c r="Y1081" s="211"/>
      <c r="Z1081" s="211"/>
      <c r="AD1081" s="211"/>
      <c r="AE1081" s="211"/>
      <c r="AF1081" s="211"/>
      <c r="AG1081" s="211"/>
      <c r="AH1081" s="211"/>
      <c r="AI1081" s="211"/>
      <c r="AJ1081" s="211"/>
      <c r="AK1081" s="211"/>
      <c r="AL1081" s="211"/>
      <c r="AM1081" s="211"/>
      <c r="AN1081" s="211"/>
      <c r="AO1081" s="211"/>
      <c r="AP1081" s="211"/>
      <c r="AQ1081" s="211"/>
      <c r="AR1081" s="211"/>
      <c r="AS1081" s="211"/>
      <c r="AT1081" s="211"/>
      <c r="AU1081" s="211"/>
      <c r="AV1081" s="211"/>
      <c r="AW1081" s="211"/>
      <c r="AX1081" s="211"/>
      <c r="AY1081" s="211"/>
      <c r="AZ1081" s="211"/>
      <c r="BA1081" s="211"/>
      <c r="BB1081" s="211"/>
      <c r="BC1081" s="211"/>
    </row>
    <row r="1082" spans="1:55" s="213" customFormat="1" x14ac:dyDescent="0.35">
      <c r="A1082" s="211"/>
      <c r="B1082" s="211"/>
      <c r="C1082" s="211"/>
      <c r="D1082" s="211"/>
      <c r="E1082" s="211"/>
      <c r="F1082" s="211"/>
      <c r="G1082" s="211"/>
      <c r="H1082" s="211"/>
      <c r="I1082" s="212"/>
      <c r="J1082" s="212"/>
      <c r="K1082" s="212"/>
      <c r="L1082" s="212"/>
      <c r="M1082" s="212"/>
      <c r="N1082" s="212"/>
      <c r="O1082" s="212"/>
      <c r="P1082" s="211"/>
      <c r="Q1082" s="211"/>
      <c r="R1082" s="211"/>
      <c r="S1082" s="211"/>
      <c r="T1082" s="211"/>
      <c r="U1082" s="211"/>
      <c r="V1082" s="211"/>
      <c r="W1082" s="211"/>
      <c r="X1082" s="211"/>
      <c r="Y1082" s="211"/>
      <c r="Z1082" s="211"/>
      <c r="AD1082" s="211"/>
      <c r="AE1082" s="211"/>
      <c r="AF1082" s="211"/>
      <c r="AG1082" s="211"/>
      <c r="AH1082" s="211"/>
      <c r="AI1082" s="211"/>
      <c r="AJ1082" s="211"/>
      <c r="AK1082" s="211"/>
      <c r="AL1082" s="211"/>
      <c r="AM1082" s="211"/>
      <c r="AN1082" s="211"/>
      <c r="AO1082" s="211"/>
      <c r="AP1082" s="211"/>
      <c r="AQ1082" s="211"/>
      <c r="AR1082" s="211"/>
      <c r="AS1082" s="211"/>
      <c r="AT1082" s="211"/>
      <c r="AU1082" s="211"/>
      <c r="AV1082" s="211"/>
      <c r="AW1082" s="211"/>
      <c r="AX1082" s="211"/>
      <c r="AY1082" s="211"/>
      <c r="AZ1082" s="211"/>
      <c r="BA1082" s="211"/>
      <c r="BB1082" s="211"/>
      <c r="BC1082" s="211"/>
    </row>
    <row r="1083" spans="1:55" s="213" customFormat="1" x14ac:dyDescent="0.35">
      <c r="A1083" s="211"/>
      <c r="B1083" s="211"/>
      <c r="C1083" s="211"/>
      <c r="D1083" s="211"/>
      <c r="E1083" s="211"/>
      <c r="F1083" s="211"/>
      <c r="G1083" s="211"/>
      <c r="H1083" s="211"/>
      <c r="I1083" s="212"/>
      <c r="J1083" s="212"/>
      <c r="K1083" s="212"/>
      <c r="L1083" s="212"/>
      <c r="M1083" s="212"/>
      <c r="N1083" s="212"/>
      <c r="O1083" s="212"/>
      <c r="P1083" s="211"/>
      <c r="Q1083" s="211"/>
      <c r="R1083" s="211"/>
      <c r="S1083" s="211"/>
      <c r="T1083" s="211"/>
      <c r="U1083" s="211"/>
      <c r="V1083" s="211"/>
      <c r="W1083" s="211"/>
      <c r="X1083" s="211"/>
      <c r="Y1083" s="211"/>
      <c r="Z1083" s="211"/>
      <c r="AD1083" s="211"/>
      <c r="AE1083" s="211"/>
      <c r="AF1083" s="211"/>
      <c r="AG1083" s="211"/>
      <c r="AH1083" s="211"/>
      <c r="AI1083" s="211"/>
      <c r="AJ1083" s="211"/>
      <c r="AK1083" s="211"/>
      <c r="AL1083" s="211"/>
      <c r="AM1083" s="211"/>
      <c r="AN1083" s="211"/>
      <c r="AO1083" s="211"/>
      <c r="AP1083" s="211"/>
      <c r="AQ1083" s="211"/>
      <c r="AR1083" s="211"/>
      <c r="AS1083" s="211"/>
      <c r="AT1083" s="211"/>
      <c r="AU1083" s="211"/>
      <c r="AV1083" s="211"/>
      <c r="AW1083" s="211"/>
      <c r="AX1083" s="211"/>
      <c r="AY1083" s="211"/>
      <c r="AZ1083" s="211"/>
      <c r="BA1083" s="211"/>
      <c r="BB1083" s="211"/>
      <c r="BC1083" s="211"/>
    </row>
    <row r="1084" spans="1:55" s="213" customFormat="1" x14ac:dyDescent="0.35">
      <c r="A1084" s="211"/>
      <c r="B1084" s="211"/>
      <c r="C1084" s="211"/>
      <c r="D1084" s="211"/>
      <c r="E1084" s="211"/>
      <c r="F1084" s="211"/>
      <c r="G1084" s="211"/>
      <c r="H1084" s="211"/>
      <c r="I1084" s="212"/>
      <c r="J1084" s="212"/>
      <c r="K1084" s="212"/>
      <c r="L1084" s="212"/>
      <c r="M1084" s="212"/>
      <c r="N1084" s="212"/>
      <c r="O1084" s="212"/>
      <c r="P1084" s="211"/>
      <c r="Q1084" s="211"/>
      <c r="R1084" s="211"/>
      <c r="S1084" s="211"/>
      <c r="T1084" s="211"/>
      <c r="U1084" s="211"/>
      <c r="V1084" s="211"/>
      <c r="W1084" s="211"/>
      <c r="X1084" s="211"/>
      <c r="Y1084" s="211"/>
      <c r="Z1084" s="211"/>
      <c r="AD1084" s="211"/>
      <c r="AE1084" s="211"/>
      <c r="AF1084" s="211"/>
      <c r="AG1084" s="211"/>
      <c r="AH1084" s="211"/>
      <c r="AI1084" s="211"/>
      <c r="AJ1084" s="211"/>
      <c r="AK1084" s="211"/>
      <c r="AL1084" s="211"/>
      <c r="AM1084" s="211"/>
      <c r="AN1084" s="211"/>
      <c r="AO1084" s="211"/>
      <c r="AP1084" s="211"/>
      <c r="AQ1084" s="211"/>
      <c r="AR1084" s="211"/>
      <c r="AS1084" s="211"/>
      <c r="AT1084" s="211"/>
      <c r="AU1084" s="211"/>
      <c r="AV1084" s="211"/>
      <c r="AW1084" s="211"/>
      <c r="AX1084" s="211"/>
      <c r="AY1084" s="211"/>
      <c r="AZ1084" s="211"/>
      <c r="BA1084" s="211"/>
      <c r="BB1084" s="211"/>
      <c r="BC1084" s="211"/>
    </row>
    <row r="1085" spans="1:55" s="213" customFormat="1" x14ac:dyDescent="0.35">
      <c r="A1085" s="211"/>
      <c r="B1085" s="211"/>
      <c r="C1085" s="211"/>
      <c r="D1085" s="211"/>
      <c r="E1085" s="211"/>
      <c r="F1085" s="211"/>
      <c r="G1085" s="211"/>
      <c r="H1085" s="211"/>
      <c r="I1085" s="212"/>
      <c r="J1085" s="212"/>
      <c r="K1085" s="212"/>
      <c r="L1085" s="212"/>
      <c r="M1085" s="212"/>
      <c r="N1085" s="212"/>
      <c r="O1085" s="212"/>
      <c r="P1085" s="211"/>
      <c r="Q1085" s="211"/>
      <c r="R1085" s="211"/>
      <c r="S1085" s="211"/>
      <c r="T1085" s="211"/>
      <c r="U1085" s="211"/>
      <c r="V1085" s="211"/>
      <c r="W1085" s="211"/>
      <c r="X1085" s="211"/>
      <c r="Y1085" s="211"/>
      <c r="Z1085" s="211"/>
      <c r="AD1085" s="211"/>
      <c r="AE1085" s="211"/>
      <c r="AF1085" s="211"/>
      <c r="AG1085" s="211"/>
      <c r="AH1085" s="211"/>
      <c r="AI1085" s="211"/>
      <c r="AJ1085" s="211"/>
      <c r="AK1085" s="211"/>
      <c r="AL1085" s="211"/>
      <c r="AM1085" s="211"/>
      <c r="AN1085" s="211"/>
      <c r="AO1085" s="211"/>
      <c r="AP1085" s="211"/>
      <c r="AQ1085" s="211"/>
      <c r="AR1085" s="211"/>
      <c r="AS1085" s="211"/>
      <c r="AT1085" s="211"/>
      <c r="AU1085" s="211"/>
      <c r="AV1085" s="211"/>
      <c r="AW1085" s="211"/>
      <c r="AX1085" s="211"/>
      <c r="AY1085" s="211"/>
      <c r="AZ1085" s="211"/>
      <c r="BA1085" s="211"/>
      <c r="BB1085" s="211"/>
      <c r="BC1085" s="211"/>
    </row>
    <row r="1086" spans="1:55" s="213" customFormat="1" x14ac:dyDescent="0.35">
      <c r="A1086" s="211"/>
      <c r="B1086" s="211"/>
      <c r="C1086" s="211"/>
      <c r="D1086" s="211"/>
      <c r="E1086" s="211"/>
      <c r="F1086" s="211"/>
      <c r="G1086" s="211"/>
      <c r="H1086" s="211"/>
      <c r="I1086" s="212"/>
      <c r="J1086" s="212"/>
      <c r="K1086" s="212"/>
      <c r="L1086" s="212"/>
      <c r="M1086" s="212"/>
      <c r="N1086" s="212"/>
      <c r="O1086" s="212"/>
      <c r="P1086" s="211"/>
      <c r="Q1086" s="211"/>
      <c r="R1086" s="211"/>
      <c r="S1086" s="211"/>
      <c r="T1086" s="211"/>
      <c r="U1086" s="211"/>
      <c r="V1086" s="211"/>
      <c r="W1086" s="211"/>
      <c r="X1086" s="211"/>
      <c r="Y1086" s="211"/>
      <c r="Z1086" s="211"/>
      <c r="AD1086" s="211"/>
      <c r="AE1086" s="211"/>
      <c r="AF1086" s="211"/>
      <c r="AG1086" s="211"/>
      <c r="AH1086" s="211"/>
      <c r="AI1086" s="211"/>
      <c r="AJ1086" s="211"/>
      <c r="AK1086" s="211"/>
      <c r="AL1086" s="211"/>
      <c r="AM1086" s="211"/>
      <c r="AN1086" s="211"/>
      <c r="AO1086" s="211"/>
      <c r="AP1086" s="211"/>
      <c r="AQ1086" s="211"/>
      <c r="AR1086" s="211"/>
      <c r="AS1086" s="211"/>
      <c r="AT1086" s="211"/>
      <c r="AU1086" s="211"/>
      <c r="AV1086" s="211"/>
      <c r="AW1086" s="211"/>
      <c r="AX1086" s="211"/>
      <c r="AY1086" s="211"/>
      <c r="AZ1086" s="211"/>
      <c r="BA1086" s="211"/>
      <c r="BB1086" s="211"/>
      <c r="BC1086" s="211"/>
    </row>
    <row r="1087" spans="1:55" s="213" customFormat="1" x14ac:dyDescent="0.35">
      <c r="A1087" s="211"/>
      <c r="B1087" s="211"/>
      <c r="C1087" s="211"/>
      <c r="D1087" s="211"/>
      <c r="E1087" s="211"/>
      <c r="F1087" s="211"/>
      <c r="G1087" s="211"/>
      <c r="H1087" s="211"/>
      <c r="I1087" s="212"/>
      <c r="J1087" s="212"/>
      <c r="K1087" s="212"/>
      <c r="L1087" s="212"/>
      <c r="M1087" s="212"/>
      <c r="N1087" s="212"/>
      <c r="O1087" s="212"/>
      <c r="P1087" s="211"/>
      <c r="Q1087" s="211"/>
      <c r="R1087" s="211"/>
      <c r="S1087" s="211"/>
      <c r="T1087" s="211"/>
      <c r="U1087" s="211"/>
      <c r="V1087" s="211"/>
      <c r="W1087" s="211"/>
      <c r="X1087" s="211"/>
      <c r="Y1087" s="211"/>
      <c r="Z1087" s="211"/>
      <c r="AD1087" s="211"/>
      <c r="AE1087" s="211"/>
      <c r="AF1087" s="211"/>
      <c r="AG1087" s="211"/>
      <c r="AH1087" s="211"/>
      <c r="AI1087" s="211"/>
      <c r="AJ1087" s="211"/>
      <c r="AK1087" s="211"/>
      <c r="AL1087" s="211"/>
      <c r="AM1087" s="211"/>
      <c r="AN1087" s="211"/>
      <c r="AO1087" s="211"/>
      <c r="AP1087" s="211"/>
      <c r="AQ1087" s="211"/>
      <c r="AR1087" s="211"/>
      <c r="AS1087" s="211"/>
      <c r="AT1087" s="211"/>
      <c r="AU1087" s="211"/>
      <c r="AV1087" s="211"/>
      <c r="AW1087" s="211"/>
      <c r="AX1087" s="211"/>
      <c r="AY1087" s="211"/>
      <c r="AZ1087" s="211"/>
      <c r="BA1087" s="211"/>
      <c r="BB1087" s="211"/>
      <c r="BC1087" s="211"/>
    </row>
    <row r="1088" spans="1:55" s="213" customFormat="1" x14ac:dyDescent="0.35">
      <c r="A1088" s="211"/>
      <c r="B1088" s="211"/>
      <c r="C1088" s="211"/>
      <c r="D1088" s="211"/>
      <c r="E1088" s="211"/>
      <c r="F1088" s="211"/>
      <c r="G1088" s="211"/>
      <c r="H1088" s="211"/>
      <c r="I1088" s="212"/>
      <c r="J1088" s="212"/>
      <c r="K1088" s="212"/>
      <c r="L1088" s="212"/>
      <c r="M1088" s="212"/>
      <c r="N1088" s="212"/>
      <c r="O1088" s="212"/>
      <c r="P1088" s="211"/>
      <c r="Q1088" s="211"/>
      <c r="R1088" s="211"/>
      <c r="S1088" s="211"/>
      <c r="T1088" s="211"/>
      <c r="U1088" s="211"/>
      <c r="V1088" s="211"/>
      <c r="W1088" s="211"/>
      <c r="X1088" s="211"/>
      <c r="Y1088" s="211"/>
      <c r="Z1088" s="211"/>
      <c r="AD1088" s="211"/>
      <c r="AE1088" s="211"/>
      <c r="AF1088" s="211"/>
      <c r="AG1088" s="211"/>
      <c r="AH1088" s="211"/>
      <c r="AI1088" s="211"/>
      <c r="AJ1088" s="211"/>
      <c r="AK1088" s="211"/>
      <c r="AL1088" s="211"/>
      <c r="AM1088" s="211"/>
      <c r="AN1088" s="211"/>
      <c r="AO1088" s="211"/>
      <c r="AP1088" s="211"/>
      <c r="AQ1088" s="211"/>
      <c r="AR1088" s="211"/>
      <c r="AS1088" s="211"/>
      <c r="AT1088" s="211"/>
      <c r="AU1088" s="211"/>
      <c r="AV1088" s="211"/>
      <c r="AW1088" s="211"/>
      <c r="AX1088" s="211"/>
      <c r="AY1088" s="211"/>
      <c r="AZ1088" s="211"/>
      <c r="BA1088" s="211"/>
      <c r="BB1088" s="211"/>
      <c r="BC1088" s="211"/>
    </row>
    <row r="1089" spans="1:55" s="213" customFormat="1" x14ac:dyDescent="0.35">
      <c r="A1089" s="211"/>
      <c r="B1089" s="211"/>
      <c r="C1089" s="211"/>
      <c r="D1089" s="211"/>
      <c r="E1089" s="211"/>
      <c r="F1089" s="211"/>
      <c r="G1089" s="211"/>
      <c r="H1089" s="211"/>
      <c r="I1089" s="212"/>
      <c r="J1089" s="212"/>
      <c r="K1089" s="212"/>
      <c r="L1089" s="212"/>
      <c r="M1089" s="212"/>
      <c r="N1089" s="212"/>
      <c r="O1089" s="212"/>
      <c r="P1089" s="211"/>
      <c r="Q1089" s="211"/>
      <c r="R1089" s="211"/>
      <c r="S1089" s="211"/>
      <c r="T1089" s="211"/>
      <c r="U1089" s="211"/>
      <c r="V1089" s="211"/>
      <c r="W1089" s="211"/>
      <c r="X1089" s="211"/>
      <c r="Y1089" s="211"/>
      <c r="Z1089" s="211"/>
      <c r="AD1089" s="211"/>
      <c r="AE1089" s="211"/>
      <c r="AF1089" s="211"/>
      <c r="AG1089" s="211"/>
      <c r="AH1089" s="211"/>
      <c r="AI1089" s="211"/>
      <c r="AJ1089" s="211"/>
      <c r="AK1089" s="211"/>
      <c r="AL1089" s="211"/>
      <c r="AM1089" s="211"/>
      <c r="AN1089" s="211"/>
      <c r="AO1089" s="211"/>
      <c r="AP1089" s="211"/>
      <c r="AQ1089" s="211"/>
      <c r="AR1089" s="211"/>
      <c r="AS1089" s="211"/>
      <c r="AT1089" s="211"/>
      <c r="AU1089" s="211"/>
      <c r="AV1089" s="211"/>
      <c r="AW1089" s="211"/>
      <c r="AX1089" s="211"/>
      <c r="AY1089" s="211"/>
      <c r="AZ1089" s="211"/>
      <c r="BA1089" s="211"/>
      <c r="BB1089" s="211"/>
      <c r="BC1089" s="211"/>
    </row>
    <row r="1090" spans="1:55" s="213" customFormat="1" x14ac:dyDescent="0.35">
      <c r="A1090" s="211"/>
      <c r="B1090" s="211"/>
      <c r="C1090" s="211"/>
      <c r="D1090" s="211"/>
      <c r="E1090" s="211"/>
      <c r="F1090" s="211"/>
      <c r="G1090" s="211"/>
      <c r="H1090" s="211"/>
      <c r="I1090" s="212"/>
      <c r="J1090" s="212"/>
      <c r="K1090" s="212"/>
      <c r="L1090" s="212"/>
      <c r="M1090" s="212"/>
      <c r="N1090" s="212"/>
      <c r="O1090" s="212"/>
      <c r="P1090" s="211"/>
      <c r="Q1090" s="211"/>
      <c r="R1090" s="211"/>
      <c r="S1090" s="211"/>
      <c r="T1090" s="211"/>
      <c r="U1090" s="211"/>
      <c r="V1090" s="211"/>
      <c r="W1090" s="211"/>
      <c r="X1090" s="211"/>
      <c r="Y1090" s="211"/>
      <c r="Z1090" s="211"/>
      <c r="AD1090" s="211"/>
      <c r="AE1090" s="211"/>
      <c r="AF1090" s="211"/>
      <c r="AG1090" s="211"/>
      <c r="AH1090" s="211"/>
      <c r="AI1090" s="211"/>
      <c r="AJ1090" s="211"/>
      <c r="AK1090" s="211"/>
      <c r="AL1090" s="211"/>
      <c r="AM1090" s="211"/>
      <c r="AN1090" s="211"/>
      <c r="AO1090" s="211"/>
      <c r="AP1090" s="211"/>
      <c r="AQ1090" s="211"/>
      <c r="AR1090" s="211"/>
      <c r="AS1090" s="211"/>
      <c r="AT1090" s="211"/>
      <c r="AU1090" s="211"/>
      <c r="AV1090" s="211"/>
      <c r="AW1090" s="211"/>
      <c r="AX1090" s="211"/>
      <c r="AY1090" s="211"/>
      <c r="AZ1090" s="211"/>
      <c r="BA1090" s="211"/>
      <c r="BB1090" s="211"/>
      <c r="BC1090" s="211"/>
    </row>
    <row r="1091" spans="1:55" s="213" customFormat="1" x14ac:dyDescent="0.35">
      <c r="A1091" s="211"/>
      <c r="B1091" s="211"/>
      <c r="C1091" s="211"/>
      <c r="D1091" s="211"/>
      <c r="E1091" s="211"/>
      <c r="F1091" s="211"/>
      <c r="G1091" s="211"/>
      <c r="H1091" s="211"/>
      <c r="I1091" s="212"/>
      <c r="J1091" s="212"/>
      <c r="K1091" s="212"/>
      <c r="L1091" s="212"/>
      <c r="M1091" s="212"/>
      <c r="N1091" s="212"/>
      <c r="O1091" s="212"/>
      <c r="P1091" s="211"/>
      <c r="Q1091" s="211"/>
      <c r="R1091" s="211"/>
      <c r="S1091" s="211"/>
      <c r="T1091" s="211"/>
      <c r="U1091" s="211"/>
      <c r="V1091" s="211"/>
      <c r="W1091" s="211"/>
      <c r="X1091" s="211"/>
      <c r="Y1091" s="211"/>
      <c r="Z1091" s="211"/>
      <c r="AD1091" s="211"/>
      <c r="AE1091" s="211"/>
      <c r="AF1091" s="211"/>
      <c r="AG1091" s="211"/>
      <c r="AH1091" s="211"/>
      <c r="AI1091" s="211"/>
      <c r="AJ1091" s="211"/>
      <c r="AK1091" s="211"/>
      <c r="AL1091" s="211"/>
      <c r="AM1091" s="211"/>
      <c r="AN1091" s="211"/>
      <c r="AO1091" s="211"/>
      <c r="AP1091" s="211"/>
      <c r="AQ1091" s="211"/>
      <c r="AR1091" s="211"/>
      <c r="AS1091" s="211"/>
      <c r="AT1091" s="211"/>
      <c r="AU1091" s="211"/>
      <c r="AV1091" s="211"/>
      <c r="AW1091" s="211"/>
      <c r="AX1091" s="211"/>
      <c r="AY1091" s="211"/>
      <c r="AZ1091" s="211"/>
      <c r="BA1091" s="211"/>
      <c r="BB1091" s="211"/>
      <c r="BC1091" s="211"/>
    </row>
    <row r="1092" spans="1:55" s="213" customFormat="1" x14ac:dyDescent="0.35">
      <c r="A1092" s="211"/>
      <c r="B1092" s="211"/>
      <c r="C1092" s="211"/>
      <c r="D1092" s="211"/>
      <c r="E1092" s="211"/>
      <c r="F1092" s="211"/>
      <c r="G1092" s="211"/>
      <c r="H1092" s="211"/>
      <c r="I1092" s="212"/>
      <c r="J1092" s="212"/>
      <c r="K1092" s="212"/>
      <c r="L1092" s="212"/>
      <c r="M1092" s="212"/>
      <c r="N1092" s="212"/>
      <c r="O1092" s="212"/>
      <c r="P1092" s="211"/>
      <c r="Q1092" s="211"/>
      <c r="R1092" s="211"/>
      <c r="S1092" s="211"/>
      <c r="T1092" s="211"/>
      <c r="U1092" s="211"/>
      <c r="V1092" s="211"/>
      <c r="W1092" s="211"/>
      <c r="X1092" s="211"/>
      <c r="Y1092" s="211"/>
      <c r="Z1092" s="211"/>
      <c r="AD1092" s="211"/>
      <c r="AE1092" s="211"/>
      <c r="AF1092" s="211"/>
      <c r="AG1092" s="211"/>
      <c r="AH1092" s="211"/>
      <c r="AI1092" s="211"/>
      <c r="AJ1092" s="211"/>
      <c r="AK1092" s="211"/>
      <c r="AL1092" s="211"/>
      <c r="AM1092" s="211"/>
      <c r="AN1092" s="211"/>
      <c r="AO1092" s="211"/>
      <c r="AP1092" s="211"/>
      <c r="AQ1092" s="211"/>
      <c r="AR1092" s="211"/>
      <c r="AS1092" s="211"/>
      <c r="AT1092" s="211"/>
      <c r="AU1092" s="211"/>
      <c r="AV1092" s="211"/>
      <c r="AW1092" s="211"/>
      <c r="AX1092" s="211"/>
      <c r="AY1092" s="211"/>
      <c r="AZ1092" s="211"/>
      <c r="BA1092" s="211"/>
      <c r="BB1092" s="211"/>
      <c r="BC1092" s="211"/>
    </row>
    <row r="1093" spans="1:55" s="213" customFormat="1" x14ac:dyDescent="0.35">
      <c r="A1093" s="211"/>
      <c r="B1093" s="211"/>
      <c r="C1093" s="211"/>
      <c r="D1093" s="211"/>
      <c r="E1093" s="211"/>
      <c r="F1093" s="211"/>
      <c r="G1093" s="211"/>
      <c r="H1093" s="211"/>
      <c r="I1093" s="212"/>
      <c r="J1093" s="212"/>
      <c r="K1093" s="212"/>
      <c r="L1093" s="212"/>
      <c r="M1093" s="212"/>
      <c r="N1093" s="212"/>
      <c r="O1093" s="212"/>
      <c r="P1093" s="211"/>
      <c r="Q1093" s="211"/>
      <c r="R1093" s="211"/>
      <c r="S1093" s="211"/>
      <c r="T1093" s="211"/>
      <c r="U1093" s="211"/>
      <c r="V1093" s="211"/>
      <c r="W1093" s="211"/>
      <c r="X1093" s="211"/>
      <c r="Y1093" s="211"/>
      <c r="Z1093" s="211"/>
      <c r="AD1093" s="211"/>
      <c r="AE1093" s="211"/>
      <c r="AF1093" s="211"/>
      <c r="AG1093" s="211"/>
      <c r="AH1093" s="211"/>
      <c r="AI1093" s="211"/>
      <c r="AJ1093" s="211"/>
      <c r="AK1093" s="211"/>
      <c r="AL1093" s="211"/>
      <c r="AM1093" s="211"/>
      <c r="AN1093" s="211"/>
      <c r="AO1093" s="211"/>
      <c r="AP1093" s="211"/>
      <c r="AQ1093" s="211"/>
      <c r="AR1093" s="211"/>
      <c r="AS1093" s="211"/>
      <c r="AT1093" s="211"/>
      <c r="AU1093" s="211"/>
      <c r="AV1093" s="211"/>
      <c r="AW1093" s="211"/>
      <c r="AX1093" s="211"/>
      <c r="AY1093" s="211"/>
      <c r="AZ1093" s="211"/>
      <c r="BA1093" s="211"/>
      <c r="BB1093" s="211"/>
      <c r="BC1093" s="211"/>
    </row>
    <row r="1094" spans="1:55" s="213" customFormat="1" x14ac:dyDescent="0.35">
      <c r="A1094" s="211"/>
      <c r="B1094" s="211"/>
      <c r="C1094" s="211"/>
      <c r="D1094" s="211"/>
      <c r="E1094" s="211"/>
      <c r="F1094" s="211"/>
      <c r="G1094" s="211"/>
      <c r="H1094" s="211"/>
      <c r="I1094" s="212"/>
      <c r="J1094" s="212"/>
      <c r="K1094" s="212"/>
      <c r="L1094" s="212"/>
      <c r="M1094" s="212"/>
      <c r="N1094" s="212"/>
      <c r="O1094" s="212"/>
      <c r="P1094" s="211"/>
      <c r="Q1094" s="211"/>
      <c r="R1094" s="211"/>
      <c r="S1094" s="211"/>
      <c r="T1094" s="211"/>
      <c r="U1094" s="211"/>
      <c r="V1094" s="211"/>
      <c r="W1094" s="211"/>
      <c r="X1094" s="211"/>
      <c r="Y1094" s="211"/>
      <c r="Z1094" s="211"/>
      <c r="AD1094" s="211"/>
      <c r="AE1094" s="211"/>
      <c r="AF1094" s="211"/>
      <c r="AG1094" s="211"/>
      <c r="AH1094" s="211"/>
      <c r="AI1094" s="211"/>
      <c r="AJ1094" s="211"/>
      <c r="AK1094" s="211"/>
      <c r="AL1094" s="211"/>
      <c r="AM1094" s="211"/>
      <c r="AN1094" s="211"/>
      <c r="AO1094" s="211"/>
      <c r="AP1094" s="211"/>
      <c r="AQ1094" s="211"/>
      <c r="AR1094" s="211"/>
      <c r="AS1094" s="211"/>
      <c r="AT1094" s="211"/>
      <c r="AU1094" s="211"/>
      <c r="AV1094" s="211"/>
      <c r="AW1094" s="211"/>
      <c r="AX1094" s="211"/>
      <c r="AY1094" s="211"/>
      <c r="AZ1094" s="211"/>
      <c r="BA1094" s="211"/>
      <c r="BB1094" s="211"/>
      <c r="BC1094" s="211"/>
    </row>
    <row r="1095" spans="1:55" s="213" customFormat="1" x14ac:dyDescent="0.35">
      <c r="A1095" s="211"/>
      <c r="B1095" s="211"/>
      <c r="C1095" s="211"/>
      <c r="D1095" s="211"/>
      <c r="E1095" s="211"/>
      <c r="F1095" s="211"/>
      <c r="G1095" s="211"/>
      <c r="H1095" s="211"/>
      <c r="I1095" s="212"/>
      <c r="J1095" s="212"/>
      <c r="K1095" s="212"/>
      <c r="L1095" s="212"/>
      <c r="M1095" s="212"/>
      <c r="N1095" s="212"/>
      <c r="O1095" s="212"/>
      <c r="P1095" s="211"/>
      <c r="Q1095" s="211"/>
      <c r="R1095" s="211"/>
      <c r="S1095" s="211"/>
      <c r="T1095" s="211"/>
      <c r="U1095" s="211"/>
      <c r="V1095" s="211"/>
      <c r="W1095" s="211"/>
      <c r="X1095" s="211"/>
      <c r="Y1095" s="211"/>
      <c r="Z1095" s="211"/>
      <c r="AD1095" s="211"/>
      <c r="AE1095" s="211"/>
      <c r="AF1095" s="211"/>
      <c r="AG1095" s="211"/>
      <c r="AH1095" s="211"/>
      <c r="AI1095" s="211"/>
      <c r="AJ1095" s="211"/>
      <c r="AK1095" s="211"/>
      <c r="AL1095" s="211"/>
      <c r="AM1095" s="211"/>
      <c r="AN1095" s="211"/>
      <c r="AO1095" s="211"/>
      <c r="AP1095" s="211"/>
      <c r="AQ1095" s="211"/>
      <c r="AR1095" s="211"/>
      <c r="AS1095" s="211"/>
      <c r="AT1095" s="211"/>
      <c r="AU1095" s="211"/>
      <c r="AV1095" s="211"/>
      <c r="AW1095" s="211"/>
      <c r="AX1095" s="211"/>
      <c r="AY1095" s="211"/>
      <c r="AZ1095" s="211"/>
      <c r="BA1095" s="211"/>
      <c r="BB1095" s="211"/>
      <c r="BC1095" s="211"/>
    </row>
    <row r="1096" spans="1:55" s="213" customFormat="1" x14ac:dyDescent="0.35">
      <c r="A1096" s="211"/>
      <c r="B1096" s="211"/>
      <c r="C1096" s="211"/>
      <c r="D1096" s="211"/>
      <c r="E1096" s="211"/>
      <c r="F1096" s="211"/>
      <c r="G1096" s="211"/>
      <c r="H1096" s="211"/>
      <c r="I1096" s="212"/>
      <c r="J1096" s="212"/>
      <c r="K1096" s="212"/>
      <c r="L1096" s="212"/>
      <c r="M1096" s="212"/>
      <c r="N1096" s="212"/>
      <c r="O1096" s="212"/>
      <c r="P1096" s="211"/>
      <c r="Q1096" s="211"/>
      <c r="R1096" s="211"/>
      <c r="S1096" s="211"/>
      <c r="T1096" s="211"/>
      <c r="U1096" s="211"/>
      <c r="V1096" s="211"/>
      <c r="W1096" s="211"/>
      <c r="X1096" s="211"/>
      <c r="Y1096" s="211"/>
      <c r="Z1096" s="211"/>
      <c r="AD1096" s="211"/>
      <c r="AE1096" s="211"/>
      <c r="AF1096" s="211"/>
      <c r="AG1096" s="211"/>
      <c r="AH1096" s="211"/>
      <c r="AI1096" s="211"/>
      <c r="AJ1096" s="211"/>
      <c r="AK1096" s="211"/>
      <c r="AL1096" s="211"/>
      <c r="AM1096" s="211"/>
      <c r="AN1096" s="211"/>
      <c r="AO1096" s="211"/>
      <c r="AP1096" s="211"/>
      <c r="AQ1096" s="211"/>
      <c r="AR1096" s="211"/>
      <c r="AS1096" s="211"/>
      <c r="AT1096" s="211"/>
      <c r="AU1096" s="211"/>
      <c r="AV1096" s="211"/>
      <c r="AW1096" s="211"/>
      <c r="AX1096" s="211"/>
      <c r="AY1096" s="211"/>
      <c r="AZ1096" s="211"/>
      <c r="BA1096" s="211"/>
      <c r="BB1096" s="211"/>
      <c r="BC1096" s="211"/>
    </row>
    <row r="1097" spans="1:55" s="213" customFormat="1" x14ac:dyDescent="0.35">
      <c r="A1097" s="211"/>
      <c r="B1097" s="211"/>
      <c r="C1097" s="211"/>
      <c r="D1097" s="211"/>
      <c r="E1097" s="211"/>
      <c r="F1097" s="211"/>
      <c r="G1097" s="211"/>
      <c r="H1097" s="211"/>
      <c r="I1097" s="212"/>
      <c r="J1097" s="212"/>
      <c r="K1097" s="212"/>
      <c r="L1097" s="212"/>
      <c r="M1097" s="212"/>
      <c r="N1097" s="212"/>
      <c r="O1097" s="212"/>
      <c r="P1097" s="211"/>
      <c r="Q1097" s="211"/>
      <c r="R1097" s="211"/>
      <c r="S1097" s="211"/>
      <c r="T1097" s="211"/>
      <c r="U1097" s="211"/>
      <c r="V1097" s="211"/>
      <c r="W1097" s="211"/>
      <c r="X1097" s="211"/>
      <c r="Y1097" s="211"/>
      <c r="Z1097" s="211"/>
      <c r="AD1097" s="211"/>
      <c r="AE1097" s="211"/>
      <c r="AF1097" s="211"/>
      <c r="AG1097" s="211"/>
      <c r="AH1097" s="211"/>
      <c r="AI1097" s="211"/>
      <c r="AJ1097" s="211"/>
      <c r="AK1097" s="211"/>
      <c r="AL1097" s="211"/>
      <c r="AM1097" s="211"/>
      <c r="AN1097" s="211"/>
      <c r="AO1097" s="211"/>
      <c r="AP1097" s="211"/>
      <c r="AQ1097" s="211"/>
      <c r="AR1097" s="211"/>
      <c r="AS1097" s="211"/>
      <c r="AT1097" s="211"/>
      <c r="AU1097" s="211"/>
      <c r="AV1097" s="211"/>
      <c r="AW1097" s="211"/>
      <c r="AX1097" s="211"/>
      <c r="AY1097" s="211"/>
      <c r="AZ1097" s="211"/>
      <c r="BA1097" s="211"/>
      <c r="BB1097" s="211"/>
      <c r="BC1097" s="211"/>
    </row>
    <row r="1098" spans="1:55" s="213" customFormat="1" x14ac:dyDescent="0.35">
      <c r="A1098" s="211"/>
      <c r="B1098" s="211"/>
      <c r="C1098" s="211"/>
      <c r="D1098" s="211"/>
      <c r="E1098" s="211"/>
      <c r="F1098" s="211"/>
      <c r="G1098" s="211"/>
      <c r="H1098" s="211"/>
      <c r="I1098" s="212"/>
      <c r="J1098" s="212"/>
      <c r="K1098" s="212"/>
      <c r="L1098" s="212"/>
      <c r="M1098" s="212"/>
      <c r="N1098" s="212"/>
      <c r="O1098" s="212"/>
      <c r="P1098" s="211"/>
      <c r="Q1098" s="211"/>
      <c r="R1098" s="211"/>
      <c r="S1098" s="211"/>
      <c r="T1098" s="211"/>
      <c r="U1098" s="211"/>
      <c r="V1098" s="211"/>
      <c r="W1098" s="211"/>
      <c r="X1098" s="211"/>
      <c r="Y1098" s="211"/>
      <c r="Z1098" s="211"/>
      <c r="AD1098" s="211"/>
      <c r="AE1098" s="211"/>
      <c r="AF1098" s="211"/>
      <c r="AG1098" s="211"/>
      <c r="AH1098" s="211"/>
      <c r="AI1098" s="211"/>
      <c r="AJ1098" s="211"/>
      <c r="AK1098" s="211"/>
      <c r="AL1098" s="211"/>
      <c r="AM1098" s="211"/>
      <c r="AN1098" s="211"/>
      <c r="AO1098" s="211"/>
      <c r="AP1098" s="211"/>
      <c r="AQ1098" s="211"/>
      <c r="AR1098" s="211"/>
      <c r="AS1098" s="211"/>
      <c r="AT1098" s="211"/>
      <c r="AU1098" s="211"/>
      <c r="AV1098" s="211"/>
      <c r="AW1098" s="211"/>
      <c r="AX1098" s="211"/>
      <c r="AY1098" s="211"/>
      <c r="AZ1098" s="211"/>
      <c r="BA1098" s="211"/>
      <c r="BB1098" s="211"/>
      <c r="BC1098" s="211"/>
    </row>
    <row r="1099" spans="1:55" s="213" customFormat="1" x14ac:dyDescent="0.35">
      <c r="A1099" s="211"/>
      <c r="B1099" s="211"/>
      <c r="C1099" s="211"/>
      <c r="D1099" s="211"/>
      <c r="E1099" s="211"/>
      <c r="F1099" s="211"/>
      <c r="G1099" s="211"/>
      <c r="H1099" s="211"/>
      <c r="I1099" s="212"/>
      <c r="J1099" s="212"/>
      <c r="K1099" s="212"/>
      <c r="L1099" s="212"/>
      <c r="M1099" s="212"/>
      <c r="N1099" s="212"/>
      <c r="O1099" s="212"/>
      <c r="P1099" s="211"/>
      <c r="Q1099" s="211"/>
      <c r="R1099" s="211"/>
      <c r="S1099" s="211"/>
      <c r="T1099" s="211"/>
      <c r="U1099" s="211"/>
      <c r="V1099" s="211"/>
      <c r="W1099" s="211"/>
      <c r="X1099" s="211"/>
      <c r="Y1099" s="211"/>
      <c r="Z1099" s="211"/>
      <c r="AD1099" s="211"/>
      <c r="AE1099" s="211"/>
      <c r="AF1099" s="211"/>
      <c r="AG1099" s="211"/>
      <c r="AH1099" s="211"/>
      <c r="AI1099" s="211"/>
      <c r="AJ1099" s="211"/>
      <c r="AK1099" s="211"/>
      <c r="AL1099" s="211"/>
      <c r="AM1099" s="211"/>
      <c r="AN1099" s="211"/>
      <c r="AO1099" s="211"/>
      <c r="AP1099" s="211"/>
      <c r="AQ1099" s="211"/>
      <c r="AR1099" s="211"/>
      <c r="AS1099" s="211"/>
      <c r="AT1099" s="211"/>
      <c r="AU1099" s="211"/>
      <c r="AV1099" s="211"/>
      <c r="AW1099" s="211"/>
      <c r="AX1099" s="211"/>
      <c r="AY1099" s="211"/>
      <c r="AZ1099" s="211"/>
      <c r="BA1099" s="211"/>
      <c r="BB1099" s="211"/>
      <c r="BC1099" s="211"/>
    </row>
    <row r="1100" spans="1:55" s="213" customFormat="1" x14ac:dyDescent="0.35">
      <c r="A1100" s="211"/>
      <c r="B1100" s="211"/>
      <c r="C1100" s="211"/>
      <c r="D1100" s="211"/>
      <c r="E1100" s="211"/>
      <c r="F1100" s="211"/>
      <c r="G1100" s="211"/>
      <c r="H1100" s="211"/>
      <c r="I1100" s="212"/>
      <c r="J1100" s="212"/>
      <c r="K1100" s="212"/>
      <c r="L1100" s="212"/>
      <c r="M1100" s="212"/>
      <c r="N1100" s="212"/>
      <c r="O1100" s="212"/>
      <c r="P1100" s="211"/>
      <c r="Q1100" s="211"/>
      <c r="R1100" s="211"/>
      <c r="S1100" s="211"/>
      <c r="T1100" s="211"/>
      <c r="U1100" s="211"/>
      <c r="V1100" s="211"/>
      <c r="W1100" s="211"/>
      <c r="X1100" s="211"/>
      <c r="Y1100" s="211"/>
      <c r="Z1100" s="211"/>
      <c r="AD1100" s="211"/>
      <c r="AE1100" s="211"/>
      <c r="AF1100" s="211"/>
      <c r="AG1100" s="211"/>
      <c r="AH1100" s="211"/>
      <c r="AI1100" s="211"/>
      <c r="AJ1100" s="211"/>
      <c r="AK1100" s="211"/>
      <c r="AL1100" s="211"/>
      <c r="AM1100" s="211"/>
      <c r="AN1100" s="211"/>
      <c r="AO1100" s="211"/>
      <c r="AP1100" s="211"/>
      <c r="AQ1100" s="211"/>
      <c r="AR1100" s="211"/>
      <c r="AS1100" s="211"/>
      <c r="AT1100" s="211"/>
      <c r="AU1100" s="211"/>
      <c r="AV1100" s="211"/>
      <c r="AW1100" s="211"/>
      <c r="AX1100" s="211"/>
      <c r="AY1100" s="211"/>
      <c r="AZ1100" s="211"/>
      <c r="BA1100" s="211"/>
      <c r="BB1100" s="211"/>
      <c r="BC1100" s="211"/>
    </row>
    <row r="1101" spans="1:55" s="213" customFormat="1" x14ac:dyDescent="0.35">
      <c r="A1101" s="211"/>
      <c r="B1101" s="211"/>
      <c r="C1101" s="211"/>
      <c r="D1101" s="211"/>
      <c r="E1101" s="211"/>
      <c r="F1101" s="211"/>
      <c r="G1101" s="211"/>
      <c r="H1101" s="211"/>
      <c r="I1101" s="212"/>
      <c r="J1101" s="212"/>
      <c r="K1101" s="212"/>
      <c r="L1101" s="212"/>
      <c r="M1101" s="212"/>
      <c r="N1101" s="212"/>
      <c r="O1101" s="212"/>
      <c r="P1101" s="211"/>
      <c r="Q1101" s="211"/>
      <c r="R1101" s="211"/>
      <c r="S1101" s="211"/>
      <c r="T1101" s="211"/>
      <c r="U1101" s="211"/>
      <c r="V1101" s="211"/>
      <c r="W1101" s="211"/>
      <c r="X1101" s="211"/>
      <c r="Y1101" s="211"/>
      <c r="Z1101" s="211"/>
      <c r="AD1101" s="211"/>
      <c r="AE1101" s="211"/>
      <c r="AF1101" s="211"/>
      <c r="AG1101" s="211"/>
      <c r="AH1101" s="211"/>
      <c r="AI1101" s="211"/>
      <c r="AJ1101" s="211"/>
      <c r="AK1101" s="211"/>
      <c r="AL1101" s="211"/>
      <c r="AM1101" s="211"/>
      <c r="AN1101" s="211"/>
      <c r="AO1101" s="211"/>
      <c r="AP1101" s="211"/>
      <c r="AQ1101" s="211"/>
      <c r="AR1101" s="211"/>
      <c r="AS1101" s="211"/>
      <c r="AT1101" s="211"/>
      <c r="AU1101" s="211"/>
      <c r="AV1101" s="211"/>
      <c r="AW1101" s="211"/>
      <c r="AX1101" s="211"/>
      <c r="AY1101" s="211"/>
      <c r="AZ1101" s="211"/>
      <c r="BA1101" s="211"/>
      <c r="BB1101" s="211"/>
      <c r="BC1101" s="211"/>
    </row>
    <row r="1102" spans="1:55" s="213" customFormat="1" x14ac:dyDescent="0.35">
      <c r="A1102" s="211"/>
      <c r="B1102" s="211"/>
      <c r="C1102" s="211"/>
      <c r="D1102" s="211"/>
      <c r="E1102" s="211"/>
      <c r="F1102" s="211"/>
      <c r="G1102" s="211"/>
      <c r="H1102" s="211"/>
      <c r="I1102" s="212"/>
      <c r="J1102" s="212"/>
      <c r="K1102" s="212"/>
      <c r="L1102" s="212"/>
      <c r="M1102" s="212"/>
      <c r="N1102" s="212"/>
      <c r="O1102" s="212"/>
      <c r="P1102" s="211"/>
      <c r="Q1102" s="211"/>
      <c r="R1102" s="211"/>
      <c r="S1102" s="211"/>
      <c r="T1102" s="211"/>
      <c r="U1102" s="211"/>
      <c r="V1102" s="211"/>
      <c r="W1102" s="211"/>
      <c r="X1102" s="211"/>
      <c r="Y1102" s="211"/>
      <c r="Z1102" s="211"/>
      <c r="AD1102" s="211"/>
      <c r="AE1102" s="211"/>
      <c r="AF1102" s="211"/>
      <c r="AG1102" s="211"/>
      <c r="AH1102" s="211"/>
      <c r="AI1102" s="211"/>
      <c r="AJ1102" s="211"/>
      <c r="AK1102" s="211"/>
      <c r="AL1102" s="211"/>
      <c r="AM1102" s="211"/>
      <c r="AN1102" s="211"/>
      <c r="AO1102" s="211"/>
      <c r="AP1102" s="211"/>
      <c r="AQ1102" s="211"/>
      <c r="AR1102" s="211"/>
      <c r="AS1102" s="211"/>
      <c r="AT1102" s="211"/>
      <c r="AU1102" s="211"/>
      <c r="AV1102" s="211"/>
      <c r="AW1102" s="211"/>
      <c r="AX1102" s="211"/>
      <c r="AY1102" s="211"/>
      <c r="AZ1102" s="211"/>
      <c r="BA1102" s="211"/>
      <c r="BB1102" s="211"/>
      <c r="BC1102" s="211"/>
    </row>
    <row r="1103" spans="1:55" s="213" customFormat="1" x14ac:dyDescent="0.35">
      <c r="A1103" s="211"/>
      <c r="B1103" s="211"/>
      <c r="C1103" s="211"/>
      <c r="D1103" s="211"/>
      <c r="E1103" s="211"/>
      <c r="F1103" s="211"/>
      <c r="G1103" s="211"/>
      <c r="H1103" s="211"/>
      <c r="I1103" s="212"/>
      <c r="J1103" s="212"/>
      <c r="K1103" s="212"/>
      <c r="L1103" s="212"/>
      <c r="M1103" s="212"/>
      <c r="N1103" s="212"/>
      <c r="O1103" s="212"/>
      <c r="P1103" s="211"/>
      <c r="Q1103" s="211"/>
      <c r="R1103" s="211"/>
      <c r="S1103" s="211"/>
      <c r="T1103" s="211"/>
      <c r="U1103" s="211"/>
      <c r="V1103" s="211"/>
      <c r="W1103" s="211"/>
      <c r="X1103" s="211"/>
      <c r="Y1103" s="211"/>
      <c r="Z1103" s="211"/>
      <c r="AD1103" s="211"/>
      <c r="AE1103" s="211"/>
      <c r="AF1103" s="211"/>
      <c r="AG1103" s="211"/>
      <c r="AH1103" s="211"/>
      <c r="AI1103" s="211"/>
      <c r="AJ1103" s="211"/>
      <c r="AK1103" s="211"/>
      <c r="AL1103" s="211"/>
      <c r="AM1103" s="211"/>
      <c r="AN1103" s="211"/>
      <c r="AO1103" s="211"/>
      <c r="AP1103" s="211"/>
      <c r="AQ1103" s="211"/>
      <c r="AR1103" s="211"/>
      <c r="AS1103" s="211"/>
      <c r="AT1103" s="211"/>
      <c r="AU1103" s="211"/>
      <c r="AV1103" s="211"/>
      <c r="AW1103" s="211"/>
      <c r="AX1103" s="211"/>
      <c r="AY1103" s="211"/>
      <c r="AZ1103" s="211"/>
      <c r="BA1103" s="211"/>
      <c r="BB1103" s="211"/>
      <c r="BC1103" s="211"/>
    </row>
    <row r="1104" spans="1:55" s="213" customFormat="1" x14ac:dyDescent="0.35">
      <c r="A1104" s="211"/>
      <c r="B1104" s="211"/>
      <c r="C1104" s="211"/>
      <c r="D1104" s="211"/>
      <c r="E1104" s="211"/>
      <c r="F1104" s="211"/>
      <c r="G1104" s="211"/>
      <c r="H1104" s="211"/>
      <c r="I1104" s="212"/>
      <c r="J1104" s="212"/>
      <c r="K1104" s="212"/>
      <c r="L1104" s="212"/>
      <c r="M1104" s="212"/>
      <c r="N1104" s="212"/>
      <c r="O1104" s="212"/>
      <c r="P1104" s="211"/>
      <c r="Q1104" s="211"/>
      <c r="R1104" s="211"/>
      <c r="S1104" s="211"/>
      <c r="T1104" s="211"/>
      <c r="U1104" s="211"/>
      <c r="V1104" s="211"/>
      <c r="W1104" s="211"/>
      <c r="X1104" s="211"/>
      <c r="Y1104" s="211"/>
      <c r="Z1104" s="211"/>
      <c r="AD1104" s="211"/>
      <c r="AE1104" s="211"/>
      <c r="AF1104" s="211"/>
      <c r="AG1104" s="211"/>
      <c r="AH1104" s="211"/>
      <c r="AI1104" s="211"/>
      <c r="AJ1104" s="211"/>
      <c r="AK1104" s="211"/>
      <c r="AL1104" s="211"/>
      <c r="AM1104" s="211"/>
      <c r="AN1104" s="211"/>
      <c r="AO1104" s="211"/>
      <c r="AP1104" s="211"/>
      <c r="AQ1104" s="211"/>
      <c r="AR1104" s="211"/>
      <c r="AS1104" s="211"/>
      <c r="AT1104" s="211"/>
      <c r="AU1104" s="211"/>
      <c r="AV1104" s="211"/>
      <c r="AW1104" s="211"/>
      <c r="AX1104" s="211"/>
      <c r="AY1104" s="211"/>
      <c r="AZ1104" s="211"/>
      <c r="BA1104" s="211"/>
      <c r="BB1104" s="211"/>
      <c r="BC1104" s="211"/>
    </row>
    <row r="1105" spans="1:75" s="213" customFormat="1" x14ac:dyDescent="0.35">
      <c r="A1105" s="211"/>
      <c r="B1105" s="211"/>
      <c r="C1105" s="211"/>
      <c r="D1105" s="211"/>
      <c r="E1105" s="211"/>
      <c r="F1105" s="211"/>
      <c r="G1105" s="211"/>
      <c r="H1105" s="211"/>
      <c r="I1105" s="212"/>
      <c r="J1105" s="212"/>
      <c r="K1105" s="212"/>
      <c r="L1105" s="212"/>
      <c r="M1105" s="212"/>
      <c r="N1105" s="212"/>
      <c r="O1105" s="212"/>
      <c r="P1105" s="211"/>
      <c r="Q1105" s="211"/>
      <c r="R1105" s="211"/>
      <c r="S1105" s="211"/>
      <c r="T1105" s="211"/>
      <c r="U1105" s="211"/>
      <c r="V1105" s="211"/>
      <c r="W1105" s="211"/>
      <c r="X1105" s="211"/>
      <c r="Y1105" s="211"/>
      <c r="Z1105" s="211"/>
      <c r="AD1105" s="211"/>
      <c r="AE1105" s="211"/>
      <c r="AF1105" s="211"/>
      <c r="AG1105" s="211"/>
      <c r="AH1105" s="211"/>
      <c r="AI1105" s="211"/>
      <c r="AJ1105" s="211"/>
      <c r="AK1105" s="211"/>
      <c r="AL1105" s="211"/>
      <c r="AM1105" s="211"/>
      <c r="AN1105" s="211"/>
      <c r="AO1105" s="211"/>
      <c r="AP1105" s="211"/>
      <c r="AQ1105" s="211"/>
      <c r="AR1105" s="211"/>
      <c r="AS1105" s="211"/>
      <c r="AT1105" s="211"/>
      <c r="AU1105" s="211"/>
      <c r="AV1105" s="211"/>
      <c r="AW1105" s="211"/>
      <c r="AX1105" s="211"/>
      <c r="AY1105" s="211"/>
      <c r="AZ1105" s="211"/>
      <c r="BA1105" s="211"/>
      <c r="BB1105" s="211"/>
      <c r="BC1105" s="211"/>
    </row>
    <row r="1106" spans="1:75" s="213" customFormat="1" x14ac:dyDescent="0.35">
      <c r="A1106" s="211"/>
      <c r="B1106" s="211"/>
      <c r="C1106" s="211"/>
      <c r="D1106" s="211"/>
      <c r="E1106" s="211"/>
      <c r="F1106" s="211"/>
      <c r="G1106" s="211"/>
      <c r="H1106" s="211"/>
      <c r="I1106" s="212"/>
      <c r="J1106" s="212"/>
      <c r="K1106" s="212"/>
      <c r="L1106" s="212"/>
      <c r="M1106" s="212"/>
      <c r="N1106" s="212"/>
      <c r="O1106" s="212"/>
      <c r="P1106" s="211"/>
      <c r="Q1106" s="211"/>
      <c r="R1106" s="211"/>
      <c r="S1106" s="211"/>
      <c r="T1106" s="211"/>
      <c r="U1106" s="211"/>
      <c r="V1106" s="211"/>
      <c r="W1106" s="211"/>
      <c r="X1106" s="211"/>
      <c r="Y1106" s="211"/>
      <c r="Z1106" s="211"/>
      <c r="AD1106" s="211"/>
      <c r="AE1106" s="211"/>
      <c r="AF1106" s="211"/>
      <c r="AG1106" s="211"/>
      <c r="AH1106" s="211"/>
      <c r="AI1106" s="211"/>
      <c r="AJ1106" s="211"/>
      <c r="AK1106" s="211"/>
      <c r="AL1106" s="211"/>
      <c r="AM1106" s="211"/>
      <c r="AN1106" s="211"/>
      <c r="AO1106" s="211"/>
      <c r="AP1106" s="211"/>
      <c r="AQ1106" s="211"/>
      <c r="AR1106" s="211"/>
      <c r="AS1106" s="211"/>
      <c r="AT1106" s="211"/>
      <c r="AU1106" s="211"/>
      <c r="AV1106" s="211"/>
      <c r="AW1106" s="211"/>
      <c r="AX1106" s="211"/>
      <c r="AY1106" s="211"/>
      <c r="AZ1106" s="211"/>
      <c r="BA1106" s="211"/>
      <c r="BB1106" s="211"/>
      <c r="BC1106" s="211"/>
    </row>
    <row r="1107" spans="1:75" s="213" customFormat="1" x14ac:dyDescent="0.35">
      <c r="A1107" s="211"/>
      <c r="B1107" s="211"/>
      <c r="C1107" s="211"/>
      <c r="D1107" s="211"/>
      <c r="E1107" s="211"/>
      <c r="F1107" s="211"/>
      <c r="G1107" s="211"/>
      <c r="H1107" s="211"/>
      <c r="I1107" s="212"/>
      <c r="J1107" s="212"/>
      <c r="K1107" s="212"/>
      <c r="L1107" s="212"/>
      <c r="M1107" s="212"/>
      <c r="N1107" s="212"/>
      <c r="O1107" s="212"/>
      <c r="P1107" s="211"/>
      <c r="Q1107" s="211"/>
      <c r="R1107" s="211"/>
      <c r="S1107" s="211"/>
      <c r="T1107" s="211"/>
      <c r="U1107" s="211"/>
      <c r="V1107" s="211"/>
      <c r="W1107" s="211"/>
      <c r="X1107" s="211"/>
      <c r="Y1107" s="211"/>
      <c r="Z1107" s="211"/>
      <c r="AD1107" s="211"/>
      <c r="AE1107" s="211"/>
      <c r="AF1107" s="211"/>
      <c r="AG1107" s="211"/>
      <c r="AH1107" s="211"/>
      <c r="AI1107" s="211"/>
      <c r="AJ1107" s="211"/>
      <c r="AK1107" s="211"/>
      <c r="AL1107" s="211"/>
      <c r="AM1107" s="211"/>
      <c r="AN1107" s="211"/>
      <c r="AO1107" s="211"/>
      <c r="AP1107" s="211"/>
      <c r="AQ1107" s="211"/>
      <c r="AR1107" s="211"/>
      <c r="AS1107" s="211"/>
      <c r="AT1107" s="211"/>
      <c r="AU1107" s="211"/>
      <c r="AV1107" s="211"/>
      <c r="AW1107" s="211"/>
      <c r="AX1107" s="211"/>
      <c r="AY1107" s="211"/>
      <c r="AZ1107" s="211"/>
      <c r="BA1107" s="211"/>
      <c r="BB1107" s="211"/>
      <c r="BC1107" s="211"/>
    </row>
    <row r="1108" spans="1:75" s="213" customFormat="1" x14ac:dyDescent="0.35">
      <c r="A1108" s="211"/>
      <c r="B1108" s="211"/>
      <c r="C1108" s="211"/>
      <c r="D1108" s="211"/>
      <c r="E1108" s="211"/>
      <c r="F1108" s="211"/>
      <c r="G1108" s="211"/>
      <c r="H1108" s="211"/>
      <c r="I1108" s="212"/>
      <c r="J1108" s="212"/>
      <c r="K1108" s="212"/>
      <c r="L1108" s="212"/>
      <c r="M1108" s="212"/>
      <c r="N1108" s="212"/>
      <c r="O1108" s="212"/>
      <c r="P1108" s="211"/>
      <c r="Q1108" s="211"/>
      <c r="R1108" s="211"/>
      <c r="S1108" s="211"/>
      <c r="T1108" s="211"/>
      <c r="U1108" s="211"/>
      <c r="V1108" s="211"/>
      <c r="W1108" s="211"/>
      <c r="X1108" s="211"/>
      <c r="Y1108" s="211"/>
      <c r="Z1108" s="211"/>
      <c r="AD1108" s="211"/>
      <c r="AE1108" s="211"/>
      <c r="AF1108" s="211"/>
      <c r="AG1108" s="211"/>
      <c r="AH1108" s="211"/>
      <c r="AI1108" s="211"/>
      <c r="AJ1108" s="211"/>
      <c r="AK1108" s="211"/>
      <c r="AL1108" s="211"/>
      <c r="AM1108" s="211"/>
      <c r="AN1108" s="211"/>
      <c r="AO1108" s="211"/>
      <c r="AP1108" s="211"/>
      <c r="AQ1108" s="211"/>
      <c r="AR1108" s="211"/>
      <c r="AS1108" s="211"/>
      <c r="AT1108" s="211"/>
      <c r="AU1108" s="211"/>
      <c r="AV1108" s="211"/>
      <c r="AW1108" s="211"/>
      <c r="AX1108" s="211"/>
      <c r="AY1108" s="211"/>
      <c r="AZ1108" s="211"/>
      <c r="BA1108" s="211"/>
      <c r="BB1108" s="211"/>
      <c r="BC1108" s="211"/>
    </row>
    <row r="1109" spans="1:75" s="213" customFormat="1" x14ac:dyDescent="0.35">
      <c r="A1109" s="211"/>
      <c r="B1109" s="211"/>
      <c r="C1109" s="211"/>
      <c r="D1109" s="211"/>
      <c r="E1109" s="211"/>
      <c r="F1109" s="211"/>
      <c r="G1109" s="211"/>
      <c r="H1109" s="211"/>
      <c r="I1109" s="212"/>
      <c r="J1109" s="212"/>
      <c r="K1109" s="212"/>
      <c r="L1109" s="212"/>
      <c r="M1109" s="212"/>
      <c r="N1109" s="212"/>
      <c r="O1109" s="212"/>
      <c r="P1109" s="211"/>
      <c r="Q1109" s="211"/>
      <c r="R1109" s="211"/>
      <c r="S1109" s="211"/>
      <c r="T1109" s="211"/>
      <c r="U1109" s="211"/>
      <c r="V1109" s="211"/>
      <c r="W1109" s="211"/>
      <c r="X1109" s="211"/>
      <c r="Y1109" s="211"/>
      <c r="Z1109" s="211"/>
      <c r="AD1109" s="211"/>
      <c r="AE1109" s="211"/>
      <c r="AF1109" s="211"/>
      <c r="AG1109" s="211"/>
      <c r="AH1109" s="211"/>
      <c r="AI1109" s="211"/>
      <c r="AJ1109" s="211"/>
      <c r="AK1109" s="211"/>
      <c r="AL1109" s="211"/>
      <c r="AM1109" s="211"/>
      <c r="AN1109" s="211"/>
      <c r="AO1109" s="211"/>
      <c r="AP1109" s="211"/>
      <c r="AQ1109" s="211"/>
      <c r="AR1109" s="211"/>
      <c r="AS1109" s="211"/>
      <c r="AT1109" s="211"/>
      <c r="AU1109" s="211"/>
      <c r="AV1109" s="211"/>
      <c r="AW1109" s="211"/>
      <c r="AX1109" s="211"/>
      <c r="AY1109" s="211"/>
      <c r="AZ1109" s="211"/>
      <c r="BA1109" s="211"/>
      <c r="BB1109" s="211"/>
      <c r="BC1109" s="211"/>
    </row>
    <row r="1110" spans="1:75" s="213" customFormat="1" x14ac:dyDescent="0.35">
      <c r="A1110" s="211"/>
      <c r="B1110" s="211"/>
      <c r="C1110" s="211"/>
      <c r="D1110" s="211"/>
      <c r="E1110" s="211"/>
      <c r="F1110" s="211"/>
      <c r="G1110" s="211"/>
      <c r="H1110" s="211"/>
      <c r="I1110" s="212"/>
      <c r="J1110" s="212"/>
      <c r="K1110" s="212"/>
      <c r="L1110" s="212"/>
      <c r="M1110" s="212"/>
      <c r="N1110" s="212"/>
      <c r="O1110" s="212"/>
      <c r="P1110" s="211"/>
      <c r="Q1110" s="211"/>
      <c r="R1110" s="211"/>
      <c r="S1110" s="211"/>
      <c r="T1110" s="211"/>
      <c r="U1110" s="211"/>
      <c r="V1110" s="211"/>
      <c r="W1110" s="211"/>
      <c r="X1110" s="211"/>
      <c r="Y1110" s="211"/>
      <c r="Z1110" s="211"/>
      <c r="AD1110" s="211"/>
      <c r="AE1110" s="211"/>
      <c r="AF1110" s="211"/>
      <c r="AG1110" s="211"/>
      <c r="AH1110" s="211"/>
      <c r="AI1110" s="211"/>
      <c r="AJ1110" s="211"/>
      <c r="AK1110" s="211"/>
      <c r="AL1110" s="211"/>
      <c r="AM1110" s="211"/>
      <c r="AN1110" s="211"/>
      <c r="AO1110" s="211"/>
      <c r="AP1110" s="211"/>
      <c r="AQ1110" s="211"/>
      <c r="AR1110" s="211"/>
      <c r="AS1110" s="211"/>
      <c r="AT1110" s="211"/>
      <c r="AU1110" s="211"/>
      <c r="AV1110" s="211"/>
      <c r="AW1110" s="211"/>
      <c r="AX1110" s="211"/>
      <c r="AY1110" s="211"/>
      <c r="AZ1110" s="211"/>
      <c r="BA1110" s="211"/>
      <c r="BB1110" s="211"/>
      <c r="BC1110" s="211"/>
    </row>
    <row r="1111" spans="1:75" s="213" customFormat="1" x14ac:dyDescent="0.35">
      <c r="A1111" s="211"/>
      <c r="B1111" s="211"/>
      <c r="C1111" s="211"/>
      <c r="D1111" s="211"/>
      <c r="E1111" s="211"/>
      <c r="F1111" s="211"/>
      <c r="G1111" s="211"/>
      <c r="H1111" s="211"/>
      <c r="I1111" s="212"/>
      <c r="J1111" s="212"/>
      <c r="K1111" s="212"/>
      <c r="L1111" s="212"/>
      <c r="M1111" s="212"/>
      <c r="N1111" s="212"/>
      <c r="O1111" s="212"/>
      <c r="P1111" s="211"/>
      <c r="Q1111" s="211"/>
      <c r="R1111" s="211"/>
      <c r="S1111" s="211"/>
      <c r="T1111" s="211"/>
      <c r="U1111" s="211"/>
      <c r="V1111" s="211"/>
      <c r="W1111" s="211"/>
      <c r="X1111" s="211"/>
      <c r="Y1111" s="211"/>
      <c r="Z1111" s="211"/>
      <c r="AD1111" s="211"/>
      <c r="AE1111" s="211"/>
      <c r="AF1111" s="211"/>
      <c r="AG1111" s="211"/>
      <c r="AH1111" s="211"/>
      <c r="AI1111" s="211"/>
      <c r="AJ1111" s="211"/>
      <c r="AK1111" s="211"/>
      <c r="AL1111" s="211"/>
      <c r="AM1111" s="211"/>
      <c r="AN1111" s="211"/>
      <c r="AO1111" s="211"/>
      <c r="AP1111" s="211"/>
      <c r="AQ1111" s="211"/>
      <c r="AR1111" s="211"/>
      <c r="AS1111" s="211"/>
      <c r="AT1111" s="211"/>
      <c r="AU1111" s="211"/>
      <c r="AV1111" s="211"/>
      <c r="AW1111" s="211"/>
      <c r="AX1111" s="211"/>
      <c r="AY1111" s="211"/>
      <c r="AZ1111" s="211"/>
      <c r="BA1111" s="211"/>
      <c r="BB1111" s="211"/>
      <c r="BC1111" s="211"/>
    </row>
    <row r="1112" spans="1:75" s="213" customFormat="1" x14ac:dyDescent="0.35">
      <c r="A1112" s="211"/>
      <c r="B1112" s="211"/>
      <c r="C1112" s="211"/>
      <c r="D1112" s="211"/>
      <c r="E1112" s="211"/>
      <c r="F1112" s="211"/>
      <c r="G1112" s="211"/>
      <c r="H1112" s="211"/>
      <c r="I1112" s="212"/>
      <c r="J1112" s="212"/>
      <c r="K1112" s="212"/>
      <c r="L1112" s="212"/>
      <c r="M1112" s="212"/>
      <c r="N1112" s="212"/>
      <c r="O1112" s="212"/>
      <c r="P1112" s="211"/>
      <c r="Q1112" s="211"/>
      <c r="R1112" s="211"/>
      <c r="S1112" s="211"/>
      <c r="T1112" s="211"/>
      <c r="U1112" s="211"/>
      <c r="V1112" s="211"/>
      <c r="W1112" s="211"/>
      <c r="X1112" s="211"/>
      <c r="Y1112" s="211"/>
      <c r="Z1112" s="211"/>
      <c r="AD1112" s="211"/>
      <c r="AE1112" s="211"/>
      <c r="AF1112" s="211"/>
      <c r="AG1112" s="211"/>
      <c r="AH1112" s="211"/>
      <c r="AI1112" s="211"/>
      <c r="AJ1112" s="211"/>
      <c r="AK1112" s="211"/>
      <c r="AL1112" s="211"/>
      <c r="AM1112" s="211"/>
      <c r="AN1112" s="211"/>
      <c r="AO1112" s="211"/>
      <c r="AP1112" s="211"/>
      <c r="AQ1112" s="211"/>
      <c r="AR1112" s="211"/>
      <c r="AS1112" s="211"/>
      <c r="AT1112" s="211"/>
      <c r="AU1112" s="211"/>
      <c r="AV1112" s="211"/>
      <c r="AW1112" s="211"/>
      <c r="AX1112" s="211"/>
      <c r="AY1112" s="211"/>
      <c r="AZ1112" s="211"/>
      <c r="BA1112" s="211"/>
      <c r="BB1112" s="211"/>
      <c r="BC1112" s="211"/>
    </row>
    <row r="1113" spans="1:75" s="213" customFormat="1" x14ac:dyDescent="0.35">
      <c r="A1113" s="211"/>
      <c r="B1113" s="211"/>
      <c r="C1113" s="211"/>
      <c r="D1113" s="211"/>
      <c r="E1113" s="211"/>
      <c r="F1113" s="211"/>
      <c r="G1113" s="211"/>
      <c r="H1113" s="211"/>
      <c r="I1113" s="212"/>
      <c r="J1113" s="212"/>
      <c r="K1113" s="212"/>
      <c r="L1113" s="212"/>
      <c r="M1113" s="212"/>
      <c r="N1113" s="212"/>
      <c r="O1113" s="212"/>
      <c r="P1113" s="211"/>
      <c r="Q1113" s="211"/>
      <c r="R1113" s="211"/>
      <c r="S1113" s="211"/>
      <c r="T1113" s="211"/>
      <c r="U1113" s="211"/>
      <c r="V1113" s="211"/>
      <c r="W1113" s="211"/>
      <c r="X1113" s="211"/>
      <c r="Y1113" s="211"/>
      <c r="Z1113" s="211"/>
      <c r="AD1113" s="211"/>
      <c r="AE1113" s="211"/>
      <c r="AF1113" s="211"/>
      <c r="AG1113" s="211"/>
      <c r="AH1113" s="211"/>
      <c r="AI1113" s="211"/>
      <c r="AJ1113" s="211"/>
      <c r="AK1113" s="211"/>
      <c r="AL1113" s="211"/>
      <c r="AM1113" s="211"/>
      <c r="AN1113" s="211"/>
      <c r="AO1113" s="211"/>
      <c r="AP1113" s="211"/>
      <c r="AQ1113" s="211"/>
      <c r="AR1113" s="211"/>
      <c r="AS1113" s="211"/>
      <c r="AT1113" s="211"/>
      <c r="AU1113" s="211"/>
      <c r="AV1113" s="211"/>
      <c r="AW1113" s="211"/>
      <c r="AX1113" s="211"/>
      <c r="AY1113" s="211"/>
      <c r="AZ1113" s="211"/>
      <c r="BA1113" s="211"/>
      <c r="BB1113" s="211"/>
      <c r="BC1113" s="211"/>
    </row>
    <row r="1114" spans="1:75" s="213" customFormat="1" x14ac:dyDescent="0.35">
      <c r="A1114" s="211"/>
      <c r="B1114" s="211"/>
      <c r="C1114" s="211"/>
      <c r="D1114" s="211"/>
      <c r="E1114" s="211"/>
      <c r="F1114" s="211"/>
      <c r="G1114" s="211"/>
      <c r="H1114" s="211"/>
      <c r="I1114" s="212"/>
      <c r="J1114" s="212"/>
      <c r="K1114" s="212"/>
      <c r="L1114" s="212"/>
      <c r="M1114" s="212"/>
      <c r="N1114" s="212"/>
      <c r="O1114" s="212"/>
      <c r="P1114" s="211"/>
      <c r="Q1114" s="211"/>
      <c r="R1114" s="211"/>
      <c r="S1114" s="211"/>
      <c r="T1114" s="211"/>
      <c r="U1114" s="211"/>
      <c r="V1114" s="211"/>
      <c r="W1114" s="211"/>
      <c r="X1114" s="211"/>
      <c r="Y1114" s="211"/>
      <c r="Z1114" s="211"/>
      <c r="AD1114" s="211"/>
      <c r="AE1114" s="211"/>
      <c r="AF1114" s="211"/>
      <c r="AG1114" s="211"/>
      <c r="AH1114" s="211"/>
      <c r="AI1114" s="211"/>
      <c r="AJ1114" s="211"/>
      <c r="AK1114" s="211"/>
      <c r="AL1114" s="211"/>
      <c r="AM1114" s="211"/>
      <c r="AN1114" s="211"/>
      <c r="AO1114" s="211"/>
      <c r="AP1114" s="211"/>
      <c r="AQ1114" s="211"/>
      <c r="AR1114" s="211"/>
      <c r="AS1114" s="211"/>
      <c r="AT1114" s="211"/>
      <c r="AU1114" s="211"/>
      <c r="AV1114" s="211"/>
      <c r="AW1114" s="211"/>
      <c r="AX1114" s="211"/>
      <c r="AY1114" s="211"/>
      <c r="AZ1114" s="211"/>
      <c r="BA1114" s="211"/>
      <c r="BB1114" s="211"/>
      <c r="BC1114" s="211"/>
    </row>
    <row r="1115" spans="1:75" s="213" customFormat="1" x14ac:dyDescent="0.35">
      <c r="A1115" s="211"/>
      <c r="B1115" s="211"/>
      <c r="C1115" s="211"/>
      <c r="D1115" s="211"/>
      <c r="E1115" s="211"/>
      <c r="F1115" s="211"/>
      <c r="G1115" s="211"/>
      <c r="H1115" s="211"/>
      <c r="I1115" s="212"/>
      <c r="J1115" s="212"/>
      <c r="K1115" s="212"/>
      <c r="L1115" s="212"/>
      <c r="M1115" s="212"/>
      <c r="N1115" s="212"/>
      <c r="O1115" s="212"/>
      <c r="P1115" s="211"/>
      <c r="Q1115" s="211"/>
      <c r="R1115" s="211"/>
      <c r="S1115" s="211"/>
      <c r="T1115" s="211"/>
      <c r="U1115" s="211"/>
      <c r="V1115" s="211"/>
      <c r="W1115" s="211"/>
      <c r="X1115" s="211"/>
      <c r="Y1115" s="211"/>
      <c r="Z1115" s="211"/>
      <c r="AD1115" s="211"/>
      <c r="AE1115" s="211"/>
      <c r="AF1115" s="211"/>
      <c r="AG1115" s="211"/>
      <c r="AH1115" s="211"/>
      <c r="AI1115" s="211"/>
      <c r="AJ1115" s="211"/>
      <c r="AK1115" s="211"/>
      <c r="AL1115" s="211"/>
      <c r="AM1115" s="211"/>
      <c r="AN1115" s="211"/>
      <c r="AO1115" s="211"/>
      <c r="AP1115" s="211"/>
      <c r="AQ1115" s="211"/>
      <c r="AR1115" s="211"/>
      <c r="AS1115" s="211"/>
      <c r="AT1115" s="211"/>
      <c r="AU1115" s="211"/>
      <c r="AV1115" s="211"/>
      <c r="AW1115" s="211"/>
      <c r="AX1115" s="211"/>
      <c r="AY1115" s="211"/>
      <c r="AZ1115" s="211"/>
      <c r="BA1115" s="211"/>
      <c r="BB1115" s="211"/>
      <c r="BC1115" s="211"/>
    </row>
    <row r="1116" spans="1:75" s="213" customFormat="1" x14ac:dyDescent="0.35">
      <c r="A1116" s="211"/>
      <c r="B1116" s="211"/>
      <c r="C1116" s="211"/>
      <c r="D1116" s="211"/>
      <c r="E1116" s="211"/>
      <c r="F1116" s="211"/>
      <c r="G1116" s="211"/>
      <c r="H1116" s="211"/>
      <c r="I1116" s="212"/>
      <c r="J1116" s="212"/>
      <c r="K1116" s="212"/>
      <c r="L1116" s="212"/>
      <c r="M1116" s="212"/>
      <c r="N1116" s="212"/>
      <c r="O1116" s="212"/>
      <c r="P1116" s="211"/>
      <c r="Q1116" s="211"/>
      <c r="R1116" s="211"/>
      <c r="S1116" s="211"/>
      <c r="T1116" s="211"/>
      <c r="U1116" s="211"/>
      <c r="V1116" s="211"/>
      <c r="W1116" s="211"/>
      <c r="X1116" s="211"/>
      <c r="Y1116" s="211"/>
      <c r="Z1116" s="211"/>
      <c r="AD1116" s="211"/>
      <c r="AE1116" s="211"/>
      <c r="AF1116" s="211"/>
      <c r="AG1116" s="211"/>
      <c r="AH1116" s="211"/>
      <c r="AI1116" s="211"/>
      <c r="AJ1116" s="211"/>
      <c r="AK1116" s="211"/>
      <c r="AL1116" s="211"/>
      <c r="AM1116" s="211"/>
      <c r="AN1116" s="211"/>
      <c r="AO1116" s="211"/>
      <c r="AP1116" s="211"/>
      <c r="AQ1116" s="211"/>
      <c r="AR1116" s="211"/>
      <c r="AS1116" s="211"/>
      <c r="AT1116" s="211"/>
      <c r="AU1116" s="211"/>
      <c r="AV1116" s="211"/>
      <c r="AW1116" s="211"/>
      <c r="AX1116" s="211"/>
      <c r="AY1116" s="211"/>
      <c r="AZ1116" s="211"/>
      <c r="BA1116" s="211"/>
      <c r="BB1116" s="211"/>
      <c r="BC1116" s="211"/>
    </row>
    <row r="1117" spans="1:75" s="213" customFormat="1" x14ac:dyDescent="0.35">
      <c r="A1117" s="211"/>
      <c r="B1117" s="211"/>
      <c r="C1117" s="211"/>
      <c r="D1117" s="211"/>
      <c r="E1117" s="211"/>
      <c r="F1117" s="211"/>
      <c r="G1117" s="211"/>
      <c r="H1117" s="211"/>
      <c r="I1117" s="212"/>
      <c r="J1117" s="212"/>
      <c r="K1117" s="212"/>
      <c r="L1117" s="212"/>
      <c r="M1117" s="212"/>
      <c r="N1117" s="212"/>
      <c r="O1117" s="212"/>
      <c r="P1117" s="211"/>
      <c r="Q1117" s="211"/>
      <c r="R1117" s="211"/>
      <c r="S1117" s="211"/>
      <c r="T1117" s="211"/>
      <c r="U1117" s="211"/>
      <c r="V1117" s="211"/>
      <c r="W1117" s="211"/>
      <c r="X1117" s="211"/>
      <c r="Y1117" s="211"/>
      <c r="Z1117" s="211"/>
      <c r="AD1117" s="211"/>
      <c r="AE1117" s="211"/>
      <c r="AF1117" s="211"/>
      <c r="AG1117" s="211"/>
      <c r="AH1117" s="211"/>
      <c r="AI1117" s="211"/>
      <c r="AJ1117" s="211"/>
      <c r="AK1117" s="211"/>
      <c r="AL1117" s="211"/>
      <c r="AM1117" s="211"/>
      <c r="AN1117" s="211"/>
      <c r="AO1117" s="211"/>
      <c r="AP1117" s="211"/>
      <c r="AQ1117" s="211"/>
      <c r="AR1117" s="211"/>
      <c r="AS1117" s="211"/>
      <c r="AT1117" s="211"/>
      <c r="AU1117" s="211"/>
      <c r="AV1117" s="211"/>
      <c r="AW1117" s="211"/>
      <c r="AX1117" s="211"/>
      <c r="AY1117" s="211"/>
      <c r="AZ1117" s="211"/>
      <c r="BA1117" s="211"/>
      <c r="BB1117" s="211"/>
      <c r="BC1117" s="211"/>
    </row>
    <row r="1118" spans="1:75" s="213" customFormat="1" x14ac:dyDescent="0.35">
      <c r="A1118" s="211"/>
      <c r="B1118" s="211"/>
      <c r="C1118" s="211"/>
      <c r="D1118" s="211"/>
      <c r="E1118" s="211"/>
      <c r="F1118" s="211"/>
      <c r="G1118" s="211"/>
      <c r="H1118" s="211"/>
      <c r="I1118" s="212"/>
      <c r="J1118" s="212"/>
      <c r="K1118" s="212"/>
      <c r="L1118" s="212"/>
      <c r="M1118" s="212"/>
      <c r="N1118" s="212"/>
      <c r="O1118" s="212"/>
      <c r="P1118" s="211"/>
      <c r="Q1118" s="211"/>
      <c r="R1118" s="211"/>
      <c r="S1118" s="211"/>
      <c r="T1118" s="211"/>
      <c r="U1118" s="211"/>
      <c r="V1118" s="211"/>
      <c r="W1118" s="211"/>
      <c r="X1118" s="211"/>
      <c r="Y1118" s="211"/>
      <c r="Z1118" s="211"/>
      <c r="AD1118" s="211"/>
      <c r="AE1118" s="211"/>
      <c r="AF1118" s="211"/>
      <c r="AG1118" s="211"/>
      <c r="AH1118" s="211"/>
      <c r="AI1118" s="211"/>
      <c r="AJ1118" s="211"/>
      <c r="AK1118" s="211"/>
      <c r="AL1118" s="211"/>
      <c r="AM1118" s="211"/>
      <c r="AN1118" s="211"/>
      <c r="AO1118" s="211"/>
      <c r="AP1118" s="211"/>
      <c r="AQ1118" s="211"/>
      <c r="AR1118" s="211"/>
      <c r="AS1118" s="211"/>
      <c r="AT1118" s="211"/>
      <c r="AU1118" s="211"/>
      <c r="AV1118" s="211"/>
      <c r="AW1118" s="211"/>
      <c r="AX1118" s="211"/>
      <c r="AY1118" s="211"/>
      <c r="AZ1118" s="211"/>
      <c r="BA1118" s="211"/>
      <c r="BB1118" s="211"/>
      <c r="BC1118" s="211"/>
    </row>
    <row r="1119" spans="1:75" s="213" customFormat="1" x14ac:dyDescent="0.35">
      <c r="A1119" s="211"/>
      <c r="B1119" s="211"/>
      <c r="C1119" s="211"/>
      <c r="D1119" s="211"/>
      <c r="E1119" s="211"/>
      <c r="F1119" s="211"/>
      <c r="G1119" s="211"/>
      <c r="H1119" s="211"/>
      <c r="I1119" s="212"/>
      <c r="J1119" s="212"/>
      <c r="K1119" s="212"/>
      <c r="L1119" s="212"/>
      <c r="M1119" s="212"/>
      <c r="N1119" s="212"/>
      <c r="O1119" s="212"/>
      <c r="P1119" s="211"/>
      <c r="Q1119" s="211"/>
      <c r="R1119" s="211"/>
      <c r="S1119" s="211"/>
      <c r="T1119" s="211"/>
      <c r="U1119" s="211"/>
      <c r="V1119" s="211"/>
      <c r="W1119" s="211"/>
      <c r="X1119" s="211"/>
      <c r="Y1119" s="211"/>
      <c r="Z1119" s="211"/>
      <c r="AD1119" s="211"/>
      <c r="AE1119" s="211"/>
      <c r="AF1119" s="211"/>
      <c r="AG1119" s="211"/>
      <c r="AH1119" s="211"/>
      <c r="AI1119" s="211"/>
      <c r="AJ1119" s="211"/>
      <c r="AK1119" s="211"/>
      <c r="AL1119" s="211"/>
      <c r="AM1119" s="211"/>
      <c r="AN1119" s="211"/>
      <c r="AO1119" s="211"/>
      <c r="AP1119" s="211"/>
      <c r="AQ1119" s="211"/>
      <c r="AR1119" s="211"/>
      <c r="AS1119" s="211"/>
      <c r="AT1119" s="211"/>
      <c r="AU1119" s="211"/>
      <c r="AV1119" s="211"/>
      <c r="AW1119" s="211"/>
      <c r="AX1119" s="211"/>
      <c r="AY1119" s="211"/>
      <c r="AZ1119" s="211"/>
      <c r="BA1119" s="211"/>
      <c r="BB1119" s="211"/>
      <c r="BC1119" s="211"/>
    </row>
    <row r="1120" spans="1:75" x14ac:dyDescent="0.35">
      <c r="BS1120" s="213"/>
      <c r="BT1120" s="213"/>
      <c r="BU1120" s="213"/>
      <c r="BV1120" s="213"/>
      <c r="BW1120" s="213"/>
    </row>
  </sheetData>
  <conditionalFormatting sqref="D1:D67 D69:D1048576">
    <cfRule type="duplicateValues" dxfId="4" priority="5"/>
  </conditionalFormatting>
  <conditionalFormatting sqref="BU97:BU103 BU1:BU76 BU91:BU95 BU105:BU114 BU79:BU89">
    <cfRule type="duplicateValues" dxfId="3" priority="4"/>
  </conditionalFormatting>
  <conditionalFormatting sqref="D68">
    <cfRule type="duplicateValues" dxfId="2" priority="3"/>
  </conditionalFormatting>
  <conditionalFormatting sqref="T86">
    <cfRule type="duplicateValues" dxfId="1" priority="2"/>
  </conditionalFormatting>
  <conditionalFormatting sqref="BU78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Staff Input</vt:lpstr>
      <vt:lpstr>Promo Product Input</vt:lpstr>
      <vt:lpstr>INPUT_ASSUMPTIONS CALC</vt:lpstr>
      <vt:lpstr>Summary calculation</vt:lpstr>
      <vt:lpstr>Summary calculation - SOURCE</vt:lpstr>
      <vt:lpstr>To sign</vt:lpstr>
      <vt:lpstr>TCFA</vt:lpstr>
      <vt:lpstr>TIC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Sohail, Arslan</dc:creator>
  <cp:lastModifiedBy>Sohail, Arslan</cp:lastModifiedBy>
  <dcterms:created xsi:type="dcterms:W3CDTF">2015-06-05T18:17:20Z</dcterms:created>
  <dcterms:modified xsi:type="dcterms:W3CDTF">2026-04-16T08:54:13Z</dcterms:modified>
</cp:coreProperties>
</file>